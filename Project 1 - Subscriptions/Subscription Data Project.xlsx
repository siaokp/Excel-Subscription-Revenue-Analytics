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ouis\Downloads\Data Technician Bootcamp\Week 1 - Excel\4\Project\"/>
    </mc:Choice>
  </mc:AlternateContent>
  <xr:revisionPtr revIDLastSave="0" documentId="13_ncr:1_{312C6599-CC9C-478F-AA95-8C8FC8830033}" xr6:coauthVersionLast="47" xr6:coauthVersionMax="47" xr10:uidLastSave="{00000000-0000-0000-0000-000000000000}"/>
  <bookViews>
    <workbookView xWindow="52695" yWindow="0" windowWidth="14610" windowHeight="15585" tabRatio="567" firstSheet="6" activeTab="6" xr2:uid="{00000000-000D-0000-FFFF-FFFF00000000}"/>
  </bookViews>
  <sheets>
    <sheet name="Subscriptions" sheetId="1" r:id="rId1"/>
    <sheet name="Revenue Analytics Dashboard" sheetId="6" r:id="rId2"/>
    <sheet name="Active Timeline" sheetId="8" r:id="rId3"/>
    <sheet name="Timeline Dashboard" sheetId="10" r:id="rId4"/>
    <sheet name="Subscription Overview" sheetId="4" r:id="rId5"/>
    <sheet name="Customer Distribution" sheetId="5" r:id="rId6"/>
    <sheet name="Subscription Rules &amp; Pricing" sheetId="3" r:id="rId7"/>
    <sheet name="Settings" sheetId="9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8" l="1"/>
  <c r="A3" i="8" s="1"/>
  <c r="I3" i="8" s="1"/>
  <c r="M752" i="1" a="1"/>
  <c r="M752" i="1" s="1"/>
  <c r="M511" i="1" a="1"/>
  <c r="M511" i="1" s="1"/>
  <c r="M479" i="1" a="1"/>
  <c r="M479" i="1" s="1"/>
  <c r="M531" i="1" a="1"/>
  <c r="M531" i="1" s="1"/>
  <c r="M782" i="1" a="1"/>
  <c r="M782" i="1" s="1"/>
  <c r="M722" i="1" a="1"/>
  <c r="M722" i="1" s="1"/>
  <c r="M456" i="1" a="1"/>
  <c r="M456" i="1" s="1"/>
  <c r="M96" i="1" a="1"/>
  <c r="M96" i="1" s="1"/>
  <c r="M397" i="1" a="1"/>
  <c r="M397" i="1" s="1"/>
  <c r="M658" i="1" a="1"/>
  <c r="M658" i="1" s="1"/>
  <c r="M558" i="1" a="1"/>
  <c r="M558" i="1" s="1"/>
  <c r="M131" i="1" a="1"/>
  <c r="M131" i="1" s="1"/>
  <c r="M351" i="1" a="1"/>
  <c r="M351" i="1" s="1"/>
  <c r="M437" i="1" a="1"/>
  <c r="M437" i="1" s="1"/>
  <c r="M121" i="1" a="1"/>
  <c r="M121" i="1" s="1"/>
  <c r="M530" i="1" a="1"/>
  <c r="M530" i="1" s="1"/>
  <c r="M222" i="1" a="1"/>
  <c r="M222" i="1" s="1"/>
  <c r="M341" i="1" a="1"/>
  <c r="M341" i="1" s="1"/>
  <c r="M625" i="1" a="1"/>
  <c r="M625" i="1" s="1"/>
  <c r="M486" i="1" a="1"/>
  <c r="M486" i="1" s="1"/>
  <c r="M680" i="1" a="1"/>
  <c r="M680" i="1" s="1"/>
  <c r="M696" i="1" a="1"/>
  <c r="M696" i="1" s="1"/>
  <c r="M76" i="1" a="1"/>
  <c r="M76" i="1" s="1"/>
  <c r="M388" i="1" a="1"/>
  <c r="M388" i="1" s="1"/>
  <c r="M580" i="1" a="1"/>
  <c r="M580" i="1" s="1"/>
  <c r="M328" i="1" a="1"/>
  <c r="M328" i="1" s="1"/>
  <c r="M174" i="1" a="1"/>
  <c r="M174" i="1" s="1"/>
  <c r="M377" i="1" a="1"/>
  <c r="M377" i="1" s="1"/>
  <c r="M563" i="1" a="1"/>
  <c r="M563" i="1" s="1"/>
  <c r="M729" i="1" a="1"/>
  <c r="M729" i="1" s="1"/>
  <c r="M23" i="1" a="1"/>
  <c r="M23" i="1" s="1"/>
  <c r="M306" i="1" a="1"/>
  <c r="M306" i="1" s="1"/>
  <c r="M583" i="1" a="1"/>
  <c r="M583" i="1" s="1"/>
  <c r="M723" i="1" a="1"/>
  <c r="M723" i="1" s="1"/>
  <c r="M64" i="1" a="1"/>
  <c r="M64" i="1" s="1"/>
  <c r="M716" i="1" a="1"/>
  <c r="M716" i="1" s="1"/>
  <c r="M507" i="1" a="1"/>
  <c r="M507" i="1" s="1"/>
  <c r="M612" i="1" a="1"/>
  <c r="M612" i="1" s="1"/>
  <c r="M303" i="1" a="1"/>
  <c r="M303" i="1" s="1"/>
  <c r="M309" i="1" a="1"/>
  <c r="M309" i="1" s="1"/>
  <c r="M582" i="1" a="1"/>
  <c r="M582" i="1" s="1"/>
  <c r="M137" i="1" a="1"/>
  <c r="M137" i="1" s="1"/>
  <c r="M503" i="1" a="1"/>
  <c r="M503" i="1" s="1"/>
  <c r="M157" i="1" a="1"/>
  <c r="M157" i="1" s="1"/>
  <c r="M111" i="1" a="1"/>
  <c r="M111" i="1" s="1"/>
  <c r="M171" i="1" a="1"/>
  <c r="M171" i="1" s="1"/>
  <c r="M768" i="1" a="1"/>
  <c r="M768" i="1" s="1"/>
  <c r="M411" i="1" a="1"/>
  <c r="M411" i="1" s="1"/>
  <c r="M730" i="1" a="1"/>
  <c r="M730" i="1" s="1"/>
  <c r="M187" i="1" a="1"/>
  <c r="M187" i="1" s="1"/>
  <c r="M665" i="1" a="1"/>
  <c r="M665" i="1" s="1"/>
  <c r="M655" i="1" a="1"/>
  <c r="M655" i="1" s="1"/>
  <c r="M60" i="1" a="1"/>
  <c r="M60" i="1" s="1"/>
  <c r="M112" i="1" a="1"/>
  <c r="M112" i="1" s="1"/>
  <c r="M357" i="1" a="1"/>
  <c r="M357" i="1" s="1"/>
  <c r="M360" i="1" a="1"/>
  <c r="M360" i="1" s="1"/>
  <c r="M141" i="1" a="1"/>
  <c r="M141" i="1" s="1"/>
  <c r="M54" i="1" a="1"/>
  <c r="M54" i="1" s="1"/>
  <c r="M361" i="1" a="1"/>
  <c r="M361" i="1" s="1"/>
  <c r="M793" i="1" a="1"/>
  <c r="M793" i="1" s="1"/>
  <c r="M374" i="1" a="1"/>
  <c r="M374" i="1" s="1"/>
  <c r="M143" i="1" a="1"/>
  <c r="M143" i="1" s="1"/>
  <c r="M659" i="1" a="1"/>
  <c r="M659" i="1" s="1"/>
  <c r="M545" i="1" a="1"/>
  <c r="M545" i="1" s="1"/>
  <c r="M766" i="1" a="1"/>
  <c r="M766" i="1" s="1"/>
  <c r="M778" i="1" a="1"/>
  <c r="M778" i="1" s="1"/>
  <c r="M116" i="1" a="1"/>
  <c r="M116" i="1" s="1"/>
  <c r="M91" i="1" a="1"/>
  <c r="M91" i="1" s="1"/>
  <c r="M285" i="1" a="1"/>
  <c r="M285" i="1" s="1"/>
  <c r="M445" i="1" a="1"/>
  <c r="M445" i="1" s="1"/>
  <c r="M615" i="1" a="1"/>
  <c r="M615" i="1" s="1"/>
  <c r="M495" i="1" a="1"/>
  <c r="M495" i="1" s="1"/>
  <c r="M728" i="1" a="1"/>
  <c r="M728" i="1" s="1"/>
  <c r="M578" i="1" a="1"/>
  <c r="M578" i="1" s="1"/>
  <c r="M209" i="1" a="1"/>
  <c r="M209" i="1" s="1"/>
  <c r="M204" i="1" a="1"/>
  <c r="M204" i="1" s="1"/>
  <c r="M654" i="1" a="1"/>
  <c r="M654" i="1" s="1"/>
  <c r="M217" i="1" a="1"/>
  <c r="M217" i="1" s="1"/>
  <c r="M566" i="1" a="1"/>
  <c r="M566" i="1" s="1"/>
  <c r="M409" i="1" a="1"/>
  <c r="M409" i="1" s="1"/>
  <c r="M58" i="1" a="1"/>
  <c r="M58" i="1" s="1"/>
  <c r="M627" i="1" a="1"/>
  <c r="M627" i="1" s="1"/>
  <c r="M272" i="1" a="1"/>
  <c r="M272" i="1" s="1"/>
  <c r="M498" i="1" a="1"/>
  <c r="M498" i="1" s="1"/>
  <c r="M153" i="1" a="1"/>
  <c r="M153" i="1" s="1"/>
  <c r="M322" i="1" a="1"/>
  <c r="M322" i="1" s="1"/>
  <c r="M719" i="1" a="1"/>
  <c r="M719" i="1" s="1"/>
  <c r="M65" i="1" a="1"/>
  <c r="M65" i="1" s="1"/>
  <c r="M150" i="1" a="1"/>
  <c r="M150" i="1" s="1"/>
  <c r="M195" i="1" a="1"/>
  <c r="M195" i="1" s="1"/>
  <c r="M469" i="1" a="1"/>
  <c r="M469" i="1" s="1"/>
  <c r="M13" i="1" a="1"/>
  <c r="M13" i="1" s="1"/>
  <c r="M149" i="1" a="1"/>
  <c r="M149" i="1" s="1"/>
  <c r="M90" i="1" a="1"/>
  <c r="M90" i="1" s="1"/>
  <c r="M384" i="1" a="1"/>
  <c r="M384" i="1" s="1"/>
  <c r="M280" i="1" a="1"/>
  <c r="M280" i="1" s="1"/>
  <c r="M55" i="1" a="1"/>
  <c r="M55" i="1" s="1"/>
  <c r="M520" i="1" a="1"/>
  <c r="M520" i="1" s="1"/>
  <c r="M608" i="1" a="1"/>
  <c r="M608" i="1" s="1"/>
  <c r="M598" i="1" a="1"/>
  <c r="M598" i="1" s="1"/>
  <c r="M796" i="1" a="1"/>
  <c r="M796" i="1" s="1"/>
  <c r="M510" i="1" a="1"/>
  <c r="M510" i="1" s="1"/>
  <c r="M581" i="1" a="1"/>
  <c r="M581" i="1" s="1"/>
  <c r="M751" i="1" a="1"/>
  <c r="M751" i="1" s="1"/>
  <c r="M29" i="1" a="1"/>
  <c r="M29" i="1" s="1"/>
  <c r="M326" i="1" a="1"/>
  <c r="M326" i="1" s="1"/>
  <c r="M219" i="1" a="1"/>
  <c r="M219" i="1" s="1"/>
  <c r="M6" i="1" a="1"/>
  <c r="M6" i="1" s="1"/>
  <c r="M261" i="1" a="1"/>
  <c r="M261" i="1" s="1"/>
  <c r="M349" i="1" a="1"/>
  <c r="M349" i="1" s="1"/>
  <c r="M692" i="1" a="1"/>
  <c r="M692" i="1" s="1"/>
  <c r="M287" i="1" a="1"/>
  <c r="M287" i="1" s="1"/>
  <c r="M606" i="1" a="1"/>
  <c r="M606" i="1" s="1"/>
  <c r="M446" i="1" a="1"/>
  <c r="M446" i="1" s="1"/>
  <c r="M355" i="1" a="1"/>
  <c r="M355" i="1" s="1"/>
  <c r="M198" i="1" a="1"/>
  <c r="M198" i="1" s="1"/>
  <c r="M712" i="1" a="1"/>
  <c r="M712" i="1" s="1"/>
  <c r="M85" i="1" a="1"/>
  <c r="M85" i="1" s="1"/>
  <c r="M86" i="1" a="1"/>
  <c r="M86" i="1" s="1"/>
  <c r="M697" i="1" a="1"/>
  <c r="M697" i="1" s="1"/>
  <c r="M207" i="1" a="1"/>
  <c r="M207" i="1" s="1"/>
  <c r="M742" i="1" a="1"/>
  <c r="M742" i="1" s="1"/>
  <c r="M205" i="1" a="1"/>
  <c r="M205" i="1" s="1"/>
  <c r="M435" i="1" a="1"/>
  <c r="M435" i="1" s="1"/>
  <c r="M366" i="1" a="1"/>
  <c r="M366" i="1" s="1"/>
  <c r="M62" i="1" a="1"/>
  <c r="M62" i="1" s="1"/>
  <c r="M189" i="1" a="1"/>
  <c r="M189" i="1" s="1"/>
  <c r="M155" i="1" a="1"/>
  <c r="M155" i="1" s="1"/>
  <c r="M358" i="1" a="1"/>
  <c r="M358" i="1" s="1"/>
  <c r="M94" i="1" a="1"/>
  <c r="M94" i="1" s="1"/>
  <c r="M69" i="1" a="1"/>
  <c r="M69" i="1" s="1"/>
  <c r="M15" i="1" a="1"/>
  <c r="M15" i="1" s="1"/>
  <c r="M787" i="1" a="1"/>
  <c r="M787" i="1" s="1"/>
  <c r="M493" i="1" a="1"/>
  <c r="M493" i="1" s="1"/>
  <c r="M607" i="1" a="1"/>
  <c r="M607" i="1" s="1"/>
  <c r="M684" i="1" a="1"/>
  <c r="M684" i="1" s="1"/>
  <c r="M648" i="1" a="1"/>
  <c r="M648" i="1" s="1"/>
  <c r="M333" i="1" a="1"/>
  <c r="M333" i="1" s="1"/>
  <c r="M515" i="1" a="1"/>
  <c r="M515" i="1" s="1"/>
  <c r="M307" i="1" a="1"/>
  <c r="M307" i="1" s="1"/>
  <c r="M382" i="1" a="1"/>
  <c r="M382" i="1" s="1"/>
  <c r="M138" i="1" a="1"/>
  <c r="M138" i="1" s="1"/>
  <c r="M281" i="1" a="1"/>
  <c r="M281" i="1" s="1"/>
  <c r="M97" i="1" a="1"/>
  <c r="M97" i="1" s="1"/>
  <c r="M794" i="1" a="1"/>
  <c r="M794" i="1" s="1"/>
  <c r="M4" i="1" a="1"/>
  <c r="M4" i="1" s="1"/>
  <c r="M260" i="1" a="1"/>
  <c r="M260" i="1" s="1"/>
  <c r="M352" i="1" a="1"/>
  <c r="M352" i="1" s="1"/>
  <c r="M175" i="1" a="1"/>
  <c r="M175" i="1" s="1"/>
  <c r="M473" i="1" a="1"/>
  <c r="M473" i="1" s="1"/>
  <c r="M626" i="1" a="1"/>
  <c r="M626" i="1" s="1"/>
  <c r="M282" i="1" a="1"/>
  <c r="M282" i="1" s="1"/>
  <c r="M471" i="1" a="1"/>
  <c r="M471" i="1" s="1"/>
  <c r="M727" i="1" a="1"/>
  <c r="M727" i="1" s="1"/>
  <c r="M747" i="1" a="1"/>
  <c r="M747" i="1" s="1"/>
  <c r="M201" i="1" a="1"/>
  <c r="M201" i="1" s="1"/>
  <c r="M433" i="1" a="1"/>
  <c r="M433" i="1" s="1"/>
  <c r="M390" i="1" a="1"/>
  <c r="M390" i="1" s="1"/>
  <c r="M542" i="1" a="1"/>
  <c r="M542" i="1" s="1"/>
  <c r="M144" i="1" a="1"/>
  <c r="M144" i="1" s="1"/>
  <c r="M474" i="1" a="1"/>
  <c r="M474" i="1" s="1"/>
  <c r="M108" i="1" a="1"/>
  <c r="M108" i="1" s="1"/>
  <c r="M775" i="1" a="1"/>
  <c r="M775" i="1" s="1"/>
  <c r="M145" i="1" a="1"/>
  <c r="M145" i="1" s="1"/>
  <c r="M279" i="1" a="1"/>
  <c r="M279" i="1" s="1"/>
  <c r="M647" i="1" a="1"/>
  <c r="M647" i="1" s="1"/>
  <c r="M231" i="1" a="1"/>
  <c r="M231" i="1" s="1"/>
  <c r="M401" i="1" a="1"/>
  <c r="M401" i="1" s="1"/>
  <c r="M253" i="1" a="1"/>
  <c r="M253" i="1" s="1"/>
  <c r="M342" i="1" a="1"/>
  <c r="M342" i="1" s="1"/>
  <c r="M410" i="1" a="1"/>
  <c r="M410" i="1" s="1"/>
  <c r="M440" i="1" a="1"/>
  <c r="M440" i="1" s="1"/>
  <c r="M562" i="1" a="1"/>
  <c r="M562" i="1" s="1"/>
  <c r="M190" i="1" a="1"/>
  <c r="M190" i="1" s="1"/>
  <c r="M225" i="1" a="1"/>
  <c r="M225" i="1" s="1"/>
  <c r="M350" i="1" a="1"/>
  <c r="M350" i="1" s="1"/>
  <c r="M497" i="1" a="1"/>
  <c r="M497" i="1" s="1"/>
  <c r="M35" i="1" a="1"/>
  <c r="M35" i="1" s="1"/>
  <c r="M556" i="1" a="1"/>
  <c r="M556" i="1" s="1"/>
  <c r="M329" i="1" a="1"/>
  <c r="M329" i="1" s="1"/>
  <c r="M717" i="1" a="1"/>
  <c r="M717" i="1" s="1"/>
  <c r="M721" i="1" a="1"/>
  <c r="M721" i="1" s="1"/>
  <c r="M462" i="1" a="1"/>
  <c r="M462" i="1" s="1"/>
  <c r="M737" i="1" a="1"/>
  <c r="M737" i="1" s="1"/>
  <c r="M148" i="1" a="1"/>
  <c r="M148" i="1" s="1"/>
  <c r="M33" i="1" a="1"/>
  <c r="M33" i="1" s="1"/>
  <c r="M500" i="1" a="1"/>
  <c r="M500" i="1" s="1"/>
  <c r="M365" i="1" a="1"/>
  <c r="M365" i="1" s="1"/>
  <c r="M221" i="1" a="1"/>
  <c r="M221" i="1" s="1"/>
  <c r="M67" i="1" a="1"/>
  <c r="M67" i="1" s="1"/>
  <c r="M489" i="1" a="1"/>
  <c r="M489" i="1" s="1"/>
  <c r="M3" i="1" a="1"/>
  <c r="M3" i="1" s="1"/>
  <c r="M335" i="1" a="1"/>
  <c r="M335" i="1" s="1"/>
  <c r="M132" i="1" a="1"/>
  <c r="M132" i="1" s="1"/>
  <c r="M572" i="1" a="1"/>
  <c r="M572" i="1" s="1"/>
  <c r="M423" i="1" a="1"/>
  <c r="M423" i="1" s="1"/>
  <c r="M748" i="1" a="1"/>
  <c r="M748" i="1" s="1"/>
  <c r="M540" i="1" a="1"/>
  <c r="M540" i="1" s="1"/>
  <c r="M213" i="1" a="1"/>
  <c r="M213" i="1" s="1"/>
  <c r="M610" i="1" a="1"/>
  <c r="M610" i="1" s="1"/>
  <c r="M398" i="1" a="1"/>
  <c r="M398" i="1" s="1"/>
  <c r="M396" i="1" a="1"/>
  <c r="M396" i="1" s="1"/>
  <c r="M343" i="1" a="1"/>
  <c r="M343" i="1" s="1"/>
  <c r="M20" i="1" a="1"/>
  <c r="M20" i="1" s="1"/>
  <c r="M290" i="1" a="1"/>
  <c r="M290" i="1" s="1"/>
  <c r="M234" i="1" a="1"/>
  <c r="M234" i="1" s="1"/>
  <c r="M664" i="1" a="1"/>
  <c r="M664" i="1" s="1"/>
  <c r="M459" i="1" a="1"/>
  <c r="M459" i="1" s="1"/>
  <c r="M492" i="1" a="1"/>
  <c r="M492" i="1" s="1"/>
  <c r="M512" i="1" a="1"/>
  <c r="M512" i="1" s="1"/>
  <c r="M414" i="1" a="1"/>
  <c r="M414" i="1" s="1"/>
  <c r="M441" i="1" a="1"/>
  <c r="M441" i="1" s="1"/>
  <c r="M505" i="1" a="1"/>
  <c r="M505" i="1" s="1"/>
  <c r="M344" i="1" a="1"/>
  <c r="M344" i="1" s="1"/>
  <c r="M147" i="1" a="1"/>
  <c r="M147" i="1" s="1"/>
  <c r="M386" i="1" a="1"/>
  <c r="M386" i="1" s="1"/>
  <c r="M230" i="1" a="1"/>
  <c r="M230" i="1" s="1"/>
  <c r="M668" i="1" a="1"/>
  <c r="M668" i="1" s="1"/>
  <c r="M514" i="1" a="1"/>
  <c r="M514" i="1" s="1"/>
  <c r="M95" i="1" a="1"/>
  <c r="M95" i="1" s="1"/>
  <c r="M80" i="1" a="1"/>
  <c r="M80" i="1" s="1"/>
  <c r="M321" i="1" a="1"/>
  <c r="M321" i="1" s="1"/>
  <c r="M12" i="1" a="1"/>
  <c r="M12" i="1" s="1"/>
  <c r="M241" i="1" a="1"/>
  <c r="M241" i="1" s="1"/>
  <c r="M75" i="1" a="1"/>
  <c r="M75" i="1" s="1"/>
  <c r="M173" i="1" a="1"/>
  <c r="M173" i="1" s="1"/>
  <c r="M646" i="1" a="1"/>
  <c r="M646" i="1" s="1"/>
  <c r="M704" i="1" a="1"/>
  <c r="M704" i="1" s="1"/>
  <c r="M68" i="1" a="1"/>
  <c r="M68" i="1" s="1"/>
  <c r="M496" i="1" a="1"/>
  <c r="M496" i="1" s="1"/>
  <c r="M708" i="1" a="1"/>
  <c r="M708" i="1" s="1"/>
  <c r="M538" i="1" a="1"/>
  <c r="M538" i="1" s="1"/>
  <c r="M346" i="1" a="1"/>
  <c r="M346" i="1" s="1"/>
  <c r="M636" i="1" a="1"/>
  <c r="M636" i="1" s="1"/>
  <c r="M214" i="1" a="1"/>
  <c r="M214" i="1" s="1"/>
  <c r="M84" i="1" a="1"/>
  <c r="M84" i="1" s="1"/>
  <c r="M634" i="1" a="1"/>
  <c r="M634" i="1" s="1"/>
  <c r="M783" i="1" a="1"/>
  <c r="M783" i="1" s="1"/>
  <c r="M605" i="1" a="1"/>
  <c r="M605" i="1" s="1"/>
  <c r="M679" i="1" a="1"/>
  <c r="M679" i="1" s="1"/>
  <c r="M92" i="1" a="1"/>
  <c r="M92" i="1" s="1"/>
  <c r="M375" i="1" a="1"/>
  <c r="M375" i="1" s="1"/>
  <c r="M635" i="1" a="1"/>
  <c r="M635" i="1" s="1"/>
  <c r="M101" i="1" a="1"/>
  <c r="M101" i="1" s="1"/>
  <c r="M468" i="1" a="1"/>
  <c r="M468" i="1" s="1"/>
  <c r="M2" i="1" a="1"/>
  <c r="M2" i="1" s="1"/>
  <c r="M743" i="1" a="1"/>
  <c r="M743" i="1" s="1"/>
  <c r="M624" i="1" a="1"/>
  <c r="M624" i="1" s="1"/>
  <c r="M707" i="1" a="1"/>
  <c r="M707" i="1" s="1"/>
  <c r="M59" i="1" a="1"/>
  <c r="M59" i="1" s="1"/>
  <c r="M139" i="1" a="1"/>
  <c r="M139" i="1" s="1"/>
  <c r="M162" i="1" a="1"/>
  <c r="M162" i="1" s="1"/>
  <c r="M786" i="1" a="1"/>
  <c r="M786" i="1" s="1"/>
  <c r="M586" i="1" a="1"/>
  <c r="M586" i="1" s="1"/>
  <c r="M739" i="1" a="1"/>
  <c r="M739" i="1" s="1"/>
  <c r="M83" i="1" a="1"/>
  <c r="M83" i="1" s="1"/>
  <c r="M167" i="1" a="1"/>
  <c r="M167" i="1" s="1"/>
  <c r="M663" i="1" a="1"/>
  <c r="M663" i="1" s="1"/>
  <c r="M49" i="1" a="1"/>
  <c r="M49" i="1" s="1"/>
  <c r="M442" i="1" a="1"/>
  <c r="M442" i="1" s="1"/>
  <c r="M735" i="1" a="1"/>
  <c r="M735" i="1" s="1"/>
  <c r="M24" i="1" a="1"/>
  <c r="M24" i="1" s="1"/>
  <c r="M56" i="1" a="1"/>
  <c r="M56" i="1" s="1"/>
  <c r="M744" i="1" a="1"/>
  <c r="M744" i="1" s="1"/>
  <c r="M71" i="1" a="1"/>
  <c r="M71" i="1" s="1"/>
  <c r="M632" i="1" a="1"/>
  <c r="M632" i="1" s="1"/>
  <c r="M767" i="1" a="1"/>
  <c r="M767" i="1" s="1"/>
  <c r="M166" i="1" a="1"/>
  <c r="M166" i="1" s="1"/>
  <c r="M8" i="1" a="1"/>
  <c r="M8" i="1" s="1"/>
  <c r="M273" i="1" a="1"/>
  <c r="M273" i="1" s="1"/>
  <c r="M543" i="1" a="1"/>
  <c r="M543" i="1" s="1"/>
  <c r="M685" i="1" a="1"/>
  <c r="M685" i="1" s="1"/>
  <c r="M159" i="1" a="1"/>
  <c r="M159" i="1" s="1"/>
  <c r="M732" i="1" a="1"/>
  <c r="M732" i="1" s="1"/>
  <c r="M731" i="1" a="1"/>
  <c r="M731" i="1" s="1"/>
  <c r="M425" i="1" a="1"/>
  <c r="M425" i="1" s="1"/>
  <c r="M656" i="1" a="1"/>
  <c r="M656" i="1" s="1"/>
  <c r="M686" i="1" a="1"/>
  <c r="M686" i="1" s="1"/>
  <c r="M483" i="1" a="1"/>
  <c r="M483" i="1" s="1"/>
  <c r="M122" i="1" a="1"/>
  <c r="M122" i="1" s="1"/>
  <c r="M334" i="1" a="1"/>
  <c r="M334" i="1" s="1"/>
  <c r="M546" i="1" a="1"/>
  <c r="M546" i="1" s="1"/>
  <c r="M681" i="1" a="1"/>
  <c r="M681" i="1" s="1"/>
  <c r="M57" i="1" a="1"/>
  <c r="M57" i="1" s="1"/>
  <c r="M10" i="1" a="1"/>
  <c r="M10" i="1" s="1"/>
  <c r="M541" i="1" a="1"/>
  <c r="M541" i="1" s="1"/>
  <c r="M418" i="1" a="1"/>
  <c r="M418" i="1" s="1"/>
  <c r="M584" i="1" a="1"/>
  <c r="M584" i="1" s="1"/>
  <c r="M672" i="1" a="1"/>
  <c r="M672" i="1" s="1"/>
  <c r="M18" i="1" a="1"/>
  <c r="M18" i="1" s="1"/>
  <c r="M800" i="1" a="1"/>
  <c r="M800" i="1" s="1"/>
  <c r="M568" i="1" a="1"/>
  <c r="M568" i="1" s="1"/>
  <c r="M784" i="1" a="1"/>
  <c r="M784" i="1" s="1"/>
  <c r="M552" i="1" a="1"/>
  <c r="M552" i="1" s="1"/>
  <c r="M387" i="1" a="1"/>
  <c r="M387" i="1" s="1"/>
  <c r="M113" i="1" a="1"/>
  <c r="M113" i="1" s="1"/>
  <c r="M22" i="1" a="1"/>
  <c r="M22" i="1" s="1"/>
  <c r="M182" i="1" a="1"/>
  <c r="M182" i="1" s="1"/>
  <c r="M458" i="1" a="1"/>
  <c r="M458" i="1" s="1"/>
  <c r="M17" i="1" a="1"/>
  <c r="M17" i="1" s="1"/>
  <c r="M114" i="1" a="1"/>
  <c r="M114" i="1" s="1"/>
  <c r="M296" i="1" a="1"/>
  <c r="M296" i="1" s="1"/>
  <c r="M699" i="1" a="1"/>
  <c r="M699" i="1" s="1"/>
  <c r="M40" i="1" a="1"/>
  <c r="M40" i="1" s="1"/>
  <c r="M585" i="1" a="1"/>
  <c r="M585" i="1" s="1"/>
  <c r="M614" i="1" a="1"/>
  <c r="M614" i="1" s="1"/>
  <c r="M46" i="1" a="1"/>
  <c r="M46" i="1" s="1"/>
  <c r="M332" i="1" a="1"/>
  <c r="M332" i="1" s="1"/>
  <c r="M579" i="1" a="1"/>
  <c r="M579" i="1" s="1"/>
  <c r="M683" i="1" a="1"/>
  <c r="M683" i="1" s="1"/>
  <c r="M367" i="1" a="1"/>
  <c r="M367" i="1" s="1"/>
  <c r="M102" i="1" a="1"/>
  <c r="M102" i="1" s="1"/>
  <c r="M532" i="1" a="1"/>
  <c r="M532" i="1" s="1"/>
  <c r="M674" i="1" a="1"/>
  <c r="M674" i="1" s="1"/>
  <c r="M472" i="1" a="1"/>
  <c r="M472" i="1" s="1"/>
  <c r="M776" i="1" a="1"/>
  <c r="M776" i="1" s="1"/>
  <c r="M622" i="1" a="1"/>
  <c r="M622" i="1" s="1"/>
  <c r="M118" i="1" a="1"/>
  <c r="M118" i="1" s="1"/>
  <c r="M720" i="1" a="1"/>
  <c r="M720" i="1" s="1"/>
  <c r="M181" i="1" a="1"/>
  <c r="M181" i="1" s="1"/>
  <c r="M170" i="1" a="1"/>
  <c r="M170" i="1" s="1"/>
  <c r="M232" i="1" a="1"/>
  <c r="M232" i="1" s="1"/>
  <c r="M756" i="1" a="1"/>
  <c r="M756" i="1" s="1"/>
  <c r="M98" i="1" a="1"/>
  <c r="M98" i="1" s="1"/>
  <c r="M763" i="1" a="1"/>
  <c r="M763" i="1" s="1"/>
  <c r="M301" i="1" a="1"/>
  <c r="M301" i="1" s="1"/>
  <c r="M555" i="1" a="1"/>
  <c r="M555" i="1" s="1"/>
  <c r="M48" i="1" a="1"/>
  <c r="M48" i="1" s="1"/>
  <c r="M304" i="1" a="1"/>
  <c r="M304" i="1" s="1"/>
  <c r="M399" i="1" a="1"/>
  <c r="M399" i="1" s="1"/>
  <c r="M325" i="1" a="1"/>
  <c r="M325" i="1" s="1"/>
  <c r="M508" i="1" a="1"/>
  <c r="M508" i="1" s="1"/>
  <c r="M455" i="1" a="1"/>
  <c r="M455" i="1" s="1"/>
  <c r="M420" i="1" a="1"/>
  <c r="M420" i="1" s="1"/>
  <c r="M741" i="1" a="1"/>
  <c r="M741" i="1" s="1"/>
  <c r="M523" i="1" a="1"/>
  <c r="M523" i="1" s="1"/>
  <c r="M89" i="1" a="1"/>
  <c r="M89" i="1" s="1"/>
  <c r="M250" i="1" a="1"/>
  <c r="M250" i="1" s="1"/>
  <c r="M124" i="1" a="1"/>
  <c r="M124" i="1" s="1"/>
  <c r="M449" i="1" a="1"/>
  <c r="M449" i="1" s="1"/>
  <c r="M179" i="1" a="1"/>
  <c r="M179" i="1" s="1"/>
  <c r="M240" i="1" a="1"/>
  <c r="M240" i="1" s="1"/>
  <c r="M276" i="1" a="1"/>
  <c r="M276" i="1" s="1"/>
  <c r="M134" i="1" a="1"/>
  <c r="M134" i="1" s="1"/>
  <c r="M271" i="1" a="1"/>
  <c r="M271" i="1" s="1"/>
  <c r="M311" i="1" a="1"/>
  <c r="M311" i="1" s="1"/>
  <c r="M549" i="1" a="1"/>
  <c r="M549" i="1" s="1"/>
  <c r="M777" i="1" a="1"/>
  <c r="M777" i="1" s="1"/>
  <c r="M14" i="1" a="1"/>
  <c r="M14" i="1" s="1"/>
  <c r="M690" i="1" a="1"/>
  <c r="M690" i="1" s="1"/>
  <c r="M602" i="1" a="1"/>
  <c r="M602" i="1" s="1"/>
  <c r="M286" i="1" a="1"/>
  <c r="M286" i="1" s="1"/>
  <c r="M749" i="1" a="1"/>
  <c r="M749" i="1" s="1"/>
  <c r="M428" i="1" a="1"/>
  <c r="M428" i="1" s="1"/>
  <c r="M518" i="1" a="1"/>
  <c r="M518" i="1" s="1"/>
  <c r="M565" i="1" a="1"/>
  <c r="M565" i="1" s="1"/>
  <c r="M550" i="1" a="1"/>
  <c r="M550" i="1" s="1"/>
  <c r="M249" i="1" a="1"/>
  <c r="M249" i="1" s="1"/>
  <c r="M412" i="1" a="1"/>
  <c r="M412" i="1" s="1"/>
  <c r="M191" i="1" a="1"/>
  <c r="M191" i="1" s="1"/>
  <c r="M422" i="1" a="1"/>
  <c r="M422" i="1" s="1"/>
  <c r="M183" i="1" a="1"/>
  <c r="M183" i="1" s="1"/>
  <c r="M753" i="1" a="1"/>
  <c r="M753" i="1" s="1"/>
  <c r="M154" i="1" a="1"/>
  <c r="M154" i="1" s="1"/>
  <c r="M577" i="1" a="1"/>
  <c r="M577" i="1" s="1"/>
  <c r="M553" i="1" a="1"/>
  <c r="M553" i="1" s="1"/>
  <c r="M16" i="1" a="1"/>
  <c r="M16" i="1" s="1"/>
  <c r="M299" i="1" a="1"/>
  <c r="M299" i="1" s="1"/>
  <c r="M407" i="1" a="1"/>
  <c r="M407" i="1" s="1"/>
  <c r="M609" i="1" a="1"/>
  <c r="M609" i="1" s="1"/>
  <c r="M539" i="1" a="1"/>
  <c r="M539" i="1" s="1"/>
  <c r="M319" i="1" a="1"/>
  <c r="M319" i="1" s="1"/>
  <c r="M381" i="1" a="1"/>
  <c r="M381" i="1" s="1"/>
  <c r="M61" i="1" a="1"/>
  <c r="M61" i="1" s="1"/>
  <c r="M295" i="1" a="1"/>
  <c r="M295" i="1" s="1"/>
  <c r="M176" i="1" a="1"/>
  <c r="M176" i="1" s="1"/>
  <c r="M464" i="1" a="1"/>
  <c r="M464" i="1" s="1"/>
  <c r="M289" i="1" a="1"/>
  <c r="M289" i="1" s="1"/>
  <c r="M146" i="1" a="1"/>
  <c r="M146" i="1" s="1"/>
  <c r="M274" i="1" a="1"/>
  <c r="M274" i="1" s="1"/>
  <c r="M267" i="1" a="1"/>
  <c r="M267" i="1" s="1"/>
  <c r="M216" i="1" a="1"/>
  <c r="M216" i="1" s="1"/>
  <c r="M247" i="1" a="1"/>
  <c r="M247" i="1" s="1"/>
  <c r="M413" i="1" a="1"/>
  <c r="M413" i="1" s="1"/>
  <c r="M453" i="1" a="1"/>
  <c r="M453" i="1" s="1"/>
  <c r="M28" i="1" a="1"/>
  <c r="M28" i="1" s="1"/>
  <c r="M42" i="1" a="1"/>
  <c r="M42" i="1" s="1"/>
  <c r="M210" i="1" a="1"/>
  <c r="M210" i="1" s="1"/>
  <c r="M142" i="1" a="1"/>
  <c r="M142" i="1" s="1"/>
  <c r="M600" i="1" a="1"/>
  <c r="M600" i="1" s="1"/>
  <c r="M206" i="1" a="1"/>
  <c r="M206" i="1" s="1"/>
  <c r="M705" i="1" a="1"/>
  <c r="M705" i="1" s="1"/>
  <c r="M501" i="1" a="1"/>
  <c r="M501" i="1" s="1"/>
  <c r="M229" i="1" a="1"/>
  <c r="M229" i="1" s="1"/>
  <c r="M34" i="1" a="1"/>
  <c r="M34" i="1" s="1"/>
  <c r="M81" i="1" a="1"/>
  <c r="M81" i="1" s="1"/>
  <c r="M192" i="1" a="1"/>
  <c r="M192" i="1" s="1"/>
  <c r="M158" i="1" a="1"/>
  <c r="M158" i="1" s="1"/>
  <c r="M535" i="1" a="1"/>
  <c r="M535" i="1" s="1"/>
  <c r="M426" i="1" a="1"/>
  <c r="M426" i="1" s="1"/>
  <c r="M673" i="1" a="1"/>
  <c r="M673" i="1" s="1"/>
  <c r="M237" i="1" a="1"/>
  <c r="M237" i="1" s="1"/>
  <c r="M320" i="1" a="1"/>
  <c r="M320" i="1" s="1"/>
  <c r="M246" i="1" a="1"/>
  <c r="M246" i="1" s="1"/>
  <c r="M477" i="1" a="1"/>
  <c r="M477" i="1" s="1"/>
  <c r="M30" i="1" a="1"/>
  <c r="M30" i="1" s="1"/>
  <c r="M380" i="1" a="1"/>
  <c r="M380" i="1" s="1"/>
  <c r="M621" i="1" a="1"/>
  <c r="M621" i="1" s="1"/>
  <c r="M570" i="1" a="1"/>
  <c r="M570" i="1" s="1"/>
  <c r="M561" i="1" a="1"/>
  <c r="M561" i="1" s="1"/>
  <c r="M345" i="1" a="1"/>
  <c r="M345" i="1" s="1"/>
  <c r="M789" i="1" a="1"/>
  <c r="M789" i="1" s="1"/>
  <c r="M180" i="1" a="1"/>
  <c r="M180" i="1" s="1"/>
  <c r="M312" i="1" a="1"/>
  <c r="M312" i="1" s="1"/>
  <c r="M50" i="1" a="1"/>
  <c r="M50" i="1" s="1"/>
  <c r="M688" i="1" a="1"/>
  <c r="M688" i="1" s="1"/>
  <c r="M47" i="1" a="1"/>
  <c r="M47" i="1" s="1"/>
  <c r="M754" i="1" a="1"/>
  <c r="M754" i="1" s="1"/>
  <c r="M266" i="1" a="1"/>
  <c r="M266" i="1" s="1"/>
  <c r="M589" i="1" a="1"/>
  <c r="M589" i="1" s="1"/>
  <c r="M99" i="1" a="1"/>
  <c r="M99" i="1" s="1"/>
  <c r="M502" i="1" a="1"/>
  <c r="M502" i="1" s="1"/>
  <c r="M643" i="1" a="1"/>
  <c r="M643" i="1" s="1"/>
  <c r="M242" i="1" a="1"/>
  <c r="M242" i="1" s="1"/>
  <c r="M575" i="1" a="1"/>
  <c r="M575" i="1" s="1"/>
  <c r="M330" i="1" a="1"/>
  <c r="M330" i="1" s="1"/>
  <c r="M504" i="1" a="1"/>
  <c r="M504" i="1" s="1"/>
  <c r="M724" i="1" a="1"/>
  <c r="M724" i="1" s="1"/>
  <c r="M415" i="1" a="1"/>
  <c r="M415" i="1" s="1"/>
  <c r="M393" i="1" a="1"/>
  <c r="M393" i="1" s="1"/>
  <c r="M316" i="1" a="1"/>
  <c r="M316" i="1" s="1"/>
  <c r="M718" i="1" a="1"/>
  <c r="M718" i="1" s="1"/>
  <c r="M526" i="1" a="1"/>
  <c r="M526" i="1" s="1"/>
  <c r="M725" i="1" a="1"/>
  <c r="M725" i="1" s="1"/>
  <c r="M235" i="1" a="1"/>
  <c r="M235" i="1" s="1"/>
  <c r="M115" i="1" a="1"/>
  <c r="M115" i="1" s="1"/>
  <c r="M693" i="1" a="1"/>
  <c r="M693" i="1" s="1"/>
  <c r="M248" i="1" a="1"/>
  <c r="M248" i="1" s="1"/>
  <c r="M645" i="1" a="1"/>
  <c r="M645" i="1" s="1"/>
  <c r="M613" i="1" a="1"/>
  <c r="M613" i="1" s="1"/>
  <c r="M227" i="1" a="1"/>
  <c r="M227" i="1" s="1"/>
  <c r="M327" i="1" a="1"/>
  <c r="M327" i="1" s="1"/>
  <c r="M164" i="1" a="1"/>
  <c r="M164" i="1" s="1"/>
  <c r="M177" i="1" a="1"/>
  <c r="M177" i="1" s="1"/>
  <c r="M597" i="1" a="1"/>
  <c r="M597" i="1" s="1"/>
  <c r="M270" i="1" a="1"/>
  <c r="M270" i="1" s="1"/>
  <c r="M557" i="1" a="1"/>
  <c r="M557" i="1" s="1"/>
  <c r="M199" i="1" a="1"/>
  <c r="M199" i="1" s="1"/>
  <c r="M368" i="1" a="1"/>
  <c r="M368" i="1" s="1"/>
  <c r="M774" i="1" a="1"/>
  <c r="M774" i="1" s="1"/>
  <c r="M293" i="1" a="1"/>
  <c r="M293" i="1" s="1"/>
  <c r="M499" i="1" a="1"/>
  <c r="M499" i="1" s="1"/>
  <c r="M408" i="1" a="1"/>
  <c r="M408" i="1" s="1"/>
  <c r="M517" i="1" a="1"/>
  <c r="M517" i="1" s="1"/>
  <c r="M394" i="1" a="1"/>
  <c r="M394" i="1" s="1"/>
  <c r="M513" i="1" a="1"/>
  <c r="M513" i="1" s="1"/>
  <c r="M383" i="1" a="1"/>
  <c r="M383" i="1" s="1"/>
  <c r="M799" i="1" a="1"/>
  <c r="M799" i="1" s="1"/>
  <c r="M39" i="1" a="1"/>
  <c r="M39" i="1" s="1"/>
  <c r="M37" i="1" a="1"/>
  <c r="M37" i="1" s="1"/>
  <c r="M533" i="1" a="1"/>
  <c r="M533" i="1" s="1"/>
  <c r="M702" i="1" a="1"/>
  <c r="M702" i="1" s="1"/>
  <c r="M314" i="1" a="1"/>
  <c r="M314" i="1" s="1"/>
  <c r="M760" i="1" a="1"/>
  <c r="M760" i="1" s="1"/>
  <c r="M669" i="1" a="1"/>
  <c r="M669" i="1" s="1"/>
  <c r="M482" i="1" a="1"/>
  <c r="M482" i="1" s="1"/>
  <c r="M726" i="1" a="1"/>
  <c r="M726" i="1" s="1"/>
  <c r="M687" i="1" a="1"/>
  <c r="M687" i="1" s="1"/>
  <c r="M651" i="1" a="1"/>
  <c r="M651" i="1" s="1"/>
  <c r="M354" i="1" a="1"/>
  <c r="M354" i="1" s="1"/>
  <c r="M110" i="1" a="1"/>
  <c r="M110" i="1" s="1"/>
  <c r="M750" i="1" a="1"/>
  <c r="M750" i="1" s="1"/>
  <c r="M506" i="1" a="1"/>
  <c r="M506" i="1" s="1"/>
  <c r="M129" i="1" a="1"/>
  <c r="M129" i="1" s="1"/>
  <c r="M454" i="1" a="1"/>
  <c r="M454" i="1" s="1"/>
  <c r="M336" i="1" a="1"/>
  <c r="M336" i="1" s="1"/>
  <c r="M790" i="1" a="1"/>
  <c r="M790" i="1" s="1"/>
  <c r="M755" i="1" a="1"/>
  <c r="M755" i="1" s="1"/>
  <c r="M27" i="1" a="1"/>
  <c r="M27" i="1" s="1"/>
  <c r="M439" i="1" a="1"/>
  <c r="M439" i="1" s="1"/>
  <c r="M151" i="1" a="1"/>
  <c r="M151" i="1" s="1"/>
  <c r="M378" i="1" a="1"/>
  <c r="M378" i="1" s="1"/>
  <c r="M593" i="1" a="1"/>
  <c r="M593" i="1" s="1"/>
  <c r="M677" i="1" a="1"/>
  <c r="M677" i="1" s="1"/>
  <c r="M633" i="1" a="1"/>
  <c r="M633" i="1" s="1"/>
  <c r="M156" i="1" a="1"/>
  <c r="M156" i="1" s="1"/>
  <c r="M291" i="1" a="1"/>
  <c r="M291" i="1" s="1"/>
  <c r="M185" i="1" a="1"/>
  <c r="M185" i="1" s="1"/>
  <c r="M447" i="1" a="1"/>
  <c r="M447" i="1" s="1"/>
  <c r="M79" i="1" a="1"/>
  <c r="M79" i="1" s="1"/>
  <c r="M255" i="1" a="1"/>
  <c r="M255" i="1" s="1"/>
  <c r="M373" i="1" a="1"/>
  <c r="M373" i="1" s="1"/>
  <c r="M757" i="1" a="1"/>
  <c r="M757" i="1" s="1"/>
  <c r="M119" i="1" a="1"/>
  <c r="M119" i="1" s="1"/>
  <c r="M356" i="1" a="1"/>
  <c r="M356" i="1" s="1"/>
  <c r="M759" i="1" a="1"/>
  <c r="M759" i="1" s="1"/>
  <c r="M369" i="1" a="1"/>
  <c r="M369" i="1" s="1"/>
  <c r="M25" i="1" a="1"/>
  <c r="M25" i="1" s="1"/>
  <c r="M616" i="1" a="1"/>
  <c r="M616" i="1" s="1"/>
  <c r="M140" i="1" a="1"/>
  <c r="M140" i="1" s="1"/>
  <c r="M402" i="1" a="1"/>
  <c r="M402" i="1" s="1"/>
  <c r="M127" i="1" a="1"/>
  <c r="M127" i="1" s="1"/>
  <c r="M470" i="1" a="1"/>
  <c r="M470" i="1" s="1"/>
  <c r="M619" i="1" a="1"/>
  <c r="M619" i="1" s="1"/>
  <c r="M193" i="1" a="1"/>
  <c r="M193" i="1" s="1"/>
  <c r="M527" i="1" a="1"/>
  <c r="M527" i="1" s="1"/>
  <c r="M275" i="1" a="1"/>
  <c r="M275" i="1" s="1"/>
  <c r="M245" i="1" a="1"/>
  <c r="M245" i="1" s="1"/>
  <c r="M591" i="1" a="1"/>
  <c r="M591" i="1" s="1"/>
  <c r="M363" i="1" a="1"/>
  <c r="M363" i="1" s="1"/>
  <c r="M642" i="1" a="1"/>
  <c r="M642" i="1" s="1"/>
  <c r="M317" i="1" a="1"/>
  <c r="M317" i="1" s="1"/>
  <c r="M160" i="1" a="1"/>
  <c r="M160" i="1" s="1"/>
  <c r="M416" i="1" a="1"/>
  <c r="M416" i="1" s="1"/>
  <c r="M745" i="1" a="1"/>
  <c r="M745" i="1" s="1"/>
  <c r="M297" i="1" a="1"/>
  <c r="M297" i="1" s="1"/>
  <c r="M714" i="1" a="1"/>
  <c r="M714" i="1" s="1"/>
  <c r="M239" i="1" a="1"/>
  <c r="M239" i="1" s="1"/>
  <c r="M484" i="1" a="1"/>
  <c r="M484" i="1" s="1"/>
  <c r="M467" i="1" a="1"/>
  <c r="M467" i="1" s="1"/>
  <c r="M639" i="1" a="1"/>
  <c r="M639" i="1" s="1"/>
  <c r="M9" i="1" a="1"/>
  <c r="M9" i="1" s="1"/>
  <c r="M263" i="1" a="1"/>
  <c r="M263" i="1" s="1"/>
  <c r="M104" i="1" a="1"/>
  <c r="M104" i="1" s="1"/>
  <c r="M371" i="1" a="1"/>
  <c r="M371" i="1" s="1"/>
  <c r="M574" i="1" a="1"/>
  <c r="M574" i="1" s="1"/>
  <c r="M762" i="1" a="1"/>
  <c r="M762" i="1" s="1"/>
  <c r="M202" i="1" a="1"/>
  <c r="M202" i="1" s="1"/>
  <c r="M87" i="1" a="1"/>
  <c r="M87" i="1" s="1"/>
  <c r="M516" i="1" a="1"/>
  <c r="M516" i="1" s="1"/>
  <c r="M703" i="1" a="1"/>
  <c r="M703" i="1" s="1"/>
  <c r="M662" i="1" a="1"/>
  <c r="M662" i="1" s="1"/>
  <c r="M485" i="1" a="1"/>
  <c r="M485" i="1" s="1"/>
  <c r="M795" i="1" a="1"/>
  <c r="M795" i="1" s="1"/>
  <c r="M682" i="1" a="1"/>
  <c r="M682" i="1" s="1"/>
  <c r="M427" i="1" a="1"/>
  <c r="M427" i="1" s="1"/>
  <c r="M715" i="1" a="1"/>
  <c r="M715" i="1" s="1"/>
  <c r="M448" i="1" a="1"/>
  <c r="M448" i="1" s="1"/>
  <c r="M128" i="1" a="1"/>
  <c r="M128" i="1" s="1"/>
  <c r="M457" i="1" a="1"/>
  <c r="M457" i="1" s="1"/>
  <c r="M359" i="1" a="1"/>
  <c r="M359" i="1" s="1"/>
  <c r="M93" i="1" a="1"/>
  <c r="M93" i="1" s="1"/>
  <c r="M278" i="1" a="1"/>
  <c r="M278" i="1" s="1"/>
  <c r="M618" i="1" a="1"/>
  <c r="M618" i="1" s="1"/>
  <c r="M534" i="1" a="1"/>
  <c r="M534" i="1" s="1"/>
  <c r="M444" i="1" a="1"/>
  <c r="M444" i="1" s="1"/>
  <c r="M676" i="1" a="1"/>
  <c r="M676" i="1" s="1"/>
  <c r="M736" i="1" a="1"/>
  <c r="M736" i="1" s="1"/>
  <c r="M779" i="1" a="1"/>
  <c r="M779" i="1" s="1"/>
  <c r="M72" i="1" a="1"/>
  <c r="M72" i="1" s="1"/>
  <c r="M529" i="1" a="1"/>
  <c r="M529" i="1" s="1"/>
  <c r="M711" i="1" a="1"/>
  <c r="M711" i="1" s="1"/>
  <c r="M126" i="1" a="1"/>
  <c r="M126" i="1" s="1"/>
  <c r="M178" i="1" a="1"/>
  <c r="M178" i="1" s="1"/>
  <c r="M188" i="1" a="1"/>
  <c r="M188" i="1" s="1"/>
  <c r="M283" i="1" a="1"/>
  <c r="M283" i="1" s="1"/>
  <c r="M438" i="1" a="1"/>
  <c r="M438" i="1" s="1"/>
  <c r="M630" i="1" a="1"/>
  <c r="M630" i="1" s="1"/>
  <c r="M252" i="1" a="1"/>
  <c r="M252" i="1" s="1"/>
  <c r="M432" i="1" a="1"/>
  <c r="M432" i="1" s="1"/>
  <c r="M5" i="1" a="1"/>
  <c r="M5" i="1" s="1"/>
  <c r="M211" i="1" a="1"/>
  <c r="M211" i="1" s="1"/>
  <c r="M617" i="1" a="1"/>
  <c r="M617" i="1" s="1"/>
  <c r="M478" i="1" a="1"/>
  <c r="M478" i="1" s="1"/>
  <c r="M667" i="1" a="1"/>
  <c r="M667" i="1" s="1"/>
  <c r="M417" i="1" a="1"/>
  <c r="M417" i="1" s="1"/>
  <c r="M305" i="1" a="1"/>
  <c r="M305" i="1" s="1"/>
  <c r="M379" i="1" a="1"/>
  <c r="M379" i="1" s="1"/>
  <c r="M509" i="1" a="1"/>
  <c r="M509" i="1" s="1"/>
  <c r="M389" i="1" a="1"/>
  <c r="M389" i="1" s="1"/>
  <c r="M666" i="1" a="1"/>
  <c r="M666" i="1" s="1"/>
  <c r="M698" i="1" a="1"/>
  <c r="M698" i="1" s="1"/>
  <c r="M588" i="1" a="1"/>
  <c r="M588" i="1" s="1"/>
  <c r="M323" i="1" a="1"/>
  <c r="M323" i="1" s="1"/>
  <c r="M475" i="1" a="1"/>
  <c r="M475" i="1" s="1"/>
  <c r="M109" i="1" a="1"/>
  <c r="M109" i="1" s="1"/>
  <c r="M780" i="1" a="1"/>
  <c r="M780" i="1" s="1"/>
  <c r="M559" i="1" a="1"/>
  <c r="M559" i="1" s="1"/>
  <c r="M292" i="1" a="1"/>
  <c r="M292" i="1" s="1"/>
  <c r="M331" i="1" a="1"/>
  <c r="M331" i="1" s="1"/>
  <c r="M233" i="1" a="1"/>
  <c r="M233" i="1" s="1"/>
  <c r="M576" i="1" a="1"/>
  <c r="M576" i="1" s="1"/>
  <c r="M450" i="1" a="1"/>
  <c r="M450" i="1" s="1"/>
  <c r="M310" i="1" a="1"/>
  <c r="M310" i="1" s="1"/>
  <c r="M785" i="1" a="1"/>
  <c r="M785" i="1" s="1"/>
  <c r="M107" i="1" a="1"/>
  <c r="M107" i="1" s="1"/>
  <c r="M770" i="1" a="1"/>
  <c r="M770" i="1" s="1"/>
  <c r="M792" i="1" a="1"/>
  <c r="M792" i="1" s="1"/>
  <c r="M370" i="1" a="1"/>
  <c r="M370" i="1" s="1"/>
  <c r="M44" i="1" a="1"/>
  <c r="M44" i="1" s="1"/>
  <c r="M73" i="1" a="1"/>
  <c r="M73" i="1" s="1"/>
  <c r="M746" i="1" a="1"/>
  <c r="M746" i="1" s="1"/>
  <c r="M165" i="1" a="1"/>
  <c r="M165" i="1" s="1"/>
  <c r="M257" i="1" a="1"/>
  <c r="M257" i="1" s="1"/>
  <c r="M560" i="1" a="1"/>
  <c r="M560" i="1" s="1"/>
  <c r="M661" i="1" a="1"/>
  <c r="M661" i="1" s="1"/>
  <c r="M771" i="1" a="1"/>
  <c r="M771" i="1" s="1"/>
  <c r="M601" i="1" a="1"/>
  <c r="M601" i="1" s="1"/>
  <c r="M764" i="1" a="1"/>
  <c r="M764" i="1" s="1"/>
  <c r="M734" i="1" a="1"/>
  <c r="M734" i="1" s="1"/>
  <c r="M564" i="1" a="1"/>
  <c r="M564" i="1" s="1"/>
  <c r="M424" i="1" a="1"/>
  <c r="M424" i="1" s="1"/>
  <c r="M88" i="1" a="1"/>
  <c r="M88" i="1" s="1"/>
  <c r="M522" i="1" a="1"/>
  <c r="M522" i="1" s="1"/>
  <c r="M269" i="1" a="1"/>
  <c r="M269" i="1" s="1"/>
  <c r="M465" i="1" a="1"/>
  <c r="M465" i="1" s="1"/>
  <c r="M125" i="1" a="1"/>
  <c r="M125" i="1" s="1"/>
  <c r="M640" i="1" a="1"/>
  <c r="M640" i="1" s="1"/>
  <c r="M51" i="1" a="1"/>
  <c r="M51" i="1" s="1"/>
  <c r="M324" i="1" a="1"/>
  <c r="M324" i="1" s="1"/>
  <c r="M788" i="1" a="1"/>
  <c r="M788" i="1" s="1"/>
  <c r="M434" i="1" a="1"/>
  <c r="M434" i="1" s="1"/>
  <c r="M525" i="1" a="1"/>
  <c r="M525" i="1" s="1"/>
  <c r="M200" i="1" a="1"/>
  <c r="M200" i="1" s="1"/>
  <c r="M791" i="1" a="1"/>
  <c r="M791" i="1" s="1"/>
  <c r="M443" i="1" a="1"/>
  <c r="M443" i="1" s="1"/>
  <c r="M678" i="1" a="1"/>
  <c r="M678" i="1" s="1"/>
  <c r="M592" i="1" a="1"/>
  <c r="M592" i="1" s="1"/>
  <c r="M223" i="1" a="1"/>
  <c r="M223" i="1" s="1"/>
  <c r="M772" i="1" a="1"/>
  <c r="M772" i="1" s="1"/>
  <c r="M403" i="1" a="1"/>
  <c r="M403" i="1" s="1"/>
  <c r="M163" i="1" a="1"/>
  <c r="M163" i="1" s="1"/>
  <c r="M594" i="1" a="1"/>
  <c r="M594" i="1" s="1"/>
  <c r="M105" i="1" a="1"/>
  <c r="M105" i="1" s="1"/>
  <c r="M308" i="1" a="1"/>
  <c r="M308" i="1" s="1"/>
  <c r="M41" i="1" a="1"/>
  <c r="M41" i="1" s="1"/>
  <c r="M268" i="1" a="1"/>
  <c r="M268" i="1" s="1"/>
  <c r="M430" i="1" a="1"/>
  <c r="M430" i="1" s="1"/>
  <c r="M713" i="1" a="1"/>
  <c r="M713" i="1" s="1"/>
  <c r="M82" i="1" a="1"/>
  <c r="M82" i="1" s="1"/>
  <c r="M629" i="1" a="1"/>
  <c r="M629" i="1" s="1"/>
  <c r="M169" i="1" a="1"/>
  <c r="M169" i="1" s="1"/>
  <c r="M264" i="1" a="1"/>
  <c r="M264" i="1" s="1"/>
  <c r="M53" i="1" a="1"/>
  <c r="M53" i="1" s="1"/>
  <c r="M294" i="1" a="1"/>
  <c r="M294" i="1" s="1"/>
  <c r="M738" i="1" a="1"/>
  <c r="M738" i="1" s="1"/>
  <c r="M657" i="1" a="1"/>
  <c r="M657" i="1" s="1"/>
  <c r="M218" i="1" a="1"/>
  <c r="M218" i="1" s="1"/>
  <c r="M19" i="1" a="1"/>
  <c r="M19" i="1" s="1"/>
  <c r="M212" i="1" a="1"/>
  <c r="M212" i="1" s="1"/>
  <c r="M348" i="1" a="1"/>
  <c r="M348" i="1" s="1"/>
  <c r="M460" i="1" a="1"/>
  <c r="M460" i="1" s="1"/>
  <c r="M569" i="1" a="1"/>
  <c r="M569" i="1" s="1"/>
  <c r="M536" i="1" a="1"/>
  <c r="M536" i="1" s="1"/>
  <c r="M256" i="1" a="1"/>
  <c r="M256" i="1" s="1"/>
  <c r="M544" i="1" a="1"/>
  <c r="M544" i="1" s="1"/>
  <c r="M77" i="1" a="1"/>
  <c r="M77" i="1" s="1"/>
  <c r="M480" i="1" a="1"/>
  <c r="M480" i="1" s="1"/>
  <c r="M186" i="1" a="1"/>
  <c r="M186" i="1" s="1"/>
  <c r="M21" i="1" a="1"/>
  <c r="M21" i="1" s="1"/>
  <c r="M429" i="1" a="1"/>
  <c r="M429" i="1" s="1"/>
  <c r="M258" i="1" a="1"/>
  <c r="M258" i="1" s="1"/>
  <c r="M551" i="1" a="1"/>
  <c r="M551" i="1" s="1"/>
  <c r="M710" i="1" a="1"/>
  <c r="M710" i="1" s="1"/>
  <c r="M694" i="1" a="1"/>
  <c r="M694" i="1" s="1"/>
  <c r="M395" i="1" a="1"/>
  <c r="M395" i="1" s="1"/>
  <c r="M638" i="1" a="1"/>
  <c r="M638" i="1" s="1"/>
  <c r="M7" i="1" a="1"/>
  <c r="M7" i="1" s="1"/>
  <c r="M196" i="1" a="1"/>
  <c r="M196" i="1" s="1"/>
  <c r="M103" i="1" a="1"/>
  <c r="M103" i="1" s="1"/>
  <c r="M318" i="1" a="1"/>
  <c r="M318" i="1" s="1"/>
  <c r="M463" i="1" a="1"/>
  <c r="M463" i="1" s="1"/>
  <c r="M220" i="1" a="1"/>
  <c r="M220" i="1" s="1"/>
  <c r="M524" i="1" a="1"/>
  <c r="M524" i="1" s="1"/>
  <c r="M353" i="1" a="1"/>
  <c r="M353" i="1" s="1"/>
  <c r="M106" i="1" a="1"/>
  <c r="M106" i="1" s="1"/>
  <c r="M228" i="1" a="1"/>
  <c r="M228" i="1" s="1"/>
  <c r="M172" i="1" a="1"/>
  <c r="M172" i="1" s="1"/>
  <c r="M491" i="1" a="1"/>
  <c r="M491" i="1" s="1"/>
  <c r="M184" i="1" a="1"/>
  <c r="M184" i="1" s="1"/>
  <c r="M701" i="1" a="1"/>
  <c r="M701" i="1" s="1"/>
  <c r="M670" i="1" a="1"/>
  <c r="M670" i="1" s="1"/>
  <c r="M590" i="1" a="1"/>
  <c r="M590" i="1" s="1"/>
  <c r="M765" i="1" a="1"/>
  <c r="M765" i="1" s="1"/>
  <c r="M152" i="1" a="1"/>
  <c r="M152" i="1" s="1"/>
  <c r="M133" i="1" a="1"/>
  <c r="M133" i="1" s="1"/>
  <c r="M490" i="1" a="1"/>
  <c r="M490" i="1" s="1"/>
  <c r="M773" i="1" a="1"/>
  <c r="M773" i="1" s="1"/>
  <c r="M262" i="1" a="1"/>
  <c r="M262" i="1" s="1"/>
  <c r="M120" i="1" a="1"/>
  <c r="M120" i="1" s="1"/>
  <c r="M675" i="1" a="1"/>
  <c r="M675" i="1" s="1"/>
  <c r="M620" i="1" a="1"/>
  <c r="M620" i="1" s="1"/>
  <c r="M265" i="1" a="1"/>
  <c r="M265" i="1" s="1"/>
  <c r="M300" i="1" a="1"/>
  <c r="M300" i="1" s="1"/>
  <c r="M215" i="1" a="1"/>
  <c r="M215" i="1" s="1"/>
  <c r="M123" i="1" a="1"/>
  <c r="M123" i="1" s="1"/>
  <c r="M406" i="1" a="1"/>
  <c r="M406" i="1" s="1"/>
  <c r="M554" i="1" a="1"/>
  <c r="M554" i="1" s="1"/>
  <c r="M100" i="1" a="1"/>
  <c r="M100" i="1" s="1"/>
  <c r="M644" i="1" a="1"/>
  <c r="M644" i="1" s="1"/>
  <c r="M244" i="1" a="1"/>
  <c r="M244" i="1" s="1"/>
  <c r="M70" i="1" a="1"/>
  <c r="M70" i="1" s="1"/>
  <c r="M573" i="1" a="1"/>
  <c r="M573" i="1" s="1"/>
  <c r="M194" i="1" a="1"/>
  <c r="M194" i="1" s="1"/>
  <c r="M11" i="1" a="1"/>
  <c r="M11" i="1" s="1"/>
  <c r="M611" i="1" a="1"/>
  <c r="M611" i="1" s="1"/>
  <c r="M277" i="1" a="1"/>
  <c r="M277" i="1" s="1"/>
  <c r="M801" i="1" a="1"/>
  <c r="M801" i="1" s="1"/>
  <c r="M798" i="1" a="1"/>
  <c r="M798" i="1" s="1"/>
  <c r="M587" i="1" a="1"/>
  <c r="M587" i="1" s="1"/>
  <c r="M599" i="1" a="1"/>
  <c r="M599" i="1" s="1"/>
  <c r="M238" i="1" a="1"/>
  <c r="M238" i="1" s="1"/>
  <c r="M671" i="1" a="1"/>
  <c r="M671" i="1" s="1"/>
  <c r="M32" i="1" a="1"/>
  <c r="M32" i="1" s="1"/>
  <c r="M313" i="1" a="1"/>
  <c r="M313" i="1" s="1"/>
  <c r="M781" i="1" a="1"/>
  <c r="M781" i="1" s="1"/>
  <c r="M43" i="1" a="1"/>
  <c r="M43" i="1" s="1"/>
  <c r="M758" i="1" a="1"/>
  <c r="M758" i="1" s="1"/>
  <c r="M709" i="1" a="1"/>
  <c r="M709" i="1" s="1"/>
  <c r="M419" i="1" a="1"/>
  <c r="M419" i="1" s="1"/>
  <c r="M66" i="1" a="1"/>
  <c r="M66" i="1" s="1"/>
  <c r="M528" i="1" a="1"/>
  <c r="M528" i="1" s="1"/>
  <c r="M537" i="1" a="1"/>
  <c r="M537" i="1" s="1"/>
  <c r="M226" i="1" a="1"/>
  <c r="M226" i="1" s="1"/>
  <c r="M117" i="1" a="1"/>
  <c r="M117" i="1" s="1"/>
  <c r="M236" i="1" a="1"/>
  <c r="M236" i="1" s="1"/>
  <c r="M376" i="1" a="1"/>
  <c r="M376" i="1" s="1"/>
  <c r="M251" i="1" a="1"/>
  <c r="M251" i="1" s="1"/>
  <c r="M391" i="1" a="1"/>
  <c r="M391" i="1" s="1"/>
  <c r="M338" i="1" a="1"/>
  <c r="M338" i="1" s="1"/>
  <c r="M298" i="1" a="1"/>
  <c r="M298" i="1" s="1"/>
  <c r="M628" i="1" a="1"/>
  <c r="M628" i="1" s="1"/>
  <c r="M302" i="1" a="1"/>
  <c r="M302" i="1" s="1"/>
  <c r="M38" i="1" a="1"/>
  <c r="M38" i="1" s="1"/>
  <c r="M604" i="1" a="1"/>
  <c r="M604" i="1" s="1"/>
  <c r="M339" i="1" a="1"/>
  <c r="M339" i="1" s="1"/>
  <c r="M660" i="1" a="1"/>
  <c r="M660" i="1" s="1"/>
  <c r="M224" i="1" a="1"/>
  <c r="M224" i="1" s="1"/>
  <c r="M385" i="1" a="1"/>
  <c r="M385" i="1" s="1"/>
  <c r="M400" i="1" a="1"/>
  <c r="M400" i="1" s="1"/>
  <c r="M649" i="1" a="1"/>
  <c r="M649" i="1" s="1"/>
  <c r="M203" i="1" a="1"/>
  <c r="M203" i="1" s="1"/>
  <c r="M631" i="1" a="1"/>
  <c r="M631" i="1" s="1"/>
  <c r="M135" i="1" a="1"/>
  <c r="M135" i="1" s="1"/>
  <c r="M652" i="1" a="1"/>
  <c r="M652" i="1" s="1"/>
  <c r="M52" i="1" a="1"/>
  <c r="M52" i="1" s="1"/>
  <c r="M284" i="1" a="1"/>
  <c r="M284" i="1" s="1"/>
  <c r="M571" i="1" a="1"/>
  <c r="M571" i="1" s="1"/>
  <c r="M706" i="1" a="1"/>
  <c r="M706" i="1" s="1"/>
  <c r="M567" i="1" a="1"/>
  <c r="M567" i="1" s="1"/>
  <c r="M547" i="1" a="1"/>
  <c r="M547" i="1" s="1"/>
  <c r="M421" i="1" a="1"/>
  <c r="M421" i="1" s="1"/>
  <c r="M451" i="1" a="1"/>
  <c r="M451" i="1" s="1"/>
  <c r="M548" i="1" a="1"/>
  <c r="M548" i="1" s="1"/>
  <c r="M31" i="1" a="1"/>
  <c r="M31" i="1" s="1"/>
  <c r="M769" i="1" a="1"/>
  <c r="M769" i="1" s="1"/>
  <c r="M797" i="1" a="1"/>
  <c r="M797" i="1" s="1"/>
  <c r="M364" i="1" a="1"/>
  <c r="M364" i="1" s="1"/>
  <c r="M337" i="1" a="1"/>
  <c r="M337" i="1" s="1"/>
  <c r="M733" i="1" a="1"/>
  <c r="M733" i="1" s="1"/>
  <c r="M288" i="1" a="1"/>
  <c r="M288" i="1" s="1"/>
  <c r="M197" i="1" a="1"/>
  <c r="M197" i="1" s="1"/>
  <c r="M392" i="1" a="1"/>
  <c r="M392" i="1" s="1"/>
  <c r="M596" i="1" a="1"/>
  <c r="M596" i="1" s="1"/>
  <c r="M691" i="1" a="1"/>
  <c r="M691" i="1" s="1"/>
  <c r="M487" i="1" a="1"/>
  <c r="M487" i="1" s="1"/>
  <c r="M74" i="1" a="1"/>
  <c r="M74" i="1" s="1"/>
  <c r="M623" i="1" a="1"/>
  <c r="M623" i="1" s="1"/>
  <c r="M362" i="1" a="1"/>
  <c r="M362" i="1" s="1"/>
  <c r="M78" i="1" a="1"/>
  <c r="M78" i="1" s="1"/>
  <c r="M461" i="1" a="1"/>
  <c r="M461" i="1" s="1"/>
  <c r="M637" i="1" a="1"/>
  <c r="M637" i="1" s="1"/>
  <c r="M740" i="1" a="1"/>
  <c r="M740" i="1" s="1"/>
  <c r="M63" i="1" a="1"/>
  <c r="M63" i="1" s="1"/>
  <c r="M695" i="1" a="1"/>
  <c r="M695" i="1" s="1"/>
  <c r="M466" i="1" a="1"/>
  <c r="M466" i="1" s="1"/>
  <c r="M494" i="1" a="1"/>
  <c r="M494" i="1" s="1"/>
  <c r="M650" i="1" a="1"/>
  <c r="M650" i="1" s="1"/>
  <c r="M136" i="1" a="1"/>
  <c r="M136" i="1" s="1"/>
  <c r="M431" i="1" a="1"/>
  <c r="M431" i="1" s="1"/>
  <c r="M254" i="1" a="1"/>
  <c r="M254" i="1" s="1"/>
  <c r="M761" i="1" a="1"/>
  <c r="M761" i="1" s="1"/>
  <c r="M404" i="1" a="1"/>
  <c r="M404" i="1" s="1"/>
  <c r="M340" i="1" a="1"/>
  <c r="M340" i="1" s="1"/>
  <c r="M208" i="1" a="1"/>
  <c r="M208" i="1" s="1"/>
  <c r="M259" i="1" a="1"/>
  <c r="M259" i="1" s="1"/>
  <c r="M161" i="1" a="1"/>
  <c r="M161" i="1" s="1"/>
  <c r="M372" i="1" a="1"/>
  <c r="M372" i="1" s="1"/>
  <c r="M130" i="1" a="1"/>
  <c r="M130" i="1" s="1"/>
  <c r="M26" i="1" a="1"/>
  <c r="M26" i="1" s="1"/>
  <c r="M405" i="1" a="1"/>
  <c r="M405" i="1" s="1"/>
  <c r="M452" i="1" a="1"/>
  <c r="M452" i="1" s="1"/>
  <c r="M481" i="1" a="1"/>
  <c r="M481" i="1" s="1"/>
  <c r="M488" i="1" a="1"/>
  <c r="M488" i="1" s="1"/>
  <c r="M45" i="1" a="1"/>
  <c r="M45" i="1" s="1"/>
  <c r="M315" i="1" a="1"/>
  <c r="M315" i="1" s="1"/>
  <c r="M36" i="1" a="1"/>
  <c r="M36" i="1" s="1"/>
  <c r="M700" i="1" a="1"/>
  <c r="M700" i="1" s="1"/>
  <c r="M243" i="1" a="1"/>
  <c r="M243" i="1" s="1"/>
  <c r="M641" i="1" a="1"/>
  <c r="M641" i="1" s="1"/>
  <c r="M519" i="1" a="1"/>
  <c r="M519" i="1" s="1"/>
  <c r="M436" i="1" a="1"/>
  <c r="M436" i="1" s="1"/>
  <c r="M168" i="1" a="1"/>
  <c r="M168" i="1" s="1"/>
  <c r="M595" i="1" a="1"/>
  <c r="M595" i="1" s="1"/>
  <c r="M653" i="1" a="1"/>
  <c r="M653" i="1" s="1"/>
  <c r="M603" i="1" a="1"/>
  <c r="M603" i="1" s="1"/>
  <c r="M521" i="1" a="1"/>
  <c r="M521" i="1" s="1"/>
  <c r="M476" i="1" a="1"/>
  <c r="M476" i="1" s="1"/>
  <c r="M347" i="1" a="1"/>
  <c r="M347" i="1" s="1"/>
  <c r="M689" i="1" a="1"/>
  <c r="M689" i="1" s="1"/>
  <c r="B7" i="4"/>
  <c r="S752" i="1"/>
  <c r="Y752" i="1" s="1"/>
  <c r="Z752" i="1" s="1"/>
  <c r="S511" i="1"/>
  <c r="Y511" i="1" s="1"/>
  <c r="Z511" i="1" s="1"/>
  <c r="S479" i="1"/>
  <c r="Y479" i="1" s="1"/>
  <c r="Z479" i="1" s="1"/>
  <c r="S531" i="1"/>
  <c r="Y531" i="1" s="1"/>
  <c r="Z531" i="1" s="1"/>
  <c r="S782" i="1"/>
  <c r="Y782" i="1" s="1"/>
  <c r="Z782" i="1" s="1"/>
  <c r="S722" i="1"/>
  <c r="Y722" i="1" s="1"/>
  <c r="Z722" i="1" s="1"/>
  <c r="S456" i="1"/>
  <c r="Y456" i="1" s="1"/>
  <c r="Z456" i="1" s="1"/>
  <c r="S96" i="1"/>
  <c r="Y96" i="1" s="1"/>
  <c r="Z96" i="1" s="1"/>
  <c r="S397" i="1"/>
  <c r="Y397" i="1" s="1"/>
  <c r="AD397" i="1" s="1"/>
  <c r="S658" i="1"/>
  <c r="Y658" i="1" s="1"/>
  <c r="AD658" i="1" s="1"/>
  <c r="S558" i="1"/>
  <c r="Y558" i="1" s="1"/>
  <c r="AD558" i="1" s="1"/>
  <c r="S131" i="1"/>
  <c r="Y131" i="1" s="1"/>
  <c r="Z131" i="1" s="1"/>
  <c r="S351" i="1"/>
  <c r="Y351" i="1" s="1"/>
  <c r="AC351" i="1" s="1"/>
  <c r="S437" i="1"/>
  <c r="Y437" i="1" s="1"/>
  <c r="Z437" i="1" s="1"/>
  <c r="S121" i="1"/>
  <c r="Y121" i="1" s="1"/>
  <c r="Z121" i="1" s="1"/>
  <c r="S530" i="1"/>
  <c r="Y530" i="1" s="1"/>
  <c r="Z530" i="1" s="1"/>
  <c r="S222" i="1"/>
  <c r="Y222" i="1" s="1"/>
  <c r="Z222" i="1" s="1"/>
  <c r="S341" i="1"/>
  <c r="Y341" i="1" s="1"/>
  <c r="Z341" i="1" s="1"/>
  <c r="S625" i="1"/>
  <c r="Y625" i="1" s="1"/>
  <c r="Z625" i="1" s="1"/>
  <c r="S486" i="1"/>
  <c r="Y486" i="1" s="1"/>
  <c r="Z486" i="1" s="1"/>
  <c r="S680" i="1"/>
  <c r="Y680" i="1" s="1"/>
  <c r="Z680" i="1" s="1"/>
  <c r="S696" i="1"/>
  <c r="Y696" i="1" s="1"/>
  <c r="Z696" i="1" s="1"/>
  <c r="S76" i="1"/>
  <c r="Y76" i="1" s="1"/>
  <c r="Z76" i="1" s="1"/>
  <c r="S388" i="1"/>
  <c r="Y388" i="1" s="1"/>
  <c r="Z388" i="1" s="1"/>
  <c r="S580" i="1"/>
  <c r="Y580" i="1" s="1"/>
  <c r="AD580" i="1" s="1"/>
  <c r="S328" i="1"/>
  <c r="Y328" i="1" s="1"/>
  <c r="AD328" i="1" s="1"/>
  <c r="S174" i="1"/>
  <c r="Y174" i="1" s="1"/>
  <c r="AD174" i="1" s="1"/>
  <c r="S377" i="1"/>
  <c r="Y377" i="1" s="1"/>
  <c r="Z377" i="1" s="1"/>
  <c r="S563" i="1"/>
  <c r="Y563" i="1" s="1"/>
  <c r="AC563" i="1" s="1"/>
  <c r="S729" i="1"/>
  <c r="Y729" i="1" s="1"/>
  <c r="Z729" i="1" s="1"/>
  <c r="S23" i="1"/>
  <c r="Y23" i="1" s="1"/>
  <c r="Z23" i="1" s="1"/>
  <c r="S306" i="1"/>
  <c r="Y306" i="1" s="1"/>
  <c r="Z306" i="1" s="1"/>
  <c r="S583" i="1"/>
  <c r="Y583" i="1" s="1"/>
  <c r="Z583" i="1" s="1"/>
  <c r="S723" i="1"/>
  <c r="Y723" i="1" s="1"/>
  <c r="Z723" i="1" s="1"/>
  <c r="S64" i="1"/>
  <c r="Y64" i="1" s="1"/>
  <c r="Z64" i="1" s="1"/>
  <c r="S716" i="1"/>
  <c r="Y716" i="1" s="1"/>
  <c r="Z716" i="1" s="1"/>
  <c r="S507" i="1"/>
  <c r="Y507" i="1" s="1"/>
  <c r="Z507" i="1" s="1"/>
  <c r="S612" i="1"/>
  <c r="Y612" i="1" s="1"/>
  <c r="Z612" i="1" s="1"/>
  <c r="S303" i="1"/>
  <c r="Y303" i="1" s="1"/>
  <c r="Z303" i="1" s="1"/>
  <c r="S309" i="1"/>
  <c r="Y309" i="1" s="1"/>
  <c r="Z309" i="1" s="1"/>
  <c r="S582" i="1"/>
  <c r="Y582" i="1" s="1"/>
  <c r="AD582" i="1" s="1"/>
  <c r="S137" i="1"/>
  <c r="Y137" i="1" s="1"/>
  <c r="AD137" i="1" s="1"/>
  <c r="S503" i="1"/>
  <c r="Y503" i="1" s="1"/>
  <c r="AD503" i="1" s="1"/>
  <c r="S157" i="1"/>
  <c r="Y157" i="1" s="1"/>
  <c r="Z157" i="1" s="1"/>
  <c r="S111" i="1"/>
  <c r="Y111" i="1" s="1"/>
  <c r="AC111" i="1" s="1"/>
  <c r="S171" i="1"/>
  <c r="Y171" i="1" s="1"/>
  <c r="Z171" i="1" s="1"/>
  <c r="S768" i="1"/>
  <c r="Y768" i="1" s="1"/>
  <c r="Z768" i="1" s="1"/>
  <c r="S411" i="1"/>
  <c r="Y411" i="1" s="1"/>
  <c r="Z411" i="1" s="1"/>
  <c r="S730" i="1"/>
  <c r="Y730" i="1" s="1"/>
  <c r="Z730" i="1" s="1"/>
  <c r="S187" i="1"/>
  <c r="Y187" i="1" s="1"/>
  <c r="Z187" i="1" s="1"/>
  <c r="S665" i="1"/>
  <c r="Y665" i="1" s="1"/>
  <c r="Z665" i="1" s="1"/>
  <c r="S655" i="1"/>
  <c r="Y655" i="1" s="1"/>
  <c r="Z655" i="1" s="1"/>
  <c r="S60" i="1"/>
  <c r="Y60" i="1" s="1"/>
  <c r="Z60" i="1" s="1"/>
  <c r="S112" i="1"/>
  <c r="Y112" i="1" s="1"/>
  <c r="Z112" i="1" s="1"/>
  <c r="S357" i="1"/>
  <c r="Y357" i="1" s="1"/>
  <c r="Z357" i="1" s="1"/>
  <c r="S360" i="1"/>
  <c r="Y360" i="1" s="1"/>
  <c r="Z360" i="1" s="1"/>
  <c r="S141" i="1"/>
  <c r="Y141" i="1" s="1"/>
  <c r="AD141" i="1" s="1"/>
  <c r="S54" i="1"/>
  <c r="Y54" i="1" s="1"/>
  <c r="AD54" i="1" s="1"/>
  <c r="S361" i="1"/>
  <c r="Y361" i="1" s="1"/>
  <c r="AD361" i="1" s="1"/>
  <c r="S793" i="1"/>
  <c r="Y793" i="1" s="1"/>
  <c r="Z793" i="1" s="1"/>
  <c r="S374" i="1"/>
  <c r="Y374" i="1" s="1"/>
  <c r="AC374" i="1" s="1"/>
  <c r="S143" i="1"/>
  <c r="Y143" i="1" s="1"/>
  <c r="Z143" i="1" s="1"/>
  <c r="S659" i="1"/>
  <c r="Y659" i="1" s="1"/>
  <c r="Z659" i="1" s="1"/>
  <c r="S545" i="1"/>
  <c r="Y545" i="1" s="1"/>
  <c r="Z545" i="1" s="1"/>
  <c r="S766" i="1"/>
  <c r="Y766" i="1" s="1"/>
  <c r="Z766" i="1" s="1"/>
  <c r="S778" i="1"/>
  <c r="Y778" i="1" s="1"/>
  <c r="Z778" i="1" s="1"/>
  <c r="S116" i="1"/>
  <c r="Y116" i="1" s="1"/>
  <c r="Z116" i="1" s="1"/>
  <c r="S91" i="1"/>
  <c r="Y91" i="1" s="1"/>
  <c r="Z91" i="1" s="1"/>
  <c r="S285" i="1"/>
  <c r="Y285" i="1" s="1"/>
  <c r="Z285" i="1" s="1"/>
  <c r="S445" i="1"/>
  <c r="Y445" i="1" s="1"/>
  <c r="Z445" i="1" s="1"/>
  <c r="S615" i="1"/>
  <c r="Y615" i="1" s="1"/>
  <c r="Z615" i="1" s="1"/>
  <c r="S495" i="1"/>
  <c r="Y495" i="1" s="1"/>
  <c r="Z495" i="1" s="1"/>
  <c r="S728" i="1"/>
  <c r="Y728" i="1" s="1"/>
  <c r="AD728" i="1" s="1"/>
  <c r="S578" i="1"/>
  <c r="Y578" i="1" s="1"/>
  <c r="AD578" i="1" s="1"/>
  <c r="S209" i="1"/>
  <c r="Y209" i="1" s="1"/>
  <c r="AD209" i="1" s="1"/>
  <c r="S204" i="1"/>
  <c r="Y204" i="1" s="1"/>
  <c r="Z204" i="1" s="1"/>
  <c r="S654" i="1"/>
  <c r="Y654" i="1" s="1"/>
  <c r="AC654" i="1" s="1"/>
  <c r="S217" i="1"/>
  <c r="Y217" i="1" s="1"/>
  <c r="Z217" i="1" s="1"/>
  <c r="S566" i="1"/>
  <c r="Y566" i="1" s="1"/>
  <c r="Z566" i="1" s="1"/>
  <c r="S409" i="1"/>
  <c r="Y409" i="1" s="1"/>
  <c r="Z409" i="1" s="1"/>
  <c r="S58" i="1"/>
  <c r="Y58" i="1" s="1"/>
  <c r="Z58" i="1" s="1"/>
  <c r="S627" i="1"/>
  <c r="Y627" i="1" s="1"/>
  <c r="Z627" i="1" s="1"/>
  <c r="S272" i="1"/>
  <c r="Y272" i="1" s="1"/>
  <c r="Z272" i="1" s="1"/>
  <c r="S498" i="1"/>
  <c r="Y498" i="1" s="1"/>
  <c r="Z498" i="1" s="1"/>
  <c r="S153" i="1"/>
  <c r="Y153" i="1" s="1"/>
  <c r="Z153" i="1" s="1"/>
  <c r="S322" i="1"/>
  <c r="Y322" i="1" s="1"/>
  <c r="Z322" i="1" s="1"/>
  <c r="S719" i="1"/>
  <c r="Y719" i="1" s="1"/>
  <c r="Z719" i="1" s="1"/>
  <c r="S65" i="1"/>
  <c r="Y65" i="1" s="1"/>
  <c r="Z65" i="1" s="1"/>
  <c r="S150" i="1"/>
  <c r="Y150" i="1" s="1"/>
  <c r="AD150" i="1" s="1"/>
  <c r="S195" i="1"/>
  <c r="Y195" i="1" s="1"/>
  <c r="AD195" i="1" s="1"/>
  <c r="S469" i="1"/>
  <c r="Y469" i="1" s="1"/>
  <c r="AD469" i="1" s="1"/>
  <c r="S13" i="1"/>
  <c r="Y13" i="1" s="1"/>
  <c r="Z13" i="1" s="1"/>
  <c r="S149" i="1"/>
  <c r="Y149" i="1" s="1"/>
  <c r="AC149" i="1" s="1"/>
  <c r="S90" i="1"/>
  <c r="Y90" i="1" s="1"/>
  <c r="Z90" i="1" s="1"/>
  <c r="S384" i="1"/>
  <c r="Y384" i="1" s="1"/>
  <c r="Z384" i="1" s="1"/>
  <c r="S280" i="1"/>
  <c r="Y280" i="1" s="1"/>
  <c r="Z280" i="1" s="1"/>
  <c r="S55" i="1"/>
  <c r="Y55" i="1" s="1"/>
  <c r="Z55" i="1" s="1"/>
  <c r="S520" i="1"/>
  <c r="Y520" i="1" s="1"/>
  <c r="Z520" i="1" s="1"/>
  <c r="S608" i="1"/>
  <c r="Y608" i="1" s="1"/>
  <c r="Z608" i="1" s="1"/>
  <c r="S598" i="1"/>
  <c r="Y598" i="1" s="1"/>
  <c r="Z598" i="1" s="1"/>
  <c r="S796" i="1"/>
  <c r="Y796" i="1" s="1"/>
  <c r="Z796" i="1" s="1"/>
  <c r="S510" i="1"/>
  <c r="Y510" i="1" s="1"/>
  <c r="Z510" i="1" s="1"/>
  <c r="S581" i="1"/>
  <c r="Y581" i="1" s="1"/>
  <c r="Z581" i="1" s="1"/>
  <c r="S751" i="1"/>
  <c r="Y751" i="1" s="1"/>
  <c r="Z751" i="1" s="1"/>
  <c r="S29" i="1"/>
  <c r="Y29" i="1" s="1"/>
  <c r="AD29" i="1" s="1"/>
  <c r="S326" i="1"/>
  <c r="Y326" i="1" s="1"/>
  <c r="AD326" i="1" s="1"/>
  <c r="S219" i="1"/>
  <c r="Y219" i="1" s="1"/>
  <c r="AD219" i="1" s="1"/>
  <c r="S6" i="1"/>
  <c r="Y6" i="1" s="1"/>
  <c r="Z6" i="1" s="1"/>
  <c r="S261" i="1"/>
  <c r="Y261" i="1" s="1"/>
  <c r="Z261" i="1" s="1"/>
  <c r="S349" i="1"/>
  <c r="Y349" i="1" s="1"/>
  <c r="Z349" i="1" s="1"/>
  <c r="S692" i="1"/>
  <c r="Y692" i="1" s="1"/>
  <c r="Z692" i="1" s="1"/>
  <c r="S287" i="1"/>
  <c r="Y287" i="1" s="1"/>
  <c r="Z287" i="1" s="1"/>
  <c r="S606" i="1"/>
  <c r="Y606" i="1" s="1"/>
  <c r="Z606" i="1" s="1"/>
  <c r="S446" i="1"/>
  <c r="Y446" i="1" s="1"/>
  <c r="Z446" i="1" s="1"/>
  <c r="S355" i="1"/>
  <c r="Y355" i="1" s="1"/>
  <c r="Z355" i="1" s="1"/>
  <c r="S198" i="1"/>
  <c r="Y198" i="1" s="1"/>
  <c r="Z198" i="1" s="1"/>
  <c r="S712" i="1"/>
  <c r="Y712" i="1" s="1"/>
  <c r="Z712" i="1" s="1"/>
  <c r="S85" i="1"/>
  <c r="Y85" i="1" s="1"/>
  <c r="Z85" i="1" s="1"/>
  <c r="S86" i="1"/>
  <c r="Y86" i="1" s="1"/>
  <c r="Z86" i="1" s="1"/>
  <c r="S697" i="1"/>
  <c r="Y697" i="1" s="1"/>
  <c r="Z697" i="1" s="1"/>
  <c r="S207" i="1"/>
  <c r="Y207" i="1" s="1"/>
  <c r="AD207" i="1" s="1"/>
  <c r="S742" i="1"/>
  <c r="Y742" i="1" s="1"/>
  <c r="AD742" i="1" s="1"/>
  <c r="S205" i="1"/>
  <c r="Y205" i="1" s="1"/>
  <c r="AD205" i="1" s="1"/>
  <c r="S435" i="1"/>
  <c r="Y435" i="1" s="1"/>
  <c r="Z435" i="1" s="1"/>
  <c r="S366" i="1"/>
  <c r="Y366" i="1" s="1"/>
  <c r="Z366" i="1" s="1"/>
  <c r="S62" i="1"/>
  <c r="Y62" i="1" s="1"/>
  <c r="Z62" i="1" s="1"/>
  <c r="S189" i="1"/>
  <c r="Y189" i="1" s="1"/>
  <c r="Z189" i="1" s="1"/>
  <c r="S155" i="1"/>
  <c r="Y155" i="1" s="1"/>
  <c r="Z155" i="1" s="1"/>
  <c r="S358" i="1"/>
  <c r="Y358" i="1" s="1"/>
  <c r="Z358" i="1" s="1"/>
  <c r="S94" i="1"/>
  <c r="Y94" i="1" s="1"/>
  <c r="Z94" i="1" s="1"/>
  <c r="S69" i="1"/>
  <c r="Y69" i="1" s="1"/>
  <c r="Z69" i="1" s="1"/>
  <c r="S15" i="1"/>
  <c r="Y15" i="1" s="1"/>
  <c r="Z15" i="1" s="1"/>
  <c r="S787" i="1"/>
  <c r="Y787" i="1" s="1"/>
  <c r="Z787" i="1" s="1"/>
  <c r="S493" i="1"/>
  <c r="Y493" i="1" s="1"/>
  <c r="Z493" i="1" s="1"/>
  <c r="S607" i="1"/>
  <c r="Y607" i="1" s="1"/>
  <c r="Z607" i="1" s="1"/>
  <c r="S684" i="1"/>
  <c r="Y684" i="1" s="1"/>
  <c r="Z684" i="1" s="1"/>
  <c r="S648" i="1"/>
  <c r="Y648" i="1" s="1"/>
  <c r="AD648" i="1" s="1"/>
  <c r="S333" i="1"/>
  <c r="Y333" i="1" s="1"/>
  <c r="AD333" i="1" s="1"/>
  <c r="S515" i="1"/>
  <c r="Y515" i="1" s="1"/>
  <c r="AD515" i="1" s="1"/>
  <c r="S307" i="1"/>
  <c r="Y307" i="1" s="1"/>
  <c r="Z307" i="1" s="1"/>
  <c r="S382" i="1"/>
  <c r="Y382" i="1" s="1"/>
  <c r="Z382" i="1" s="1"/>
  <c r="S138" i="1"/>
  <c r="Y138" i="1" s="1"/>
  <c r="Z138" i="1" s="1"/>
  <c r="S281" i="1"/>
  <c r="Y281" i="1" s="1"/>
  <c r="Z281" i="1" s="1"/>
  <c r="S97" i="1"/>
  <c r="Y97" i="1" s="1"/>
  <c r="Z97" i="1" s="1"/>
  <c r="S794" i="1"/>
  <c r="Y794" i="1" s="1"/>
  <c r="Z794" i="1" s="1"/>
  <c r="S4" i="1"/>
  <c r="Y4" i="1" s="1"/>
  <c r="Z4" i="1" s="1"/>
  <c r="S260" i="1"/>
  <c r="Y260" i="1" s="1"/>
  <c r="Z260" i="1" s="1"/>
  <c r="S352" i="1"/>
  <c r="Y352" i="1" s="1"/>
  <c r="Z352" i="1" s="1"/>
  <c r="S175" i="1"/>
  <c r="Y175" i="1" s="1"/>
  <c r="Z175" i="1" s="1"/>
  <c r="S473" i="1"/>
  <c r="Y473" i="1" s="1"/>
  <c r="Z473" i="1" s="1"/>
  <c r="S626" i="1"/>
  <c r="Y626" i="1" s="1"/>
  <c r="Z626" i="1" s="1"/>
  <c r="S282" i="1"/>
  <c r="Y282" i="1" s="1"/>
  <c r="Z282" i="1" s="1"/>
  <c r="S471" i="1"/>
  <c r="Y471" i="1" s="1"/>
  <c r="AD471" i="1" s="1"/>
  <c r="S727" i="1"/>
  <c r="Y727" i="1" s="1"/>
  <c r="AD727" i="1" s="1"/>
  <c r="S747" i="1"/>
  <c r="Y747" i="1" s="1"/>
  <c r="AD747" i="1" s="1"/>
  <c r="S201" i="1"/>
  <c r="Y201" i="1" s="1"/>
  <c r="Z201" i="1" s="1"/>
  <c r="S433" i="1"/>
  <c r="Y433" i="1" s="1"/>
  <c r="AC433" i="1" s="1"/>
  <c r="S390" i="1"/>
  <c r="Y390" i="1" s="1"/>
  <c r="Z390" i="1" s="1"/>
  <c r="S542" i="1"/>
  <c r="Y542" i="1" s="1"/>
  <c r="Z542" i="1" s="1"/>
  <c r="S144" i="1"/>
  <c r="Y144" i="1" s="1"/>
  <c r="Z144" i="1" s="1"/>
  <c r="S474" i="1"/>
  <c r="Y474" i="1" s="1"/>
  <c r="Z474" i="1" s="1"/>
  <c r="S108" i="1"/>
  <c r="Y108" i="1" s="1"/>
  <c r="Z108" i="1" s="1"/>
  <c r="S775" i="1"/>
  <c r="Y775" i="1" s="1"/>
  <c r="Z775" i="1" s="1"/>
  <c r="S145" i="1"/>
  <c r="Y145" i="1" s="1"/>
  <c r="Z145" i="1" s="1"/>
  <c r="S279" i="1"/>
  <c r="Y279" i="1" s="1"/>
  <c r="Z279" i="1" s="1"/>
  <c r="S647" i="1"/>
  <c r="Y647" i="1" s="1"/>
  <c r="Z647" i="1" s="1"/>
  <c r="S231" i="1"/>
  <c r="Y231" i="1" s="1"/>
  <c r="Z231" i="1" s="1"/>
  <c r="S401" i="1"/>
  <c r="Y401" i="1" s="1"/>
  <c r="Z401" i="1" s="1"/>
  <c r="S253" i="1"/>
  <c r="Y253" i="1" s="1"/>
  <c r="AD253" i="1" s="1"/>
  <c r="S342" i="1"/>
  <c r="Y342" i="1" s="1"/>
  <c r="AD342" i="1" s="1"/>
  <c r="S410" i="1"/>
  <c r="Y410" i="1" s="1"/>
  <c r="AD410" i="1" s="1"/>
  <c r="S440" i="1"/>
  <c r="Y440" i="1" s="1"/>
  <c r="Z440" i="1" s="1"/>
  <c r="S562" i="1"/>
  <c r="Y562" i="1" s="1"/>
  <c r="AC562" i="1" s="1"/>
  <c r="S190" i="1"/>
  <c r="Y190" i="1" s="1"/>
  <c r="Z190" i="1" s="1"/>
  <c r="S225" i="1"/>
  <c r="Y225" i="1" s="1"/>
  <c r="Z225" i="1" s="1"/>
  <c r="S350" i="1"/>
  <c r="Y350" i="1" s="1"/>
  <c r="Z350" i="1" s="1"/>
  <c r="S497" i="1"/>
  <c r="Y497" i="1" s="1"/>
  <c r="Z497" i="1" s="1"/>
  <c r="S35" i="1"/>
  <c r="Y35" i="1" s="1"/>
  <c r="Z35" i="1" s="1"/>
  <c r="S556" i="1"/>
  <c r="Y556" i="1" s="1"/>
  <c r="Z556" i="1" s="1"/>
  <c r="S329" i="1"/>
  <c r="Y329" i="1" s="1"/>
  <c r="Z329" i="1" s="1"/>
  <c r="S717" i="1"/>
  <c r="Y717" i="1" s="1"/>
  <c r="Z717" i="1" s="1"/>
  <c r="S721" i="1"/>
  <c r="Y721" i="1" s="1"/>
  <c r="Z721" i="1" s="1"/>
  <c r="S462" i="1"/>
  <c r="Y462" i="1" s="1"/>
  <c r="Z462" i="1" s="1"/>
  <c r="S737" i="1"/>
  <c r="Y737" i="1" s="1"/>
  <c r="Z737" i="1" s="1"/>
  <c r="S148" i="1"/>
  <c r="Y148" i="1" s="1"/>
  <c r="AD148" i="1" s="1"/>
  <c r="S33" i="1"/>
  <c r="Y33" i="1" s="1"/>
  <c r="AD33" i="1" s="1"/>
  <c r="S500" i="1"/>
  <c r="Y500" i="1" s="1"/>
  <c r="AD500" i="1" s="1"/>
  <c r="S365" i="1"/>
  <c r="Y365" i="1" s="1"/>
  <c r="Z365" i="1" s="1"/>
  <c r="S221" i="1"/>
  <c r="Y221" i="1" s="1"/>
  <c r="AC221" i="1" s="1"/>
  <c r="S67" i="1"/>
  <c r="Y67" i="1" s="1"/>
  <c r="Z67" i="1" s="1"/>
  <c r="S489" i="1"/>
  <c r="Y489" i="1" s="1"/>
  <c r="AD489" i="1" s="1"/>
  <c r="S3" i="1"/>
  <c r="Y3" i="1" s="1"/>
  <c r="Z3" i="1" s="1"/>
  <c r="S335" i="1"/>
  <c r="Y335" i="1" s="1"/>
  <c r="Z335" i="1" s="1"/>
  <c r="S132" i="1"/>
  <c r="Y132" i="1" s="1"/>
  <c r="Z132" i="1" s="1"/>
  <c r="S572" i="1"/>
  <c r="Y572" i="1" s="1"/>
  <c r="Z572" i="1" s="1"/>
  <c r="S423" i="1"/>
  <c r="Y423" i="1" s="1"/>
  <c r="Z423" i="1" s="1"/>
  <c r="S748" i="1"/>
  <c r="Y748" i="1" s="1"/>
  <c r="Z748" i="1" s="1"/>
  <c r="S540" i="1"/>
  <c r="Y540" i="1" s="1"/>
  <c r="Z540" i="1" s="1"/>
  <c r="S213" i="1"/>
  <c r="Y213" i="1" s="1"/>
  <c r="Z213" i="1" s="1"/>
  <c r="S610" i="1"/>
  <c r="Y610" i="1" s="1"/>
  <c r="Z610" i="1" s="1"/>
  <c r="S398" i="1"/>
  <c r="Y398" i="1" s="1"/>
  <c r="AD398" i="1" s="1"/>
  <c r="S396" i="1"/>
  <c r="Y396" i="1" s="1"/>
  <c r="AD396" i="1" s="1"/>
  <c r="S343" i="1"/>
  <c r="Y343" i="1" s="1"/>
  <c r="AD343" i="1" s="1"/>
  <c r="S20" i="1"/>
  <c r="Y20" i="1" s="1"/>
  <c r="Z20" i="1" s="1"/>
  <c r="S290" i="1"/>
  <c r="Y290" i="1" s="1"/>
  <c r="AC290" i="1" s="1"/>
  <c r="S234" i="1"/>
  <c r="Y234" i="1" s="1"/>
  <c r="AD234" i="1" s="1"/>
  <c r="S664" i="1"/>
  <c r="Y664" i="1" s="1"/>
  <c r="AD664" i="1" s="1"/>
  <c r="S459" i="1"/>
  <c r="Y459" i="1" s="1"/>
  <c r="Z459" i="1" s="1"/>
  <c r="S492" i="1"/>
  <c r="Y492" i="1" s="1"/>
  <c r="Z492" i="1" s="1"/>
  <c r="S512" i="1"/>
  <c r="Y512" i="1" s="1"/>
  <c r="Z512" i="1" s="1"/>
  <c r="S414" i="1"/>
  <c r="Y414" i="1" s="1"/>
  <c r="Z414" i="1" s="1"/>
  <c r="S441" i="1"/>
  <c r="Y441" i="1" s="1"/>
  <c r="Z441" i="1" s="1"/>
  <c r="S505" i="1"/>
  <c r="Y505" i="1" s="1"/>
  <c r="Z505" i="1" s="1"/>
  <c r="S344" i="1"/>
  <c r="Y344" i="1" s="1"/>
  <c r="Z344" i="1" s="1"/>
  <c r="S147" i="1"/>
  <c r="Y147" i="1" s="1"/>
  <c r="Z147" i="1" s="1"/>
  <c r="S386" i="1"/>
  <c r="Y386" i="1" s="1"/>
  <c r="Z386" i="1" s="1"/>
  <c r="S230" i="1"/>
  <c r="Y230" i="1" s="1"/>
  <c r="AD230" i="1" s="1"/>
  <c r="S668" i="1"/>
  <c r="Y668" i="1" s="1"/>
  <c r="AD668" i="1" s="1"/>
  <c r="S514" i="1"/>
  <c r="Y514" i="1" s="1"/>
  <c r="AD514" i="1" s="1"/>
  <c r="S95" i="1"/>
  <c r="Y95" i="1" s="1"/>
  <c r="Z95" i="1" s="1"/>
  <c r="S80" i="1"/>
  <c r="Y80" i="1" s="1"/>
  <c r="AC80" i="1" s="1"/>
  <c r="S321" i="1"/>
  <c r="Y321" i="1" s="1"/>
  <c r="Z321" i="1" s="1"/>
  <c r="S12" i="1"/>
  <c r="Y12" i="1" s="1"/>
  <c r="Z12" i="1" s="1"/>
  <c r="S241" i="1"/>
  <c r="Y241" i="1" s="1"/>
  <c r="Z241" i="1" s="1"/>
  <c r="S75" i="1"/>
  <c r="Y75" i="1" s="1"/>
  <c r="Z75" i="1" s="1"/>
  <c r="S173" i="1"/>
  <c r="Y173" i="1" s="1"/>
  <c r="Z173" i="1" s="1"/>
  <c r="S646" i="1"/>
  <c r="Y646" i="1" s="1"/>
  <c r="Z646" i="1" s="1"/>
  <c r="S704" i="1"/>
  <c r="S68" i="1"/>
  <c r="Y68" i="1" s="1"/>
  <c r="Z68" i="1" s="1"/>
  <c r="S496" i="1"/>
  <c r="Y496" i="1" s="1"/>
  <c r="Z496" i="1" s="1"/>
  <c r="S708" i="1"/>
  <c r="Y708" i="1" s="1"/>
  <c r="Z708" i="1" s="1"/>
  <c r="S538" i="1"/>
  <c r="Y538" i="1" s="1"/>
  <c r="Z538" i="1" s="1"/>
  <c r="S346" i="1"/>
  <c r="Y346" i="1" s="1"/>
  <c r="AD346" i="1" s="1"/>
  <c r="S636" i="1"/>
  <c r="Y636" i="1" s="1"/>
  <c r="AD636" i="1" s="1"/>
  <c r="S214" i="1"/>
  <c r="Y214" i="1" s="1"/>
  <c r="Z214" i="1" s="1"/>
  <c r="S84" i="1"/>
  <c r="Y84" i="1" s="1"/>
  <c r="Z84" i="1" s="1"/>
  <c r="S634" i="1"/>
  <c r="Y634" i="1" s="1"/>
  <c r="AC634" i="1" s="1"/>
  <c r="S783" i="1"/>
  <c r="Y783" i="1" s="1"/>
  <c r="Z783" i="1" s="1"/>
  <c r="S605" i="1"/>
  <c r="Y605" i="1" s="1"/>
  <c r="Z605" i="1" s="1"/>
  <c r="S679" i="1"/>
  <c r="Y679" i="1" s="1"/>
  <c r="Z679" i="1" s="1"/>
  <c r="S92" i="1"/>
  <c r="Y92" i="1" s="1"/>
  <c r="Z92" i="1" s="1"/>
  <c r="S375" i="1"/>
  <c r="Y375" i="1" s="1"/>
  <c r="Z375" i="1" s="1"/>
  <c r="S635" i="1"/>
  <c r="Y635" i="1" s="1"/>
  <c r="Z635" i="1" s="1"/>
  <c r="S101" i="1"/>
  <c r="Y101" i="1" s="1"/>
  <c r="Z101" i="1" s="1"/>
  <c r="S468" i="1"/>
  <c r="Y468" i="1" s="1"/>
  <c r="Z468" i="1" s="1"/>
  <c r="S2" i="1"/>
  <c r="Y2" i="1" s="1"/>
  <c r="S743" i="1"/>
  <c r="Y743" i="1" s="1"/>
  <c r="Z743" i="1" s="1"/>
  <c r="S624" i="1"/>
  <c r="Y624" i="1" s="1"/>
  <c r="Z624" i="1" s="1"/>
  <c r="S707" i="1"/>
  <c r="Y707" i="1" s="1"/>
  <c r="AD707" i="1" s="1"/>
  <c r="S59" i="1"/>
  <c r="Y59" i="1" s="1"/>
  <c r="AD59" i="1" s="1"/>
  <c r="S139" i="1"/>
  <c r="Y139" i="1" s="1"/>
  <c r="AD139" i="1" s="1"/>
  <c r="S162" i="1"/>
  <c r="Y162" i="1" s="1"/>
  <c r="Z162" i="1" s="1"/>
  <c r="S786" i="1"/>
  <c r="Y786" i="1" s="1"/>
  <c r="Z786" i="1" s="1"/>
  <c r="S586" i="1"/>
  <c r="Y586" i="1" s="1"/>
  <c r="Z586" i="1" s="1"/>
  <c r="S739" i="1"/>
  <c r="Y739" i="1" s="1"/>
  <c r="Z739" i="1" s="1"/>
  <c r="S83" i="1"/>
  <c r="Y83" i="1" s="1"/>
  <c r="Z83" i="1" s="1"/>
  <c r="S167" i="1"/>
  <c r="Y167" i="1" s="1"/>
  <c r="Z167" i="1" s="1"/>
  <c r="S663" i="1"/>
  <c r="Y663" i="1" s="1"/>
  <c r="Z663" i="1" s="1"/>
  <c r="S49" i="1"/>
  <c r="Y49" i="1" s="1"/>
  <c r="Z49" i="1" s="1"/>
  <c r="S442" i="1"/>
  <c r="Y442" i="1" s="1"/>
  <c r="Z442" i="1" s="1"/>
  <c r="S735" i="1"/>
  <c r="Y735" i="1" s="1"/>
  <c r="Z735" i="1" s="1"/>
  <c r="S24" i="1"/>
  <c r="Y24" i="1" s="1"/>
  <c r="Z24" i="1" s="1"/>
  <c r="S56" i="1"/>
  <c r="Y56" i="1" s="1"/>
  <c r="Z56" i="1" s="1"/>
  <c r="S744" i="1"/>
  <c r="Y744" i="1" s="1"/>
  <c r="Z744" i="1" s="1"/>
  <c r="S71" i="1"/>
  <c r="Y71" i="1" s="1"/>
  <c r="AD71" i="1" s="1"/>
  <c r="S632" i="1"/>
  <c r="Y632" i="1" s="1"/>
  <c r="AD632" i="1" s="1"/>
  <c r="S767" i="1"/>
  <c r="Y767" i="1" s="1"/>
  <c r="Z767" i="1" s="1"/>
  <c r="S166" i="1"/>
  <c r="Y166" i="1" s="1"/>
  <c r="Z166" i="1" s="1"/>
  <c r="S8" i="1"/>
  <c r="Y8" i="1" s="1"/>
  <c r="AC8" i="1" s="1"/>
  <c r="S273" i="1"/>
  <c r="Y273" i="1" s="1"/>
  <c r="Z273" i="1" s="1"/>
  <c r="S543" i="1"/>
  <c r="Y543" i="1" s="1"/>
  <c r="Z543" i="1" s="1"/>
  <c r="S685" i="1"/>
  <c r="Y685" i="1" s="1"/>
  <c r="Z685" i="1" s="1"/>
  <c r="S159" i="1"/>
  <c r="Y159" i="1" s="1"/>
  <c r="Z159" i="1" s="1"/>
  <c r="S732" i="1"/>
  <c r="Y732" i="1" s="1"/>
  <c r="Z732" i="1" s="1"/>
  <c r="S731" i="1"/>
  <c r="Y731" i="1" s="1"/>
  <c r="Z731" i="1" s="1"/>
  <c r="S425" i="1"/>
  <c r="Y425" i="1" s="1"/>
  <c r="Z425" i="1" s="1"/>
  <c r="S656" i="1"/>
  <c r="Y656" i="1" s="1"/>
  <c r="Z656" i="1" s="1"/>
  <c r="S686" i="1"/>
  <c r="Y686" i="1" s="1"/>
  <c r="Z686" i="1" s="1"/>
  <c r="S483" i="1"/>
  <c r="Y483" i="1" s="1"/>
  <c r="Z483" i="1" s="1"/>
  <c r="S122" i="1"/>
  <c r="Y122" i="1" s="1"/>
  <c r="Z122" i="1" s="1"/>
  <c r="S334" i="1"/>
  <c r="Y334" i="1" s="1"/>
  <c r="AD334" i="1" s="1"/>
  <c r="S546" i="1"/>
  <c r="Y546" i="1" s="1"/>
  <c r="AD546" i="1" s="1"/>
  <c r="S681" i="1"/>
  <c r="Y681" i="1" s="1"/>
  <c r="AD681" i="1" s="1"/>
  <c r="S57" i="1"/>
  <c r="Y57" i="1" s="1"/>
  <c r="Z57" i="1" s="1"/>
  <c r="S10" i="1"/>
  <c r="Y10" i="1" s="1"/>
  <c r="AC10" i="1" s="1"/>
  <c r="S541" i="1"/>
  <c r="Y541" i="1" s="1"/>
  <c r="Z541" i="1" s="1"/>
  <c r="S418" i="1"/>
  <c r="Y418" i="1" s="1"/>
  <c r="Z418" i="1" s="1"/>
  <c r="S584" i="1"/>
  <c r="Y584" i="1" s="1"/>
  <c r="Z584" i="1" s="1"/>
  <c r="S672" i="1"/>
  <c r="Y672" i="1" s="1"/>
  <c r="Z672" i="1" s="1"/>
  <c r="S18" i="1"/>
  <c r="Y18" i="1" s="1"/>
  <c r="Z18" i="1" s="1"/>
  <c r="S800" i="1"/>
  <c r="Y800" i="1" s="1"/>
  <c r="Z800" i="1" s="1"/>
  <c r="S568" i="1"/>
  <c r="Y568" i="1" s="1"/>
  <c r="Z568" i="1" s="1"/>
  <c r="S784" i="1"/>
  <c r="Y784" i="1" s="1"/>
  <c r="Z784" i="1" s="1"/>
  <c r="S552" i="1"/>
  <c r="Y552" i="1" s="1"/>
  <c r="Z552" i="1" s="1"/>
  <c r="S387" i="1"/>
  <c r="Y387" i="1" s="1"/>
  <c r="Z387" i="1" s="1"/>
  <c r="S113" i="1"/>
  <c r="Y113" i="1" s="1"/>
  <c r="Z113" i="1" s="1"/>
  <c r="S22" i="1"/>
  <c r="Y22" i="1" s="1"/>
  <c r="AD22" i="1" s="1"/>
  <c r="S182" i="1"/>
  <c r="Y182" i="1" s="1"/>
  <c r="AD182" i="1" s="1"/>
  <c r="S458" i="1"/>
  <c r="Y458" i="1" s="1"/>
  <c r="AD458" i="1" s="1"/>
  <c r="S17" i="1"/>
  <c r="Y17" i="1" s="1"/>
  <c r="Z17" i="1" s="1"/>
  <c r="S114" i="1"/>
  <c r="Y114" i="1" s="1"/>
  <c r="AC114" i="1" s="1"/>
  <c r="S296" i="1"/>
  <c r="Y296" i="1" s="1"/>
  <c r="Z296" i="1" s="1"/>
  <c r="S699" i="1"/>
  <c r="Y699" i="1" s="1"/>
  <c r="Z699" i="1" s="1"/>
  <c r="S40" i="1"/>
  <c r="Y40" i="1" s="1"/>
  <c r="Z40" i="1" s="1"/>
  <c r="S585" i="1"/>
  <c r="Y585" i="1" s="1"/>
  <c r="Z585" i="1" s="1"/>
  <c r="S614" i="1"/>
  <c r="Y614" i="1" s="1"/>
  <c r="Z614" i="1" s="1"/>
  <c r="S46" i="1"/>
  <c r="Y46" i="1" s="1"/>
  <c r="Z46" i="1" s="1"/>
  <c r="S332" i="1"/>
  <c r="Y332" i="1" s="1"/>
  <c r="Z332" i="1" s="1"/>
  <c r="S579" i="1"/>
  <c r="Y579" i="1" s="1"/>
  <c r="Z579" i="1" s="1"/>
  <c r="S683" i="1"/>
  <c r="Y683" i="1" s="1"/>
  <c r="Z683" i="1" s="1"/>
  <c r="S367" i="1"/>
  <c r="Y367" i="1" s="1"/>
  <c r="Z367" i="1" s="1"/>
  <c r="S102" i="1"/>
  <c r="Y102" i="1" s="1"/>
  <c r="Z102" i="1" s="1"/>
  <c r="S532" i="1"/>
  <c r="Y532" i="1" s="1"/>
  <c r="AD532" i="1" s="1"/>
  <c r="S674" i="1"/>
  <c r="Y674" i="1" s="1"/>
  <c r="AD674" i="1" s="1"/>
  <c r="S472" i="1"/>
  <c r="Y472" i="1" s="1"/>
  <c r="AD472" i="1" s="1"/>
  <c r="S776" i="1"/>
  <c r="Y776" i="1" s="1"/>
  <c r="Z776" i="1" s="1"/>
  <c r="S622" i="1"/>
  <c r="Y622" i="1" s="1"/>
  <c r="AC622" i="1" s="1"/>
  <c r="S118" i="1"/>
  <c r="Y118" i="1" s="1"/>
  <c r="Z118" i="1" s="1"/>
  <c r="S720" i="1"/>
  <c r="Y720" i="1" s="1"/>
  <c r="Z720" i="1" s="1"/>
  <c r="S181" i="1"/>
  <c r="Y181" i="1" s="1"/>
  <c r="Z181" i="1" s="1"/>
  <c r="S170" i="1"/>
  <c r="Y170" i="1" s="1"/>
  <c r="Z170" i="1" s="1"/>
  <c r="S232" i="1"/>
  <c r="Y232" i="1" s="1"/>
  <c r="Z232" i="1" s="1"/>
  <c r="S756" i="1"/>
  <c r="Y756" i="1" s="1"/>
  <c r="Z756" i="1" s="1"/>
  <c r="S98" i="1"/>
  <c r="S763" i="1"/>
  <c r="Y763" i="1" s="1"/>
  <c r="Z763" i="1" s="1"/>
  <c r="S301" i="1"/>
  <c r="Y301" i="1" s="1"/>
  <c r="Z301" i="1" s="1"/>
  <c r="S555" i="1"/>
  <c r="Y555" i="1" s="1"/>
  <c r="Z555" i="1" s="1"/>
  <c r="S48" i="1"/>
  <c r="Y48" i="1" s="1"/>
  <c r="Z48" i="1" s="1"/>
  <c r="S304" i="1"/>
  <c r="Y304" i="1" s="1"/>
  <c r="AD304" i="1" s="1"/>
  <c r="S399" i="1"/>
  <c r="Y399" i="1" s="1"/>
  <c r="AD399" i="1" s="1"/>
  <c r="S325" i="1"/>
  <c r="Y325" i="1" s="1"/>
  <c r="Z325" i="1" s="1"/>
  <c r="S508" i="1"/>
  <c r="Y508" i="1" s="1"/>
  <c r="Z508" i="1" s="1"/>
  <c r="S455" i="1"/>
  <c r="Y455" i="1" s="1"/>
  <c r="AC455" i="1" s="1"/>
  <c r="S420" i="1"/>
  <c r="Y420" i="1" s="1"/>
  <c r="AC420" i="1" s="1"/>
  <c r="S741" i="1"/>
  <c r="Y741" i="1" s="1"/>
  <c r="Z741" i="1" s="1"/>
  <c r="S523" i="1"/>
  <c r="Y523" i="1" s="1"/>
  <c r="Z523" i="1" s="1"/>
  <c r="S89" i="1"/>
  <c r="Y89" i="1" s="1"/>
  <c r="Z89" i="1" s="1"/>
  <c r="S250" i="1"/>
  <c r="Y250" i="1" s="1"/>
  <c r="Z250" i="1" s="1"/>
  <c r="S124" i="1"/>
  <c r="Y124" i="1" s="1"/>
  <c r="Z124" i="1" s="1"/>
  <c r="S449" i="1"/>
  <c r="Y449" i="1" s="1"/>
  <c r="Z449" i="1" s="1"/>
  <c r="S179" i="1"/>
  <c r="Y179" i="1" s="1"/>
  <c r="Z179" i="1" s="1"/>
  <c r="S240" i="1"/>
  <c r="Y240" i="1" s="1"/>
  <c r="Z240" i="1" s="1"/>
  <c r="S276" i="1"/>
  <c r="Y276" i="1" s="1"/>
  <c r="Z276" i="1" s="1"/>
  <c r="S134" i="1"/>
  <c r="Y134" i="1" s="1"/>
  <c r="Z134" i="1" s="1"/>
  <c r="S271" i="1"/>
  <c r="Y271" i="1" s="1"/>
  <c r="AD271" i="1" s="1"/>
  <c r="S311" i="1"/>
  <c r="Y311" i="1" s="1"/>
  <c r="AD311" i="1" s="1"/>
  <c r="S549" i="1"/>
  <c r="Y549" i="1" s="1"/>
  <c r="AD549" i="1" s="1"/>
  <c r="S777" i="1"/>
  <c r="Y777" i="1" s="1"/>
  <c r="Z777" i="1" s="1"/>
  <c r="S14" i="1"/>
  <c r="Y14" i="1" s="1"/>
  <c r="AC14" i="1" s="1"/>
  <c r="S690" i="1"/>
  <c r="Y690" i="1" s="1"/>
  <c r="Z690" i="1" s="1"/>
  <c r="S602" i="1"/>
  <c r="Y602" i="1" s="1"/>
  <c r="Z602" i="1" s="1"/>
  <c r="S286" i="1"/>
  <c r="Y286" i="1" s="1"/>
  <c r="Z286" i="1" s="1"/>
  <c r="S749" i="1"/>
  <c r="Y749" i="1" s="1"/>
  <c r="Z749" i="1" s="1"/>
  <c r="S428" i="1"/>
  <c r="Y428" i="1" s="1"/>
  <c r="Z428" i="1" s="1"/>
  <c r="S518" i="1"/>
  <c r="Y518" i="1" s="1"/>
  <c r="Z518" i="1" s="1"/>
  <c r="S565" i="1"/>
  <c r="Y565" i="1" s="1"/>
  <c r="Z565" i="1" s="1"/>
  <c r="S550" i="1"/>
  <c r="Y550" i="1" s="1"/>
  <c r="Z550" i="1" s="1"/>
  <c r="S249" i="1"/>
  <c r="Y249" i="1" s="1"/>
  <c r="Z249" i="1" s="1"/>
  <c r="S412" i="1"/>
  <c r="Y412" i="1" s="1"/>
  <c r="Z412" i="1" s="1"/>
  <c r="S191" i="1"/>
  <c r="Y191" i="1" s="1"/>
  <c r="Z191" i="1" s="1"/>
  <c r="S422" i="1"/>
  <c r="Y422" i="1" s="1"/>
  <c r="AD422" i="1" s="1"/>
  <c r="S183" i="1"/>
  <c r="Y183" i="1" s="1"/>
  <c r="AD183" i="1" s="1"/>
  <c r="S753" i="1"/>
  <c r="Y753" i="1" s="1"/>
  <c r="Z753" i="1" s="1"/>
  <c r="S154" i="1"/>
  <c r="Y154" i="1" s="1"/>
  <c r="Z154" i="1" s="1"/>
  <c r="S577" i="1"/>
  <c r="Y577" i="1" s="1"/>
  <c r="AC577" i="1" s="1"/>
  <c r="S553" i="1"/>
  <c r="Y553" i="1" s="1"/>
  <c r="Z553" i="1" s="1"/>
  <c r="S16" i="1"/>
  <c r="Y16" i="1" s="1"/>
  <c r="Z16" i="1" s="1"/>
  <c r="S299" i="1"/>
  <c r="Y299" i="1" s="1"/>
  <c r="Z299" i="1" s="1"/>
  <c r="S407" i="1"/>
  <c r="Y407" i="1" s="1"/>
  <c r="Z407" i="1" s="1"/>
  <c r="S609" i="1"/>
  <c r="Y609" i="1" s="1"/>
  <c r="Z609" i="1" s="1"/>
  <c r="S539" i="1"/>
  <c r="Y539" i="1" s="1"/>
  <c r="Z539" i="1" s="1"/>
  <c r="S319" i="1"/>
  <c r="Y319" i="1" s="1"/>
  <c r="Z319" i="1" s="1"/>
  <c r="S381" i="1"/>
  <c r="Y381" i="1" s="1"/>
  <c r="Z381" i="1" s="1"/>
  <c r="S61" i="1"/>
  <c r="Y61" i="1" s="1"/>
  <c r="Z61" i="1" s="1"/>
  <c r="S295" i="1"/>
  <c r="Y295" i="1" s="1"/>
  <c r="Z295" i="1" s="1"/>
  <c r="S176" i="1"/>
  <c r="Y176" i="1" s="1"/>
  <c r="Z176" i="1" s="1"/>
  <c r="S464" i="1"/>
  <c r="Y464" i="1" s="1"/>
  <c r="AD464" i="1" s="1"/>
  <c r="S289" i="1"/>
  <c r="Y289" i="1" s="1"/>
  <c r="AD289" i="1" s="1"/>
  <c r="S146" i="1"/>
  <c r="Y146" i="1" s="1"/>
  <c r="Z146" i="1" s="1"/>
  <c r="S274" i="1"/>
  <c r="Y274" i="1" s="1"/>
  <c r="Z274" i="1" s="1"/>
  <c r="S267" i="1"/>
  <c r="Y267" i="1" s="1"/>
  <c r="AC267" i="1" s="1"/>
  <c r="S216" i="1"/>
  <c r="Y216" i="1" s="1"/>
  <c r="Z216" i="1" s="1"/>
  <c r="S247" i="1"/>
  <c r="Y247" i="1" s="1"/>
  <c r="Z247" i="1" s="1"/>
  <c r="S413" i="1"/>
  <c r="Y413" i="1" s="1"/>
  <c r="Z413" i="1" s="1"/>
  <c r="S453" i="1"/>
  <c r="Y453" i="1" s="1"/>
  <c r="Z453" i="1" s="1"/>
  <c r="S28" i="1"/>
  <c r="Y28" i="1" s="1"/>
  <c r="Z28" i="1" s="1"/>
  <c r="S42" i="1"/>
  <c r="Y42" i="1" s="1"/>
  <c r="Z42" i="1" s="1"/>
  <c r="S210" i="1"/>
  <c r="Y210" i="1" s="1"/>
  <c r="Z210" i="1" s="1"/>
  <c r="S142" i="1"/>
  <c r="Y142" i="1" s="1"/>
  <c r="Z142" i="1" s="1"/>
  <c r="S600" i="1"/>
  <c r="Y600" i="1" s="1"/>
  <c r="Z600" i="1" s="1"/>
  <c r="S206" i="1"/>
  <c r="Y206" i="1" s="1"/>
  <c r="Z206" i="1" s="1"/>
  <c r="S705" i="1"/>
  <c r="Y705" i="1" s="1"/>
  <c r="Z705" i="1" s="1"/>
  <c r="S501" i="1"/>
  <c r="Y501" i="1" s="1"/>
  <c r="AD501" i="1" s="1"/>
  <c r="S229" i="1"/>
  <c r="Y229" i="1" s="1"/>
  <c r="AD229" i="1" s="1"/>
  <c r="S34" i="1"/>
  <c r="Y34" i="1" s="1"/>
  <c r="AD34" i="1" s="1"/>
  <c r="S81" i="1"/>
  <c r="Y81" i="1" s="1"/>
  <c r="Z81" i="1" s="1"/>
  <c r="S192" i="1"/>
  <c r="Y192" i="1" s="1"/>
  <c r="AC192" i="1" s="1"/>
  <c r="S158" i="1"/>
  <c r="Y158" i="1" s="1"/>
  <c r="Z158" i="1" s="1"/>
  <c r="S535" i="1"/>
  <c r="Y535" i="1" s="1"/>
  <c r="Z535" i="1" s="1"/>
  <c r="S426" i="1"/>
  <c r="Y426" i="1" s="1"/>
  <c r="Z426" i="1" s="1"/>
  <c r="S673" i="1"/>
  <c r="Y673" i="1" s="1"/>
  <c r="Z673" i="1" s="1"/>
  <c r="S237" i="1"/>
  <c r="Y237" i="1" s="1"/>
  <c r="Z237" i="1" s="1"/>
  <c r="S320" i="1"/>
  <c r="Y320" i="1" s="1"/>
  <c r="Z320" i="1" s="1"/>
  <c r="S246" i="1"/>
  <c r="Y246" i="1" s="1"/>
  <c r="Z246" i="1" s="1"/>
  <c r="S477" i="1"/>
  <c r="Y477" i="1" s="1"/>
  <c r="Z477" i="1" s="1"/>
  <c r="S30" i="1"/>
  <c r="Y30" i="1" s="1"/>
  <c r="Z30" i="1" s="1"/>
  <c r="S380" i="1"/>
  <c r="Y380" i="1" s="1"/>
  <c r="Z380" i="1" s="1"/>
  <c r="S621" i="1"/>
  <c r="Y621" i="1" s="1"/>
  <c r="Z621" i="1" s="1"/>
  <c r="S570" i="1"/>
  <c r="Y570" i="1" s="1"/>
  <c r="AD570" i="1" s="1"/>
  <c r="S561" i="1"/>
  <c r="Y561" i="1" s="1"/>
  <c r="AD561" i="1" s="1"/>
  <c r="S345" i="1"/>
  <c r="Y345" i="1" s="1"/>
  <c r="AD345" i="1" s="1"/>
  <c r="S789" i="1"/>
  <c r="Y789" i="1" s="1"/>
  <c r="Z789" i="1" s="1"/>
  <c r="S180" i="1"/>
  <c r="Y180" i="1" s="1"/>
  <c r="AC180" i="1" s="1"/>
  <c r="S312" i="1"/>
  <c r="Y312" i="1" s="1"/>
  <c r="Z312" i="1" s="1"/>
  <c r="S50" i="1"/>
  <c r="Y50" i="1" s="1"/>
  <c r="Z50" i="1" s="1"/>
  <c r="S688" i="1"/>
  <c r="Y688" i="1" s="1"/>
  <c r="Z688" i="1" s="1"/>
  <c r="S47" i="1"/>
  <c r="Y47" i="1" s="1"/>
  <c r="Z47" i="1" s="1"/>
  <c r="S754" i="1"/>
  <c r="Y754" i="1" s="1"/>
  <c r="Z754" i="1" s="1"/>
  <c r="S266" i="1"/>
  <c r="Y266" i="1" s="1"/>
  <c r="Z266" i="1" s="1"/>
  <c r="S589" i="1"/>
  <c r="Y589" i="1" s="1"/>
  <c r="Z589" i="1" s="1"/>
  <c r="S99" i="1"/>
  <c r="Y99" i="1" s="1"/>
  <c r="Z99" i="1" s="1"/>
  <c r="S502" i="1"/>
  <c r="Y502" i="1" s="1"/>
  <c r="Z502" i="1" s="1"/>
  <c r="S643" i="1"/>
  <c r="Y643" i="1" s="1"/>
  <c r="Z643" i="1" s="1"/>
  <c r="S242" i="1"/>
  <c r="Y242" i="1" s="1"/>
  <c r="Z242" i="1" s="1"/>
  <c r="S575" i="1"/>
  <c r="Y575" i="1" s="1"/>
  <c r="AD575" i="1" s="1"/>
  <c r="S330" i="1"/>
  <c r="Y330" i="1" s="1"/>
  <c r="AD330" i="1" s="1"/>
  <c r="S504" i="1"/>
  <c r="Y504" i="1" s="1"/>
  <c r="Z504" i="1" s="1"/>
  <c r="S724" i="1"/>
  <c r="Y724" i="1" s="1"/>
  <c r="Z724" i="1" s="1"/>
  <c r="S415" i="1"/>
  <c r="Y415" i="1" s="1"/>
  <c r="AC415" i="1" s="1"/>
  <c r="S393" i="1"/>
  <c r="Y393" i="1" s="1"/>
  <c r="Z393" i="1" s="1"/>
  <c r="S316" i="1"/>
  <c r="Y316" i="1" s="1"/>
  <c r="Z316" i="1" s="1"/>
  <c r="S718" i="1"/>
  <c r="Y718" i="1" s="1"/>
  <c r="Z718" i="1" s="1"/>
  <c r="S526" i="1"/>
  <c r="Y526" i="1" s="1"/>
  <c r="Z526" i="1" s="1"/>
  <c r="S725" i="1"/>
  <c r="Y725" i="1" s="1"/>
  <c r="Z725" i="1" s="1"/>
  <c r="S235" i="1"/>
  <c r="Y235" i="1" s="1"/>
  <c r="Z235" i="1" s="1"/>
  <c r="S115" i="1"/>
  <c r="Y115" i="1" s="1"/>
  <c r="Z115" i="1" s="1"/>
  <c r="S693" i="1"/>
  <c r="Y693" i="1" s="1"/>
  <c r="Z693" i="1" s="1"/>
  <c r="S248" i="1"/>
  <c r="Y248" i="1" s="1"/>
  <c r="Z248" i="1" s="1"/>
  <c r="S645" i="1"/>
  <c r="Y645" i="1" s="1"/>
  <c r="Z645" i="1" s="1"/>
  <c r="S613" i="1"/>
  <c r="Y613" i="1" s="1"/>
  <c r="Z613" i="1" s="1"/>
  <c r="S227" i="1"/>
  <c r="Y227" i="1" s="1"/>
  <c r="AD227" i="1" s="1"/>
  <c r="S327" i="1"/>
  <c r="Y327" i="1" s="1"/>
  <c r="AD327" i="1" s="1"/>
  <c r="S164" i="1"/>
  <c r="Y164" i="1" s="1"/>
  <c r="AD164" i="1" s="1"/>
  <c r="S177" i="1"/>
  <c r="Y177" i="1" s="1"/>
  <c r="Z177" i="1" s="1"/>
  <c r="S597" i="1"/>
  <c r="Y597" i="1" s="1"/>
  <c r="AC597" i="1" s="1"/>
  <c r="S270" i="1"/>
  <c r="Y270" i="1" s="1"/>
  <c r="Z270" i="1" s="1"/>
  <c r="S557" i="1"/>
  <c r="Y557" i="1" s="1"/>
  <c r="Z557" i="1" s="1"/>
  <c r="S199" i="1"/>
  <c r="Y199" i="1" s="1"/>
  <c r="Z199" i="1" s="1"/>
  <c r="S368" i="1"/>
  <c r="Y368" i="1" s="1"/>
  <c r="Z368" i="1" s="1"/>
  <c r="S774" i="1"/>
  <c r="Y774" i="1" s="1"/>
  <c r="Z774" i="1" s="1"/>
  <c r="S293" i="1"/>
  <c r="Y293" i="1" s="1"/>
  <c r="Z293" i="1" s="1"/>
  <c r="S499" i="1"/>
  <c r="Y499" i="1" s="1"/>
  <c r="Z499" i="1" s="1"/>
  <c r="S408" i="1"/>
  <c r="Y408" i="1" s="1"/>
  <c r="Z408" i="1" s="1"/>
  <c r="S517" i="1"/>
  <c r="Y517" i="1" s="1"/>
  <c r="Z517" i="1" s="1"/>
  <c r="S394" i="1"/>
  <c r="Y394" i="1" s="1"/>
  <c r="Z394" i="1" s="1"/>
  <c r="S513" i="1"/>
  <c r="Y513" i="1" s="1"/>
  <c r="Z513" i="1" s="1"/>
  <c r="S383" i="1"/>
  <c r="Y383" i="1" s="1"/>
  <c r="AD383" i="1" s="1"/>
  <c r="S799" i="1"/>
  <c r="Y799" i="1" s="1"/>
  <c r="S39" i="1"/>
  <c r="Y39" i="1" s="1"/>
  <c r="AD39" i="1" s="1"/>
  <c r="S37" i="1"/>
  <c r="Y37" i="1" s="1"/>
  <c r="Z37" i="1" s="1"/>
  <c r="S533" i="1"/>
  <c r="Y533" i="1" s="1"/>
  <c r="AC533" i="1" s="1"/>
  <c r="S702" i="1"/>
  <c r="Y702" i="1" s="1"/>
  <c r="Z702" i="1" s="1"/>
  <c r="S314" i="1"/>
  <c r="Y314" i="1" s="1"/>
  <c r="Z314" i="1" s="1"/>
  <c r="S760" i="1"/>
  <c r="Y760" i="1" s="1"/>
  <c r="Z760" i="1" s="1"/>
  <c r="S669" i="1"/>
  <c r="Y669" i="1" s="1"/>
  <c r="Z669" i="1" s="1"/>
  <c r="S482" i="1"/>
  <c r="Y482" i="1" s="1"/>
  <c r="Z482" i="1" s="1"/>
  <c r="S726" i="1"/>
  <c r="Y726" i="1" s="1"/>
  <c r="Z726" i="1" s="1"/>
  <c r="S687" i="1"/>
  <c r="Y687" i="1" s="1"/>
  <c r="Z687" i="1" s="1"/>
  <c r="S651" i="1"/>
  <c r="Y651" i="1" s="1"/>
  <c r="Z651" i="1" s="1"/>
  <c r="S354" i="1"/>
  <c r="Y354" i="1" s="1"/>
  <c r="Z354" i="1" s="1"/>
  <c r="S110" i="1"/>
  <c r="Y110" i="1" s="1"/>
  <c r="Z110" i="1" s="1"/>
  <c r="S750" i="1"/>
  <c r="Y750" i="1" s="1"/>
  <c r="Z750" i="1" s="1"/>
  <c r="S506" i="1"/>
  <c r="Y506" i="1" s="1"/>
  <c r="AD506" i="1" s="1"/>
  <c r="S129" i="1"/>
  <c r="Y129" i="1" s="1"/>
  <c r="AD129" i="1" s="1"/>
  <c r="S454" i="1"/>
  <c r="Y454" i="1" s="1"/>
  <c r="AD454" i="1" s="1"/>
  <c r="S336" i="1"/>
  <c r="Y336" i="1" s="1"/>
  <c r="Z336" i="1" s="1"/>
  <c r="S790" i="1"/>
  <c r="Y790" i="1" s="1"/>
  <c r="AD790" i="1" s="1"/>
  <c r="S755" i="1"/>
  <c r="Y755" i="1" s="1"/>
  <c r="Z755" i="1" s="1"/>
  <c r="S27" i="1"/>
  <c r="Y27" i="1" s="1"/>
  <c r="Z27" i="1" s="1"/>
  <c r="S439" i="1"/>
  <c r="Y439" i="1" s="1"/>
  <c r="Z439" i="1" s="1"/>
  <c r="S151" i="1"/>
  <c r="Y151" i="1" s="1"/>
  <c r="Z151" i="1" s="1"/>
  <c r="S378" i="1"/>
  <c r="Y378" i="1" s="1"/>
  <c r="Z378" i="1" s="1"/>
  <c r="S593" i="1"/>
  <c r="Y593" i="1" s="1"/>
  <c r="Z593" i="1" s="1"/>
  <c r="S677" i="1"/>
  <c r="Y677" i="1" s="1"/>
  <c r="Z677" i="1" s="1"/>
  <c r="S633" i="1"/>
  <c r="Y633" i="1" s="1"/>
  <c r="Z633" i="1" s="1"/>
  <c r="S156" i="1"/>
  <c r="Y156" i="1" s="1"/>
  <c r="Z156" i="1" s="1"/>
  <c r="S291" i="1"/>
  <c r="Y291" i="1" s="1"/>
  <c r="Z291" i="1" s="1"/>
  <c r="S185" i="1"/>
  <c r="Y185" i="1" s="1"/>
  <c r="Z185" i="1" s="1"/>
  <c r="S447" i="1"/>
  <c r="Y447" i="1" s="1"/>
  <c r="AD447" i="1" s="1"/>
  <c r="S79" i="1"/>
  <c r="Y79" i="1" s="1"/>
  <c r="AD79" i="1" s="1"/>
  <c r="S255" i="1"/>
  <c r="Y255" i="1" s="1"/>
  <c r="AD255" i="1" s="1"/>
  <c r="S373" i="1"/>
  <c r="Y373" i="1" s="1"/>
  <c r="Z373" i="1" s="1"/>
  <c r="S757" i="1"/>
  <c r="Y757" i="1" s="1"/>
  <c r="AC757" i="1" s="1"/>
  <c r="S119" i="1"/>
  <c r="Y119" i="1" s="1"/>
  <c r="Z119" i="1" s="1"/>
  <c r="S356" i="1"/>
  <c r="Y356" i="1" s="1"/>
  <c r="Z356" i="1" s="1"/>
  <c r="S759" i="1"/>
  <c r="Y759" i="1" s="1"/>
  <c r="Z759" i="1" s="1"/>
  <c r="S369" i="1"/>
  <c r="Y369" i="1" s="1"/>
  <c r="Z369" i="1" s="1"/>
  <c r="S25" i="1"/>
  <c r="Y25" i="1" s="1"/>
  <c r="Z25" i="1" s="1"/>
  <c r="S616" i="1"/>
  <c r="Y616" i="1" s="1"/>
  <c r="Z616" i="1" s="1"/>
  <c r="S140" i="1"/>
  <c r="S402" i="1"/>
  <c r="Y402" i="1" s="1"/>
  <c r="Z402" i="1" s="1"/>
  <c r="S127" i="1"/>
  <c r="Y127" i="1" s="1"/>
  <c r="Z127" i="1" s="1"/>
  <c r="S470" i="1"/>
  <c r="Y470" i="1" s="1"/>
  <c r="Z470" i="1" s="1"/>
  <c r="S619" i="1"/>
  <c r="Y619" i="1" s="1"/>
  <c r="Z619" i="1" s="1"/>
  <c r="S193" i="1"/>
  <c r="Y193" i="1" s="1"/>
  <c r="AD193" i="1" s="1"/>
  <c r="S527" i="1"/>
  <c r="Y527" i="1" s="1"/>
  <c r="AD527" i="1" s="1"/>
  <c r="S275" i="1"/>
  <c r="Y275" i="1" s="1"/>
  <c r="AD275" i="1" s="1"/>
  <c r="S245" i="1"/>
  <c r="Y245" i="1" s="1"/>
  <c r="Z245" i="1" s="1"/>
  <c r="S591" i="1"/>
  <c r="Y591" i="1" s="1"/>
  <c r="AC591" i="1" s="1"/>
  <c r="S363" i="1"/>
  <c r="Y363" i="1" s="1"/>
  <c r="Z363" i="1" s="1"/>
  <c r="S642" i="1"/>
  <c r="Y642" i="1" s="1"/>
  <c r="Z642" i="1" s="1"/>
  <c r="S317" i="1"/>
  <c r="Y317" i="1" s="1"/>
  <c r="Z317" i="1" s="1"/>
  <c r="S160" i="1"/>
  <c r="Y160" i="1" s="1"/>
  <c r="Z160" i="1" s="1"/>
  <c r="S416" i="1"/>
  <c r="Y416" i="1" s="1"/>
  <c r="Z416" i="1" s="1"/>
  <c r="S745" i="1"/>
  <c r="Y745" i="1" s="1"/>
  <c r="Z745" i="1" s="1"/>
  <c r="S297" i="1"/>
  <c r="Y297" i="1" s="1"/>
  <c r="Z297" i="1" s="1"/>
  <c r="S714" i="1"/>
  <c r="Y714" i="1" s="1"/>
  <c r="Z714" i="1" s="1"/>
  <c r="S239" i="1"/>
  <c r="Y239" i="1" s="1"/>
  <c r="Z239" i="1" s="1"/>
  <c r="S484" i="1"/>
  <c r="Y484" i="1" s="1"/>
  <c r="Z484" i="1" s="1"/>
  <c r="S467" i="1"/>
  <c r="Y467" i="1" s="1"/>
  <c r="Z467" i="1" s="1"/>
  <c r="S639" i="1"/>
  <c r="Y639" i="1" s="1"/>
  <c r="AD639" i="1" s="1"/>
  <c r="S9" i="1"/>
  <c r="Y9" i="1" s="1"/>
  <c r="AD9" i="1" s="1"/>
  <c r="S263" i="1"/>
  <c r="Y263" i="1" s="1"/>
  <c r="AD263" i="1" s="1"/>
  <c r="S104" i="1"/>
  <c r="Y104" i="1" s="1"/>
  <c r="Z104" i="1" s="1"/>
  <c r="S371" i="1"/>
  <c r="Y371" i="1" s="1"/>
  <c r="AC371" i="1" s="1"/>
  <c r="S574" i="1"/>
  <c r="Y574" i="1" s="1"/>
  <c r="Z574" i="1" s="1"/>
  <c r="S762" i="1"/>
  <c r="Y762" i="1" s="1"/>
  <c r="Z762" i="1" s="1"/>
  <c r="S202" i="1"/>
  <c r="Y202" i="1" s="1"/>
  <c r="Z202" i="1" s="1"/>
  <c r="S87" i="1"/>
  <c r="Y87" i="1" s="1"/>
  <c r="Z87" i="1" s="1"/>
  <c r="S516" i="1"/>
  <c r="Y516" i="1" s="1"/>
  <c r="Z516" i="1" s="1"/>
  <c r="S703" i="1"/>
  <c r="Y703" i="1" s="1"/>
  <c r="Z703" i="1" s="1"/>
  <c r="S662" i="1"/>
  <c r="Y662" i="1" s="1"/>
  <c r="Z662" i="1" s="1"/>
  <c r="S485" i="1"/>
  <c r="Y485" i="1" s="1"/>
  <c r="Z485" i="1" s="1"/>
  <c r="S795" i="1"/>
  <c r="Y795" i="1" s="1"/>
  <c r="Z795" i="1" s="1"/>
  <c r="S682" i="1"/>
  <c r="Y682" i="1" s="1"/>
  <c r="Z682" i="1" s="1"/>
  <c r="S427" i="1"/>
  <c r="Y427" i="1" s="1"/>
  <c r="Z427" i="1" s="1"/>
  <c r="S715" i="1"/>
  <c r="Y715" i="1" s="1"/>
  <c r="AD715" i="1" s="1"/>
  <c r="S448" i="1"/>
  <c r="Y448" i="1" s="1"/>
  <c r="AD448" i="1" s="1"/>
  <c r="S128" i="1"/>
  <c r="Y128" i="1" s="1"/>
  <c r="AD128" i="1" s="1"/>
  <c r="S457" i="1"/>
  <c r="Y457" i="1" s="1"/>
  <c r="Z457" i="1" s="1"/>
  <c r="S359" i="1"/>
  <c r="Y359" i="1" s="1"/>
  <c r="AC359" i="1" s="1"/>
  <c r="S93" i="1"/>
  <c r="Y93" i="1" s="1"/>
  <c r="Z93" i="1" s="1"/>
  <c r="S278" i="1"/>
  <c r="Y278" i="1" s="1"/>
  <c r="Z278" i="1" s="1"/>
  <c r="S618" i="1"/>
  <c r="Y618" i="1" s="1"/>
  <c r="Z618" i="1" s="1"/>
  <c r="S534" i="1"/>
  <c r="Y534" i="1" s="1"/>
  <c r="Z534" i="1" s="1"/>
  <c r="S444" i="1"/>
  <c r="Y444" i="1" s="1"/>
  <c r="Z444" i="1" s="1"/>
  <c r="S676" i="1"/>
  <c r="Y676" i="1" s="1"/>
  <c r="Z676" i="1" s="1"/>
  <c r="S736" i="1"/>
  <c r="Y736" i="1" s="1"/>
  <c r="Z736" i="1" s="1"/>
  <c r="S779" i="1"/>
  <c r="Y779" i="1" s="1"/>
  <c r="Z779" i="1" s="1"/>
  <c r="S72" i="1"/>
  <c r="Y72" i="1" s="1"/>
  <c r="Z72" i="1" s="1"/>
  <c r="S529" i="1"/>
  <c r="Y529" i="1" s="1"/>
  <c r="Z529" i="1" s="1"/>
  <c r="S711" i="1"/>
  <c r="Y711" i="1" s="1"/>
  <c r="Z711" i="1" s="1"/>
  <c r="S126" i="1"/>
  <c r="Y126" i="1" s="1"/>
  <c r="AD126" i="1" s="1"/>
  <c r="S178" i="1"/>
  <c r="Y178" i="1" s="1"/>
  <c r="AD178" i="1" s="1"/>
  <c r="S188" i="1"/>
  <c r="Y188" i="1" s="1"/>
  <c r="AD188" i="1" s="1"/>
  <c r="S283" i="1"/>
  <c r="Y283" i="1" s="1"/>
  <c r="Z283" i="1" s="1"/>
  <c r="S438" i="1"/>
  <c r="Y438" i="1" s="1"/>
  <c r="AC438" i="1" s="1"/>
  <c r="S630" i="1"/>
  <c r="Y630" i="1" s="1"/>
  <c r="Z630" i="1" s="1"/>
  <c r="S252" i="1"/>
  <c r="Y252" i="1" s="1"/>
  <c r="Z252" i="1" s="1"/>
  <c r="S432" i="1"/>
  <c r="Y432" i="1" s="1"/>
  <c r="Z432" i="1" s="1"/>
  <c r="S5" i="1"/>
  <c r="Y5" i="1" s="1"/>
  <c r="Z5" i="1" s="1"/>
  <c r="S211" i="1"/>
  <c r="Y211" i="1" s="1"/>
  <c r="Z211" i="1" s="1"/>
  <c r="S617" i="1"/>
  <c r="Y617" i="1" s="1"/>
  <c r="Z617" i="1" s="1"/>
  <c r="S478" i="1"/>
  <c r="Y478" i="1" s="1"/>
  <c r="Z478" i="1" s="1"/>
  <c r="S667" i="1"/>
  <c r="Y667" i="1" s="1"/>
  <c r="Z667" i="1" s="1"/>
  <c r="S417" i="1"/>
  <c r="Y417" i="1" s="1"/>
  <c r="Z417" i="1" s="1"/>
  <c r="S305" i="1"/>
  <c r="Y305" i="1" s="1"/>
  <c r="Z305" i="1" s="1"/>
  <c r="S379" i="1"/>
  <c r="Y379" i="1" s="1"/>
  <c r="Z379" i="1" s="1"/>
  <c r="S509" i="1"/>
  <c r="Y509" i="1" s="1"/>
  <c r="AD509" i="1" s="1"/>
  <c r="S389" i="1"/>
  <c r="Y389" i="1" s="1"/>
  <c r="AD389" i="1" s="1"/>
  <c r="S666" i="1"/>
  <c r="Y666" i="1" s="1"/>
  <c r="AD666" i="1" s="1"/>
  <c r="S698" i="1"/>
  <c r="Y698" i="1" s="1"/>
  <c r="Z698" i="1" s="1"/>
  <c r="S588" i="1"/>
  <c r="Y588" i="1" s="1"/>
  <c r="Z588" i="1" s="1"/>
  <c r="S323" i="1"/>
  <c r="Y323" i="1" s="1"/>
  <c r="Z323" i="1" s="1"/>
  <c r="S475" i="1"/>
  <c r="Y475" i="1" s="1"/>
  <c r="Z475" i="1" s="1"/>
  <c r="S109" i="1"/>
  <c r="Y109" i="1" s="1"/>
  <c r="Z109" i="1" s="1"/>
  <c r="S780" i="1"/>
  <c r="Y780" i="1" s="1"/>
  <c r="Z780" i="1" s="1"/>
  <c r="S559" i="1"/>
  <c r="Y559" i="1" s="1"/>
  <c r="Z559" i="1" s="1"/>
  <c r="S292" i="1"/>
  <c r="Y292" i="1" s="1"/>
  <c r="Z292" i="1" s="1"/>
  <c r="S331" i="1"/>
  <c r="Y331" i="1" s="1"/>
  <c r="Z331" i="1" s="1"/>
  <c r="S233" i="1"/>
  <c r="Y233" i="1" s="1"/>
  <c r="Z233" i="1" s="1"/>
  <c r="S576" i="1"/>
  <c r="Y576" i="1" s="1"/>
  <c r="Z576" i="1" s="1"/>
  <c r="S450" i="1"/>
  <c r="Y450" i="1" s="1"/>
  <c r="Z450" i="1" s="1"/>
  <c r="S310" i="1"/>
  <c r="Y310" i="1" s="1"/>
  <c r="Z310" i="1" s="1"/>
  <c r="S785" i="1"/>
  <c r="Y785" i="1" s="1"/>
  <c r="AD785" i="1" s="1"/>
  <c r="S107" i="1"/>
  <c r="Y107" i="1" s="1"/>
  <c r="AD107" i="1" s="1"/>
  <c r="S770" i="1"/>
  <c r="Y770" i="1" s="1"/>
  <c r="AD770" i="1" s="1"/>
  <c r="S792" i="1"/>
  <c r="Y792" i="1" s="1"/>
  <c r="Z792" i="1" s="1"/>
  <c r="S370" i="1"/>
  <c r="Y370" i="1" s="1"/>
  <c r="Z370" i="1" s="1"/>
  <c r="S44" i="1"/>
  <c r="Y44" i="1" s="1"/>
  <c r="Z44" i="1" s="1"/>
  <c r="S73" i="1"/>
  <c r="Y73" i="1" s="1"/>
  <c r="Z73" i="1" s="1"/>
  <c r="S746" i="1"/>
  <c r="Y746" i="1" s="1"/>
  <c r="Z746" i="1" s="1"/>
  <c r="S165" i="1"/>
  <c r="Y165" i="1" s="1"/>
  <c r="Z165" i="1" s="1"/>
  <c r="S257" i="1"/>
  <c r="Y257" i="1" s="1"/>
  <c r="Z257" i="1" s="1"/>
  <c r="S560" i="1"/>
  <c r="Y560" i="1" s="1"/>
  <c r="Z560" i="1" s="1"/>
  <c r="S661" i="1"/>
  <c r="Y661" i="1" s="1"/>
  <c r="Z661" i="1" s="1"/>
  <c r="S771" i="1"/>
  <c r="Y771" i="1" s="1"/>
  <c r="Z771" i="1" s="1"/>
  <c r="S601" i="1"/>
  <c r="Y601" i="1" s="1"/>
  <c r="Z601" i="1" s="1"/>
  <c r="S764" i="1"/>
  <c r="Y764" i="1" s="1"/>
  <c r="Z764" i="1" s="1"/>
  <c r="S734" i="1"/>
  <c r="Y734" i="1" s="1"/>
  <c r="Z734" i="1" s="1"/>
  <c r="S564" i="1"/>
  <c r="Y564" i="1" s="1"/>
  <c r="AD564" i="1" s="1"/>
  <c r="S424" i="1"/>
  <c r="Y424" i="1" s="1"/>
  <c r="AD424" i="1" s="1"/>
  <c r="S88" i="1"/>
  <c r="Y88" i="1" s="1"/>
  <c r="AD88" i="1" s="1"/>
  <c r="S522" i="1"/>
  <c r="Y522" i="1" s="1"/>
  <c r="Z522" i="1" s="1"/>
  <c r="S269" i="1"/>
  <c r="Y269" i="1" s="1"/>
  <c r="AC269" i="1" s="1"/>
  <c r="S465" i="1"/>
  <c r="Y465" i="1" s="1"/>
  <c r="Z465" i="1" s="1"/>
  <c r="S125" i="1"/>
  <c r="Y125" i="1" s="1"/>
  <c r="Z125" i="1" s="1"/>
  <c r="S640" i="1"/>
  <c r="Y640" i="1" s="1"/>
  <c r="Z640" i="1" s="1"/>
  <c r="S51" i="1"/>
  <c r="Y51" i="1" s="1"/>
  <c r="Z51" i="1" s="1"/>
  <c r="S324" i="1"/>
  <c r="Y324" i="1" s="1"/>
  <c r="Z324" i="1" s="1"/>
  <c r="S788" i="1"/>
  <c r="Y788" i="1" s="1"/>
  <c r="Z788" i="1" s="1"/>
  <c r="S434" i="1"/>
  <c r="Y434" i="1" s="1"/>
  <c r="Z434" i="1" s="1"/>
  <c r="S525" i="1"/>
  <c r="S200" i="1"/>
  <c r="Y200" i="1" s="1"/>
  <c r="Z200" i="1" s="1"/>
  <c r="S791" i="1"/>
  <c r="Y791" i="1" s="1"/>
  <c r="Z791" i="1" s="1"/>
  <c r="S443" i="1"/>
  <c r="Y443" i="1" s="1"/>
  <c r="Z443" i="1" s="1"/>
  <c r="S678" i="1"/>
  <c r="Y678" i="1" s="1"/>
  <c r="AD678" i="1" s="1"/>
  <c r="S592" i="1"/>
  <c r="Y592" i="1" s="1"/>
  <c r="AD592" i="1" s="1"/>
  <c r="S223" i="1"/>
  <c r="Y223" i="1" s="1"/>
  <c r="AD223" i="1" s="1"/>
  <c r="S772" i="1"/>
  <c r="Y772" i="1" s="1"/>
  <c r="Z772" i="1" s="1"/>
  <c r="S403" i="1"/>
  <c r="Y403" i="1" s="1"/>
  <c r="AC403" i="1" s="1"/>
  <c r="S163" i="1"/>
  <c r="Y163" i="1" s="1"/>
  <c r="Z163" i="1" s="1"/>
  <c r="S594" i="1"/>
  <c r="Y594" i="1" s="1"/>
  <c r="Z594" i="1" s="1"/>
  <c r="S105" i="1"/>
  <c r="Y105" i="1" s="1"/>
  <c r="Z105" i="1" s="1"/>
  <c r="S308" i="1"/>
  <c r="Y308" i="1" s="1"/>
  <c r="Z308" i="1" s="1"/>
  <c r="S41" i="1"/>
  <c r="Y41" i="1" s="1"/>
  <c r="Z41" i="1" s="1"/>
  <c r="S268" i="1"/>
  <c r="Y268" i="1" s="1"/>
  <c r="Z268" i="1" s="1"/>
  <c r="S430" i="1"/>
  <c r="Y430" i="1" s="1"/>
  <c r="Z430" i="1" s="1"/>
  <c r="S713" i="1"/>
  <c r="Y713" i="1" s="1"/>
  <c r="Z713" i="1" s="1"/>
  <c r="S82" i="1"/>
  <c r="Y82" i="1" s="1"/>
  <c r="Z82" i="1" s="1"/>
  <c r="S629" i="1"/>
  <c r="Y629" i="1" s="1"/>
  <c r="Z629" i="1" s="1"/>
  <c r="S169" i="1"/>
  <c r="Y169" i="1" s="1"/>
  <c r="Z169" i="1" s="1"/>
  <c r="S264" i="1"/>
  <c r="Y264" i="1" s="1"/>
  <c r="AD264" i="1" s="1"/>
  <c r="S53" i="1"/>
  <c r="Y53" i="1" s="1"/>
  <c r="AD53" i="1" s="1"/>
  <c r="S294" i="1"/>
  <c r="Y294" i="1" s="1"/>
  <c r="AD294" i="1" s="1"/>
  <c r="S738" i="1"/>
  <c r="Y738" i="1" s="1"/>
  <c r="Z738" i="1" s="1"/>
  <c r="S657" i="1"/>
  <c r="Y657" i="1" s="1"/>
  <c r="Z657" i="1" s="1"/>
  <c r="S218" i="1"/>
  <c r="Y218" i="1" s="1"/>
  <c r="Z218" i="1" s="1"/>
  <c r="S19" i="1"/>
  <c r="Y19" i="1" s="1"/>
  <c r="Z19" i="1" s="1"/>
  <c r="S212" i="1"/>
  <c r="Y212" i="1" s="1"/>
  <c r="Z212" i="1" s="1"/>
  <c r="S348" i="1"/>
  <c r="Y348" i="1" s="1"/>
  <c r="Z348" i="1" s="1"/>
  <c r="S460" i="1"/>
  <c r="Y460" i="1" s="1"/>
  <c r="Z460" i="1" s="1"/>
  <c r="S569" i="1"/>
  <c r="Y569" i="1" s="1"/>
  <c r="Z569" i="1" s="1"/>
  <c r="S536" i="1"/>
  <c r="Y536" i="1" s="1"/>
  <c r="Z536" i="1" s="1"/>
  <c r="S256" i="1"/>
  <c r="Y256" i="1" s="1"/>
  <c r="Z256" i="1" s="1"/>
  <c r="S544" i="1"/>
  <c r="Y544" i="1" s="1"/>
  <c r="Z544" i="1" s="1"/>
  <c r="S77" i="1"/>
  <c r="Y77" i="1" s="1"/>
  <c r="Z77" i="1" s="1"/>
  <c r="S480" i="1"/>
  <c r="Y480" i="1" s="1"/>
  <c r="Z480" i="1" s="1"/>
  <c r="S186" i="1"/>
  <c r="Y186" i="1" s="1"/>
  <c r="AD186" i="1" s="1"/>
  <c r="S21" i="1"/>
  <c r="Y21" i="1" s="1"/>
  <c r="AD21" i="1" s="1"/>
  <c r="S429" i="1"/>
  <c r="Y429" i="1" s="1"/>
  <c r="AD429" i="1" s="1"/>
  <c r="S258" i="1"/>
  <c r="Y258" i="1" s="1"/>
  <c r="Z258" i="1" s="1"/>
  <c r="S551" i="1"/>
  <c r="Y551" i="1" s="1"/>
  <c r="AC551" i="1" s="1"/>
  <c r="S710" i="1"/>
  <c r="Y710" i="1" s="1"/>
  <c r="Z710" i="1" s="1"/>
  <c r="S694" i="1"/>
  <c r="Y694" i="1" s="1"/>
  <c r="Z694" i="1" s="1"/>
  <c r="S395" i="1"/>
  <c r="Y395" i="1" s="1"/>
  <c r="Z395" i="1" s="1"/>
  <c r="S638" i="1"/>
  <c r="Y638" i="1" s="1"/>
  <c r="Z638" i="1" s="1"/>
  <c r="S7" i="1"/>
  <c r="Y7" i="1" s="1"/>
  <c r="Z7" i="1" s="1"/>
  <c r="S196" i="1"/>
  <c r="Y196" i="1" s="1"/>
  <c r="Z196" i="1" s="1"/>
  <c r="S103" i="1"/>
  <c r="Y103" i="1" s="1"/>
  <c r="Z103" i="1" s="1"/>
  <c r="S318" i="1"/>
  <c r="Y318" i="1" s="1"/>
  <c r="Z318" i="1" s="1"/>
  <c r="S463" i="1"/>
  <c r="Y463" i="1" s="1"/>
  <c r="Z463" i="1" s="1"/>
  <c r="S220" i="1"/>
  <c r="Y220" i="1" s="1"/>
  <c r="Z220" i="1" s="1"/>
  <c r="S524" i="1"/>
  <c r="Y524" i="1" s="1"/>
  <c r="Z524" i="1" s="1"/>
  <c r="S353" i="1"/>
  <c r="Y353" i="1" s="1"/>
  <c r="AD353" i="1" s="1"/>
  <c r="S106" i="1"/>
  <c r="Y106" i="1" s="1"/>
  <c r="AD106" i="1" s="1"/>
  <c r="S228" i="1"/>
  <c r="Y228" i="1" s="1"/>
  <c r="AD228" i="1" s="1"/>
  <c r="S172" i="1"/>
  <c r="Y172" i="1" s="1"/>
  <c r="Z172" i="1" s="1"/>
  <c r="S491" i="1"/>
  <c r="Y491" i="1" s="1"/>
  <c r="Z491" i="1" s="1"/>
  <c r="S184" i="1"/>
  <c r="Y184" i="1" s="1"/>
  <c r="Z184" i="1" s="1"/>
  <c r="S701" i="1"/>
  <c r="Y701" i="1" s="1"/>
  <c r="Z701" i="1" s="1"/>
  <c r="S670" i="1"/>
  <c r="Y670" i="1" s="1"/>
  <c r="Z670" i="1" s="1"/>
  <c r="S590" i="1"/>
  <c r="Y590" i="1" s="1"/>
  <c r="Z590" i="1" s="1"/>
  <c r="S765" i="1"/>
  <c r="Y765" i="1" s="1"/>
  <c r="Z765" i="1" s="1"/>
  <c r="S152" i="1"/>
  <c r="Y152" i="1" s="1"/>
  <c r="Z152" i="1" s="1"/>
  <c r="S133" i="1"/>
  <c r="Y133" i="1" s="1"/>
  <c r="Z133" i="1" s="1"/>
  <c r="S490" i="1"/>
  <c r="Y490" i="1" s="1"/>
  <c r="Z490" i="1" s="1"/>
  <c r="S773" i="1"/>
  <c r="Y773" i="1" s="1"/>
  <c r="Z773" i="1" s="1"/>
  <c r="S262" i="1"/>
  <c r="Y262" i="1" s="1"/>
  <c r="Z262" i="1" s="1"/>
  <c r="S120" i="1"/>
  <c r="Y120" i="1" s="1"/>
  <c r="Z120" i="1" s="1"/>
  <c r="S675" i="1"/>
  <c r="Y675" i="1" s="1"/>
  <c r="AD675" i="1" s="1"/>
  <c r="S620" i="1"/>
  <c r="Y620" i="1" s="1"/>
  <c r="AD620" i="1" s="1"/>
  <c r="S265" i="1"/>
  <c r="Y265" i="1" s="1"/>
  <c r="AD265" i="1" s="1"/>
  <c r="S300" i="1"/>
  <c r="Y300" i="1" s="1"/>
  <c r="Z300" i="1" s="1"/>
  <c r="S215" i="1"/>
  <c r="Y215" i="1" s="1"/>
  <c r="Z215" i="1" s="1"/>
  <c r="S123" i="1"/>
  <c r="Y123" i="1" s="1"/>
  <c r="Z123" i="1" s="1"/>
  <c r="S406" i="1"/>
  <c r="Y406" i="1" s="1"/>
  <c r="Z406" i="1" s="1"/>
  <c r="S554" i="1"/>
  <c r="Y554" i="1" s="1"/>
  <c r="Z554" i="1" s="1"/>
  <c r="S100" i="1"/>
  <c r="Y100" i="1" s="1"/>
  <c r="Z100" i="1" s="1"/>
  <c r="S644" i="1"/>
  <c r="Y644" i="1" s="1"/>
  <c r="Z644" i="1" s="1"/>
  <c r="S244" i="1"/>
  <c r="Y244" i="1" s="1"/>
  <c r="Z244" i="1" s="1"/>
  <c r="S70" i="1"/>
  <c r="Y70" i="1" s="1"/>
  <c r="Z70" i="1" s="1"/>
  <c r="S573" i="1"/>
  <c r="Y573" i="1" s="1"/>
  <c r="Z573" i="1" s="1"/>
  <c r="S194" i="1"/>
  <c r="Y194" i="1" s="1"/>
  <c r="Z194" i="1" s="1"/>
  <c r="S11" i="1"/>
  <c r="Y11" i="1" s="1"/>
  <c r="Z11" i="1" s="1"/>
  <c r="S611" i="1"/>
  <c r="Y611" i="1" s="1"/>
  <c r="Z611" i="1" s="1"/>
  <c r="S277" i="1"/>
  <c r="Y277" i="1" s="1"/>
  <c r="AD277" i="1" s="1"/>
  <c r="S801" i="1"/>
  <c r="Y801" i="1" s="1"/>
  <c r="AD801" i="1" s="1"/>
  <c r="S798" i="1"/>
  <c r="Y798" i="1" s="1"/>
  <c r="AD798" i="1" s="1"/>
  <c r="S587" i="1"/>
  <c r="Y587" i="1" s="1"/>
  <c r="Z587" i="1" s="1"/>
  <c r="S599" i="1"/>
  <c r="Y599" i="1" s="1"/>
  <c r="Z599" i="1" s="1"/>
  <c r="S238" i="1"/>
  <c r="Y238" i="1" s="1"/>
  <c r="Z238" i="1" s="1"/>
  <c r="S671" i="1"/>
  <c r="Y671" i="1" s="1"/>
  <c r="Z671" i="1" s="1"/>
  <c r="S32" i="1"/>
  <c r="Y32" i="1" s="1"/>
  <c r="Z32" i="1" s="1"/>
  <c r="S313" i="1"/>
  <c r="Y313" i="1" s="1"/>
  <c r="Z313" i="1" s="1"/>
  <c r="S781" i="1"/>
  <c r="Y781" i="1" s="1"/>
  <c r="Z781" i="1" s="1"/>
  <c r="S43" i="1"/>
  <c r="Y43" i="1" s="1"/>
  <c r="Z43" i="1" s="1"/>
  <c r="S758" i="1"/>
  <c r="Y758" i="1" s="1"/>
  <c r="Z758" i="1" s="1"/>
  <c r="S709" i="1"/>
  <c r="Y709" i="1" s="1"/>
  <c r="Z709" i="1" s="1"/>
  <c r="S419" i="1"/>
  <c r="Y419" i="1" s="1"/>
  <c r="Z419" i="1" s="1"/>
  <c r="S66" i="1"/>
  <c r="Y66" i="1" s="1"/>
  <c r="Z66" i="1" s="1"/>
  <c r="S528" i="1"/>
  <c r="Y528" i="1" s="1"/>
  <c r="Z528" i="1" s="1"/>
  <c r="S537" i="1"/>
  <c r="Y537" i="1" s="1"/>
  <c r="AD537" i="1" s="1"/>
  <c r="S226" i="1"/>
  <c r="Y226" i="1" s="1"/>
  <c r="AD226" i="1" s="1"/>
  <c r="S117" i="1"/>
  <c r="Y117" i="1" s="1"/>
  <c r="AD117" i="1" s="1"/>
  <c r="S236" i="1"/>
  <c r="Y236" i="1" s="1"/>
  <c r="Z236" i="1" s="1"/>
  <c r="S376" i="1"/>
  <c r="Y376" i="1" s="1"/>
  <c r="Z376" i="1" s="1"/>
  <c r="S251" i="1"/>
  <c r="Y251" i="1" s="1"/>
  <c r="Z251" i="1" s="1"/>
  <c r="S391" i="1"/>
  <c r="Y391" i="1" s="1"/>
  <c r="Z391" i="1" s="1"/>
  <c r="S338" i="1"/>
  <c r="Y338" i="1" s="1"/>
  <c r="Z338" i="1" s="1"/>
  <c r="S298" i="1"/>
  <c r="Y298" i="1" s="1"/>
  <c r="Z298" i="1" s="1"/>
  <c r="S628" i="1"/>
  <c r="Y628" i="1" s="1"/>
  <c r="Z628" i="1" s="1"/>
  <c r="S302" i="1"/>
  <c r="Y302" i="1" s="1"/>
  <c r="Z302" i="1" s="1"/>
  <c r="S38" i="1"/>
  <c r="Y38" i="1" s="1"/>
  <c r="Z38" i="1" s="1"/>
  <c r="S604" i="1"/>
  <c r="Y604" i="1" s="1"/>
  <c r="Z604" i="1" s="1"/>
  <c r="S339" i="1"/>
  <c r="Y339" i="1" s="1"/>
  <c r="Z339" i="1" s="1"/>
  <c r="S660" i="1"/>
  <c r="Y660" i="1" s="1"/>
  <c r="Z660" i="1" s="1"/>
  <c r="S224" i="1"/>
  <c r="Y224" i="1" s="1"/>
  <c r="Z224" i="1" s="1"/>
  <c r="S385" i="1"/>
  <c r="Y385" i="1" s="1"/>
  <c r="AD385" i="1" s="1"/>
  <c r="S400" i="1"/>
  <c r="Y400" i="1" s="1"/>
  <c r="AD400" i="1" s="1"/>
  <c r="S649" i="1"/>
  <c r="Y649" i="1" s="1"/>
  <c r="AD649" i="1" s="1"/>
  <c r="S203" i="1"/>
  <c r="Y203" i="1" s="1"/>
  <c r="Z203" i="1" s="1"/>
  <c r="S631" i="1"/>
  <c r="Y631" i="1" s="1"/>
  <c r="Z631" i="1" s="1"/>
  <c r="S135" i="1"/>
  <c r="Y135" i="1" s="1"/>
  <c r="Z135" i="1" s="1"/>
  <c r="S652" i="1"/>
  <c r="Y652" i="1" s="1"/>
  <c r="Z652" i="1" s="1"/>
  <c r="S52" i="1"/>
  <c r="Y52" i="1" s="1"/>
  <c r="Z52" i="1" s="1"/>
  <c r="S284" i="1"/>
  <c r="Y284" i="1" s="1"/>
  <c r="Z284" i="1" s="1"/>
  <c r="S571" i="1"/>
  <c r="Y571" i="1" s="1"/>
  <c r="Z571" i="1" s="1"/>
  <c r="S706" i="1"/>
  <c r="Y706" i="1" s="1"/>
  <c r="Z706" i="1" s="1"/>
  <c r="S567" i="1"/>
  <c r="Y567" i="1" s="1"/>
  <c r="Z567" i="1" s="1"/>
  <c r="S547" i="1"/>
  <c r="Y547" i="1" s="1"/>
  <c r="Z547" i="1" s="1"/>
  <c r="S421" i="1"/>
  <c r="Y421" i="1" s="1"/>
  <c r="Z421" i="1" s="1"/>
  <c r="S451" i="1"/>
  <c r="Y451" i="1" s="1"/>
  <c r="Z451" i="1" s="1"/>
  <c r="S548" i="1"/>
  <c r="Y548" i="1" s="1"/>
  <c r="Z548" i="1" s="1"/>
  <c r="S31" i="1"/>
  <c r="Y31" i="1" s="1"/>
  <c r="AD31" i="1" s="1"/>
  <c r="S769" i="1"/>
  <c r="Y769" i="1" s="1"/>
  <c r="AD769" i="1" s="1"/>
  <c r="S797" i="1"/>
  <c r="Y797" i="1" s="1"/>
  <c r="AD797" i="1" s="1"/>
  <c r="S364" i="1"/>
  <c r="Y364" i="1" s="1"/>
  <c r="Z364" i="1" s="1"/>
  <c r="S337" i="1"/>
  <c r="Y337" i="1" s="1"/>
  <c r="Z337" i="1" s="1"/>
  <c r="S733" i="1"/>
  <c r="Y733" i="1" s="1"/>
  <c r="Z733" i="1" s="1"/>
  <c r="S288" i="1"/>
  <c r="Y288" i="1" s="1"/>
  <c r="Z288" i="1" s="1"/>
  <c r="S197" i="1"/>
  <c r="Y197" i="1" s="1"/>
  <c r="Z197" i="1" s="1"/>
  <c r="S392" i="1"/>
  <c r="Y392" i="1" s="1"/>
  <c r="Z392" i="1" s="1"/>
  <c r="S596" i="1"/>
  <c r="Y596" i="1" s="1"/>
  <c r="Z596" i="1" s="1"/>
  <c r="S691" i="1"/>
  <c r="Y691" i="1" s="1"/>
  <c r="Z691" i="1" s="1"/>
  <c r="S487" i="1"/>
  <c r="Y487" i="1" s="1"/>
  <c r="Z487" i="1" s="1"/>
  <c r="S74" i="1"/>
  <c r="Y74" i="1" s="1"/>
  <c r="Z74" i="1" s="1"/>
  <c r="S623" i="1"/>
  <c r="Y623" i="1" s="1"/>
  <c r="Z623" i="1" s="1"/>
  <c r="S362" i="1"/>
  <c r="Y362" i="1" s="1"/>
  <c r="Z362" i="1" s="1"/>
  <c r="S78" i="1"/>
  <c r="Y78" i="1" s="1"/>
  <c r="Z78" i="1" s="1"/>
  <c r="S461" i="1"/>
  <c r="Y461" i="1" s="1"/>
  <c r="AD461" i="1" s="1"/>
  <c r="S637" i="1"/>
  <c r="Y637" i="1" s="1"/>
  <c r="AD637" i="1" s="1"/>
  <c r="S740" i="1"/>
  <c r="Y740" i="1" s="1"/>
  <c r="Z740" i="1" s="1"/>
  <c r="S63" i="1"/>
  <c r="Y63" i="1" s="1"/>
  <c r="Z63" i="1" s="1"/>
  <c r="S695" i="1"/>
  <c r="Y695" i="1" s="1"/>
  <c r="Z695" i="1" s="1"/>
  <c r="S466" i="1"/>
  <c r="Y466" i="1" s="1"/>
  <c r="Z466" i="1" s="1"/>
  <c r="S494" i="1"/>
  <c r="Y494" i="1" s="1"/>
  <c r="Z494" i="1" s="1"/>
  <c r="S650" i="1"/>
  <c r="Y650" i="1" s="1"/>
  <c r="Z650" i="1" s="1"/>
  <c r="S136" i="1"/>
  <c r="Y136" i="1" s="1"/>
  <c r="Z136" i="1" s="1"/>
  <c r="S431" i="1"/>
  <c r="Y431" i="1" s="1"/>
  <c r="Z431" i="1" s="1"/>
  <c r="S254" i="1"/>
  <c r="Y254" i="1" s="1"/>
  <c r="Z254" i="1" s="1"/>
  <c r="S761" i="1"/>
  <c r="Y761" i="1" s="1"/>
  <c r="Z761" i="1" s="1"/>
  <c r="S404" i="1"/>
  <c r="Y404" i="1" s="1"/>
  <c r="Z404" i="1" s="1"/>
  <c r="S340" i="1"/>
  <c r="Y340" i="1" s="1"/>
  <c r="Z340" i="1" s="1"/>
  <c r="S208" i="1"/>
  <c r="Y208" i="1" s="1"/>
  <c r="Z208" i="1" s="1"/>
  <c r="S259" i="1"/>
  <c r="Y259" i="1" s="1"/>
  <c r="Z259" i="1" s="1"/>
  <c r="S161" i="1"/>
  <c r="Y161" i="1" s="1"/>
  <c r="AD161" i="1" s="1"/>
  <c r="S372" i="1"/>
  <c r="Y372" i="1" s="1"/>
  <c r="AD372" i="1" s="1"/>
  <c r="S130" i="1"/>
  <c r="Y130" i="1" s="1"/>
  <c r="Z130" i="1" s="1"/>
  <c r="S26" i="1"/>
  <c r="Y26" i="1" s="1"/>
  <c r="Z26" i="1" s="1"/>
  <c r="S405" i="1"/>
  <c r="Y405" i="1" s="1"/>
  <c r="Z405" i="1" s="1"/>
  <c r="S452" i="1"/>
  <c r="Y452" i="1" s="1"/>
  <c r="Z452" i="1" s="1"/>
  <c r="S481" i="1"/>
  <c r="Y481" i="1" s="1"/>
  <c r="Z481" i="1" s="1"/>
  <c r="S488" i="1"/>
  <c r="Y488" i="1" s="1"/>
  <c r="Z488" i="1" s="1"/>
  <c r="S45" i="1"/>
  <c r="Y45" i="1" s="1"/>
  <c r="Z45" i="1" s="1"/>
  <c r="S315" i="1"/>
  <c r="Y315" i="1" s="1"/>
  <c r="Z315" i="1" s="1"/>
  <c r="S36" i="1"/>
  <c r="Y36" i="1" s="1"/>
  <c r="Z36" i="1" s="1"/>
  <c r="S700" i="1"/>
  <c r="Y700" i="1" s="1"/>
  <c r="Z700" i="1" s="1"/>
  <c r="S243" i="1"/>
  <c r="Y243" i="1" s="1"/>
  <c r="Z243" i="1" s="1"/>
  <c r="S641" i="1"/>
  <c r="Y641" i="1" s="1"/>
  <c r="Z641" i="1" s="1"/>
  <c r="S519" i="1"/>
  <c r="Y519" i="1" s="1"/>
  <c r="Z519" i="1" s="1"/>
  <c r="S436" i="1"/>
  <c r="Y436" i="1" s="1"/>
  <c r="Z436" i="1" s="1"/>
  <c r="S168" i="1"/>
  <c r="Y168" i="1" s="1"/>
  <c r="AD168" i="1" s="1"/>
  <c r="S595" i="1"/>
  <c r="Y595" i="1" s="1"/>
  <c r="AD595" i="1" s="1"/>
  <c r="S653" i="1"/>
  <c r="Y653" i="1" s="1"/>
  <c r="Z653" i="1" s="1"/>
  <c r="S603" i="1"/>
  <c r="Y603" i="1" s="1"/>
  <c r="Z603" i="1" s="1"/>
  <c r="S521" i="1"/>
  <c r="Y521" i="1" s="1"/>
  <c r="Z521" i="1" s="1"/>
  <c r="S476" i="1"/>
  <c r="Y476" i="1" s="1"/>
  <c r="Z476" i="1" s="1"/>
  <c r="S347" i="1"/>
  <c r="Y347" i="1" s="1"/>
  <c r="Z347" i="1" s="1"/>
  <c r="S689" i="1"/>
  <c r="Y689" i="1" s="1"/>
  <c r="Z689" i="1" s="1"/>
  <c r="F752" i="1"/>
  <c r="F511" i="1"/>
  <c r="F479" i="1"/>
  <c r="F531" i="1"/>
  <c r="F782" i="1"/>
  <c r="F722" i="1"/>
  <c r="F456" i="1"/>
  <c r="F96" i="1"/>
  <c r="F397" i="1"/>
  <c r="F658" i="1"/>
  <c r="F558" i="1"/>
  <c r="F131" i="1"/>
  <c r="F351" i="1"/>
  <c r="F437" i="1"/>
  <c r="F121" i="1"/>
  <c r="F530" i="1"/>
  <c r="F222" i="1"/>
  <c r="F341" i="1"/>
  <c r="F625" i="1"/>
  <c r="F486" i="1"/>
  <c r="F680" i="1"/>
  <c r="F696" i="1"/>
  <c r="F76" i="1"/>
  <c r="F388" i="1"/>
  <c r="F580" i="1"/>
  <c r="F328" i="1"/>
  <c r="F174" i="1"/>
  <c r="F377" i="1"/>
  <c r="F563" i="1"/>
  <c r="F729" i="1"/>
  <c r="F23" i="1"/>
  <c r="F306" i="1"/>
  <c r="F583" i="1"/>
  <c r="F723" i="1"/>
  <c r="F64" i="1"/>
  <c r="F716" i="1"/>
  <c r="F507" i="1"/>
  <c r="F612" i="1"/>
  <c r="F303" i="1"/>
  <c r="F309" i="1"/>
  <c r="F582" i="1"/>
  <c r="F137" i="1"/>
  <c r="F503" i="1"/>
  <c r="F157" i="1"/>
  <c r="F111" i="1"/>
  <c r="F171" i="1"/>
  <c r="F768" i="1"/>
  <c r="F411" i="1"/>
  <c r="F730" i="1"/>
  <c r="F187" i="1"/>
  <c r="F665" i="1"/>
  <c r="F655" i="1"/>
  <c r="F60" i="1"/>
  <c r="F112" i="1"/>
  <c r="F357" i="1"/>
  <c r="F360" i="1"/>
  <c r="F141" i="1"/>
  <c r="F54" i="1"/>
  <c r="F361" i="1"/>
  <c r="F793" i="1"/>
  <c r="F374" i="1"/>
  <c r="F143" i="1"/>
  <c r="F659" i="1"/>
  <c r="F545" i="1"/>
  <c r="F766" i="1"/>
  <c r="F778" i="1"/>
  <c r="F116" i="1"/>
  <c r="F91" i="1"/>
  <c r="F285" i="1"/>
  <c r="F445" i="1"/>
  <c r="F615" i="1"/>
  <c r="F495" i="1"/>
  <c r="F728" i="1"/>
  <c r="F578" i="1"/>
  <c r="F209" i="1"/>
  <c r="F204" i="1"/>
  <c r="F654" i="1"/>
  <c r="F217" i="1"/>
  <c r="F566" i="1"/>
  <c r="F409" i="1"/>
  <c r="F58" i="1"/>
  <c r="F627" i="1"/>
  <c r="F272" i="1"/>
  <c r="F498" i="1"/>
  <c r="F153" i="1"/>
  <c r="F322" i="1"/>
  <c r="F719" i="1"/>
  <c r="F65" i="1"/>
  <c r="F150" i="1"/>
  <c r="F195" i="1"/>
  <c r="F469" i="1"/>
  <c r="F13" i="1"/>
  <c r="F149" i="1"/>
  <c r="F90" i="1"/>
  <c r="F384" i="1"/>
  <c r="F280" i="1"/>
  <c r="F55" i="1"/>
  <c r="F520" i="1"/>
  <c r="F608" i="1"/>
  <c r="F598" i="1"/>
  <c r="F796" i="1"/>
  <c r="F510" i="1"/>
  <c r="F581" i="1"/>
  <c r="F751" i="1"/>
  <c r="F29" i="1"/>
  <c r="F326" i="1"/>
  <c r="F219" i="1"/>
  <c r="F6" i="1"/>
  <c r="F261" i="1"/>
  <c r="F349" i="1"/>
  <c r="F692" i="1"/>
  <c r="F287" i="1"/>
  <c r="F606" i="1"/>
  <c r="F446" i="1"/>
  <c r="F355" i="1"/>
  <c r="F198" i="1"/>
  <c r="F712" i="1"/>
  <c r="F85" i="1"/>
  <c r="F86" i="1"/>
  <c r="F697" i="1"/>
  <c r="F207" i="1"/>
  <c r="F742" i="1"/>
  <c r="F205" i="1"/>
  <c r="F435" i="1"/>
  <c r="F366" i="1"/>
  <c r="F62" i="1"/>
  <c r="F189" i="1"/>
  <c r="F155" i="1"/>
  <c r="F358" i="1"/>
  <c r="F94" i="1"/>
  <c r="F69" i="1"/>
  <c r="F15" i="1"/>
  <c r="F787" i="1"/>
  <c r="F493" i="1"/>
  <c r="F607" i="1"/>
  <c r="F684" i="1"/>
  <c r="F648" i="1"/>
  <c r="F333" i="1"/>
  <c r="F515" i="1"/>
  <c r="F307" i="1"/>
  <c r="F382" i="1"/>
  <c r="F138" i="1"/>
  <c r="F281" i="1"/>
  <c r="F97" i="1"/>
  <c r="F794" i="1"/>
  <c r="F4" i="1"/>
  <c r="F260" i="1"/>
  <c r="F352" i="1"/>
  <c r="F175" i="1"/>
  <c r="F473" i="1"/>
  <c r="F626" i="1"/>
  <c r="F282" i="1"/>
  <c r="F471" i="1"/>
  <c r="F727" i="1"/>
  <c r="F747" i="1"/>
  <c r="F201" i="1"/>
  <c r="F433" i="1"/>
  <c r="F390" i="1"/>
  <c r="F542" i="1"/>
  <c r="F144" i="1"/>
  <c r="F474" i="1"/>
  <c r="F108" i="1"/>
  <c r="F775" i="1"/>
  <c r="F145" i="1"/>
  <c r="F279" i="1"/>
  <c r="F647" i="1"/>
  <c r="F231" i="1"/>
  <c r="F401" i="1"/>
  <c r="F253" i="1"/>
  <c r="F342" i="1"/>
  <c r="F410" i="1"/>
  <c r="F440" i="1"/>
  <c r="F562" i="1"/>
  <c r="F190" i="1"/>
  <c r="F225" i="1"/>
  <c r="F350" i="1"/>
  <c r="F497" i="1"/>
  <c r="F35" i="1"/>
  <c r="F556" i="1"/>
  <c r="F329" i="1"/>
  <c r="F717" i="1"/>
  <c r="F721" i="1"/>
  <c r="F462" i="1"/>
  <c r="F737" i="1"/>
  <c r="F148" i="1"/>
  <c r="F33" i="1"/>
  <c r="F500" i="1"/>
  <c r="F365" i="1"/>
  <c r="F221" i="1"/>
  <c r="F67" i="1"/>
  <c r="F489" i="1"/>
  <c r="F3" i="1"/>
  <c r="F335" i="1"/>
  <c r="F132" i="1"/>
  <c r="F572" i="1"/>
  <c r="F423" i="1"/>
  <c r="F748" i="1"/>
  <c r="F540" i="1"/>
  <c r="F213" i="1"/>
  <c r="F610" i="1"/>
  <c r="F398" i="1"/>
  <c r="F396" i="1"/>
  <c r="F343" i="1"/>
  <c r="F20" i="1"/>
  <c r="F290" i="1"/>
  <c r="F234" i="1"/>
  <c r="F664" i="1"/>
  <c r="F459" i="1"/>
  <c r="F492" i="1"/>
  <c r="F512" i="1"/>
  <c r="F414" i="1"/>
  <c r="F441" i="1"/>
  <c r="F505" i="1"/>
  <c r="F344" i="1"/>
  <c r="F147" i="1"/>
  <c r="F386" i="1"/>
  <c r="F230" i="1"/>
  <c r="F668" i="1"/>
  <c r="F514" i="1"/>
  <c r="F95" i="1"/>
  <c r="F80" i="1"/>
  <c r="F321" i="1"/>
  <c r="F12" i="1"/>
  <c r="F241" i="1"/>
  <c r="F75" i="1"/>
  <c r="F173" i="1"/>
  <c r="F646" i="1"/>
  <c r="F704" i="1"/>
  <c r="F68" i="1"/>
  <c r="F496" i="1"/>
  <c r="F708" i="1"/>
  <c r="F538" i="1"/>
  <c r="F346" i="1"/>
  <c r="F636" i="1"/>
  <c r="F214" i="1"/>
  <c r="F84" i="1"/>
  <c r="F634" i="1"/>
  <c r="F783" i="1"/>
  <c r="F605" i="1"/>
  <c r="F679" i="1"/>
  <c r="F92" i="1"/>
  <c r="F375" i="1"/>
  <c r="F635" i="1"/>
  <c r="F101" i="1"/>
  <c r="F468" i="1"/>
  <c r="F2" i="1"/>
  <c r="F743" i="1"/>
  <c r="F624" i="1"/>
  <c r="F707" i="1"/>
  <c r="F59" i="1"/>
  <c r="F139" i="1"/>
  <c r="F162" i="1"/>
  <c r="F786" i="1"/>
  <c r="F586" i="1"/>
  <c r="F739" i="1"/>
  <c r="F83" i="1"/>
  <c r="F167" i="1"/>
  <c r="F663" i="1"/>
  <c r="F49" i="1"/>
  <c r="F442" i="1"/>
  <c r="F735" i="1"/>
  <c r="F24" i="1"/>
  <c r="F56" i="1"/>
  <c r="F744" i="1"/>
  <c r="F71" i="1"/>
  <c r="F632" i="1"/>
  <c r="F767" i="1"/>
  <c r="F166" i="1"/>
  <c r="F8" i="1"/>
  <c r="F273" i="1"/>
  <c r="F543" i="1"/>
  <c r="F685" i="1"/>
  <c r="F159" i="1"/>
  <c r="F732" i="1"/>
  <c r="F731" i="1"/>
  <c r="F425" i="1"/>
  <c r="F656" i="1"/>
  <c r="F686" i="1"/>
  <c r="F483" i="1"/>
  <c r="F122" i="1"/>
  <c r="F334" i="1"/>
  <c r="F546" i="1"/>
  <c r="F681" i="1"/>
  <c r="F57" i="1"/>
  <c r="F10" i="1"/>
  <c r="F541" i="1"/>
  <c r="F418" i="1"/>
  <c r="F584" i="1"/>
  <c r="F672" i="1"/>
  <c r="F18" i="1"/>
  <c r="F800" i="1"/>
  <c r="F568" i="1"/>
  <c r="F784" i="1"/>
  <c r="F552" i="1"/>
  <c r="F387" i="1"/>
  <c r="F113" i="1"/>
  <c r="F22" i="1"/>
  <c r="F182" i="1"/>
  <c r="F458" i="1"/>
  <c r="F17" i="1"/>
  <c r="F114" i="1"/>
  <c r="F296" i="1"/>
  <c r="F699" i="1"/>
  <c r="F40" i="1"/>
  <c r="F585" i="1"/>
  <c r="F614" i="1"/>
  <c r="F46" i="1"/>
  <c r="F332" i="1"/>
  <c r="F579" i="1"/>
  <c r="F683" i="1"/>
  <c r="F367" i="1"/>
  <c r="F102" i="1"/>
  <c r="F532" i="1"/>
  <c r="F674" i="1"/>
  <c r="F472" i="1"/>
  <c r="F776" i="1"/>
  <c r="F622" i="1"/>
  <c r="F118" i="1"/>
  <c r="F720" i="1"/>
  <c r="F181" i="1"/>
  <c r="F170" i="1"/>
  <c r="F232" i="1"/>
  <c r="F756" i="1"/>
  <c r="F98" i="1"/>
  <c r="F763" i="1"/>
  <c r="F301" i="1"/>
  <c r="F555" i="1"/>
  <c r="F48" i="1"/>
  <c r="F304" i="1"/>
  <c r="F399" i="1"/>
  <c r="F325" i="1"/>
  <c r="F508" i="1"/>
  <c r="F455" i="1"/>
  <c r="F420" i="1"/>
  <c r="F741" i="1"/>
  <c r="F523" i="1"/>
  <c r="F89" i="1"/>
  <c r="F250" i="1"/>
  <c r="F124" i="1"/>
  <c r="F449" i="1"/>
  <c r="F179" i="1"/>
  <c r="F240" i="1"/>
  <c r="F276" i="1"/>
  <c r="F134" i="1"/>
  <c r="F271" i="1"/>
  <c r="F311" i="1"/>
  <c r="F549" i="1"/>
  <c r="F777" i="1"/>
  <c r="F14" i="1"/>
  <c r="F690" i="1"/>
  <c r="F602" i="1"/>
  <c r="F286" i="1"/>
  <c r="F749" i="1"/>
  <c r="F428" i="1"/>
  <c r="F518" i="1"/>
  <c r="F565" i="1"/>
  <c r="F550" i="1"/>
  <c r="F249" i="1"/>
  <c r="F412" i="1"/>
  <c r="F191" i="1"/>
  <c r="F422" i="1"/>
  <c r="F183" i="1"/>
  <c r="F753" i="1"/>
  <c r="F154" i="1"/>
  <c r="F577" i="1"/>
  <c r="F553" i="1"/>
  <c r="F16" i="1"/>
  <c r="F299" i="1"/>
  <c r="F407" i="1"/>
  <c r="F609" i="1"/>
  <c r="F539" i="1"/>
  <c r="F319" i="1"/>
  <c r="F381" i="1"/>
  <c r="F61" i="1"/>
  <c r="F295" i="1"/>
  <c r="F176" i="1"/>
  <c r="F464" i="1"/>
  <c r="F289" i="1"/>
  <c r="F146" i="1"/>
  <c r="F274" i="1"/>
  <c r="F267" i="1"/>
  <c r="F216" i="1"/>
  <c r="F247" i="1"/>
  <c r="F413" i="1"/>
  <c r="F453" i="1"/>
  <c r="F28" i="1"/>
  <c r="F42" i="1"/>
  <c r="F210" i="1"/>
  <c r="F142" i="1"/>
  <c r="F600" i="1"/>
  <c r="F206" i="1"/>
  <c r="F705" i="1"/>
  <c r="F501" i="1"/>
  <c r="F229" i="1"/>
  <c r="F34" i="1"/>
  <c r="F81" i="1"/>
  <c r="F192" i="1"/>
  <c r="F158" i="1"/>
  <c r="F535" i="1"/>
  <c r="F426" i="1"/>
  <c r="F673" i="1"/>
  <c r="F237" i="1"/>
  <c r="F320" i="1"/>
  <c r="F246" i="1"/>
  <c r="F477" i="1"/>
  <c r="F30" i="1"/>
  <c r="F380" i="1"/>
  <c r="F621" i="1"/>
  <c r="F570" i="1"/>
  <c r="F561" i="1"/>
  <c r="F345" i="1"/>
  <c r="F789" i="1"/>
  <c r="F180" i="1"/>
  <c r="F312" i="1"/>
  <c r="F50" i="1"/>
  <c r="F688" i="1"/>
  <c r="F47" i="1"/>
  <c r="F754" i="1"/>
  <c r="F266" i="1"/>
  <c r="F589" i="1"/>
  <c r="F99" i="1"/>
  <c r="F502" i="1"/>
  <c r="F643" i="1"/>
  <c r="F242" i="1"/>
  <c r="F575" i="1"/>
  <c r="F330" i="1"/>
  <c r="F504" i="1"/>
  <c r="F724" i="1"/>
  <c r="F415" i="1"/>
  <c r="F393" i="1"/>
  <c r="F316" i="1"/>
  <c r="F718" i="1"/>
  <c r="F526" i="1"/>
  <c r="F725" i="1"/>
  <c r="F235" i="1"/>
  <c r="F115" i="1"/>
  <c r="F693" i="1"/>
  <c r="F248" i="1"/>
  <c r="F645" i="1"/>
  <c r="F613" i="1"/>
  <c r="F227" i="1"/>
  <c r="F327" i="1"/>
  <c r="F164" i="1"/>
  <c r="F177" i="1"/>
  <c r="F597" i="1"/>
  <c r="F270" i="1"/>
  <c r="F557" i="1"/>
  <c r="F199" i="1"/>
  <c r="F368" i="1"/>
  <c r="F774" i="1"/>
  <c r="F293" i="1"/>
  <c r="F499" i="1"/>
  <c r="F408" i="1"/>
  <c r="F517" i="1"/>
  <c r="F394" i="1"/>
  <c r="F513" i="1"/>
  <c r="F383" i="1"/>
  <c r="F799" i="1"/>
  <c r="F39" i="1"/>
  <c r="F37" i="1"/>
  <c r="F533" i="1"/>
  <c r="F702" i="1"/>
  <c r="F314" i="1"/>
  <c r="F760" i="1"/>
  <c r="F669" i="1"/>
  <c r="F482" i="1"/>
  <c r="F726" i="1"/>
  <c r="F687" i="1"/>
  <c r="F651" i="1"/>
  <c r="F354" i="1"/>
  <c r="F110" i="1"/>
  <c r="F750" i="1"/>
  <c r="F506" i="1"/>
  <c r="F129" i="1"/>
  <c r="F454" i="1"/>
  <c r="F336" i="1"/>
  <c r="F790" i="1"/>
  <c r="F755" i="1"/>
  <c r="F27" i="1"/>
  <c r="F439" i="1"/>
  <c r="F151" i="1"/>
  <c r="F378" i="1"/>
  <c r="F593" i="1"/>
  <c r="F677" i="1"/>
  <c r="F633" i="1"/>
  <c r="F156" i="1"/>
  <c r="F291" i="1"/>
  <c r="F185" i="1"/>
  <c r="F447" i="1"/>
  <c r="F79" i="1"/>
  <c r="F255" i="1"/>
  <c r="F373" i="1"/>
  <c r="F757" i="1"/>
  <c r="F119" i="1"/>
  <c r="F356" i="1"/>
  <c r="F759" i="1"/>
  <c r="F369" i="1"/>
  <c r="F25" i="1"/>
  <c r="F616" i="1"/>
  <c r="F140" i="1"/>
  <c r="F402" i="1"/>
  <c r="F127" i="1"/>
  <c r="F470" i="1"/>
  <c r="F619" i="1"/>
  <c r="F193" i="1"/>
  <c r="F527" i="1"/>
  <c r="F275" i="1"/>
  <c r="F245" i="1"/>
  <c r="F591" i="1"/>
  <c r="F363" i="1"/>
  <c r="F642" i="1"/>
  <c r="F317" i="1"/>
  <c r="F160" i="1"/>
  <c r="F416" i="1"/>
  <c r="F745" i="1"/>
  <c r="F297" i="1"/>
  <c r="F714" i="1"/>
  <c r="F239" i="1"/>
  <c r="F484" i="1"/>
  <c r="F467" i="1"/>
  <c r="F639" i="1"/>
  <c r="F9" i="1"/>
  <c r="F263" i="1"/>
  <c r="F104" i="1"/>
  <c r="F371" i="1"/>
  <c r="F574" i="1"/>
  <c r="F762" i="1"/>
  <c r="F202" i="1"/>
  <c r="F87" i="1"/>
  <c r="F516" i="1"/>
  <c r="F703" i="1"/>
  <c r="F662" i="1"/>
  <c r="F485" i="1"/>
  <c r="F795" i="1"/>
  <c r="F682" i="1"/>
  <c r="F427" i="1"/>
  <c r="F715" i="1"/>
  <c r="F448" i="1"/>
  <c r="F128" i="1"/>
  <c r="F457" i="1"/>
  <c r="F359" i="1"/>
  <c r="F93" i="1"/>
  <c r="F278" i="1"/>
  <c r="F618" i="1"/>
  <c r="F534" i="1"/>
  <c r="F444" i="1"/>
  <c r="F676" i="1"/>
  <c r="F736" i="1"/>
  <c r="F779" i="1"/>
  <c r="F72" i="1"/>
  <c r="F529" i="1"/>
  <c r="F711" i="1"/>
  <c r="F126" i="1"/>
  <c r="F178" i="1"/>
  <c r="F188" i="1"/>
  <c r="F283" i="1"/>
  <c r="F438" i="1"/>
  <c r="F630" i="1"/>
  <c r="F252" i="1"/>
  <c r="F432" i="1"/>
  <c r="F5" i="1"/>
  <c r="F211" i="1"/>
  <c r="F617" i="1"/>
  <c r="F478" i="1"/>
  <c r="F667" i="1"/>
  <c r="F417" i="1"/>
  <c r="F305" i="1"/>
  <c r="F379" i="1"/>
  <c r="F509" i="1"/>
  <c r="F389" i="1"/>
  <c r="F666" i="1"/>
  <c r="F698" i="1"/>
  <c r="F588" i="1"/>
  <c r="F323" i="1"/>
  <c r="F475" i="1"/>
  <c r="F109" i="1"/>
  <c r="F780" i="1"/>
  <c r="F559" i="1"/>
  <c r="F292" i="1"/>
  <c r="F331" i="1"/>
  <c r="F233" i="1"/>
  <c r="F576" i="1"/>
  <c r="F450" i="1"/>
  <c r="F310" i="1"/>
  <c r="F785" i="1"/>
  <c r="F107" i="1"/>
  <c r="F770" i="1"/>
  <c r="F792" i="1"/>
  <c r="F370" i="1"/>
  <c r="F44" i="1"/>
  <c r="F73" i="1"/>
  <c r="F746" i="1"/>
  <c r="F165" i="1"/>
  <c r="F257" i="1"/>
  <c r="F560" i="1"/>
  <c r="F661" i="1"/>
  <c r="F771" i="1"/>
  <c r="F601" i="1"/>
  <c r="F764" i="1"/>
  <c r="F734" i="1"/>
  <c r="F564" i="1"/>
  <c r="F424" i="1"/>
  <c r="F88" i="1"/>
  <c r="F522" i="1"/>
  <c r="F269" i="1"/>
  <c r="F465" i="1"/>
  <c r="F125" i="1"/>
  <c r="F640" i="1"/>
  <c r="F51" i="1"/>
  <c r="F324" i="1"/>
  <c r="F788" i="1"/>
  <c r="F434" i="1"/>
  <c r="F525" i="1"/>
  <c r="F200" i="1"/>
  <c r="F791" i="1"/>
  <c r="F443" i="1"/>
  <c r="F678" i="1"/>
  <c r="F592" i="1"/>
  <c r="F223" i="1"/>
  <c r="F772" i="1"/>
  <c r="F403" i="1"/>
  <c r="F163" i="1"/>
  <c r="F594" i="1"/>
  <c r="F105" i="1"/>
  <c r="F308" i="1"/>
  <c r="F41" i="1"/>
  <c r="F268" i="1"/>
  <c r="F430" i="1"/>
  <c r="F713" i="1"/>
  <c r="F82" i="1"/>
  <c r="F629" i="1"/>
  <c r="F169" i="1"/>
  <c r="F264" i="1"/>
  <c r="F53" i="1"/>
  <c r="F294" i="1"/>
  <c r="F738" i="1"/>
  <c r="F657" i="1"/>
  <c r="F218" i="1"/>
  <c r="F19" i="1"/>
  <c r="F212" i="1"/>
  <c r="F348" i="1"/>
  <c r="F460" i="1"/>
  <c r="F569" i="1"/>
  <c r="F536" i="1"/>
  <c r="F256" i="1"/>
  <c r="F544" i="1"/>
  <c r="F77" i="1"/>
  <c r="F480" i="1"/>
  <c r="F186" i="1"/>
  <c r="F21" i="1"/>
  <c r="F429" i="1"/>
  <c r="F258" i="1"/>
  <c r="F551" i="1"/>
  <c r="F710" i="1"/>
  <c r="F694" i="1"/>
  <c r="F395" i="1"/>
  <c r="F638" i="1"/>
  <c r="F7" i="1"/>
  <c r="F196" i="1"/>
  <c r="F103" i="1"/>
  <c r="F318" i="1"/>
  <c r="F463" i="1"/>
  <c r="F220" i="1"/>
  <c r="F524" i="1"/>
  <c r="F353" i="1"/>
  <c r="F106" i="1"/>
  <c r="F228" i="1"/>
  <c r="F172" i="1"/>
  <c r="F491" i="1"/>
  <c r="F184" i="1"/>
  <c r="F701" i="1"/>
  <c r="F670" i="1"/>
  <c r="F590" i="1"/>
  <c r="F765" i="1"/>
  <c r="F152" i="1"/>
  <c r="F133" i="1"/>
  <c r="F490" i="1"/>
  <c r="F773" i="1"/>
  <c r="F262" i="1"/>
  <c r="F120" i="1"/>
  <c r="F675" i="1"/>
  <c r="F620" i="1"/>
  <c r="F265" i="1"/>
  <c r="F300" i="1"/>
  <c r="F215" i="1"/>
  <c r="F123" i="1"/>
  <c r="F406" i="1"/>
  <c r="F554" i="1"/>
  <c r="F100" i="1"/>
  <c r="F644" i="1"/>
  <c r="F244" i="1"/>
  <c r="F70" i="1"/>
  <c r="F573" i="1"/>
  <c r="F194" i="1"/>
  <c r="F11" i="1"/>
  <c r="F611" i="1"/>
  <c r="F277" i="1"/>
  <c r="F801" i="1"/>
  <c r="F798" i="1"/>
  <c r="F587" i="1"/>
  <c r="F599" i="1"/>
  <c r="F238" i="1"/>
  <c r="F671" i="1"/>
  <c r="F32" i="1"/>
  <c r="F313" i="1"/>
  <c r="F781" i="1"/>
  <c r="F43" i="1"/>
  <c r="F758" i="1"/>
  <c r="F709" i="1"/>
  <c r="F419" i="1"/>
  <c r="F66" i="1"/>
  <c r="F528" i="1"/>
  <c r="F537" i="1"/>
  <c r="F226" i="1"/>
  <c r="F117" i="1"/>
  <c r="F236" i="1"/>
  <c r="F376" i="1"/>
  <c r="F251" i="1"/>
  <c r="F391" i="1"/>
  <c r="F338" i="1"/>
  <c r="F298" i="1"/>
  <c r="F628" i="1"/>
  <c r="F302" i="1"/>
  <c r="F38" i="1"/>
  <c r="F604" i="1"/>
  <c r="F339" i="1"/>
  <c r="F660" i="1"/>
  <c r="F224" i="1"/>
  <c r="F385" i="1"/>
  <c r="F400" i="1"/>
  <c r="F649" i="1"/>
  <c r="F203" i="1"/>
  <c r="F631" i="1"/>
  <c r="F135" i="1"/>
  <c r="F652" i="1"/>
  <c r="F52" i="1"/>
  <c r="F284" i="1"/>
  <c r="F571" i="1"/>
  <c r="F706" i="1"/>
  <c r="F567" i="1"/>
  <c r="F547" i="1"/>
  <c r="F421" i="1"/>
  <c r="F451" i="1"/>
  <c r="F548" i="1"/>
  <c r="F31" i="1"/>
  <c r="F769" i="1"/>
  <c r="F797" i="1"/>
  <c r="F364" i="1"/>
  <c r="F337" i="1"/>
  <c r="F733" i="1"/>
  <c r="F288" i="1"/>
  <c r="F197" i="1"/>
  <c r="F392" i="1"/>
  <c r="F596" i="1"/>
  <c r="F691" i="1"/>
  <c r="F487" i="1"/>
  <c r="F74" i="1"/>
  <c r="F623" i="1"/>
  <c r="F362" i="1"/>
  <c r="F78" i="1"/>
  <c r="F461" i="1"/>
  <c r="F637" i="1"/>
  <c r="F740" i="1"/>
  <c r="F63" i="1"/>
  <c r="F695" i="1"/>
  <c r="F466" i="1"/>
  <c r="F494" i="1"/>
  <c r="F650" i="1"/>
  <c r="F136" i="1"/>
  <c r="F431" i="1"/>
  <c r="F254" i="1"/>
  <c r="F761" i="1"/>
  <c r="F404" i="1"/>
  <c r="F340" i="1"/>
  <c r="F208" i="1"/>
  <c r="F259" i="1"/>
  <c r="F161" i="1"/>
  <c r="F372" i="1"/>
  <c r="F130" i="1"/>
  <c r="F26" i="1"/>
  <c r="F405" i="1"/>
  <c r="F452" i="1"/>
  <c r="F481" i="1"/>
  <c r="F488" i="1"/>
  <c r="F45" i="1"/>
  <c r="F315" i="1"/>
  <c r="F36" i="1"/>
  <c r="F700" i="1"/>
  <c r="F243" i="1"/>
  <c r="F641" i="1"/>
  <c r="F519" i="1"/>
  <c r="F436" i="1"/>
  <c r="F168" i="1"/>
  <c r="F595" i="1"/>
  <c r="F653" i="1"/>
  <c r="F603" i="1"/>
  <c r="F521" i="1"/>
  <c r="F476" i="1"/>
  <c r="F347" i="1"/>
  <c r="F689" i="1"/>
  <c r="J752" i="1" a="1"/>
  <c r="J752" i="1" s="1"/>
  <c r="L752" i="1" s="1" a="1"/>
  <c r="L752" i="1" s="1"/>
  <c r="J511" i="1" a="1"/>
  <c r="J511" i="1" s="1"/>
  <c r="L511" i="1" s="1" a="1"/>
  <c r="L511" i="1" s="1"/>
  <c r="Q511" i="1" s="1" a="1"/>
  <c r="Q511" i="1" s="1"/>
  <c r="J479" i="1" a="1"/>
  <c r="J479" i="1" s="1"/>
  <c r="J531" i="1" a="1"/>
  <c r="J531" i="1" s="1"/>
  <c r="J782" i="1" a="1"/>
  <c r="J782" i="1" s="1"/>
  <c r="J722" i="1" a="1"/>
  <c r="J722" i="1" s="1"/>
  <c r="J456" i="1" a="1"/>
  <c r="J456" i="1" s="1"/>
  <c r="J96" i="1" a="1"/>
  <c r="J96" i="1" s="1"/>
  <c r="J397" i="1" a="1"/>
  <c r="J397" i="1" s="1"/>
  <c r="J658" i="1" a="1"/>
  <c r="J658" i="1" s="1"/>
  <c r="J558" i="1" a="1"/>
  <c r="J558" i="1" s="1"/>
  <c r="J131" i="1" a="1"/>
  <c r="J131" i="1" s="1"/>
  <c r="L131" i="1" s="1" a="1"/>
  <c r="L131" i="1" s="1"/>
  <c r="Q131" i="1" s="1" a="1"/>
  <c r="Q131" i="1" s="1"/>
  <c r="J351" i="1" a="1"/>
  <c r="J351" i="1" s="1"/>
  <c r="L351" i="1" s="1" a="1"/>
  <c r="L351" i="1" s="1"/>
  <c r="J437" i="1" a="1"/>
  <c r="J437" i="1" s="1"/>
  <c r="L437" i="1" s="1" a="1"/>
  <c r="L437" i="1" s="1"/>
  <c r="Q437" i="1" s="1" a="1"/>
  <c r="Q437" i="1" s="1"/>
  <c r="J121" i="1" a="1"/>
  <c r="J121" i="1" s="1"/>
  <c r="L121" i="1" s="1" a="1"/>
  <c r="L121" i="1" s="1"/>
  <c r="Q121" i="1" s="1" a="1"/>
  <c r="Q121" i="1" s="1"/>
  <c r="J530" i="1" a="1"/>
  <c r="J530" i="1" s="1"/>
  <c r="L530" i="1" s="1" a="1"/>
  <c r="L530" i="1" s="1"/>
  <c r="Q530" i="1" s="1" a="1"/>
  <c r="Q530" i="1" s="1"/>
  <c r="J222" i="1" a="1"/>
  <c r="J222" i="1" s="1"/>
  <c r="L222" i="1" s="1" a="1"/>
  <c r="L222" i="1" s="1"/>
  <c r="Q222" i="1" s="1" a="1"/>
  <c r="Q222" i="1" s="1"/>
  <c r="J341" i="1" a="1"/>
  <c r="J341" i="1" s="1"/>
  <c r="J625" i="1" a="1"/>
  <c r="J625" i="1" s="1"/>
  <c r="J486" i="1" a="1"/>
  <c r="J486" i="1" s="1"/>
  <c r="J680" i="1" a="1"/>
  <c r="J680" i="1" s="1"/>
  <c r="J696" i="1" a="1"/>
  <c r="J696" i="1" s="1"/>
  <c r="J76" i="1" a="1"/>
  <c r="J76" i="1" s="1"/>
  <c r="J388" i="1" a="1"/>
  <c r="J388" i="1" s="1"/>
  <c r="J580" i="1" a="1"/>
  <c r="J580" i="1" s="1"/>
  <c r="J328" i="1" a="1"/>
  <c r="J328" i="1" s="1"/>
  <c r="L328" i="1" s="1" a="1"/>
  <c r="L328" i="1" s="1"/>
  <c r="Q328" i="1" s="1" a="1"/>
  <c r="Q328" i="1" s="1"/>
  <c r="J174" i="1" a="1"/>
  <c r="J174" i="1" s="1"/>
  <c r="L174" i="1" s="1" a="1"/>
  <c r="L174" i="1" s="1"/>
  <c r="J377" i="1" a="1"/>
  <c r="J377" i="1" s="1"/>
  <c r="L377" i="1" s="1" a="1"/>
  <c r="L377" i="1" s="1"/>
  <c r="J563" i="1" a="1"/>
  <c r="J563" i="1" s="1"/>
  <c r="L563" i="1" s="1" a="1"/>
  <c r="L563" i="1" s="1"/>
  <c r="Q563" i="1" s="1" a="1"/>
  <c r="Q563" i="1" s="1"/>
  <c r="J729" i="1" a="1"/>
  <c r="J729" i="1" s="1"/>
  <c r="J23" i="1" a="1"/>
  <c r="J23" i="1" s="1"/>
  <c r="L23" i="1" s="1" a="1"/>
  <c r="L23" i="1" s="1"/>
  <c r="Q23" i="1" s="1" a="1"/>
  <c r="Q23" i="1" s="1"/>
  <c r="J306" i="1" a="1"/>
  <c r="J306" i="1" s="1"/>
  <c r="J583" i="1" a="1"/>
  <c r="J583" i="1" s="1"/>
  <c r="J723" i="1" a="1"/>
  <c r="J723" i="1" s="1"/>
  <c r="J64" i="1" a="1"/>
  <c r="J64" i="1" s="1"/>
  <c r="J716" i="1" a="1"/>
  <c r="J716" i="1" s="1"/>
  <c r="K716" i="1" s="1" a="1"/>
  <c r="K716" i="1" s="1"/>
  <c r="J507" i="1" a="1"/>
  <c r="J507" i="1" s="1"/>
  <c r="J612" i="1" a="1"/>
  <c r="J612" i="1" s="1"/>
  <c r="J303" i="1" a="1"/>
  <c r="J303" i="1" s="1"/>
  <c r="J309" i="1" a="1"/>
  <c r="J309" i="1" s="1"/>
  <c r="L309" i="1" s="1" a="1"/>
  <c r="L309" i="1" s="1"/>
  <c r="Q309" i="1" s="1" a="1"/>
  <c r="Q309" i="1" s="1"/>
  <c r="J582" i="1" a="1"/>
  <c r="J582" i="1" s="1"/>
  <c r="L582" i="1" s="1" a="1"/>
  <c r="L582" i="1" s="1"/>
  <c r="Q582" i="1" s="1" a="1"/>
  <c r="Q582" i="1" s="1"/>
  <c r="J137" i="1" a="1"/>
  <c r="J137" i="1" s="1"/>
  <c r="L137" i="1" s="1" a="1"/>
  <c r="L137" i="1" s="1"/>
  <c r="J503" i="1" a="1"/>
  <c r="J503" i="1" s="1"/>
  <c r="L503" i="1" s="1" a="1"/>
  <c r="L503" i="1" s="1"/>
  <c r="Q503" i="1" s="1" a="1"/>
  <c r="Q503" i="1" s="1"/>
  <c r="J157" i="1" a="1"/>
  <c r="J157" i="1" s="1"/>
  <c r="J111" i="1" a="1"/>
  <c r="J111" i="1" s="1"/>
  <c r="J171" i="1" a="1"/>
  <c r="J171" i="1" s="1"/>
  <c r="J768" i="1" a="1"/>
  <c r="J768" i="1" s="1"/>
  <c r="J411" i="1" a="1"/>
  <c r="J411" i="1" s="1"/>
  <c r="J730" i="1" a="1"/>
  <c r="J730" i="1" s="1"/>
  <c r="J187" i="1" a="1"/>
  <c r="J187" i="1" s="1"/>
  <c r="J665" i="1" a="1"/>
  <c r="J665" i="1" s="1"/>
  <c r="L665" i="1" s="1" a="1"/>
  <c r="L665" i="1" s="1"/>
  <c r="Q665" i="1" s="1" a="1"/>
  <c r="Q665" i="1" s="1"/>
  <c r="J655" i="1" a="1"/>
  <c r="J655" i="1" s="1"/>
  <c r="L655" i="1" s="1" a="1"/>
  <c r="L655" i="1" s="1"/>
  <c r="J60" i="1" a="1"/>
  <c r="J60" i="1" s="1"/>
  <c r="L60" i="1" s="1" a="1"/>
  <c r="L60" i="1" s="1"/>
  <c r="J112" i="1" a="1"/>
  <c r="J112" i="1" s="1"/>
  <c r="J357" i="1" a="1"/>
  <c r="J357" i="1" s="1"/>
  <c r="L357" i="1" s="1" a="1"/>
  <c r="L357" i="1" s="1"/>
  <c r="J360" i="1" a="1"/>
  <c r="J360" i="1" s="1"/>
  <c r="L360" i="1" s="1" a="1"/>
  <c r="L360" i="1" s="1"/>
  <c r="J141" i="1" a="1"/>
  <c r="J141" i="1" s="1"/>
  <c r="L141" i="1" s="1" a="1"/>
  <c r="L141" i="1" s="1"/>
  <c r="Q141" i="1" s="1" a="1"/>
  <c r="Q141" i="1" s="1"/>
  <c r="J54" i="1" a="1"/>
  <c r="J54" i="1" s="1"/>
  <c r="J361" i="1" a="1"/>
  <c r="J361" i="1" s="1"/>
  <c r="J793" i="1" a="1"/>
  <c r="J793" i="1" s="1"/>
  <c r="J374" i="1" a="1"/>
  <c r="J374" i="1" s="1"/>
  <c r="K374" i="1" s="1" a="1"/>
  <c r="K374" i="1" s="1"/>
  <c r="J143" i="1" a="1"/>
  <c r="J143" i="1" s="1"/>
  <c r="J659" i="1" a="1"/>
  <c r="J659" i="1" s="1"/>
  <c r="J545" i="1" a="1"/>
  <c r="J545" i="1" s="1"/>
  <c r="J766" i="1" a="1"/>
  <c r="J766" i="1" s="1"/>
  <c r="J778" i="1" a="1"/>
  <c r="J778" i="1" s="1"/>
  <c r="J116" i="1" a="1"/>
  <c r="J116" i="1" s="1"/>
  <c r="L116" i="1" s="1" a="1"/>
  <c r="L116" i="1" s="1"/>
  <c r="Q116" i="1" s="1" a="1"/>
  <c r="Q116" i="1" s="1"/>
  <c r="J91" i="1" a="1"/>
  <c r="J91" i="1" s="1"/>
  <c r="L91" i="1" s="1" a="1"/>
  <c r="L91" i="1" s="1"/>
  <c r="Q91" i="1" s="1" a="1"/>
  <c r="Q91" i="1" s="1"/>
  <c r="J285" i="1" a="1"/>
  <c r="J285" i="1" s="1"/>
  <c r="L285" i="1" s="1" a="1"/>
  <c r="L285" i="1" s="1"/>
  <c r="J445" i="1" a="1"/>
  <c r="J445" i="1" s="1"/>
  <c r="L445" i="1" s="1" a="1"/>
  <c r="L445" i="1" s="1"/>
  <c r="J615" i="1" a="1"/>
  <c r="J615" i="1" s="1"/>
  <c r="L615" i="1" s="1" a="1"/>
  <c r="L615" i="1" s="1"/>
  <c r="Q615" i="1" s="1" a="1"/>
  <c r="Q615" i="1" s="1"/>
  <c r="J495" i="1" a="1"/>
  <c r="J495" i="1" s="1"/>
  <c r="J728" i="1" a="1"/>
  <c r="J728" i="1" s="1"/>
  <c r="J578" i="1" a="1"/>
  <c r="J578" i="1" s="1"/>
  <c r="J209" i="1" a="1"/>
  <c r="J209" i="1" s="1"/>
  <c r="J204" i="1" a="1"/>
  <c r="J204" i="1" s="1"/>
  <c r="J654" i="1" a="1"/>
  <c r="J654" i="1" s="1"/>
  <c r="J217" i="1" a="1"/>
  <c r="J217" i="1" s="1"/>
  <c r="K217" i="1" s="1" a="1"/>
  <c r="K217" i="1" s="1"/>
  <c r="J566" i="1" a="1"/>
  <c r="J566" i="1" s="1"/>
  <c r="L566" i="1" s="1" a="1"/>
  <c r="L566" i="1" s="1"/>
  <c r="Q566" i="1" s="1" a="1"/>
  <c r="Q566" i="1" s="1"/>
  <c r="J409" i="1" a="1"/>
  <c r="J409" i="1" s="1"/>
  <c r="L409" i="1" s="1" a="1"/>
  <c r="L409" i="1" s="1"/>
  <c r="Q409" i="1" s="1" a="1"/>
  <c r="Q409" i="1" s="1"/>
  <c r="J58" i="1" a="1"/>
  <c r="J58" i="1" s="1"/>
  <c r="L58" i="1" s="1" a="1"/>
  <c r="L58" i="1" s="1"/>
  <c r="Q58" i="1" s="1" a="1"/>
  <c r="Q58" i="1" s="1"/>
  <c r="J627" i="1" a="1"/>
  <c r="J627" i="1" s="1"/>
  <c r="L627" i="1" s="1" a="1"/>
  <c r="L627" i="1" s="1"/>
  <c r="Q627" i="1" s="1" a="1"/>
  <c r="Q627" i="1" s="1"/>
  <c r="J272" i="1" a="1"/>
  <c r="J272" i="1" s="1"/>
  <c r="L272" i="1" s="1" a="1"/>
  <c r="L272" i="1" s="1"/>
  <c r="Q272" i="1" s="1" a="1"/>
  <c r="Q272" i="1" s="1"/>
  <c r="J498" i="1" a="1"/>
  <c r="J498" i="1" s="1"/>
  <c r="L498" i="1" s="1" a="1"/>
  <c r="L498" i="1" s="1"/>
  <c r="Q498" i="1" s="1" a="1"/>
  <c r="Q498" i="1" s="1"/>
  <c r="J153" i="1" a="1"/>
  <c r="J153" i="1" s="1"/>
  <c r="J322" i="1" a="1"/>
  <c r="J322" i="1" s="1"/>
  <c r="J719" i="1" a="1"/>
  <c r="J719" i="1" s="1"/>
  <c r="J65" i="1" a="1"/>
  <c r="J65" i="1" s="1"/>
  <c r="J150" i="1" a="1"/>
  <c r="J150" i="1" s="1"/>
  <c r="J195" i="1" a="1"/>
  <c r="J195" i="1" s="1"/>
  <c r="J469" i="1" a="1"/>
  <c r="J469" i="1" s="1"/>
  <c r="K469" i="1" s="1" a="1"/>
  <c r="K469" i="1" s="1"/>
  <c r="J13" i="1" a="1"/>
  <c r="J13" i="1" s="1"/>
  <c r="J149" i="1" a="1"/>
  <c r="J149" i="1" s="1"/>
  <c r="L149" i="1" s="1" a="1"/>
  <c r="L149" i="1" s="1"/>
  <c r="Q149" i="1" s="1" a="1"/>
  <c r="Q149" i="1" s="1"/>
  <c r="J90" i="1" a="1"/>
  <c r="J90" i="1" s="1"/>
  <c r="K90" i="1" s="1" a="1"/>
  <c r="K90" i="1" s="1"/>
  <c r="J384" i="1" a="1"/>
  <c r="J384" i="1" s="1"/>
  <c r="L384" i="1" s="1" a="1"/>
  <c r="L384" i="1" s="1"/>
  <c r="Q384" i="1" s="1" a="1"/>
  <c r="Q384" i="1" s="1"/>
  <c r="J280" i="1" a="1"/>
  <c r="J280" i="1" s="1"/>
  <c r="L280" i="1" s="1" a="1"/>
  <c r="L280" i="1" s="1"/>
  <c r="Q280" i="1" s="1" a="1"/>
  <c r="Q280" i="1" s="1"/>
  <c r="J55" i="1" a="1"/>
  <c r="J55" i="1" s="1"/>
  <c r="L55" i="1" s="1" a="1"/>
  <c r="L55" i="1" s="1"/>
  <c r="Q55" i="1" s="1" a="1"/>
  <c r="Q55" i="1" s="1"/>
  <c r="J520" i="1" a="1"/>
  <c r="J520" i="1" s="1"/>
  <c r="L520" i="1" s="1" a="1"/>
  <c r="L520" i="1" s="1"/>
  <c r="J608" i="1" a="1"/>
  <c r="J608" i="1" s="1"/>
  <c r="J598" i="1" a="1"/>
  <c r="J598" i="1" s="1"/>
  <c r="J796" i="1" a="1"/>
  <c r="J796" i="1" s="1"/>
  <c r="J510" i="1" a="1"/>
  <c r="J510" i="1" s="1"/>
  <c r="J581" i="1" a="1"/>
  <c r="J581" i="1" s="1"/>
  <c r="J751" i="1" a="1"/>
  <c r="J751" i="1" s="1"/>
  <c r="L751" i="1" s="1" a="1"/>
  <c r="L751" i="1" s="1"/>
  <c r="Q751" i="1" s="1" a="1"/>
  <c r="Q751" i="1" s="1"/>
  <c r="J29" i="1" a="1"/>
  <c r="J29" i="1" s="1"/>
  <c r="J326" i="1" a="1"/>
  <c r="J326" i="1" s="1"/>
  <c r="L326" i="1" s="1" a="1"/>
  <c r="L326" i="1" s="1"/>
  <c r="Q326" i="1" s="1" a="1"/>
  <c r="Q326" i="1" s="1"/>
  <c r="J219" i="1" a="1"/>
  <c r="J219" i="1" s="1"/>
  <c r="L219" i="1" s="1" a="1"/>
  <c r="L219" i="1" s="1"/>
  <c r="Q219" i="1" s="1" a="1"/>
  <c r="Q219" i="1" s="1"/>
  <c r="J6" i="1" a="1"/>
  <c r="J6" i="1" s="1"/>
  <c r="J261" i="1" a="1"/>
  <c r="J261" i="1" s="1"/>
  <c r="L261" i="1" s="1" a="1"/>
  <c r="L261" i="1" s="1"/>
  <c r="J349" i="1" a="1"/>
  <c r="J349" i="1" s="1"/>
  <c r="J692" i="1" a="1"/>
  <c r="J692" i="1" s="1"/>
  <c r="L692" i="1" s="1" a="1"/>
  <c r="L692" i="1" s="1"/>
  <c r="Q692" i="1" s="1" a="1"/>
  <c r="Q692" i="1" s="1"/>
  <c r="J287" i="1" a="1"/>
  <c r="J287" i="1" s="1"/>
  <c r="J606" i="1" a="1"/>
  <c r="J606" i="1" s="1"/>
  <c r="J446" i="1" a="1"/>
  <c r="J446" i="1" s="1"/>
  <c r="J355" i="1" a="1"/>
  <c r="J355" i="1" s="1"/>
  <c r="J198" i="1" a="1"/>
  <c r="J198" i="1" s="1"/>
  <c r="J712" i="1" a="1"/>
  <c r="J712" i="1" s="1"/>
  <c r="J85" i="1" a="1"/>
  <c r="J85" i="1" s="1"/>
  <c r="J86" i="1" a="1"/>
  <c r="J86" i="1" s="1"/>
  <c r="J697" i="1" a="1"/>
  <c r="J697" i="1" s="1"/>
  <c r="J207" i="1" a="1"/>
  <c r="J207" i="1" s="1"/>
  <c r="L207" i="1" s="1" a="1"/>
  <c r="L207" i="1" s="1"/>
  <c r="Q207" i="1" s="1" a="1"/>
  <c r="Q207" i="1" s="1"/>
  <c r="J742" i="1" a="1"/>
  <c r="J742" i="1" s="1"/>
  <c r="L742" i="1" s="1" a="1"/>
  <c r="L742" i="1" s="1"/>
  <c r="Q742" i="1" s="1" a="1"/>
  <c r="Q742" i="1" s="1"/>
  <c r="J205" i="1" a="1"/>
  <c r="J205" i="1" s="1"/>
  <c r="K205" i="1" s="1" a="1"/>
  <c r="K205" i="1" s="1"/>
  <c r="J435" i="1" a="1"/>
  <c r="J435" i="1" s="1"/>
  <c r="L435" i="1" s="1" a="1"/>
  <c r="L435" i="1" s="1"/>
  <c r="Q435" i="1" s="1" a="1"/>
  <c r="Q435" i="1" s="1"/>
  <c r="J366" i="1" a="1"/>
  <c r="J366" i="1" s="1"/>
  <c r="K366" i="1" s="1" a="1"/>
  <c r="K366" i="1" s="1"/>
  <c r="J62" i="1" a="1"/>
  <c r="J62" i="1" s="1"/>
  <c r="J189" i="1" a="1"/>
  <c r="J189" i="1" s="1"/>
  <c r="J155" i="1" a="1"/>
  <c r="J155" i="1" s="1"/>
  <c r="J358" i="1" a="1"/>
  <c r="J358" i="1" s="1"/>
  <c r="J94" i="1" a="1"/>
  <c r="J94" i="1" s="1"/>
  <c r="J69" i="1" a="1"/>
  <c r="J69" i="1" s="1"/>
  <c r="L69" i="1" s="1" a="1"/>
  <c r="L69" i="1" s="1"/>
  <c r="Q69" i="1" s="1" a="1"/>
  <c r="Q69" i="1" s="1"/>
  <c r="J15" i="1" a="1"/>
  <c r="J15" i="1" s="1"/>
  <c r="J787" i="1" a="1"/>
  <c r="J787" i="1" s="1"/>
  <c r="L787" i="1" s="1" a="1"/>
  <c r="L787" i="1" s="1"/>
  <c r="J493" i="1" a="1"/>
  <c r="J493" i="1" s="1"/>
  <c r="J607" i="1" a="1"/>
  <c r="J607" i="1" s="1"/>
  <c r="L607" i="1" s="1" a="1"/>
  <c r="L607" i="1" s="1"/>
  <c r="Q607" i="1" s="1" a="1"/>
  <c r="Q607" i="1" s="1"/>
  <c r="J684" i="1" a="1"/>
  <c r="J684" i="1" s="1"/>
  <c r="L684" i="1" s="1" a="1"/>
  <c r="L684" i="1" s="1"/>
  <c r="Q684" i="1" s="1" a="1"/>
  <c r="Q684" i="1" s="1"/>
  <c r="J648" i="1" a="1"/>
  <c r="J648" i="1" s="1"/>
  <c r="L648" i="1" s="1" a="1"/>
  <c r="L648" i="1" s="1"/>
  <c r="J333" i="1" a="1"/>
  <c r="J333" i="1" s="1"/>
  <c r="L333" i="1" s="1" a="1"/>
  <c r="L333" i="1" s="1"/>
  <c r="Q333" i="1" s="1" a="1"/>
  <c r="Q333" i="1" s="1"/>
  <c r="J515" i="1" a="1"/>
  <c r="J515" i="1" s="1"/>
  <c r="J307" i="1" a="1"/>
  <c r="J307" i="1" s="1"/>
  <c r="J382" i="1" a="1"/>
  <c r="J382" i="1" s="1"/>
  <c r="J138" i="1" a="1"/>
  <c r="J138" i="1" s="1"/>
  <c r="J281" i="1" a="1"/>
  <c r="J281" i="1" s="1"/>
  <c r="J97" i="1" a="1"/>
  <c r="J97" i="1" s="1"/>
  <c r="J794" i="1" a="1"/>
  <c r="J794" i="1" s="1"/>
  <c r="J4" i="1" a="1"/>
  <c r="J4" i="1" s="1"/>
  <c r="L4" i="1" s="1" a="1"/>
  <c r="L4" i="1" s="1"/>
  <c r="Q4" i="1" s="1" a="1"/>
  <c r="Q4" i="1" s="1"/>
  <c r="J260" i="1" a="1"/>
  <c r="J260" i="1" s="1"/>
  <c r="L260" i="1" s="1" a="1"/>
  <c r="L260" i="1" s="1"/>
  <c r="Q260" i="1" s="1" a="1"/>
  <c r="Q260" i="1" s="1"/>
  <c r="J352" i="1" a="1"/>
  <c r="J352" i="1" s="1"/>
  <c r="J175" i="1" a="1"/>
  <c r="J175" i="1" s="1"/>
  <c r="L175" i="1" s="1" a="1"/>
  <c r="L175" i="1" s="1"/>
  <c r="Q175" i="1" s="1" a="1"/>
  <c r="Q175" i="1" s="1"/>
  <c r="J473" i="1" a="1"/>
  <c r="J473" i="1" s="1"/>
  <c r="J626" i="1" a="1"/>
  <c r="J626" i="1" s="1"/>
  <c r="L626" i="1" s="1" a="1"/>
  <c r="L626" i="1" s="1"/>
  <c r="Q626" i="1" s="1" a="1"/>
  <c r="Q626" i="1" s="1"/>
  <c r="J282" i="1" a="1"/>
  <c r="J282" i="1" s="1"/>
  <c r="J471" i="1" a="1"/>
  <c r="J471" i="1" s="1"/>
  <c r="L471" i="1" s="1" a="1"/>
  <c r="L471" i="1" s="1"/>
  <c r="Q471" i="1" s="1" a="1"/>
  <c r="Q471" i="1" s="1"/>
  <c r="J727" i="1" a="1"/>
  <c r="J727" i="1" s="1"/>
  <c r="J747" i="1" a="1"/>
  <c r="J747" i="1" s="1"/>
  <c r="K747" i="1" s="1" a="1"/>
  <c r="K747" i="1" s="1"/>
  <c r="J201" i="1" a="1"/>
  <c r="J201" i="1" s="1"/>
  <c r="J433" i="1" a="1"/>
  <c r="J433" i="1" s="1"/>
  <c r="J390" i="1" a="1"/>
  <c r="J390" i="1" s="1"/>
  <c r="J542" i="1" a="1"/>
  <c r="J542" i="1" s="1"/>
  <c r="L542" i="1" s="1" a="1"/>
  <c r="L542" i="1" s="1"/>
  <c r="Q542" i="1" s="1" a="1"/>
  <c r="Q542" i="1" s="1"/>
  <c r="J144" i="1" a="1"/>
  <c r="J144" i="1" s="1"/>
  <c r="L144" i="1" s="1" a="1"/>
  <c r="L144" i="1" s="1"/>
  <c r="Q144" i="1" s="1" a="1"/>
  <c r="Q144" i="1" s="1"/>
  <c r="J474" i="1" a="1"/>
  <c r="J474" i="1" s="1"/>
  <c r="J108" i="1" a="1"/>
  <c r="J108" i="1" s="1"/>
  <c r="L108" i="1" s="1" a="1"/>
  <c r="L108" i="1" s="1"/>
  <c r="Q108" i="1" s="1" a="1"/>
  <c r="Q108" i="1" s="1"/>
  <c r="J775" i="1" a="1"/>
  <c r="J775" i="1" s="1"/>
  <c r="J145" i="1" a="1"/>
  <c r="J145" i="1" s="1"/>
  <c r="L145" i="1" s="1" a="1"/>
  <c r="L145" i="1" s="1"/>
  <c r="Q145" i="1" s="1" a="1"/>
  <c r="Q145" i="1" s="1"/>
  <c r="J279" i="1" a="1"/>
  <c r="J279" i="1" s="1"/>
  <c r="K279" i="1" s="1" a="1"/>
  <c r="K279" i="1" s="1"/>
  <c r="J647" i="1" a="1"/>
  <c r="J647" i="1" s="1"/>
  <c r="J231" i="1" a="1"/>
  <c r="J231" i="1" s="1"/>
  <c r="K231" i="1" s="1" a="1"/>
  <c r="K231" i="1" s="1"/>
  <c r="J401" i="1" a="1"/>
  <c r="J401" i="1" s="1"/>
  <c r="K401" i="1" s="1" a="1"/>
  <c r="K401" i="1" s="1"/>
  <c r="J253" i="1" a="1"/>
  <c r="J253" i="1" s="1"/>
  <c r="J342" i="1" a="1"/>
  <c r="J342" i="1" s="1"/>
  <c r="J410" i="1" a="1"/>
  <c r="J410" i="1" s="1"/>
  <c r="J440" i="1" a="1"/>
  <c r="J440" i="1" s="1"/>
  <c r="J562" i="1" a="1"/>
  <c r="J562" i="1" s="1"/>
  <c r="J190" i="1" a="1"/>
  <c r="J190" i="1" s="1"/>
  <c r="L190" i="1" s="1" a="1"/>
  <c r="L190" i="1" s="1"/>
  <c r="J225" i="1" a="1"/>
  <c r="J225" i="1" s="1"/>
  <c r="L225" i="1" s="1" a="1"/>
  <c r="L225" i="1" s="1"/>
  <c r="Q225" i="1" s="1" a="1"/>
  <c r="Q225" i="1" s="1"/>
  <c r="J350" i="1" a="1"/>
  <c r="J350" i="1" s="1"/>
  <c r="L350" i="1" s="1" a="1"/>
  <c r="L350" i="1" s="1"/>
  <c r="Q350" i="1" s="1" a="1"/>
  <c r="Q350" i="1" s="1"/>
  <c r="J497" i="1" a="1"/>
  <c r="J497" i="1" s="1"/>
  <c r="L497" i="1" s="1" a="1"/>
  <c r="L497" i="1" s="1"/>
  <c r="Q497" i="1" s="1" a="1"/>
  <c r="Q497" i="1" s="1"/>
  <c r="J35" i="1" a="1"/>
  <c r="J35" i="1" s="1"/>
  <c r="L35" i="1" s="1" a="1"/>
  <c r="L35" i="1" s="1"/>
  <c r="Q35" i="1" s="1" a="1"/>
  <c r="Q35" i="1" s="1"/>
  <c r="J556" i="1" a="1"/>
  <c r="J556" i="1" s="1"/>
  <c r="L556" i="1" s="1" a="1"/>
  <c r="L556" i="1" s="1"/>
  <c r="Q556" i="1" s="1" a="1"/>
  <c r="Q556" i="1" s="1"/>
  <c r="J329" i="1" a="1"/>
  <c r="J329" i="1" s="1"/>
  <c r="J717" i="1" a="1"/>
  <c r="J717" i="1" s="1"/>
  <c r="J721" i="1" a="1"/>
  <c r="J721" i="1" s="1"/>
  <c r="J462" i="1" a="1"/>
  <c r="J462" i="1" s="1"/>
  <c r="J737" i="1" a="1"/>
  <c r="J737" i="1" s="1"/>
  <c r="J148" i="1" a="1"/>
  <c r="J148" i="1" s="1"/>
  <c r="L148" i="1" s="1" a="1"/>
  <c r="L148" i="1" s="1"/>
  <c r="Q148" i="1" s="1" a="1"/>
  <c r="Q148" i="1" s="1"/>
  <c r="J33" i="1" a="1"/>
  <c r="J33" i="1" s="1"/>
  <c r="K33" i="1" s="1" a="1"/>
  <c r="K33" i="1" s="1"/>
  <c r="J500" i="1" a="1"/>
  <c r="J500" i="1" s="1"/>
  <c r="L500" i="1" s="1" a="1"/>
  <c r="L500" i="1" s="1"/>
  <c r="Q500" i="1" s="1" a="1"/>
  <c r="Q500" i="1" s="1"/>
  <c r="J365" i="1" a="1"/>
  <c r="J365" i="1" s="1"/>
  <c r="J221" i="1" a="1"/>
  <c r="J221" i="1" s="1"/>
  <c r="L221" i="1" s="1" a="1"/>
  <c r="L221" i="1" s="1"/>
  <c r="J67" i="1" a="1"/>
  <c r="J67" i="1" s="1"/>
  <c r="J489" i="1" a="1"/>
  <c r="J489" i="1" s="1"/>
  <c r="L489" i="1" s="1" a="1"/>
  <c r="L489" i="1" s="1"/>
  <c r="Q489" i="1" s="1" a="1"/>
  <c r="Q489" i="1" s="1"/>
  <c r="J3" i="1" a="1"/>
  <c r="J3" i="1" s="1"/>
  <c r="J335" i="1" a="1"/>
  <c r="J335" i="1" s="1"/>
  <c r="L335" i="1" s="1" a="1"/>
  <c r="L335" i="1" s="1"/>
  <c r="Q335" i="1" s="1" a="1"/>
  <c r="Q335" i="1" s="1"/>
  <c r="J132" i="1" a="1"/>
  <c r="J132" i="1" s="1"/>
  <c r="L132" i="1" s="1" a="1"/>
  <c r="L132" i="1" s="1"/>
  <c r="Q132" i="1" s="1" a="1"/>
  <c r="Q132" i="1" s="1"/>
  <c r="J572" i="1" a="1"/>
  <c r="J572" i="1" s="1"/>
  <c r="J423" i="1" a="1"/>
  <c r="J423" i="1" s="1"/>
  <c r="K423" i="1" s="1" a="1"/>
  <c r="K423" i="1" s="1"/>
  <c r="J748" i="1" a="1"/>
  <c r="J748" i="1" s="1"/>
  <c r="K748" i="1" s="1" a="1"/>
  <c r="K748" i="1" s="1"/>
  <c r="J540" i="1" a="1"/>
  <c r="J540" i="1" s="1"/>
  <c r="J213" i="1" a="1"/>
  <c r="J213" i="1" s="1"/>
  <c r="J610" i="1" a="1"/>
  <c r="J610" i="1" s="1"/>
  <c r="L610" i="1" s="1" a="1"/>
  <c r="L610" i="1" s="1"/>
  <c r="Q610" i="1" s="1" a="1"/>
  <c r="Q610" i="1" s="1"/>
  <c r="J398" i="1" a="1"/>
  <c r="J398" i="1" s="1"/>
  <c r="J396" i="1" a="1"/>
  <c r="J396" i="1" s="1"/>
  <c r="L396" i="1" s="1" a="1"/>
  <c r="L396" i="1" s="1"/>
  <c r="Q396" i="1" s="1" a="1"/>
  <c r="Q396" i="1" s="1"/>
  <c r="J343" i="1" a="1"/>
  <c r="J343" i="1" s="1"/>
  <c r="L343" i="1" s="1" a="1"/>
  <c r="L343" i="1" s="1"/>
  <c r="Q343" i="1" s="1" a="1"/>
  <c r="Q343" i="1" s="1"/>
  <c r="J20" i="1" a="1"/>
  <c r="J20" i="1" s="1"/>
  <c r="J290" i="1" a="1"/>
  <c r="J290" i="1" s="1"/>
  <c r="L290" i="1" s="1" a="1"/>
  <c r="L290" i="1" s="1"/>
  <c r="J234" i="1" a="1"/>
  <c r="J234" i="1" s="1"/>
  <c r="L234" i="1" s="1" a="1"/>
  <c r="L234" i="1" s="1"/>
  <c r="Q234" i="1" s="1" a="1"/>
  <c r="Q234" i="1" s="1"/>
  <c r="J664" i="1" a="1"/>
  <c r="J664" i="1" s="1"/>
  <c r="L664" i="1" s="1" a="1"/>
  <c r="L664" i="1" s="1"/>
  <c r="Q664" i="1" s="1" a="1"/>
  <c r="Q664" i="1" s="1"/>
  <c r="J459" i="1" a="1"/>
  <c r="J459" i="1" s="1"/>
  <c r="J492" i="1" a="1"/>
  <c r="J492" i="1" s="1"/>
  <c r="J512" i="1" a="1"/>
  <c r="J512" i="1" s="1"/>
  <c r="J414" i="1" a="1"/>
  <c r="J414" i="1" s="1"/>
  <c r="J441" i="1" a="1"/>
  <c r="J441" i="1" s="1"/>
  <c r="J505" i="1" a="1"/>
  <c r="J505" i="1" s="1"/>
  <c r="J344" i="1" a="1"/>
  <c r="J344" i="1" s="1"/>
  <c r="J147" i="1" a="1"/>
  <c r="J147" i="1" s="1"/>
  <c r="J386" i="1" a="1"/>
  <c r="J386" i="1" s="1"/>
  <c r="J230" i="1" a="1"/>
  <c r="J230" i="1" s="1"/>
  <c r="K230" i="1" s="1" a="1"/>
  <c r="K230" i="1" s="1"/>
  <c r="J668" i="1" a="1"/>
  <c r="J668" i="1" s="1"/>
  <c r="L668" i="1" s="1" a="1"/>
  <c r="L668" i="1" s="1"/>
  <c r="Q668" i="1" s="1" a="1"/>
  <c r="Q668" i="1" s="1"/>
  <c r="J514" i="1" a="1"/>
  <c r="J514" i="1" s="1"/>
  <c r="L514" i="1" s="1" a="1"/>
  <c r="L514" i="1" s="1"/>
  <c r="Q514" i="1" s="1" a="1"/>
  <c r="Q514" i="1" s="1"/>
  <c r="J95" i="1" a="1"/>
  <c r="J95" i="1" s="1"/>
  <c r="L95" i="1" s="1" a="1"/>
  <c r="L95" i="1" s="1"/>
  <c r="Q95" i="1" s="1" a="1"/>
  <c r="Q95" i="1" s="1"/>
  <c r="J80" i="1" a="1"/>
  <c r="J80" i="1" s="1"/>
  <c r="J321" i="1" a="1"/>
  <c r="J321" i="1" s="1"/>
  <c r="J12" i="1" a="1"/>
  <c r="J12" i="1" s="1"/>
  <c r="J241" i="1" a="1"/>
  <c r="J241" i="1" s="1"/>
  <c r="J75" i="1" a="1"/>
  <c r="J75" i="1" s="1"/>
  <c r="L75" i="1" s="1" a="1"/>
  <c r="L75" i="1" s="1"/>
  <c r="Q75" i="1" s="1" a="1"/>
  <c r="Q75" i="1" s="1"/>
  <c r="J173" i="1" a="1"/>
  <c r="J173" i="1" s="1"/>
  <c r="J646" i="1" a="1"/>
  <c r="J646" i="1" s="1"/>
  <c r="K646" i="1" s="1" a="1"/>
  <c r="K646" i="1" s="1"/>
  <c r="J704" i="1" a="1"/>
  <c r="J704" i="1" s="1"/>
  <c r="L704" i="1" s="1" a="1"/>
  <c r="L704" i="1" s="1"/>
  <c r="Q704" i="1" s="1" a="1"/>
  <c r="Q704" i="1" s="1"/>
  <c r="J68" i="1" a="1"/>
  <c r="J68" i="1" s="1"/>
  <c r="L68" i="1" s="1" a="1"/>
  <c r="L68" i="1" s="1"/>
  <c r="Q68" i="1" s="1" a="1"/>
  <c r="Q68" i="1" s="1"/>
  <c r="J496" i="1" a="1"/>
  <c r="J496" i="1" s="1"/>
  <c r="J708" i="1" a="1"/>
  <c r="J708" i="1" s="1"/>
  <c r="L708" i="1" s="1" a="1"/>
  <c r="L708" i="1" s="1"/>
  <c r="Q708" i="1" s="1" a="1"/>
  <c r="Q708" i="1" s="1"/>
  <c r="J538" i="1" a="1"/>
  <c r="J538" i="1" s="1"/>
  <c r="J346" i="1" a="1"/>
  <c r="J346" i="1" s="1"/>
  <c r="L346" i="1" s="1" a="1"/>
  <c r="L346" i="1" s="1"/>
  <c r="Q346" i="1" s="1" a="1"/>
  <c r="Q346" i="1" s="1"/>
  <c r="J636" i="1" a="1"/>
  <c r="J636" i="1" s="1"/>
  <c r="L636" i="1" s="1" a="1"/>
  <c r="L636" i="1" s="1"/>
  <c r="Q636" i="1" s="1" a="1"/>
  <c r="Q636" i="1" s="1"/>
  <c r="J214" i="1" a="1"/>
  <c r="J214" i="1" s="1"/>
  <c r="J84" i="1" a="1"/>
  <c r="J84" i="1" s="1"/>
  <c r="J634" i="1" a="1"/>
  <c r="J634" i="1" s="1"/>
  <c r="J783" i="1" a="1"/>
  <c r="J783" i="1" s="1"/>
  <c r="J605" i="1" a="1"/>
  <c r="J605" i="1" s="1"/>
  <c r="J679" i="1" a="1"/>
  <c r="J679" i="1" s="1"/>
  <c r="J92" i="1" a="1"/>
  <c r="J92" i="1" s="1"/>
  <c r="J375" i="1" a="1"/>
  <c r="J375" i="1" s="1"/>
  <c r="J635" i="1" a="1"/>
  <c r="J635" i="1" s="1"/>
  <c r="L635" i="1" s="1" a="1"/>
  <c r="L635" i="1" s="1"/>
  <c r="Q635" i="1" s="1" a="1"/>
  <c r="Q635" i="1" s="1"/>
  <c r="J101" i="1" a="1"/>
  <c r="J101" i="1" s="1"/>
  <c r="J468" i="1" a="1"/>
  <c r="J468" i="1" s="1"/>
  <c r="L468" i="1" s="1" a="1"/>
  <c r="L468" i="1" s="1"/>
  <c r="Q468" i="1" s="1" a="1"/>
  <c r="Q468" i="1" s="1"/>
  <c r="J2" i="1" a="1"/>
  <c r="J2" i="1" s="1"/>
  <c r="L2" i="1" s="1" a="1"/>
  <c r="L2" i="1" s="1"/>
  <c r="Q2" i="1" s="1" a="1"/>
  <c r="Q2" i="1" s="1"/>
  <c r="J743" i="1" a="1"/>
  <c r="J743" i="1" s="1"/>
  <c r="L743" i="1" s="1" a="1"/>
  <c r="L743" i="1" s="1"/>
  <c r="Q743" i="1" s="1" a="1"/>
  <c r="Q743" i="1" s="1"/>
  <c r="J624" i="1" a="1"/>
  <c r="J624" i="1" s="1"/>
  <c r="J707" i="1" a="1"/>
  <c r="J707" i="1" s="1"/>
  <c r="J59" i="1" a="1"/>
  <c r="J59" i="1" s="1"/>
  <c r="J139" i="1" a="1"/>
  <c r="J139" i="1" s="1"/>
  <c r="J162" i="1" a="1"/>
  <c r="J162" i="1" s="1"/>
  <c r="J786" i="1" a="1"/>
  <c r="J786" i="1" s="1"/>
  <c r="L786" i="1" s="1" a="1"/>
  <c r="L786" i="1" s="1"/>
  <c r="Q786" i="1" s="1" a="1"/>
  <c r="Q786" i="1" s="1"/>
  <c r="J586" i="1" a="1"/>
  <c r="J586" i="1" s="1"/>
  <c r="J739" i="1" a="1"/>
  <c r="J739" i="1" s="1"/>
  <c r="J83" i="1" a="1"/>
  <c r="J83" i="1" s="1"/>
  <c r="L83" i="1" s="1" a="1"/>
  <c r="L83" i="1" s="1"/>
  <c r="Q83" i="1" s="1" a="1"/>
  <c r="Q83" i="1" s="1"/>
  <c r="J167" i="1" a="1"/>
  <c r="J167" i="1" s="1"/>
  <c r="K167" i="1" s="1" a="1"/>
  <c r="K167" i="1" s="1"/>
  <c r="J663" i="1" a="1"/>
  <c r="J663" i="1" s="1"/>
  <c r="K663" i="1" s="1" a="1"/>
  <c r="K663" i="1" s="1"/>
  <c r="J49" i="1" a="1"/>
  <c r="J49" i="1" s="1"/>
  <c r="L49" i="1" s="1" a="1"/>
  <c r="L49" i="1" s="1"/>
  <c r="Q49" i="1" s="1" a="1"/>
  <c r="Q49" i="1" s="1"/>
  <c r="J442" i="1" a="1"/>
  <c r="J442" i="1" s="1"/>
  <c r="L442" i="1" s="1" a="1"/>
  <c r="L442" i="1" s="1"/>
  <c r="Q442" i="1" s="1" a="1"/>
  <c r="Q442" i="1" s="1"/>
  <c r="J735" i="1" a="1"/>
  <c r="J735" i="1" s="1"/>
  <c r="L735" i="1" s="1" a="1"/>
  <c r="L735" i="1" s="1"/>
  <c r="J24" i="1" a="1"/>
  <c r="J24" i="1" s="1"/>
  <c r="J56" i="1" a="1"/>
  <c r="J56" i="1" s="1"/>
  <c r="J744" i="1" a="1"/>
  <c r="J744" i="1" s="1"/>
  <c r="J71" i="1" a="1"/>
  <c r="J71" i="1" s="1"/>
  <c r="J632" i="1" a="1"/>
  <c r="J632" i="1" s="1"/>
  <c r="J767" i="1" a="1"/>
  <c r="J767" i="1" s="1"/>
  <c r="L767" i="1" s="1" a="1"/>
  <c r="L767" i="1" s="1"/>
  <c r="Q767" i="1" s="1" a="1"/>
  <c r="Q767" i="1" s="1"/>
  <c r="J166" i="1" a="1"/>
  <c r="J166" i="1" s="1"/>
  <c r="J8" i="1" a="1"/>
  <c r="J8" i="1" s="1"/>
  <c r="L8" i="1" s="1" a="1"/>
  <c r="L8" i="1" s="1"/>
  <c r="J273" i="1" a="1"/>
  <c r="J273" i="1" s="1"/>
  <c r="L273" i="1" s="1" a="1"/>
  <c r="L273" i="1" s="1"/>
  <c r="Q273" i="1" s="1" a="1"/>
  <c r="Q273" i="1" s="1"/>
  <c r="J543" i="1" a="1"/>
  <c r="J543" i="1" s="1"/>
  <c r="L543" i="1" s="1" a="1"/>
  <c r="L543" i="1" s="1"/>
  <c r="Q543" i="1" s="1" a="1"/>
  <c r="Q543" i="1" s="1"/>
  <c r="J685" i="1" a="1"/>
  <c r="J685" i="1" s="1"/>
  <c r="L685" i="1" s="1" a="1"/>
  <c r="L685" i="1" s="1"/>
  <c r="Q685" i="1" s="1" a="1"/>
  <c r="Q685" i="1" s="1"/>
  <c r="J159" i="1" a="1"/>
  <c r="J159" i="1" s="1"/>
  <c r="L159" i="1" s="1" a="1"/>
  <c r="L159" i="1" s="1"/>
  <c r="Q159" i="1" s="1" a="1"/>
  <c r="Q159" i="1" s="1"/>
  <c r="J732" i="1" a="1"/>
  <c r="J732" i="1" s="1"/>
  <c r="L732" i="1" s="1" a="1"/>
  <c r="L732" i="1" s="1"/>
  <c r="Q732" i="1" s="1" a="1"/>
  <c r="Q732" i="1" s="1"/>
  <c r="J731" i="1" a="1"/>
  <c r="J731" i="1" s="1"/>
  <c r="L731" i="1" s="1" a="1"/>
  <c r="L731" i="1" s="1"/>
  <c r="Q731" i="1" s="1" a="1"/>
  <c r="Q731" i="1" s="1"/>
  <c r="J425" i="1" a="1"/>
  <c r="J425" i="1" s="1"/>
  <c r="J656" i="1" a="1"/>
  <c r="J656" i="1" s="1"/>
  <c r="J686" i="1" a="1"/>
  <c r="J686" i="1" s="1"/>
  <c r="J483" i="1" a="1"/>
  <c r="J483" i="1" s="1"/>
  <c r="J122" i="1" a="1"/>
  <c r="J122" i="1" s="1"/>
  <c r="L122" i="1" s="1" a="1"/>
  <c r="L122" i="1" s="1"/>
  <c r="J334" i="1" a="1"/>
  <c r="J334" i="1" s="1"/>
  <c r="J546" i="1" a="1"/>
  <c r="J546" i="1" s="1"/>
  <c r="J681" i="1" a="1"/>
  <c r="J681" i="1" s="1"/>
  <c r="J57" i="1" a="1"/>
  <c r="J57" i="1" s="1"/>
  <c r="L57" i="1" s="1" a="1"/>
  <c r="L57" i="1" s="1"/>
  <c r="J10" i="1" a="1"/>
  <c r="J10" i="1" s="1"/>
  <c r="K10" i="1" s="1" a="1"/>
  <c r="K10" i="1" s="1"/>
  <c r="J541" i="1" a="1"/>
  <c r="J541" i="1" s="1"/>
  <c r="K541" i="1" s="1" a="1"/>
  <c r="K541" i="1" s="1"/>
  <c r="J418" i="1" a="1"/>
  <c r="J418" i="1" s="1"/>
  <c r="L418" i="1" s="1" a="1"/>
  <c r="L418" i="1" s="1"/>
  <c r="Q418" i="1" s="1" a="1"/>
  <c r="Q418" i="1" s="1"/>
  <c r="J584" i="1" a="1"/>
  <c r="J584" i="1" s="1"/>
  <c r="K584" i="1" s="1" a="1"/>
  <c r="K584" i="1" s="1"/>
  <c r="J672" i="1" a="1"/>
  <c r="J672" i="1" s="1"/>
  <c r="J18" i="1" a="1"/>
  <c r="J18" i="1" s="1"/>
  <c r="J800" i="1" a="1"/>
  <c r="J800" i="1" s="1"/>
  <c r="J568" i="1" a="1"/>
  <c r="J568" i="1" s="1"/>
  <c r="J784" i="1" a="1"/>
  <c r="J784" i="1" s="1"/>
  <c r="J552" i="1" a="1"/>
  <c r="J552" i="1" s="1"/>
  <c r="J387" i="1" a="1"/>
  <c r="J387" i="1" s="1"/>
  <c r="J113" i="1" a="1"/>
  <c r="J113" i="1" s="1"/>
  <c r="L113" i="1" s="1" a="1"/>
  <c r="L113" i="1" s="1"/>
  <c r="Q113" i="1" s="1" a="1"/>
  <c r="Q113" i="1" s="1"/>
  <c r="J22" i="1" a="1"/>
  <c r="J22" i="1" s="1"/>
  <c r="L22" i="1" s="1" a="1"/>
  <c r="L22" i="1" s="1"/>
  <c r="Q22" i="1" s="1" a="1"/>
  <c r="Q22" i="1" s="1"/>
  <c r="J182" i="1" a="1"/>
  <c r="J182" i="1" s="1"/>
  <c r="L182" i="1" s="1" a="1"/>
  <c r="L182" i="1" s="1"/>
  <c r="J458" i="1" a="1"/>
  <c r="J458" i="1" s="1"/>
  <c r="J17" i="1" a="1"/>
  <c r="J17" i="1" s="1"/>
  <c r="L17" i="1" s="1" a="1"/>
  <c r="L17" i="1" s="1"/>
  <c r="Q17" i="1" s="1" a="1"/>
  <c r="Q17" i="1" s="1"/>
  <c r="J114" i="1" a="1"/>
  <c r="J114" i="1" s="1"/>
  <c r="J296" i="1" a="1"/>
  <c r="J296" i="1" s="1"/>
  <c r="J699" i="1" a="1"/>
  <c r="J699" i="1" s="1"/>
  <c r="J40" i="1" a="1"/>
  <c r="J40" i="1" s="1"/>
  <c r="J585" i="1" a="1"/>
  <c r="J585" i="1" s="1"/>
  <c r="L585" i="1" s="1" a="1"/>
  <c r="L585" i="1" s="1"/>
  <c r="Q585" i="1" s="1" a="1"/>
  <c r="Q585" i="1" s="1"/>
  <c r="J614" i="1" a="1"/>
  <c r="J614" i="1" s="1"/>
  <c r="J46" i="1" a="1"/>
  <c r="J46" i="1" s="1"/>
  <c r="L46" i="1" s="1" a="1"/>
  <c r="L46" i="1" s="1"/>
  <c r="Q46" i="1" s="1" a="1"/>
  <c r="Q46" i="1" s="1"/>
  <c r="J332" i="1" a="1"/>
  <c r="J332" i="1" s="1"/>
  <c r="J579" i="1" a="1"/>
  <c r="J579" i="1" s="1"/>
  <c r="L579" i="1" s="1" a="1"/>
  <c r="L579" i="1" s="1"/>
  <c r="J683" i="1" a="1"/>
  <c r="J683" i="1" s="1"/>
  <c r="L683" i="1" s="1" a="1"/>
  <c r="L683" i="1" s="1"/>
  <c r="Q683" i="1" s="1" a="1"/>
  <c r="Q683" i="1" s="1"/>
  <c r="J367" i="1" a="1"/>
  <c r="J367" i="1" s="1"/>
  <c r="L367" i="1" s="1" a="1"/>
  <c r="L367" i="1" s="1"/>
  <c r="J102" i="1" a="1"/>
  <c r="J102" i="1" s="1"/>
  <c r="L102" i="1" s="1" a="1"/>
  <c r="L102" i="1" s="1"/>
  <c r="J532" i="1" a="1"/>
  <c r="J532" i="1" s="1"/>
  <c r="L532" i="1" s="1" a="1"/>
  <c r="L532" i="1" s="1"/>
  <c r="Q532" i="1" s="1" a="1"/>
  <c r="Q532" i="1" s="1"/>
  <c r="J674" i="1" a="1"/>
  <c r="J674" i="1" s="1"/>
  <c r="L674" i="1" s="1" a="1"/>
  <c r="L674" i="1" s="1"/>
  <c r="Q674" i="1" s="1" a="1"/>
  <c r="Q674" i="1" s="1"/>
  <c r="J472" i="1" a="1"/>
  <c r="J472" i="1" s="1"/>
  <c r="K472" i="1" s="1" a="1"/>
  <c r="K472" i="1" s="1"/>
  <c r="J776" i="1" a="1"/>
  <c r="J776" i="1" s="1"/>
  <c r="J622" i="1" a="1"/>
  <c r="J622" i="1" s="1"/>
  <c r="J118" i="1" a="1"/>
  <c r="J118" i="1" s="1"/>
  <c r="J720" i="1" a="1"/>
  <c r="J720" i="1" s="1"/>
  <c r="K720" i="1" s="1" a="1"/>
  <c r="K720" i="1" s="1"/>
  <c r="J181" i="1" a="1"/>
  <c r="J181" i="1" s="1"/>
  <c r="L181" i="1" s="1" a="1"/>
  <c r="L181" i="1" s="1"/>
  <c r="Q181" i="1" s="1" a="1"/>
  <c r="Q181" i="1" s="1"/>
  <c r="J170" i="1" a="1"/>
  <c r="J170" i="1" s="1"/>
  <c r="J232" i="1" a="1"/>
  <c r="J232" i="1" s="1"/>
  <c r="L232" i="1" s="1" a="1"/>
  <c r="L232" i="1" s="1"/>
  <c r="Q232" i="1" s="1" a="1"/>
  <c r="Q232" i="1" s="1"/>
  <c r="J756" i="1" a="1"/>
  <c r="J756" i="1" s="1"/>
  <c r="L756" i="1" s="1" a="1"/>
  <c r="L756" i="1" s="1"/>
  <c r="Q756" i="1" s="1" a="1"/>
  <c r="Q756" i="1" s="1"/>
  <c r="J98" i="1" a="1"/>
  <c r="J98" i="1" s="1"/>
  <c r="L98" i="1" s="1" a="1"/>
  <c r="L98" i="1" s="1"/>
  <c r="Q98" i="1" s="1" a="1"/>
  <c r="Q98" i="1" s="1"/>
  <c r="J763" i="1" a="1"/>
  <c r="J763" i="1" s="1"/>
  <c r="J301" i="1" a="1"/>
  <c r="J301" i="1" s="1"/>
  <c r="L301" i="1" s="1" a="1"/>
  <c r="L301" i="1" s="1"/>
  <c r="J555" i="1" a="1"/>
  <c r="J555" i="1" s="1"/>
  <c r="J48" i="1" a="1"/>
  <c r="J48" i="1" s="1"/>
  <c r="J304" i="1" a="1"/>
  <c r="J304" i="1" s="1"/>
  <c r="J399" i="1" a="1"/>
  <c r="J399" i="1" s="1"/>
  <c r="J325" i="1" a="1"/>
  <c r="J325" i="1" s="1"/>
  <c r="L325" i="1" s="1" a="1"/>
  <c r="L325" i="1" s="1"/>
  <c r="Q325" i="1" s="1" a="1"/>
  <c r="Q325" i="1" s="1"/>
  <c r="J508" i="1" a="1"/>
  <c r="J508" i="1" s="1"/>
  <c r="L508" i="1" s="1" a="1"/>
  <c r="L508" i="1" s="1"/>
  <c r="Q508" i="1" s="1" a="1"/>
  <c r="Q508" i="1" s="1"/>
  <c r="J455" i="1" a="1"/>
  <c r="J455" i="1" s="1"/>
  <c r="J420" i="1" a="1"/>
  <c r="J420" i="1" s="1"/>
  <c r="K420" i="1" s="1" a="1"/>
  <c r="K420" i="1" s="1"/>
  <c r="J741" i="1" a="1"/>
  <c r="J741" i="1" s="1"/>
  <c r="J523" i="1" a="1"/>
  <c r="J523" i="1" s="1"/>
  <c r="L523" i="1" s="1" a="1"/>
  <c r="L523" i="1" s="1"/>
  <c r="J89" i="1" a="1"/>
  <c r="J89" i="1" s="1"/>
  <c r="L89" i="1" s="1" a="1"/>
  <c r="L89" i="1" s="1"/>
  <c r="Q89" i="1" s="1" a="1"/>
  <c r="Q89" i="1" s="1"/>
  <c r="J250" i="1" a="1"/>
  <c r="J250" i="1" s="1"/>
  <c r="J124" i="1" a="1"/>
  <c r="J124" i="1" s="1"/>
  <c r="L124" i="1" s="1" a="1"/>
  <c r="L124" i="1" s="1"/>
  <c r="Q124" i="1" s="1" a="1"/>
  <c r="Q124" i="1" s="1"/>
  <c r="J449" i="1" a="1"/>
  <c r="J449" i="1" s="1"/>
  <c r="K449" i="1" s="1" a="1"/>
  <c r="K449" i="1" s="1"/>
  <c r="J179" i="1" a="1"/>
  <c r="J179" i="1" s="1"/>
  <c r="J240" i="1" a="1"/>
  <c r="J240" i="1" s="1"/>
  <c r="J276" i="1" a="1"/>
  <c r="J276" i="1" s="1"/>
  <c r="J134" i="1" a="1"/>
  <c r="J134" i="1" s="1"/>
  <c r="K134" i="1" s="1" a="1"/>
  <c r="K134" i="1" s="1"/>
  <c r="J271" i="1" a="1"/>
  <c r="J271" i="1" s="1"/>
  <c r="J311" i="1" a="1"/>
  <c r="J311" i="1" s="1"/>
  <c r="L311" i="1" s="1" a="1"/>
  <c r="L311" i="1" s="1"/>
  <c r="Q311" i="1" s="1" a="1"/>
  <c r="Q311" i="1" s="1"/>
  <c r="J549" i="1" a="1"/>
  <c r="J549" i="1" s="1"/>
  <c r="J777" i="1" a="1"/>
  <c r="J777" i="1" s="1"/>
  <c r="L777" i="1" s="1" a="1"/>
  <c r="L777" i="1" s="1"/>
  <c r="Q777" i="1" s="1" a="1"/>
  <c r="Q777" i="1" s="1"/>
  <c r="J14" i="1" a="1"/>
  <c r="J14" i="1" s="1"/>
  <c r="L14" i="1" s="1" a="1"/>
  <c r="L14" i="1" s="1"/>
  <c r="Q14" i="1" s="1" a="1"/>
  <c r="Q14" i="1" s="1"/>
  <c r="J690" i="1" a="1"/>
  <c r="J690" i="1" s="1"/>
  <c r="L690" i="1" s="1" a="1"/>
  <c r="L690" i="1" s="1"/>
  <c r="Q690" i="1" s="1" a="1"/>
  <c r="Q690" i="1" s="1"/>
  <c r="J602" i="1" a="1"/>
  <c r="J602" i="1" s="1"/>
  <c r="L602" i="1" s="1" a="1"/>
  <c r="L602" i="1" s="1"/>
  <c r="Q602" i="1" s="1" a="1"/>
  <c r="Q602" i="1" s="1"/>
  <c r="J286" i="1" a="1"/>
  <c r="J286" i="1" s="1"/>
  <c r="J749" i="1" a="1"/>
  <c r="J749" i="1" s="1"/>
  <c r="J428" i="1" a="1"/>
  <c r="J428" i="1" s="1"/>
  <c r="L428" i="1" s="1" a="1"/>
  <c r="L428" i="1" s="1"/>
  <c r="J518" i="1" a="1"/>
  <c r="J518" i="1" s="1"/>
  <c r="J565" i="1" a="1"/>
  <c r="J565" i="1" s="1"/>
  <c r="J550" i="1" a="1"/>
  <c r="J550" i="1" s="1"/>
  <c r="J249" i="1" a="1"/>
  <c r="J249" i="1" s="1"/>
  <c r="L249" i="1" s="1" a="1"/>
  <c r="L249" i="1" s="1"/>
  <c r="Q249" i="1" s="1" a="1"/>
  <c r="Q249" i="1" s="1"/>
  <c r="J412" i="1" a="1"/>
  <c r="J412" i="1" s="1"/>
  <c r="L412" i="1" s="1" a="1"/>
  <c r="L412" i="1" s="1"/>
  <c r="Q412" i="1" s="1" a="1"/>
  <c r="Q412" i="1" s="1"/>
  <c r="J191" i="1" a="1"/>
  <c r="J191" i="1" s="1"/>
  <c r="L191" i="1" s="1" a="1"/>
  <c r="L191" i="1" s="1"/>
  <c r="Q191" i="1" s="1" a="1"/>
  <c r="Q191" i="1" s="1"/>
  <c r="J422" i="1" a="1"/>
  <c r="J422" i="1" s="1"/>
  <c r="J183" i="1" a="1"/>
  <c r="J183" i="1" s="1"/>
  <c r="K183" i="1" s="1" a="1"/>
  <c r="K183" i="1" s="1"/>
  <c r="J753" i="1" a="1"/>
  <c r="J753" i="1" s="1"/>
  <c r="L753" i="1" s="1" a="1"/>
  <c r="L753" i="1" s="1"/>
  <c r="Q753" i="1" s="1" a="1"/>
  <c r="Q753" i="1" s="1"/>
  <c r="J154" i="1" a="1"/>
  <c r="J154" i="1" s="1"/>
  <c r="K154" i="1" s="1" a="1"/>
  <c r="K154" i="1" s="1"/>
  <c r="J577" i="1" a="1"/>
  <c r="J577" i="1" s="1"/>
  <c r="K577" i="1" s="1" a="1"/>
  <c r="K577" i="1" s="1"/>
  <c r="J553" i="1" a="1"/>
  <c r="J553" i="1" s="1"/>
  <c r="K553" i="1" s="1" a="1"/>
  <c r="K553" i="1" s="1"/>
  <c r="J16" i="1" a="1"/>
  <c r="J16" i="1" s="1"/>
  <c r="L16" i="1" s="1" a="1"/>
  <c r="L16" i="1" s="1"/>
  <c r="Q16" i="1" s="1" a="1"/>
  <c r="Q16" i="1" s="1"/>
  <c r="J299" i="1" a="1"/>
  <c r="J299" i="1" s="1"/>
  <c r="J407" i="1" a="1"/>
  <c r="J407" i="1" s="1"/>
  <c r="J609" i="1" a="1"/>
  <c r="J609" i="1" s="1"/>
  <c r="J539" i="1" a="1"/>
  <c r="J539" i="1" s="1"/>
  <c r="L539" i="1" s="1" a="1"/>
  <c r="L539" i="1" s="1"/>
  <c r="Q539" i="1" s="1" a="1"/>
  <c r="Q539" i="1" s="1"/>
  <c r="J319" i="1" a="1"/>
  <c r="J319" i="1" s="1"/>
  <c r="L319" i="1" s="1" a="1"/>
  <c r="L319" i="1" s="1"/>
  <c r="Q319" i="1" s="1" a="1"/>
  <c r="Q319" i="1" s="1"/>
  <c r="J381" i="1" a="1"/>
  <c r="J381" i="1" s="1"/>
  <c r="K381" i="1" s="1" a="1"/>
  <c r="K381" i="1" s="1"/>
  <c r="J61" i="1" a="1"/>
  <c r="J61" i="1" s="1"/>
  <c r="J295" i="1" a="1"/>
  <c r="J295" i="1" s="1"/>
  <c r="L295" i="1" s="1" a="1"/>
  <c r="L295" i="1" s="1"/>
  <c r="Q295" i="1" s="1" a="1"/>
  <c r="Q295" i="1" s="1"/>
  <c r="J176" i="1" a="1"/>
  <c r="J176" i="1" s="1"/>
  <c r="L176" i="1" s="1" a="1"/>
  <c r="L176" i="1" s="1"/>
  <c r="Q176" i="1" s="1" a="1"/>
  <c r="Q176" i="1" s="1"/>
  <c r="J464" i="1" a="1"/>
  <c r="J464" i="1" s="1"/>
  <c r="J289" i="1" a="1"/>
  <c r="J289" i="1" s="1"/>
  <c r="L289" i="1" s="1" a="1"/>
  <c r="L289" i="1" s="1"/>
  <c r="Q289" i="1" s="1" a="1"/>
  <c r="Q289" i="1" s="1"/>
  <c r="J146" i="1" a="1"/>
  <c r="J146" i="1" s="1"/>
  <c r="L146" i="1" s="1" a="1"/>
  <c r="L146" i="1" s="1"/>
  <c r="J274" i="1" a="1"/>
  <c r="J274" i="1" s="1"/>
  <c r="J267" i="1" a="1"/>
  <c r="J267" i="1" s="1"/>
  <c r="J216" i="1" a="1"/>
  <c r="J216" i="1" s="1"/>
  <c r="J247" i="1" a="1"/>
  <c r="J247" i="1" s="1"/>
  <c r="J413" i="1" a="1"/>
  <c r="J413" i="1" s="1"/>
  <c r="J453" i="1" a="1"/>
  <c r="J453" i="1" s="1"/>
  <c r="J28" i="1" a="1"/>
  <c r="J28" i="1" s="1"/>
  <c r="L28" i="1" s="1" a="1"/>
  <c r="L28" i="1" s="1"/>
  <c r="Q28" i="1" s="1" a="1"/>
  <c r="Q28" i="1" s="1"/>
  <c r="J42" i="1" a="1"/>
  <c r="J42" i="1" s="1"/>
  <c r="J210" i="1" a="1"/>
  <c r="J210" i="1" s="1"/>
  <c r="L210" i="1" s="1" a="1"/>
  <c r="L210" i="1" s="1"/>
  <c r="Q210" i="1" s="1" a="1"/>
  <c r="Q210" i="1" s="1"/>
  <c r="J142" i="1" a="1"/>
  <c r="J142" i="1" s="1"/>
  <c r="L142" i="1" s="1" a="1"/>
  <c r="L142" i="1" s="1"/>
  <c r="Q142" i="1" s="1" a="1"/>
  <c r="Q142" i="1" s="1"/>
  <c r="J600" i="1" a="1"/>
  <c r="J600" i="1" s="1"/>
  <c r="L600" i="1" s="1" a="1"/>
  <c r="L600" i="1" s="1"/>
  <c r="J206" i="1" a="1"/>
  <c r="J206" i="1" s="1"/>
  <c r="J705" i="1" a="1"/>
  <c r="J705" i="1" s="1"/>
  <c r="L705" i="1" s="1" a="1"/>
  <c r="L705" i="1" s="1"/>
  <c r="Q705" i="1" s="1" a="1"/>
  <c r="Q705" i="1" s="1"/>
  <c r="J501" i="1" a="1"/>
  <c r="J501" i="1" s="1"/>
  <c r="L501" i="1" s="1" a="1"/>
  <c r="L501" i="1" s="1"/>
  <c r="Q501" i="1" s="1" a="1"/>
  <c r="Q501" i="1" s="1"/>
  <c r="J229" i="1" a="1"/>
  <c r="J229" i="1" s="1"/>
  <c r="L229" i="1" s="1" a="1"/>
  <c r="L229" i="1" s="1"/>
  <c r="Q229" i="1" s="1" a="1"/>
  <c r="Q229" i="1" s="1"/>
  <c r="J34" i="1" a="1"/>
  <c r="J34" i="1" s="1"/>
  <c r="J81" i="1" a="1"/>
  <c r="J81" i="1" s="1"/>
  <c r="J192" i="1" a="1"/>
  <c r="J192" i="1" s="1"/>
  <c r="J158" i="1" a="1"/>
  <c r="J158" i="1" s="1"/>
  <c r="J535" i="1" a="1"/>
  <c r="J535" i="1" s="1"/>
  <c r="L535" i="1" s="1" a="1"/>
  <c r="L535" i="1" s="1"/>
  <c r="Q535" i="1" s="1" a="1"/>
  <c r="Q535" i="1" s="1"/>
  <c r="J426" i="1" a="1"/>
  <c r="J426" i="1" s="1"/>
  <c r="J673" i="1" a="1"/>
  <c r="J673" i="1" s="1"/>
  <c r="L673" i="1" s="1" a="1"/>
  <c r="L673" i="1" s="1"/>
  <c r="Q673" i="1" s="1" a="1"/>
  <c r="Q673" i="1" s="1"/>
  <c r="J237" i="1" a="1"/>
  <c r="J237" i="1" s="1"/>
  <c r="J320" i="1" a="1"/>
  <c r="J320" i="1" s="1"/>
  <c r="L320" i="1" s="1" a="1"/>
  <c r="L320" i="1" s="1"/>
  <c r="Q320" i="1" s="1" a="1"/>
  <c r="Q320" i="1" s="1"/>
  <c r="J246" i="1" a="1"/>
  <c r="J246" i="1" s="1"/>
  <c r="L246" i="1" s="1" a="1"/>
  <c r="L246" i="1" s="1"/>
  <c r="Q246" i="1" s="1" a="1"/>
  <c r="Q246" i="1" s="1"/>
  <c r="J477" i="1" a="1"/>
  <c r="J477" i="1" s="1"/>
  <c r="J30" i="1" a="1"/>
  <c r="J30" i="1" s="1"/>
  <c r="J380" i="1" a="1"/>
  <c r="J380" i="1" s="1"/>
  <c r="J621" i="1" a="1"/>
  <c r="J621" i="1" s="1"/>
  <c r="L621" i="1" s="1" a="1"/>
  <c r="L621" i="1" s="1"/>
  <c r="J570" i="1" a="1"/>
  <c r="J570" i="1" s="1"/>
  <c r="L570" i="1" s="1" a="1"/>
  <c r="L570" i="1" s="1"/>
  <c r="Q570" i="1" s="1" a="1"/>
  <c r="Q570" i="1" s="1"/>
  <c r="J561" i="1" a="1"/>
  <c r="J561" i="1" s="1"/>
  <c r="J345" i="1" a="1"/>
  <c r="J345" i="1" s="1"/>
  <c r="J789" i="1" a="1"/>
  <c r="J789" i="1" s="1"/>
  <c r="L789" i="1" s="1" a="1"/>
  <c r="L789" i="1" s="1"/>
  <c r="J180" i="1" a="1"/>
  <c r="J180" i="1" s="1"/>
  <c r="J312" i="1" a="1"/>
  <c r="J312" i="1" s="1"/>
  <c r="L312" i="1" s="1" a="1"/>
  <c r="L312" i="1" s="1"/>
  <c r="Q312" i="1" s="1" a="1"/>
  <c r="Q312" i="1" s="1"/>
  <c r="J50" i="1" a="1"/>
  <c r="J50" i="1" s="1"/>
  <c r="J688" i="1" a="1"/>
  <c r="J688" i="1" s="1"/>
  <c r="J47" i="1" a="1"/>
  <c r="J47" i="1" s="1"/>
  <c r="J754" i="1" a="1"/>
  <c r="J754" i="1" s="1"/>
  <c r="J266" i="1" a="1"/>
  <c r="J266" i="1" s="1"/>
  <c r="J589" i="1" a="1"/>
  <c r="J589" i="1" s="1"/>
  <c r="J99" i="1" a="1"/>
  <c r="J99" i="1" s="1"/>
  <c r="J502" i="1" a="1"/>
  <c r="J502" i="1" s="1"/>
  <c r="J643" i="1" a="1"/>
  <c r="J643" i="1" s="1"/>
  <c r="K643" i="1" s="1" a="1"/>
  <c r="K643" i="1" s="1"/>
  <c r="J242" i="1" a="1"/>
  <c r="J242" i="1" s="1"/>
  <c r="J575" i="1" a="1"/>
  <c r="J575" i="1" s="1"/>
  <c r="L575" i="1" s="1" a="1"/>
  <c r="L575" i="1" s="1"/>
  <c r="J330" i="1" a="1"/>
  <c r="J330" i="1" s="1"/>
  <c r="L330" i="1" s="1" a="1"/>
  <c r="L330" i="1" s="1"/>
  <c r="Q330" i="1" s="1" a="1"/>
  <c r="Q330" i="1" s="1"/>
  <c r="J504" i="1" a="1"/>
  <c r="J504" i="1" s="1"/>
  <c r="J724" i="1" a="1"/>
  <c r="J724" i="1" s="1"/>
  <c r="L724" i="1" s="1" a="1"/>
  <c r="L724" i="1" s="1"/>
  <c r="Q724" i="1" s="1" a="1"/>
  <c r="Q724" i="1" s="1"/>
  <c r="J415" i="1" a="1"/>
  <c r="J415" i="1" s="1"/>
  <c r="J393" i="1" a="1"/>
  <c r="J393" i="1" s="1"/>
  <c r="L393" i="1" s="1" a="1"/>
  <c r="L393" i="1" s="1"/>
  <c r="Q393" i="1" s="1" a="1"/>
  <c r="Q393" i="1" s="1"/>
  <c r="J316" i="1" a="1"/>
  <c r="J316" i="1" s="1"/>
  <c r="L316" i="1" s="1" a="1"/>
  <c r="L316" i="1" s="1"/>
  <c r="Q316" i="1" s="1" a="1"/>
  <c r="Q316" i="1" s="1"/>
  <c r="J718" i="1" a="1"/>
  <c r="J718" i="1" s="1"/>
  <c r="J526" i="1" a="1"/>
  <c r="J526" i="1" s="1"/>
  <c r="J725" i="1" a="1"/>
  <c r="J725" i="1" s="1"/>
  <c r="J235" i="1" a="1"/>
  <c r="J235" i="1" s="1"/>
  <c r="J115" i="1" a="1"/>
  <c r="J115" i="1" s="1"/>
  <c r="J693" i="1" a="1"/>
  <c r="J693" i="1" s="1"/>
  <c r="J248" i="1" a="1"/>
  <c r="J248" i="1" s="1"/>
  <c r="J645" i="1" a="1"/>
  <c r="J645" i="1" s="1"/>
  <c r="K645" i="1" s="1" a="1"/>
  <c r="K645" i="1" s="1"/>
  <c r="J613" i="1" a="1"/>
  <c r="J613" i="1" s="1"/>
  <c r="L613" i="1" s="1" a="1"/>
  <c r="L613" i="1" s="1"/>
  <c r="Q613" i="1" s="1" a="1"/>
  <c r="Q613" i="1" s="1"/>
  <c r="J227" i="1" a="1"/>
  <c r="J227" i="1" s="1"/>
  <c r="J327" i="1" a="1"/>
  <c r="J327" i="1" s="1"/>
  <c r="L327" i="1" s="1" a="1"/>
  <c r="L327" i="1" s="1"/>
  <c r="Q327" i="1" s="1" a="1"/>
  <c r="Q327" i="1" s="1"/>
  <c r="J164" i="1" a="1"/>
  <c r="J164" i="1" s="1"/>
  <c r="L164" i="1" s="1" a="1"/>
  <c r="L164" i="1" s="1"/>
  <c r="Q164" i="1" s="1" a="1"/>
  <c r="Q164" i="1" s="1"/>
  <c r="J177" i="1" a="1"/>
  <c r="J177" i="1" s="1"/>
  <c r="K177" i="1" s="1" a="1"/>
  <c r="K177" i="1" s="1"/>
  <c r="J597" i="1" a="1"/>
  <c r="J597" i="1" s="1"/>
  <c r="J270" i="1" a="1"/>
  <c r="J270" i="1" s="1"/>
  <c r="L270" i="1" s="1" a="1"/>
  <c r="L270" i="1" s="1"/>
  <c r="Q270" i="1" s="1" a="1"/>
  <c r="Q270" i="1" s="1"/>
  <c r="J557" i="1" a="1"/>
  <c r="J557" i="1" s="1"/>
  <c r="J199" i="1" a="1"/>
  <c r="J199" i="1" s="1"/>
  <c r="J368" i="1" a="1"/>
  <c r="J368" i="1" s="1"/>
  <c r="L368" i="1" s="1" a="1"/>
  <c r="L368" i="1" s="1"/>
  <c r="Q368" i="1" s="1" a="1"/>
  <c r="Q368" i="1" s="1"/>
  <c r="J774" i="1" a="1"/>
  <c r="J774" i="1" s="1"/>
  <c r="K774" i="1" s="1" a="1"/>
  <c r="K774" i="1" s="1"/>
  <c r="J293" i="1" a="1"/>
  <c r="J293" i="1" s="1"/>
  <c r="J499" i="1" a="1"/>
  <c r="J499" i="1" s="1"/>
  <c r="K499" i="1" s="1" a="1"/>
  <c r="K499" i="1" s="1"/>
  <c r="J408" i="1" a="1"/>
  <c r="J408" i="1" s="1"/>
  <c r="K408" i="1" s="1" a="1"/>
  <c r="K408" i="1" s="1"/>
  <c r="J517" i="1" a="1"/>
  <c r="J517" i="1" s="1"/>
  <c r="L517" i="1" s="1" a="1"/>
  <c r="L517" i="1" s="1"/>
  <c r="J394" i="1" a="1"/>
  <c r="J394" i="1" s="1"/>
  <c r="J513" i="1" a="1"/>
  <c r="J513" i="1" s="1"/>
  <c r="L513" i="1" s="1" a="1"/>
  <c r="L513" i="1" s="1"/>
  <c r="Q513" i="1" s="1" a="1"/>
  <c r="Q513" i="1" s="1"/>
  <c r="J383" i="1" a="1"/>
  <c r="J383" i="1" s="1"/>
  <c r="L383" i="1" s="1" a="1"/>
  <c r="L383" i="1" s="1"/>
  <c r="Q383" i="1" s="1" a="1"/>
  <c r="Q383" i="1" s="1"/>
  <c r="J799" i="1" a="1"/>
  <c r="J799" i="1" s="1"/>
  <c r="L799" i="1" s="1" a="1"/>
  <c r="L799" i="1" s="1"/>
  <c r="Q799" i="1" s="1" a="1"/>
  <c r="Q799" i="1" s="1"/>
  <c r="J39" i="1" a="1"/>
  <c r="J39" i="1" s="1"/>
  <c r="L39" i="1" s="1" a="1"/>
  <c r="L39" i="1" s="1"/>
  <c r="Q39" i="1" s="1" a="1"/>
  <c r="Q39" i="1" s="1"/>
  <c r="J37" i="1" a="1"/>
  <c r="J37" i="1" s="1"/>
  <c r="J533" i="1" a="1"/>
  <c r="J533" i="1" s="1"/>
  <c r="J702" i="1" a="1"/>
  <c r="J702" i="1" s="1"/>
  <c r="L702" i="1" s="1" a="1"/>
  <c r="L702" i="1" s="1"/>
  <c r="Q702" i="1" s="1" a="1"/>
  <c r="Q702" i="1" s="1"/>
  <c r="J314" i="1" a="1"/>
  <c r="J314" i="1" s="1"/>
  <c r="J760" i="1" a="1"/>
  <c r="J760" i="1" s="1"/>
  <c r="J669" i="1" a="1"/>
  <c r="J669" i="1" s="1"/>
  <c r="J482" i="1" a="1"/>
  <c r="J482" i="1" s="1"/>
  <c r="J726" i="1" a="1"/>
  <c r="J726" i="1" s="1"/>
  <c r="L726" i="1" s="1" a="1"/>
  <c r="L726" i="1" s="1"/>
  <c r="J687" i="1" a="1"/>
  <c r="J687" i="1" s="1"/>
  <c r="J651" i="1" a="1"/>
  <c r="J651" i="1" s="1"/>
  <c r="J354" i="1" a="1"/>
  <c r="J354" i="1" s="1"/>
  <c r="L354" i="1" s="1" a="1"/>
  <c r="L354" i="1" s="1"/>
  <c r="Q354" i="1" s="1" a="1"/>
  <c r="Q354" i="1" s="1"/>
  <c r="J110" i="1" a="1"/>
  <c r="J110" i="1" s="1"/>
  <c r="J750" i="1" a="1"/>
  <c r="J750" i="1" s="1"/>
  <c r="J506" i="1" a="1"/>
  <c r="J506" i="1" s="1"/>
  <c r="J129" i="1" a="1"/>
  <c r="J129" i="1" s="1"/>
  <c r="L129" i="1" s="1" a="1"/>
  <c r="L129" i="1" s="1"/>
  <c r="Q129" i="1" s="1" a="1"/>
  <c r="Q129" i="1" s="1"/>
  <c r="J454" i="1" a="1"/>
  <c r="J454" i="1" s="1"/>
  <c r="L454" i="1" s="1" a="1"/>
  <c r="L454" i="1" s="1"/>
  <c r="Q454" i="1" s="1" a="1"/>
  <c r="Q454" i="1" s="1"/>
  <c r="J336" i="1" a="1"/>
  <c r="J336" i="1" s="1"/>
  <c r="J790" i="1" a="1"/>
  <c r="J790" i="1" s="1"/>
  <c r="J755" i="1" a="1"/>
  <c r="J755" i="1" s="1"/>
  <c r="L755" i="1" s="1" a="1"/>
  <c r="L755" i="1" s="1"/>
  <c r="J27" i="1" a="1"/>
  <c r="J27" i="1" s="1"/>
  <c r="J439" i="1" a="1"/>
  <c r="J439" i="1" s="1"/>
  <c r="L439" i="1" s="1" a="1"/>
  <c r="L439" i="1" s="1"/>
  <c r="J151" i="1" a="1"/>
  <c r="J151" i="1" s="1"/>
  <c r="L151" i="1" s="1" a="1"/>
  <c r="L151" i="1" s="1"/>
  <c r="Q151" i="1" s="1" a="1"/>
  <c r="Q151" i="1" s="1"/>
  <c r="J378" i="1" a="1"/>
  <c r="J378" i="1" s="1"/>
  <c r="L378" i="1" s="1" a="1"/>
  <c r="L378" i="1" s="1"/>
  <c r="J593" i="1" a="1"/>
  <c r="J593" i="1" s="1"/>
  <c r="L593" i="1" s="1" a="1"/>
  <c r="L593" i="1" s="1"/>
  <c r="J677" i="1" a="1"/>
  <c r="J677" i="1" s="1"/>
  <c r="L677" i="1" s="1" a="1"/>
  <c r="L677" i="1" s="1"/>
  <c r="Q677" i="1" s="1" a="1"/>
  <c r="Q677" i="1" s="1"/>
  <c r="J633" i="1" a="1"/>
  <c r="J633" i="1" s="1"/>
  <c r="L633" i="1" s="1" a="1"/>
  <c r="L633" i="1" s="1"/>
  <c r="Q633" i="1" s="1" a="1"/>
  <c r="Q633" i="1" s="1"/>
  <c r="J156" i="1" a="1"/>
  <c r="J156" i="1" s="1"/>
  <c r="J291" i="1" a="1"/>
  <c r="J291" i="1" s="1"/>
  <c r="J185" i="1" a="1"/>
  <c r="J185" i="1" s="1"/>
  <c r="J447" i="1" a="1"/>
  <c r="J447" i="1" s="1"/>
  <c r="J79" i="1" a="1"/>
  <c r="J79" i="1" s="1"/>
  <c r="J255" i="1" a="1"/>
  <c r="J255" i="1" s="1"/>
  <c r="J373" i="1" a="1"/>
  <c r="J373" i="1" s="1"/>
  <c r="L373" i="1" s="1" a="1"/>
  <c r="L373" i="1" s="1"/>
  <c r="Q373" i="1" s="1" a="1"/>
  <c r="Q373" i="1" s="1"/>
  <c r="J757" i="1" a="1"/>
  <c r="J757" i="1" s="1"/>
  <c r="L757" i="1" s="1" a="1"/>
  <c r="L757" i="1" s="1"/>
  <c r="J119" i="1" a="1"/>
  <c r="J119" i="1" s="1"/>
  <c r="L119" i="1" s="1" a="1"/>
  <c r="L119" i="1" s="1"/>
  <c r="Q119" i="1" s="1" a="1"/>
  <c r="Q119" i="1" s="1"/>
  <c r="J356" i="1" a="1"/>
  <c r="J356" i="1" s="1"/>
  <c r="J759" i="1" a="1"/>
  <c r="J759" i="1" s="1"/>
  <c r="L759" i="1" s="1" a="1"/>
  <c r="L759" i="1" s="1"/>
  <c r="Q759" i="1" s="1" a="1"/>
  <c r="Q759" i="1" s="1"/>
  <c r="J369" i="1" a="1"/>
  <c r="J369" i="1" s="1"/>
  <c r="K369" i="1" s="1" a="1"/>
  <c r="K369" i="1" s="1"/>
  <c r="J25" i="1" a="1"/>
  <c r="J25" i="1" s="1"/>
  <c r="K25" i="1" s="1" a="1"/>
  <c r="K25" i="1" s="1"/>
  <c r="J616" i="1" a="1"/>
  <c r="J616" i="1" s="1"/>
  <c r="J140" i="1" a="1"/>
  <c r="J140" i="1" s="1"/>
  <c r="L140" i="1" s="1" a="1"/>
  <c r="L140" i="1" s="1"/>
  <c r="Q140" i="1" s="1" a="1"/>
  <c r="Q140" i="1" s="1"/>
  <c r="J402" i="1" a="1"/>
  <c r="J402" i="1" s="1"/>
  <c r="J127" i="1" a="1"/>
  <c r="J127" i="1" s="1"/>
  <c r="J470" i="1" a="1"/>
  <c r="J470" i="1" s="1"/>
  <c r="J619" i="1" a="1"/>
  <c r="J619" i="1" s="1"/>
  <c r="J193" i="1" a="1"/>
  <c r="J193" i="1" s="1"/>
  <c r="J527" i="1" a="1"/>
  <c r="J527" i="1" s="1"/>
  <c r="L527" i="1" s="1" a="1"/>
  <c r="L527" i="1" s="1"/>
  <c r="Q527" i="1" s="1" a="1"/>
  <c r="Q527" i="1" s="1"/>
  <c r="J275" i="1" a="1"/>
  <c r="J275" i="1" s="1"/>
  <c r="L275" i="1" s="1" a="1"/>
  <c r="L275" i="1" s="1"/>
  <c r="J245" i="1" a="1"/>
  <c r="J245" i="1" s="1"/>
  <c r="L245" i="1" s="1" a="1"/>
  <c r="L245" i="1" s="1"/>
  <c r="J591" i="1" a="1"/>
  <c r="J591" i="1" s="1"/>
  <c r="J363" i="1" a="1"/>
  <c r="J363" i="1" s="1"/>
  <c r="K363" i="1" s="1" a="1"/>
  <c r="K363" i="1" s="1"/>
  <c r="J642" i="1" a="1"/>
  <c r="J642" i="1" s="1"/>
  <c r="L642" i="1" s="1" a="1"/>
  <c r="L642" i="1" s="1"/>
  <c r="Q642" i="1" s="1" a="1"/>
  <c r="Q642" i="1" s="1"/>
  <c r="J317" i="1" a="1"/>
  <c r="J317" i="1" s="1"/>
  <c r="J160" i="1" a="1"/>
  <c r="J160" i="1" s="1"/>
  <c r="L160" i="1" s="1" a="1"/>
  <c r="L160" i="1" s="1"/>
  <c r="Q160" i="1" s="1" a="1"/>
  <c r="Q160" i="1" s="1"/>
  <c r="J416" i="1" a="1"/>
  <c r="J416" i="1" s="1"/>
  <c r="K416" i="1" s="1" a="1"/>
  <c r="K416" i="1" s="1"/>
  <c r="J745" i="1" a="1"/>
  <c r="J745" i="1" s="1"/>
  <c r="J297" i="1" a="1"/>
  <c r="J297" i="1" s="1"/>
  <c r="J714" i="1" a="1"/>
  <c r="J714" i="1" s="1"/>
  <c r="J239" i="1" a="1"/>
  <c r="J239" i="1" s="1"/>
  <c r="J484" i="1" a="1"/>
  <c r="J484" i="1" s="1"/>
  <c r="J467" i="1" a="1"/>
  <c r="J467" i="1" s="1"/>
  <c r="L467" i="1" s="1" a="1"/>
  <c r="L467" i="1" s="1"/>
  <c r="Q467" i="1" s="1" a="1"/>
  <c r="Q467" i="1" s="1"/>
  <c r="J639" i="1" a="1"/>
  <c r="J639" i="1" s="1"/>
  <c r="L639" i="1" s="1" a="1"/>
  <c r="L639" i="1" s="1"/>
  <c r="J9" i="1" a="1"/>
  <c r="J9" i="1" s="1"/>
  <c r="L9" i="1" s="1" a="1"/>
  <c r="L9" i="1" s="1"/>
  <c r="J263" i="1" a="1"/>
  <c r="J263" i="1" s="1"/>
  <c r="L263" i="1" s="1" a="1"/>
  <c r="L263" i="1" s="1"/>
  <c r="Q263" i="1" s="1" a="1"/>
  <c r="Q263" i="1" s="1"/>
  <c r="J104" i="1" a="1"/>
  <c r="J104" i="1" s="1"/>
  <c r="L104" i="1" s="1" a="1"/>
  <c r="L104" i="1" s="1"/>
  <c r="Q104" i="1" s="1" a="1"/>
  <c r="Q104" i="1" s="1"/>
  <c r="J371" i="1" a="1"/>
  <c r="J371" i="1" s="1"/>
  <c r="J574" i="1" a="1"/>
  <c r="J574" i="1" s="1"/>
  <c r="L574" i="1" s="1" a="1"/>
  <c r="L574" i="1" s="1"/>
  <c r="J762" i="1" a="1"/>
  <c r="J762" i="1" s="1"/>
  <c r="L762" i="1" s="1" a="1"/>
  <c r="L762" i="1" s="1"/>
  <c r="Q762" i="1" s="1" a="1"/>
  <c r="Q762" i="1" s="1"/>
  <c r="J202" i="1" a="1"/>
  <c r="J202" i="1" s="1"/>
  <c r="L202" i="1" s="1" a="1"/>
  <c r="L202" i="1" s="1"/>
  <c r="Q202" i="1" s="1" a="1"/>
  <c r="Q202" i="1" s="1"/>
  <c r="J87" i="1" a="1"/>
  <c r="J87" i="1" s="1"/>
  <c r="L87" i="1" s="1" a="1"/>
  <c r="L87" i="1" s="1"/>
  <c r="Q87" i="1" s="1" a="1"/>
  <c r="Q87" i="1" s="1"/>
  <c r="J516" i="1" a="1"/>
  <c r="J516" i="1" s="1"/>
  <c r="J703" i="1" a="1"/>
  <c r="J703" i="1" s="1"/>
  <c r="J662" i="1" a="1"/>
  <c r="J662" i="1" s="1"/>
  <c r="J485" i="1" a="1"/>
  <c r="J485" i="1" s="1"/>
  <c r="J795" i="1" a="1"/>
  <c r="J795" i="1" s="1"/>
  <c r="J682" i="1" a="1"/>
  <c r="J682" i="1" s="1"/>
  <c r="J427" i="1" a="1"/>
  <c r="J427" i="1" s="1"/>
  <c r="L427" i="1" s="1" a="1"/>
  <c r="L427" i="1" s="1"/>
  <c r="J715" i="1" a="1"/>
  <c r="J715" i="1" s="1"/>
  <c r="J448" i="1" a="1"/>
  <c r="J448" i="1" s="1"/>
  <c r="L448" i="1" s="1" a="1"/>
  <c r="L448" i="1" s="1"/>
  <c r="Q448" i="1" s="1" a="1"/>
  <c r="Q448" i="1" s="1"/>
  <c r="J128" i="1" a="1"/>
  <c r="J128" i="1" s="1"/>
  <c r="J457" i="1" a="1"/>
  <c r="J457" i="1" s="1"/>
  <c r="L457" i="1" s="1" a="1"/>
  <c r="L457" i="1" s="1"/>
  <c r="J359" i="1" a="1"/>
  <c r="J359" i="1" s="1"/>
  <c r="J93" i="1" a="1"/>
  <c r="J93" i="1" s="1"/>
  <c r="L93" i="1" s="1" a="1"/>
  <c r="L93" i="1" s="1"/>
  <c r="Q93" i="1" s="1" a="1"/>
  <c r="Q93" i="1" s="1"/>
  <c r="J278" i="1" a="1"/>
  <c r="J278" i="1" s="1"/>
  <c r="J618" i="1" a="1"/>
  <c r="J618" i="1" s="1"/>
  <c r="J534" i="1" a="1"/>
  <c r="J534" i="1" s="1"/>
  <c r="J444" i="1" a="1"/>
  <c r="J444" i="1" s="1"/>
  <c r="J676" i="1" a="1"/>
  <c r="J676" i="1" s="1"/>
  <c r="J736" i="1" a="1"/>
  <c r="J736" i="1" s="1"/>
  <c r="L736" i="1" s="1" a="1"/>
  <c r="L736" i="1" s="1"/>
  <c r="Q736" i="1" s="1" a="1"/>
  <c r="Q736" i="1" s="1"/>
  <c r="J779" i="1" a="1"/>
  <c r="J779" i="1" s="1"/>
  <c r="L779" i="1" s="1" a="1"/>
  <c r="L779" i="1" s="1"/>
  <c r="J72" i="1" a="1"/>
  <c r="J72" i="1" s="1"/>
  <c r="L72" i="1" s="1" a="1"/>
  <c r="L72" i="1" s="1"/>
  <c r="J529" i="1" a="1"/>
  <c r="J529" i="1" s="1"/>
  <c r="L529" i="1" s="1" a="1"/>
  <c r="L529" i="1" s="1"/>
  <c r="J711" i="1" a="1"/>
  <c r="J711" i="1" s="1"/>
  <c r="L711" i="1" s="1" a="1"/>
  <c r="L711" i="1" s="1"/>
  <c r="Q711" i="1" s="1" a="1"/>
  <c r="Q711" i="1" s="1"/>
  <c r="J126" i="1" a="1"/>
  <c r="J126" i="1" s="1"/>
  <c r="J178" i="1" a="1"/>
  <c r="J178" i="1" s="1"/>
  <c r="J188" i="1" a="1"/>
  <c r="J188" i="1" s="1"/>
  <c r="K188" i="1" s="1" a="1"/>
  <c r="K188" i="1" s="1"/>
  <c r="J283" i="1" a="1"/>
  <c r="J283" i="1" s="1"/>
  <c r="J438" i="1" a="1"/>
  <c r="J438" i="1" s="1"/>
  <c r="J630" i="1" a="1"/>
  <c r="J630" i="1" s="1"/>
  <c r="K630" i="1" s="1" a="1"/>
  <c r="K630" i="1" s="1"/>
  <c r="J252" i="1" a="1"/>
  <c r="J252" i="1" s="1"/>
  <c r="K252" i="1" s="1" a="1"/>
  <c r="K252" i="1" s="1"/>
  <c r="J432" i="1" a="1"/>
  <c r="J432" i="1" s="1"/>
  <c r="J5" i="1" a="1"/>
  <c r="J5" i="1" s="1"/>
  <c r="K5" i="1" s="1" a="1"/>
  <c r="K5" i="1" s="1"/>
  <c r="J211" i="1" a="1"/>
  <c r="J211" i="1" s="1"/>
  <c r="J617" i="1" a="1"/>
  <c r="J617" i="1" s="1"/>
  <c r="L617" i="1" s="1" a="1"/>
  <c r="L617" i="1" s="1"/>
  <c r="Q617" i="1" s="1" a="1"/>
  <c r="Q617" i="1" s="1"/>
  <c r="J478" i="1" a="1"/>
  <c r="J478" i="1" s="1"/>
  <c r="L478" i="1" s="1" a="1"/>
  <c r="L478" i="1" s="1"/>
  <c r="J667" i="1" a="1"/>
  <c r="J667" i="1" s="1"/>
  <c r="L667" i="1" s="1" a="1"/>
  <c r="L667" i="1" s="1"/>
  <c r="J417" i="1" a="1"/>
  <c r="J417" i="1" s="1"/>
  <c r="J305" i="1" a="1"/>
  <c r="J305" i="1" s="1"/>
  <c r="J379" i="1" a="1"/>
  <c r="J379" i="1" s="1"/>
  <c r="L379" i="1" s="1" a="1"/>
  <c r="L379" i="1" s="1"/>
  <c r="J509" i="1" a="1"/>
  <c r="J509" i="1" s="1"/>
  <c r="L509" i="1" s="1" a="1"/>
  <c r="L509" i="1" s="1"/>
  <c r="Q509" i="1" s="1" a="1"/>
  <c r="Q509" i="1" s="1"/>
  <c r="J389" i="1" a="1"/>
  <c r="J389" i="1" s="1"/>
  <c r="L389" i="1" s="1" a="1"/>
  <c r="L389" i="1" s="1"/>
  <c r="Q389" i="1" s="1" a="1"/>
  <c r="Q389" i="1" s="1"/>
  <c r="J666" i="1" a="1"/>
  <c r="J666" i="1" s="1"/>
  <c r="L666" i="1" s="1" a="1"/>
  <c r="L666" i="1" s="1"/>
  <c r="Q666" i="1" s="1" a="1"/>
  <c r="Q666" i="1" s="1"/>
  <c r="J698" i="1" a="1"/>
  <c r="J698" i="1" s="1"/>
  <c r="J588" i="1" a="1"/>
  <c r="J588" i="1" s="1"/>
  <c r="J323" i="1" a="1"/>
  <c r="J323" i="1" s="1"/>
  <c r="J475" i="1" a="1"/>
  <c r="J475" i="1" s="1"/>
  <c r="J109" i="1" a="1"/>
  <c r="J109" i="1" s="1"/>
  <c r="J780" i="1" a="1"/>
  <c r="J780" i="1" s="1"/>
  <c r="L780" i="1" s="1" a="1"/>
  <c r="L780" i="1" s="1"/>
  <c r="Q780" i="1" s="1" a="1"/>
  <c r="Q780" i="1" s="1"/>
  <c r="J559" i="1" a="1"/>
  <c r="J559" i="1" s="1"/>
  <c r="J292" i="1" a="1"/>
  <c r="J292" i="1" s="1"/>
  <c r="J331" i="1" a="1"/>
  <c r="J331" i="1" s="1"/>
  <c r="L331" i="1" s="1" a="1"/>
  <c r="L331" i="1" s="1"/>
  <c r="Q331" i="1" s="1" a="1"/>
  <c r="Q331" i="1" s="1"/>
  <c r="J233" i="1" a="1"/>
  <c r="J233" i="1" s="1"/>
  <c r="L233" i="1" s="1" a="1"/>
  <c r="L233" i="1" s="1"/>
  <c r="J576" i="1" a="1"/>
  <c r="J576" i="1" s="1"/>
  <c r="J450" i="1" a="1"/>
  <c r="J450" i="1" s="1"/>
  <c r="K450" i="1" s="1" a="1"/>
  <c r="K450" i="1" s="1"/>
  <c r="J310" i="1" a="1"/>
  <c r="J310" i="1" s="1"/>
  <c r="L310" i="1" s="1" a="1"/>
  <c r="L310" i="1" s="1"/>
  <c r="Q310" i="1" s="1" a="1"/>
  <c r="Q310" i="1" s="1"/>
  <c r="J785" i="1" a="1"/>
  <c r="J785" i="1" s="1"/>
  <c r="L785" i="1" s="1" a="1"/>
  <c r="L785" i="1" s="1"/>
  <c r="Q785" i="1" s="1" a="1"/>
  <c r="Q785" i="1" s="1"/>
  <c r="J107" i="1" a="1"/>
  <c r="J107" i="1" s="1"/>
  <c r="L107" i="1" s="1" a="1"/>
  <c r="L107" i="1" s="1"/>
  <c r="Q107" i="1" s="1" a="1"/>
  <c r="Q107" i="1" s="1"/>
  <c r="J770" i="1" a="1"/>
  <c r="J770" i="1" s="1"/>
  <c r="J792" i="1" a="1"/>
  <c r="J792" i="1" s="1"/>
  <c r="J370" i="1" a="1"/>
  <c r="J370" i="1" s="1"/>
  <c r="J44" i="1" a="1"/>
  <c r="J44" i="1" s="1"/>
  <c r="J73" i="1" a="1"/>
  <c r="J73" i="1" s="1"/>
  <c r="L73" i="1" s="1" a="1"/>
  <c r="L73" i="1" s="1"/>
  <c r="Q73" i="1" s="1" a="1"/>
  <c r="Q73" i="1" s="1"/>
  <c r="J746" i="1" a="1"/>
  <c r="J746" i="1" s="1"/>
  <c r="J165" i="1" a="1"/>
  <c r="J165" i="1" s="1"/>
  <c r="J257" i="1" a="1"/>
  <c r="J257" i="1" s="1"/>
  <c r="L257" i="1" s="1" a="1"/>
  <c r="L257" i="1" s="1"/>
  <c r="J560" i="1" a="1"/>
  <c r="J560" i="1" s="1"/>
  <c r="L560" i="1" s="1" a="1"/>
  <c r="L560" i="1" s="1"/>
  <c r="Q560" i="1" s="1" a="1"/>
  <c r="Q560" i="1" s="1"/>
  <c r="J661" i="1" a="1"/>
  <c r="J661" i="1" s="1"/>
  <c r="J771" i="1" a="1"/>
  <c r="J771" i="1" s="1"/>
  <c r="J601" i="1" a="1"/>
  <c r="J601" i="1" s="1"/>
  <c r="L601" i="1" s="1" a="1"/>
  <c r="L601" i="1" s="1"/>
  <c r="Q601" i="1" s="1" a="1"/>
  <c r="Q601" i="1" s="1"/>
  <c r="J764" i="1" a="1"/>
  <c r="J764" i="1" s="1"/>
  <c r="J734" i="1" a="1"/>
  <c r="J734" i="1" s="1"/>
  <c r="L734" i="1" s="1" a="1"/>
  <c r="L734" i="1" s="1"/>
  <c r="Q734" i="1" s="1" a="1"/>
  <c r="Q734" i="1" s="1"/>
  <c r="J564" i="1" a="1"/>
  <c r="J564" i="1" s="1"/>
  <c r="J424" i="1" a="1"/>
  <c r="J424" i="1" s="1"/>
  <c r="J88" i="1" a="1"/>
  <c r="J88" i="1" s="1"/>
  <c r="J522" i="1" a="1"/>
  <c r="J522" i="1" s="1"/>
  <c r="J269" i="1" a="1"/>
  <c r="J269" i="1" s="1"/>
  <c r="L269" i="1" s="1" a="1"/>
  <c r="L269" i="1" s="1"/>
  <c r="Q269" i="1" s="1" a="1"/>
  <c r="Q269" i="1" s="1"/>
  <c r="J465" i="1" a="1"/>
  <c r="J465" i="1" s="1"/>
  <c r="L465" i="1" s="1" a="1"/>
  <c r="L465" i="1" s="1"/>
  <c r="J125" i="1" a="1"/>
  <c r="J125" i="1" s="1"/>
  <c r="L125" i="1" s="1" a="1"/>
  <c r="L125" i="1" s="1"/>
  <c r="Q125" i="1" s="1" a="1"/>
  <c r="Q125" i="1" s="1"/>
  <c r="J640" i="1" a="1"/>
  <c r="J640" i="1" s="1"/>
  <c r="L640" i="1" s="1" a="1"/>
  <c r="L640" i="1" s="1"/>
  <c r="Q640" i="1" s="1" a="1"/>
  <c r="Q640" i="1" s="1"/>
  <c r="J51" i="1" a="1"/>
  <c r="J51" i="1" s="1"/>
  <c r="J324" i="1" a="1"/>
  <c r="J324" i="1" s="1"/>
  <c r="J788" i="1" a="1"/>
  <c r="J788" i="1" s="1"/>
  <c r="L788" i="1" s="1" a="1"/>
  <c r="L788" i="1" s="1"/>
  <c r="Q788" i="1" s="1" a="1"/>
  <c r="Q788" i="1" s="1"/>
  <c r="J434" i="1" a="1"/>
  <c r="J434" i="1" s="1"/>
  <c r="L434" i="1" s="1" a="1"/>
  <c r="L434" i="1" s="1"/>
  <c r="Q434" i="1" s="1" a="1"/>
  <c r="Q434" i="1" s="1"/>
  <c r="J525" i="1" a="1"/>
  <c r="J525" i="1" s="1"/>
  <c r="L525" i="1" s="1" a="1"/>
  <c r="L525" i="1" s="1"/>
  <c r="Q525" i="1" s="1" a="1"/>
  <c r="Q525" i="1" s="1"/>
  <c r="J200" i="1" a="1"/>
  <c r="J200" i="1" s="1"/>
  <c r="J791" i="1" a="1"/>
  <c r="J791" i="1" s="1"/>
  <c r="J443" i="1" a="1"/>
  <c r="J443" i="1" s="1"/>
  <c r="J678" i="1" a="1"/>
  <c r="J678" i="1" s="1"/>
  <c r="J592" i="1" a="1"/>
  <c r="J592" i="1" s="1"/>
  <c r="J223" i="1" a="1"/>
  <c r="J223" i="1" s="1"/>
  <c r="J772" i="1" a="1"/>
  <c r="J772" i="1" s="1"/>
  <c r="K772" i="1" s="1" a="1"/>
  <c r="K772" i="1" s="1"/>
  <c r="J403" i="1" a="1"/>
  <c r="J403" i="1" s="1"/>
  <c r="J163" i="1" a="1"/>
  <c r="J163" i="1" s="1"/>
  <c r="J594" i="1" a="1"/>
  <c r="J594" i="1" s="1"/>
  <c r="J105" i="1" a="1"/>
  <c r="J105" i="1" s="1"/>
  <c r="L105" i="1" s="1" a="1"/>
  <c r="L105" i="1" s="1"/>
  <c r="J308" i="1" a="1"/>
  <c r="J308" i="1" s="1"/>
  <c r="J41" i="1" a="1"/>
  <c r="J41" i="1" s="1"/>
  <c r="L41" i="1" s="1" a="1"/>
  <c r="L41" i="1" s="1"/>
  <c r="Q41" i="1" s="1" a="1"/>
  <c r="Q41" i="1" s="1"/>
  <c r="J268" i="1" a="1"/>
  <c r="J268" i="1" s="1"/>
  <c r="J430" i="1" a="1"/>
  <c r="J430" i="1" s="1"/>
  <c r="L430" i="1" s="1" a="1"/>
  <c r="L430" i="1" s="1"/>
  <c r="Q430" i="1" s="1" a="1"/>
  <c r="Q430" i="1" s="1"/>
  <c r="J713" i="1" a="1"/>
  <c r="J713" i="1" s="1"/>
  <c r="J82" i="1" a="1"/>
  <c r="J82" i="1" s="1"/>
  <c r="K82" i="1" s="1" a="1"/>
  <c r="K82" i="1" s="1"/>
  <c r="J629" i="1" a="1"/>
  <c r="J629" i="1" s="1"/>
  <c r="J169" i="1" a="1"/>
  <c r="J169" i="1" s="1"/>
  <c r="J264" i="1" a="1"/>
  <c r="J264" i="1" s="1"/>
  <c r="L264" i="1" s="1" a="1"/>
  <c r="L264" i="1" s="1"/>
  <c r="Q264" i="1" s="1" a="1"/>
  <c r="Q264" i="1" s="1"/>
  <c r="J53" i="1" a="1"/>
  <c r="J53" i="1" s="1"/>
  <c r="L53" i="1" s="1" a="1"/>
  <c r="L53" i="1" s="1"/>
  <c r="Q53" i="1" s="1" a="1"/>
  <c r="Q53" i="1" s="1"/>
  <c r="J294" i="1" a="1"/>
  <c r="J294" i="1" s="1"/>
  <c r="L294" i="1" s="1" a="1"/>
  <c r="L294" i="1" s="1"/>
  <c r="Q294" i="1" s="1" a="1"/>
  <c r="Q294" i="1" s="1"/>
  <c r="J738" i="1" a="1"/>
  <c r="J738" i="1" s="1"/>
  <c r="J657" i="1" a="1"/>
  <c r="J657" i="1" s="1"/>
  <c r="L657" i="1" s="1" a="1"/>
  <c r="L657" i="1" s="1"/>
  <c r="Q657" i="1" s="1" a="1"/>
  <c r="Q657" i="1" s="1"/>
  <c r="J218" i="1" a="1"/>
  <c r="J218" i="1" s="1"/>
  <c r="J19" i="1" a="1"/>
  <c r="J19" i="1" s="1"/>
  <c r="L19" i="1" s="1" a="1"/>
  <c r="L19" i="1" s="1"/>
  <c r="Q19" i="1" s="1" a="1"/>
  <c r="Q19" i="1" s="1"/>
  <c r="J212" i="1" a="1"/>
  <c r="J212" i="1" s="1"/>
  <c r="J348" i="1" a="1"/>
  <c r="J348" i="1" s="1"/>
  <c r="L348" i="1" s="1" a="1"/>
  <c r="L348" i="1" s="1"/>
  <c r="Q348" i="1" s="1" a="1"/>
  <c r="Q348" i="1" s="1"/>
  <c r="J460" i="1" a="1"/>
  <c r="J460" i="1" s="1"/>
  <c r="J569" i="1" a="1"/>
  <c r="J569" i="1" s="1"/>
  <c r="J536" i="1" a="1"/>
  <c r="J536" i="1" s="1"/>
  <c r="J256" i="1" a="1"/>
  <c r="J256" i="1" s="1"/>
  <c r="J544" i="1" a="1"/>
  <c r="J544" i="1" s="1"/>
  <c r="J77" i="1" a="1"/>
  <c r="J77" i="1" s="1"/>
  <c r="L77" i="1" s="1" a="1"/>
  <c r="L77" i="1" s="1"/>
  <c r="Q77" i="1" s="1" a="1"/>
  <c r="Q77" i="1" s="1"/>
  <c r="J480" i="1" a="1"/>
  <c r="J480" i="1" s="1"/>
  <c r="L480" i="1" s="1" a="1"/>
  <c r="L480" i="1" s="1"/>
  <c r="Q480" i="1" s="1" a="1"/>
  <c r="Q480" i="1" s="1"/>
  <c r="J186" i="1" a="1"/>
  <c r="J186" i="1" s="1"/>
  <c r="L186" i="1" s="1" a="1"/>
  <c r="L186" i="1" s="1"/>
  <c r="J21" i="1" a="1"/>
  <c r="J21" i="1" s="1"/>
  <c r="J429" i="1" a="1"/>
  <c r="J429" i="1" s="1"/>
  <c r="J258" i="1" a="1"/>
  <c r="J258" i="1" s="1"/>
  <c r="L258" i="1" s="1" a="1"/>
  <c r="L258" i="1" s="1"/>
  <c r="J551" i="1" a="1"/>
  <c r="J551" i="1" s="1"/>
  <c r="J710" i="1" a="1"/>
  <c r="J710" i="1" s="1"/>
  <c r="L710" i="1" s="1" a="1"/>
  <c r="L710" i="1" s="1"/>
  <c r="J694" i="1" a="1"/>
  <c r="J694" i="1" s="1"/>
  <c r="J395" i="1" a="1"/>
  <c r="J395" i="1" s="1"/>
  <c r="L395" i="1" s="1" a="1"/>
  <c r="L395" i="1" s="1"/>
  <c r="Q395" i="1" s="1" a="1"/>
  <c r="Q395" i="1" s="1"/>
  <c r="J638" i="1" a="1"/>
  <c r="J638" i="1" s="1"/>
  <c r="J7" i="1" a="1"/>
  <c r="J7" i="1" s="1"/>
  <c r="J196" i="1" a="1"/>
  <c r="J196" i="1" s="1"/>
  <c r="J103" i="1" a="1"/>
  <c r="J103" i="1" s="1"/>
  <c r="L103" i="1" s="1" a="1"/>
  <c r="L103" i="1" s="1"/>
  <c r="Q103" i="1" s="1" a="1"/>
  <c r="Q103" i="1" s="1"/>
  <c r="J318" i="1" a="1"/>
  <c r="J318" i="1" s="1"/>
  <c r="L318" i="1" s="1" a="1"/>
  <c r="L318" i="1" s="1"/>
  <c r="Q318" i="1" s="1" a="1"/>
  <c r="Q318" i="1" s="1"/>
  <c r="J463" i="1" a="1"/>
  <c r="J463" i="1" s="1"/>
  <c r="L463" i="1" s="1" a="1"/>
  <c r="L463" i="1" s="1"/>
  <c r="Q463" i="1" s="1" a="1"/>
  <c r="Q463" i="1" s="1"/>
  <c r="J220" i="1" a="1"/>
  <c r="J220" i="1" s="1"/>
  <c r="J524" i="1" a="1"/>
  <c r="J524" i="1" s="1"/>
  <c r="J353" i="1" a="1"/>
  <c r="J353" i="1" s="1"/>
  <c r="L353" i="1" s="1" a="1"/>
  <c r="L353" i="1" s="1"/>
  <c r="Q353" i="1" s="1" a="1"/>
  <c r="Q353" i="1" s="1"/>
  <c r="J106" i="1" a="1"/>
  <c r="J106" i="1" s="1"/>
  <c r="L106" i="1" s="1" a="1"/>
  <c r="L106" i="1" s="1"/>
  <c r="Q106" i="1" s="1" a="1"/>
  <c r="Q106" i="1" s="1"/>
  <c r="J228" i="1" a="1"/>
  <c r="J228" i="1" s="1"/>
  <c r="J172" i="1" a="1"/>
  <c r="J172" i="1" s="1"/>
  <c r="K172" i="1" s="1" a="1"/>
  <c r="K172" i="1" s="1"/>
  <c r="J491" i="1" a="1"/>
  <c r="J491" i="1" s="1"/>
  <c r="J184" i="1" a="1"/>
  <c r="J184" i="1" s="1"/>
  <c r="L184" i="1" s="1" a="1"/>
  <c r="L184" i="1" s="1"/>
  <c r="Q184" i="1" s="1" a="1"/>
  <c r="Q184" i="1" s="1"/>
  <c r="J701" i="1" a="1"/>
  <c r="J701" i="1" s="1"/>
  <c r="J670" i="1" a="1"/>
  <c r="J670" i="1" s="1"/>
  <c r="J590" i="1" a="1"/>
  <c r="J590" i="1" s="1"/>
  <c r="L590" i="1" s="1" a="1"/>
  <c r="L590" i="1" s="1"/>
  <c r="Q590" i="1" s="1" a="1"/>
  <c r="Q590" i="1" s="1"/>
  <c r="J765" i="1" a="1"/>
  <c r="J765" i="1" s="1"/>
  <c r="L765" i="1" s="1" a="1"/>
  <c r="L765" i="1" s="1"/>
  <c r="Q765" i="1" s="1" a="1"/>
  <c r="Q765" i="1" s="1"/>
  <c r="J152" i="1" a="1"/>
  <c r="J152" i="1" s="1"/>
  <c r="J133" i="1" a="1"/>
  <c r="J133" i="1" s="1"/>
  <c r="L133" i="1" s="1" a="1"/>
  <c r="L133" i="1" s="1"/>
  <c r="Q133" i="1" s="1" a="1"/>
  <c r="Q133" i="1" s="1"/>
  <c r="J490" i="1" a="1"/>
  <c r="J490" i="1" s="1"/>
  <c r="J773" i="1" a="1"/>
  <c r="J773" i="1" s="1"/>
  <c r="L773" i="1" s="1" a="1"/>
  <c r="L773" i="1" s="1"/>
  <c r="J262" i="1" a="1"/>
  <c r="J262" i="1" s="1"/>
  <c r="J120" i="1" a="1"/>
  <c r="J120" i="1" s="1"/>
  <c r="J675" i="1" a="1"/>
  <c r="J675" i="1" s="1"/>
  <c r="J620" i="1" a="1"/>
  <c r="J620" i="1" s="1"/>
  <c r="J265" i="1" a="1"/>
  <c r="J265" i="1" s="1"/>
  <c r="J300" i="1" a="1"/>
  <c r="J300" i="1" s="1"/>
  <c r="J215" i="1" a="1"/>
  <c r="J215" i="1" s="1"/>
  <c r="L215" i="1" s="1" a="1"/>
  <c r="L215" i="1" s="1"/>
  <c r="Q215" i="1" s="1" a="1"/>
  <c r="Q215" i="1" s="1"/>
  <c r="J123" i="1" a="1"/>
  <c r="J123" i="1" s="1"/>
  <c r="L123" i="1" s="1" a="1"/>
  <c r="L123" i="1" s="1"/>
  <c r="J406" i="1" a="1"/>
  <c r="J406" i="1" s="1"/>
  <c r="J554" i="1" a="1"/>
  <c r="J554" i="1" s="1"/>
  <c r="K554" i="1" s="1" a="1"/>
  <c r="K554" i="1" s="1"/>
  <c r="J100" i="1" a="1"/>
  <c r="J100" i="1" s="1"/>
  <c r="J644" i="1" a="1"/>
  <c r="J644" i="1" s="1"/>
  <c r="L644" i="1" s="1" a="1"/>
  <c r="L644" i="1" s="1"/>
  <c r="Q644" i="1" s="1" a="1"/>
  <c r="Q644" i="1" s="1"/>
  <c r="J244" i="1" a="1"/>
  <c r="J244" i="1" s="1"/>
  <c r="J70" i="1" a="1"/>
  <c r="J70" i="1" s="1"/>
  <c r="J573" i="1" a="1"/>
  <c r="J573" i="1" s="1"/>
  <c r="J194" i="1" a="1"/>
  <c r="J194" i="1" s="1"/>
  <c r="J11" i="1" a="1"/>
  <c r="J11" i="1" s="1"/>
  <c r="L11" i="1" s="1" a="1"/>
  <c r="L11" i="1" s="1"/>
  <c r="Q11" i="1" s="1" a="1"/>
  <c r="Q11" i="1" s="1"/>
  <c r="J611" i="1" a="1"/>
  <c r="J611" i="1" s="1"/>
  <c r="L611" i="1" s="1" a="1"/>
  <c r="L611" i="1" s="1"/>
  <c r="J277" i="1" a="1"/>
  <c r="J277" i="1" s="1"/>
  <c r="L277" i="1" s="1" a="1"/>
  <c r="L277" i="1" s="1"/>
  <c r="J801" i="1" a="1"/>
  <c r="J801" i="1" s="1"/>
  <c r="L801" i="1" s="1" a="1"/>
  <c r="L801" i="1" s="1"/>
  <c r="Q801" i="1" s="1" a="1"/>
  <c r="Q801" i="1" s="1"/>
  <c r="J798" i="1" a="1"/>
  <c r="J798" i="1" s="1"/>
  <c r="J587" i="1" a="1"/>
  <c r="J587" i="1" s="1"/>
  <c r="J599" i="1" a="1"/>
  <c r="J599" i="1" s="1"/>
  <c r="L599" i="1" s="1" a="1"/>
  <c r="L599" i="1" s="1"/>
  <c r="Q599" i="1" s="1" a="1"/>
  <c r="Q599" i="1" s="1"/>
  <c r="J238" i="1" a="1"/>
  <c r="J238" i="1" s="1"/>
  <c r="L238" i="1" s="1" a="1"/>
  <c r="L238" i="1" s="1"/>
  <c r="Q238" i="1" s="1" a="1"/>
  <c r="Q238" i="1" s="1"/>
  <c r="J671" i="1" a="1"/>
  <c r="J671" i="1" s="1"/>
  <c r="J32" i="1" a="1"/>
  <c r="J32" i="1" s="1"/>
  <c r="J313" i="1" a="1"/>
  <c r="J313" i="1" s="1"/>
  <c r="J781" i="1" a="1"/>
  <c r="J781" i="1" s="1"/>
  <c r="J43" i="1" a="1"/>
  <c r="J43" i="1" s="1"/>
  <c r="J758" i="1" a="1"/>
  <c r="J758" i="1" s="1"/>
  <c r="L758" i="1" s="1" a="1"/>
  <c r="L758" i="1" s="1"/>
  <c r="Q758" i="1" s="1" a="1"/>
  <c r="Q758" i="1" s="1"/>
  <c r="J709" i="1" a="1"/>
  <c r="J709" i="1" s="1"/>
  <c r="L709" i="1" s="1" a="1"/>
  <c r="L709" i="1" s="1"/>
  <c r="Q709" i="1" s="1" a="1"/>
  <c r="Q709" i="1" s="1"/>
  <c r="J419" i="1" a="1"/>
  <c r="J419" i="1" s="1"/>
  <c r="J66" i="1" a="1"/>
  <c r="J66" i="1" s="1"/>
  <c r="L66" i="1" s="1" a="1"/>
  <c r="L66" i="1" s="1"/>
  <c r="Q66" i="1" s="1" a="1"/>
  <c r="Q66" i="1" s="1"/>
  <c r="J528" i="1" a="1"/>
  <c r="J528" i="1" s="1"/>
  <c r="J537" i="1" a="1"/>
  <c r="J537" i="1" s="1"/>
  <c r="L537" i="1" s="1" a="1"/>
  <c r="L537" i="1" s="1"/>
  <c r="J226" i="1" a="1"/>
  <c r="J226" i="1" s="1"/>
  <c r="J117" i="1" a="1"/>
  <c r="J117" i="1" s="1"/>
  <c r="J236" i="1" a="1"/>
  <c r="J236" i="1" s="1"/>
  <c r="J376" i="1" a="1"/>
  <c r="J376" i="1" s="1"/>
  <c r="J251" i="1" a="1"/>
  <c r="J251" i="1" s="1"/>
  <c r="J391" i="1" a="1"/>
  <c r="J391" i="1" s="1"/>
  <c r="L391" i="1" s="1" a="1"/>
  <c r="L391" i="1" s="1"/>
  <c r="Q391" i="1" s="1" a="1"/>
  <c r="Q391" i="1" s="1"/>
  <c r="J338" i="1" a="1"/>
  <c r="J338" i="1" s="1"/>
  <c r="L338" i="1" s="1" a="1"/>
  <c r="L338" i="1" s="1"/>
  <c r="J298" i="1" a="1"/>
  <c r="J298" i="1" s="1"/>
  <c r="K298" i="1" s="1" a="1"/>
  <c r="K298" i="1" s="1"/>
  <c r="J628" i="1" a="1"/>
  <c r="J628" i="1" s="1"/>
  <c r="J302" i="1" a="1"/>
  <c r="J302" i="1" s="1"/>
  <c r="J38" i="1" a="1"/>
  <c r="J38" i="1" s="1"/>
  <c r="J604" i="1" a="1"/>
  <c r="J604" i="1" s="1"/>
  <c r="J339" i="1" a="1"/>
  <c r="J339" i="1" s="1"/>
  <c r="J660" i="1" a="1"/>
  <c r="J660" i="1" s="1"/>
  <c r="J224" i="1" a="1"/>
  <c r="J224" i="1" s="1"/>
  <c r="L224" i="1" s="1" a="1"/>
  <c r="L224" i="1" s="1"/>
  <c r="Q224" i="1" s="1" a="1"/>
  <c r="Q224" i="1" s="1"/>
  <c r="J385" i="1" a="1"/>
  <c r="J385" i="1" s="1"/>
  <c r="J400" i="1" a="1"/>
  <c r="J400" i="1" s="1"/>
  <c r="J649" i="1" a="1"/>
  <c r="J649" i="1" s="1"/>
  <c r="J203" i="1" a="1"/>
  <c r="J203" i="1" s="1"/>
  <c r="J631" i="1" a="1"/>
  <c r="J631" i="1" s="1"/>
  <c r="K631" i="1" s="1" a="1"/>
  <c r="K631" i="1" s="1"/>
  <c r="J135" i="1" a="1"/>
  <c r="J135" i="1" s="1"/>
  <c r="L135" i="1" s="1" a="1"/>
  <c r="L135" i="1" s="1"/>
  <c r="J652" i="1" a="1"/>
  <c r="J652" i="1" s="1"/>
  <c r="J52" i="1" a="1"/>
  <c r="J52" i="1" s="1"/>
  <c r="L52" i="1" s="1" a="1"/>
  <c r="L52" i="1" s="1"/>
  <c r="J284" i="1" a="1"/>
  <c r="J284" i="1" s="1"/>
  <c r="J571" i="1" a="1"/>
  <c r="J571" i="1" s="1"/>
  <c r="J706" i="1" a="1"/>
  <c r="J706" i="1" s="1"/>
  <c r="J567" i="1" a="1"/>
  <c r="J567" i="1" s="1"/>
  <c r="L567" i="1" s="1" a="1"/>
  <c r="L567" i="1" s="1"/>
  <c r="Q567" i="1" s="1" a="1"/>
  <c r="Q567" i="1" s="1"/>
  <c r="J547" i="1" a="1"/>
  <c r="J547" i="1" s="1"/>
  <c r="J421" i="1" a="1"/>
  <c r="J421" i="1" s="1"/>
  <c r="J451" i="1" a="1"/>
  <c r="J451" i="1" s="1"/>
  <c r="L451" i="1" s="1" a="1"/>
  <c r="L451" i="1" s="1"/>
  <c r="Q451" i="1" s="1" a="1"/>
  <c r="Q451" i="1" s="1"/>
  <c r="J548" i="1" a="1"/>
  <c r="J548" i="1" s="1"/>
  <c r="L548" i="1" s="1" a="1"/>
  <c r="L548" i="1" s="1"/>
  <c r="J31" i="1" a="1"/>
  <c r="J31" i="1" s="1"/>
  <c r="L31" i="1" s="1" a="1"/>
  <c r="L31" i="1" s="1"/>
  <c r="J769" i="1" a="1"/>
  <c r="J769" i="1" s="1"/>
  <c r="J797" i="1" a="1"/>
  <c r="J797" i="1" s="1"/>
  <c r="J364" i="1" a="1"/>
  <c r="J364" i="1" s="1"/>
  <c r="L364" i="1" s="1" a="1"/>
  <c r="L364" i="1" s="1"/>
  <c r="J337" i="1" a="1"/>
  <c r="J337" i="1" s="1"/>
  <c r="J733" i="1" a="1"/>
  <c r="J733" i="1" s="1"/>
  <c r="J288" i="1" a="1"/>
  <c r="J288" i="1" s="1"/>
  <c r="J197" i="1" a="1"/>
  <c r="J197" i="1" s="1"/>
  <c r="J392" i="1" a="1"/>
  <c r="J392" i="1" s="1"/>
  <c r="J596" i="1" a="1"/>
  <c r="J596" i="1" s="1"/>
  <c r="J691" i="1" a="1"/>
  <c r="J691" i="1" s="1"/>
  <c r="L691" i="1" s="1" a="1"/>
  <c r="L691" i="1" s="1"/>
  <c r="J487" i="1" a="1"/>
  <c r="J487" i="1" s="1"/>
  <c r="L487" i="1" s="1" a="1"/>
  <c r="L487" i="1" s="1"/>
  <c r="Q487" i="1" s="1" a="1"/>
  <c r="Q487" i="1" s="1"/>
  <c r="J74" i="1" a="1"/>
  <c r="J74" i="1" s="1"/>
  <c r="J623" i="1" a="1"/>
  <c r="J623" i="1" s="1"/>
  <c r="L623" i="1" s="1" a="1"/>
  <c r="L623" i="1" s="1"/>
  <c r="Q623" i="1" s="1" a="1"/>
  <c r="Q623" i="1" s="1"/>
  <c r="J362" i="1" a="1"/>
  <c r="J362" i="1" s="1"/>
  <c r="L362" i="1" s="1" a="1"/>
  <c r="L362" i="1" s="1"/>
  <c r="Q362" i="1" s="1" a="1"/>
  <c r="Q362" i="1" s="1"/>
  <c r="J78" i="1" a="1"/>
  <c r="J78" i="1" s="1"/>
  <c r="L78" i="1" s="1" a="1"/>
  <c r="L78" i="1" s="1"/>
  <c r="Q78" i="1" s="1" a="1"/>
  <c r="Q78" i="1" s="1"/>
  <c r="J461" i="1" a="1"/>
  <c r="J461" i="1" s="1"/>
  <c r="J637" i="1" a="1"/>
  <c r="J637" i="1" s="1"/>
  <c r="J740" i="1" a="1"/>
  <c r="J740" i="1" s="1"/>
  <c r="J63" i="1" a="1"/>
  <c r="J63" i="1" s="1"/>
  <c r="J695" i="1" a="1"/>
  <c r="J695" i="1" s="1"/>
  <c r="J466" i="1" a="1"/>
  <c r="J466" i="1" s="1"/>
  <c r="L466" i="1" s="1" a="1"/>
  <c r="L466" i="1" s="1"/>
  <c r="J494" i="1" a="1"/>
  <c r="J494" i="1" s="1"/>
  <c r="L494" i="1" s="1" a="1"/>
  <c r="L494" i="1" s="1"/>
  <c r="Q494" i="1" s="1" a="1"/>
  <c r="Q494" i="1" s="1"/>
  <c r="J650" i="1" a="1"/>
  <c r="J650" i="1" s="1"/>
  <c r="L650" i="1" s="1" a="1"/>
  <c r="L650" i="1" s="1"/>
  <c r="J136" i="1" a="1"/>
  <c r="J136" i="1" s="1"/>
  <c r="L136" i="1" s="1" a="1"/>
  <c r="L136" i="1" s="1"/>
  <c r="Q136" i="1" s="1" a="1"/>
  <c r="Q136" i="1" s="1"/>
  <c r="J431" i="1" a="1"/>
  <c r="J431" i="1" s="1"/>
  <c r="J254" i="1" a="1"/>
  <c r="J254" i="1" s="1"/>
  <c r="L254" i="1" s="1" a="1"/>
  <c r="L254" i="1" s="1"/>
  <c r="J761" i="1" a="1"/>
  <c r="J761" i="1" s="1"/>
  <c r="L761" i="1" s="1" a="1"/>
  <c r="L761" i="1" s="1"/>
  <c r="Q761" i="1" s="1" a="1"/>
  <c r="Q761" i="1" s="1"/>
  <c r="J404" i="1" a="1"/>
  <c r="J404" i="1" s="1"/>
  <c r="J340" i="1" a="1"/>
  <c r="J340" i="1" s="1"/>
  <c r="J208" i="1" a="1"/>
  <c r="J208" i="1" s="1"/>
  <c r="J259" i="1" a="1"/>
  <c r="J259" i="1" s="1"/>
  <c r="J161" i="1" a="1"/>
  <c r="J161" i="1" s="1"/>
  <c r="J372" i="1" a="1"/>
  <c r="J372" i="1" s="1"/>
  <c r="J130" i="1" a="1"/>
  <c r="J130" i="1" s="1"/>
  <c r="J26" i="1" a="1"/>
  <c r="J26" i="1" s="1"/>
  <c r="L26" i="1" s="1" a="1"/>
  <c r="L26" i="1" s="1"/>
  <c r="Q26" i="1" s="1" a="1"/>
  <c r="Q26" i="1" s="1"/>
  <c r="J405" i="1" a="1"/>
  <c r="J405" i="1" s="1"/>
  <c r="L405" i="1" s="1" a="1"/>
  <c r="L405" i="1" s="1"/>
  <c r="Q405" i="1" s="1" a="1"/>
  <c r="Q405" i="1" s="1"/>
  <c r="J452" i="1" a="1"/>
  <c r="J452" i="1" s="1"/>
  <c r="J481" i="1" a="1"/>
  <c r="J481" i="1" s="1"/>
  <c r="J488" i="1" a="1"/>
  <c r="J488" i="1" s="1"/>
  <c r="L488" i="1" s="1" a="1"/>
  <c r="L488" i="1" s="1"/>
  <c r="J45" i="1" a="1"/>
  <c r="J45" i="1" s="1"/>
  <c r="K45" i="1" s="1" a="1"/>
  <c r="K45" i="1" s="1"/>
  <c r="J315" i="1" a="1"/>
  <c r="J315" i="1" s="1"/>
  <c r="L315" i="1" s="1" a="1"/>
  <c r="L315" i="1" s="1"/>
  <c r="Q315" i="1" s="1" a="1"/>
  <c r="Q315" i="1" s="1"/>
  <c r="J36" i="1" a="1"/>
  <c r="J36" i="1" s="1"/>
  <c r="K36" i="1" s="1" a="1"/>
  <c r="K36" i="1" s="1"/>
  <c r="J700" i="1" a="1"/>
  <c r="J700" i="1" s="1"/>
  <c r="J243" i="1" a="1"/>
  <c r="J243" i="1" s="1"/>
  <c r="J641" i="1" a="1"/>
  <c r="J641" i="1" s="1"/>
  <c r="J519" i="1" a="1"/>
  <c r="J519" i="1" s="1"/>
  <c r="J436" i="1" a="1"/>
  <c r="J436" i="1" s="1"/>
  <c r="L436" i="1" s="1" a="1"/>
  <c r="L436" i="1" s="1"/>
  <c r="Q436" i="1" s="1" a="1"/>
  <c r="Q436" i="1" s="1"/>
  <c r="J168" i="1" a="1"/>
  <c r="J168" i="1" s="1"/>
  <c r="L168" i="1" s="1" a="1"/>
  <c r="L168" i="1" s="1"/>
  <c r="J595" i="1" a="1"/>
  <c r="J595" i="1" s="1"/>
  <c r="J653" i="1" a="1"/>
  <c r="J653" i="1" s="1"/>
  <c r="J603" i="1" a="1"/>
  <c r="J603" i="1" s="1"/>
  <c r="K603" i="1" s="1" a="1"/>
  <c r="K603" i="1" s="1"/>
  <c r="J521" i="1" a="1"/>
  <c r="J521" i="1" s="1"/>
  <c r="L521" i="1" s="1" a="1"/>
  <c r="L521" i="1" s="1"/>
  <c r="Q521" i="1" s="1" a="1"/>
  <c r="Q521" i="1" s="1"/>
  <c r="J476" i="1" a="1"/>
  <c r="J476" i="1" s="1"/>
  <c r="J347" i="1" a="1"/>
  <c r="J347" i="1" s="1"/>
  <c r="J689" i="1" a="1"/>
  <c r="J689" i="1" s="1"/>
  <c r="T556" i="1" a="1"/>
  <c r="T556" i="1" s="1"/>
  <c r="T498" i="1" a="1"/>
  <c r="T498" i="1" s="1"/>
  <c r="T280" i="1" a="1"/>
  <c r="T280" i="1" s="1"/>
  <c r="T635" i="1" a="1"/>
  <c r="T635" i="1" s="1"/>
  <c r="T124" i="1" a="1"/>
  <c r="T124" i="1" s="1"/>
  <c r="R752" i="1" a="1"/>
  <c r="R752" i="1" s="1"/>
  <c r="R511" i="1" a="1"/>
  <c r="R511" i="1" s="1"/>
  <c r="R479" i="1" a="1"/>
  <c r="R479" i="1" s="1"/>
  <c r="R531" i="1" a="1"/>
  <c r="R531" i="1" s="1"/>
  <c r="R782" i="1" a="1"/>
  <c r="R782" i="1" s="1"/>
  <c r="R722" i="1" a="1"/>
  <c r="R722" i="1" s="1"/>
  <c r="R456" i="1" a="1"/>
  <c r="R456" i="1" s="1"/>
  <c r="R96" i="1" a="1"/>
  <c r="R96" i="1" s="1"/>
  <c r="R397" i="1" a="1"/>
  <c r="R397" i="1" s="1"/>
  <c r="R658" i="1" a="1"/>
  <c r="R658" i="1" s="1"/>
  <c r="R558" i="1" a="1"/>
  <c r="R558" i="1" s="1"/>
  <c r="R131" i="1" a="1"/>
  <c r="R131" i="1" s="1"/>
  <c r="R351" i="1" a="1"/>
  <c r="R351" i="1" s="1"/>
  <c r="R437" i="1" a="1"/>
  <c r="R437" i="1" s="1"/>
  <c r="R121" i="1" a="1"/>
  <c r="R121" i="1" s="1"/>
  <c r="R530" i="1" a="1"/>
  <c r="R530" i="1" s="1"/>
  <c r="R222" i="1" a="1"/>
  <c r="R222" i="1" s="1"/>
  <c r="R341" i="1" a="1"/>
  <c r="R341" i="1" s="1"/>
  <c r="R625" i="1" a="1"/>
  <c r="R625" i="1" s="1"/>
  <c r="R486" i="1" a="1"/>
  <c r="R486" i="1" s="1"/>
  <c r="R680" i="1" a="1"/>
  <c r="R680" i="1" s="1"/>
  <c r="R696" i="1" a="1"/>
  <c r="R696" i="1" s="1"/>
  <c r="R76" i="1" a="1"/>
  <c r="R76" i="1" s="1"/>
  <c r="R388" i="1" a="1"/>
  <c r="R388" i="1" s="1"/>
  <c r="R580" i="1" a="1"/>
  <c r="R580" i="1" s="1"/>
  <c r="R328" i="1" a="1"/>
  <c r="R328" i="1" s="1"/>
  <c r="R174" i="1" a="1"/>
  <c r="R174" i="1" s="1"/>
  <c r="R377" i="1" a="1"/>
  <c r="R377" i="1" s="1"/>
  <c r="R563" i="1" a="1"/>
  <c r="R563" i="1" s="1"/>
  <c r="R729" i="1" a="1"/>
  <c r="R729" i="1" s="1"/>
  <c r="R23" i="1" a="1"/>
  <c r="R23" i="1" s="1"/>
  <c r="R306" i="1" a="1"/>
  <c r="R306" i="1" s="1"/>
  <c r="R583" i="1" a="1"/>
  <c r="R583" i="1" s="1"/>
  <c r="R723" i="1" a="1"/>
  <c r="R723" i="1" s="1"/>
  <c r="R64" i="1" a="1"/>
  <c r="R64" i="1" s="1"/>
  <c r="R716" i="1" a="1"/>
  <c r="R716" i="1" s="1"/>
  <c r="R507" i="1" a="1"/>
  <c r="R507" i="1" s="1"/>
  <c r="R612" i="1" a="1"/>
  <c r="R612" i="1" s="1"/>
  <c r="R303" i="1" a="1"/>
  <c r="R303" i="1" s="1"/>
  <c r="R309" i="1" a="1"/>
  <c r="R309" i="1" s="1"/>
  <c r="R582" i="1" a="1"/>
  <c r="R582" i="1" s="1"/>
  <c r="R137" i="1" a="1"/>
  <c r="R137" i="1" s="1"/>
  <c r="R503" i="1" a="1"/>
  <c r="R503" i="1" s="1"/>
  <c r="R157" i="1" a="1"/>
  <c r="R157" i="1" s="1"/>
  <c r="R111" i="1" a="1"/>
  <c r="R111" i="1" s="1"/>
  <c r="R171" i="1" a="1"/>
  <c r="R171" i="1" s="1"/>
  <c r="R768" i="1" a="1"/>
  <c r="R768" i="1" s="1"/>
  <c r="R411" i="1" a="1"/>
  <c r="R411" i="1" s="1"/>
  <c r="R730" i="1" a="1"/>
  <c r="R730" i="1" s="1"/>
  <c r="R187" i="1" a="1"/>
  <c r="R187" i="1" s="1"/>
  <c r="R665" i="1" a="1"/>
  <c r="R665" i="1" s="1"/>
  <c r="R655" i="1" a="1"/>
  <c r="R655" i="1" s="1"/>
  <c r="R60" i="1" a="1"/>
  <c r="R60" i="1" s="1"/>
  <c r="R112" i="1" a="1"/>
  <c r="R112" i="1" s="1"/>
  <c r="R357" i="1" a="1"/>
  <c r="R357" i="1" s="1"/>
  <c r="R360" i="1" a="1"/>
  <c r="R360" i="1" s="1"/>
  <c r="R141" i="1" a="1"/>
  <c r="R141" i="1" s="1"/>
  <c r="R54" i="1" a="1"/>
  <c r="R54" i="1" s="1"/>
  <c r="R361" i="1" a="1"/>
  <c r="R361" i="1" s="1"/>
  <c r="R793" i="1" a="1"/>
  <c r="R793" i="1" s="1"/>
  <c r="R374" i="1" a="1"/>
  <c r="R374" i="1" s="1"/>
  <c r="R143" i="1" a="1"/>
  <c r="R143" i="1" s="1"/>
  <c r="R659" i="1" a="1"/>
  <c r="R659" i="1" s="1"/>
  <c r="R545" i="1" a="1"/>
  <c r="R545" i="1" s="1"/>
  <c r="R766" i="1" a="1"/>
  <c r="R766" i="1" s="1"/>
  <c r="R778" i="1" a="1"/>
  <c r="R778" i="1" s="1"/>
  <c r="R116" i="1" a="1"/>
  <c r="R116" i="1" s="1"/>
  <c r="R91" i="1" a="1"/>
  <c r="R91" i="1" s="1"/>
  <c r="R285" i="1" a="1"/>
  <c r="R285" i="1" s="1"/>
  <c r="R445" i="1" a="1"/>
  <c r="R445" i="1" s="1"/>
  <c r="R615" i="1" a="1"/>
  <c r="R615" i="1" s="1"/>
  <c r="R495" i="1" a="1"/>
  <c r="R495" i="1" s="1"/>
  <c r="R728" i="1" a="1"/>
  <c r="R728" i="1" s="1"/>
  <c r="R578" i="1" a="1"/>
  <c r="R578" i="1" s="1"/>
  <c r="R209" i="1" a="1"/>
  <c r="R209" i="1" s="1"/>
  <c r="R204" i="1" a="1"/>
  <c r="R204" i="1" s="1"/>
  <c r="R654" i="1" a="1"/>
  <c r="R654" i="1" s="1"/>
  <c r="R217" i="1" a="1"/>
  <c r="R217" i="1" s="1"/>
  <c r="R566" i="1" a="1"/>
  <c r="R566" i="1" s="1"/>
  <c r="R409" i="1" a="1"/>
  <c r="R409" i="1" s="1"/>
  <c r="R58" i="1" a="1"/>
  <c r="R58" i="1" s="1"/>
  <c r="R627" i="1" a="1"/>
  <c r="R627" i="1" s="1"/>
  <c r="R272" i="1" a="1"/>
  <c r="R272" i="1" s="1"/>
  <c r="R498" i="1" a="1"/>
  <c r="R498" i="1" s="1"/>
  <c r="R153" i="1" a="1"/>
  <c r="R153" i="1" s="1"/>
  <c r="R322" i="1" a="1"/>
  <c r="R322" i="1" s="1"/>
  <c r="R719" i="1" a="1"/>
  <c r="R719" i="1" s="1"/>
  <c r="R65" i="1" a="1"/>
  <c r="R65" i="1" s="1"/>
  <c r="R150" i="1" a="1"/>
  <c r="R150" i="1" s="1"/>
  <c r="R195" i="1" a="1"/>
  <c r="R195" i="1" s="1"/>
  <c r="R469" i="1" a="1"/>
  <c r="R469" i="1" s="1"/>
  <c r="R13" i="1" a="1"/>
  <c r="R13" i="1" s="1"/>
  <c r="R149" i="1" a="1"/>
  <c r="R149" i="1" s="1"/>
  <c r="R90" i="1" a="1"/>
  <c r="R90" i="1" s="1"/>
  <c r="R384" i="1" a="1"/>
  <c r="R384" i="1" s="1"/>
  <c r="R280" i="1" a="1"/>
  <c r="R280" i="1" s="1"/>
  <c r="R55" i="1" a="1"/>
  <c r="R55" i="1" s="1"/>
  <c r="R520" i="1" a="1"/>
  <c r="R520" i="1" s="1"/>
  <c r="R608" i="1" a="1"/>
  <c r="R608" i="1" s="1"/>
  <c r="R598" i="1" a="1"/>
  <c r="R598" i="1" s="1"/>
  <c r="R796" i="1" a="1"/>
  <c r="R796" i="1" s="1"/>
  <c r="R510" i="1" a="1"/>
  <c r="R510" i="1" s="1"/>
  <c r="R581" i="1" a="1"/>
  <c r="R581" i="1" s="1"/>
  <c r="R751" i="1" a="1"/>
  <c r="R751" i="1" s="1"/>
  <c r="R29" i="1" a="1"/>
  <c r="R29" i="1" s="1"/>
  <c r="R326" i="1" a="1"/>
  <c r="R326" i="1" s="1"/>
  <c r="R219" i="1" a="1"/>
  <c r="R219" i="1" s="1"/>
  <c r="R6" i="1" a="1"/>
  <c r="R6" i="1" s="1"/>
  <c r="R261" i="1" a="1"/>
  <c r="R261" i="1" s="1"/>
  <c r="R349" i="1" a="1"/>
  <c r="R349" i="1" s="1"/>
  <c r="R692" i="1" a="1"/>
  <c r="R692" i="1" s="1"/>
  <c r="R287" i="1" a="1"/>
  <c r="R287" i="1" s="1"/>
  <c r="R606" i="1" a="1"/>
  <c r="R606" i="1" s="1"/>
  <c r="R446" i="1" a="1"/>
  <c r="R446" i="1" s="1"/>
  <c r="R355" i="1" a="1"/>
  <c r="R355" i="1" s="1"/>
  <c r="R198" i="1" a="1"/>
  <c r="R198" i="1" s="1"/>
  <c r="R712" i="1" a="1"/>
  <c r="R712" i="1" s="1"/>
  <c r="R85" i="1" a="1"/>
  <c r="R85" i="1" s="1"/>
  <c r="R86" i="1" a="1"/>
  <c r="R86" i="1" s="1"/>
  <c r="R697" i="1" a="1"/>
  <c r="R697" i="1" s="1"/>
  <c r="R207" i="1" a="1"/>
  <c r="R207" i="1" s="1"/>
  <c r="R742" i="1" a="1"/>
  <c r="R742" i="1" s="1"/>
  <c r="R205" i="1" a="1"/>
  <c r="R205" i="1" s="1"/>
  <c r="R435" i="1" a="1"/>
  <c r="R435" i="1" s="1"/>
  <c r="R366" i="1" a="1"/>
  <c r="R366" i="1" s="1"/>
  <c r="R62" i="1" a="1"/>
  <c r="R62" i="1" s="1"/>
  <c r="R189" i="1" a="1"/>
  <c r="R189" i="1" s="1"/>
  <c r="R155" i="1" a="1"/>
  <c r="R155" i="1" s="1"/>
  <c r="R358" i="1" a="1"/>
  <c r="R358" i="1" s="1"/>
  <c r="R94" i="1" a="1"/>
  <c r="R94" i="1" s="1"/>
  <c r="R69" i="1" a="1"/>
  <c r="R69" i="1" s="1"/>
  <c r="R15" i="1" a="1"/>
  <c r="R15" i="1" s="1"/>
  <c r="R787" i="1" a="1"/>
  <c r="R787" i="1" s="1"/>
  <c r="R493" i="1" a="1"/>
  <c r="R493" i="1" s="1"/>
  <c r="R607" i="1" a="1"/>
  <c r="R607" i="1" s="1"/>
  <c r="R684" i="1" a="1"/>
  <c r="R684" i="1" s="1"/>
  <c r="R648" i="1" a="1"/>
  <c r="R648" i="1" s="1"/>
  <c r="R333" i="1" a="1"/>
  <c r="R333" i="1" s="1"/>
  <c r="R515" i="1" a="1"/>
  <c r="R515" i="1" s="1"/>
  <c r="R307" i="1" a="1"/>
  <c r="R307" i="1" s="1"/>
  <c r="R382" i="1" a="1"/>
  <c r="R382" i="1" s="1"/>
  <c r="R138" i="1" a="1"/>
  <c r="R138" i="1" s="1"/>
  <c r="R281" i="1" a="1"/>
  <c r="R281" i="1" s="1"/>
  <c r="R97" i="1" a="1"/>
  <c r="R97" i="1" s="1"/>
  <c r="R794" i="1" a="1"/>
  <c r="R794" i="1" s="1"/>
  <c r="R4" i="1" a="1"/>
  <c r="R4" i="1" s="1"/>
  <c r="R260" i="1" a="1"/>
  <c r="R260" i="1" s="1"/>
  <c r="R352" i="1" a="1"/>
  <c r="R352" i="1" s="1"/>
  <c r="R175" i="1" a="1"/>
  <c r="R175" i="1" s="1"/>
  <c r="R473" i="1" a="1"/>
  <c r="R473" i="1" s="1"/>
  <c r="R626" i="1" a="1"/>
  <c r="R626" i="1" s="1"/>
  <c r="R282" i="1" a="1"/>
  <c r="R282" i="1" s="1"/>
  <c r="R471" i="1" a="1"/>
  <c r="R471" i="1" s="1"/>
  <c r="R727" i="1" a="1"/>
  <c r="R727" i="1" s="1"/>
  <c r="R747" i="1" a="1"/>
  <c r="R747" i="1" s="1"/>
  <c r="R201" i="1" a="1"/>
  <c r="R201" i="1" s="1"/>
  <c r="R433" i="1" a="1"/>
  <c r="R433" i="1" s="1"/>
  <c r="R390" i="1" a="1"/>
  <c r="R390" i="1" s="1"/>
  <c r="R542" i="1" a="1"/>
  <c r="R542" i="1" s="1"/>
  <c r="R144" i="1" a="1"/>
  <c r="R144" i="1" s="1"/>
  <c r="R474" i="1" a="1"/>
  <c r="R474" i="1" s="1"/>
  <c r="R108" i="1" a="1"/>
  <c r="R108" i="1" s="1"/>
  <c r="R775" i="1" a="1"/>
  <c r="R775" i="1" s="1"/>
  <c r="R145" i="1" a="1"/>
  <c r="R145" i="1" s="1"/>
  <c r="R279" i="1" a="1"/>
  <c r="R279" i="1" s="1"/>
  <c r="R647" i="1" a="1"/>
  <c r="R647" i="1" s="1"/>
  <c r="R231" i="1" a="1"/>
  <c r="R231" i="1" s="1"/>
  <c r="R401" i="1" a="1"/>
  <c r="R401" i="1" s="1"/>
  <c r="R253" i="1" a="1"/>
  <c r="R253" i="1" s="1"/>
  <c r="R342" i="1" a="1"/>
  <c r="R342" i="1" s="1"/>
  <c r="R410" i="1" a="1"/>
  <c r="R410" i="1" s="1"/>
  <c r="R440" i="1" a="1"/>
  <c r="R440" i="1" s="1"/>
  <c r="R562" i="1" a="1"/>
  <c r="R562" i="1" s="1"/>
  <c r="R190" i="1" a="1"/>
  <c r="R190" i="1" s="1"/>
  <c r="R225" i="1" a="1"/>
  <c r="R225" i="1" s="1"/>
  <c r="R350" i="1" a="1"/>
  <c r="R350" i="1" s="1"/>
  <c r="R497" i="1" a="1"/>
  <c r="R497" i="1" s="1"/>
  <c r="R35" i="1" a="1"/>
  <c r="R35" i="1" s="1"/>
  <c r="R556" i="1" a="1"/>
  <c r="R556" i="1" s="1"/>
  <c r="R329" i="1" a="1"/>
  <c r="R329" i="1" s="1"/>
  <c r="R717" i="1" a="1"/>
  <c r="R717" i="1" s="1"/>
  <c r="R721" i="1" a="1"/>
  <c r="R721" i="1" s="1"/>
  <c r="R462" i="1" a="1"/>
  <c r="R462" i="1" s="1"/>
  <c r="R737" i="1" a="1"/>
  <c r="R737" i="1" s="1"/>
  <c r="R148" i="1" a="1"/>
  <c r="R148" i="1" s="1"/>
  <c r="R33" i="1" a="1"/>
  <c r="R33" i="1" s="1"/>
  <c r="R500" i="1" a="1"/>
  <c r="R500" i="1" s="1"/>
  <c r="R365" i="1" a="1"/>
  <c r="R365" i="1" s="1"/>
  <c r="R221" i="1" a="1"/>
  <c r="R221" i="1" s="1"/>
  <c r="R67" i="1" a="1"/>
  <c r="R67" i="1" s="1"/>
  <c r="R489" i="1" a="1"/>
  <c r="R489" i="1" s="1"/>
  <c r="R3" i="1" a="1"/>
  <c r="R3" i="1" s="1"/>
  <c r="R335" i="1" a="1"/>
  <c r="R335" i="1" s="1"/>
  <c r="R132" i="1" a="1"/>
  <c r="R132" i="1" s="1"/>
  <c r="R572" i="1" a="1"/>
  <c r="R572" i="1" s="1"/>
  <c r="R423" i="1" a="1"/>
  <c r="R423" i="1" s="1"/>
  <c r="R748" i="1" a="1"/>
  <c r="R748" i="1" s="1"/>
  <c r="R540" i="1" a="1"/>
  <c r="R540" i="1" s="1"/>
  <c r="R213" i="1" a="1"/>
  <c r="R213" i="1" s="1"/>
  <c r="R610" i="1" a="1"/>
  <c r="R610" i="1" s="1"/>
  <c r="R398" i="1" a="1"/>
  <c r="R398" i="1" s="1"/>
  <c r="R396" i="1" a="1"/>
  <c r="R396" i="1" s="1"/>
  <c r="R343" i="1" a="1"/>
  <c r="R343" i="1" s="1"/>
  <c r="R20" i="1" a="1"/>
  <c r="R20" i="1" s="1"/>
  <c r="R290" i="1" a="1"/>
  <c r="R290" i="1" s="1"/>
  <c r="R234" i="1" a="1"/>
  <c r="R234" i="1" s="1"/>
  <c r="R664" i="1" a="1"/>
  <c r="R664" i="1" s="1"/>
  <c r="R459" i="1" a="1"/>
  <c r="R459" i="1" s="1"/>
  <c r="R492" i="1" a="1"/>
  <c r="R492" i="1" s="1"/>
  <c r="R512" i="1" a="1"/>
  <c r="R512" i="1" s="1"/>
  <c r="R414" i="1" a="1"/>
  <c r="R414" i="1" s="1"/>
  <c r="R441" i="1" a="1"/>
  <c r="R441" i="1" s="1"/>
  <c r="R505" i="1" a="1"/>
  <c r="R505" i="1" s="1"/>
  <c r="R344" i="1" a="1"/>
  <c r="R344" i="1" s="1"/>
  <c r="R147" i="1" a="1"/>
  <c r="R147" i="1" s="1"/>
  <c r="R386" i="1" a="1"/>
  <c r="R386" i="1" s="1"/>
  <c r="R230" i="1" a="1"/>
  <c r="R230" i="1" s="1"/>
  <c r="R668" i="1" a="1"/>
  <c r="R668" i="1" s="1"/>
  <c r="R514" i="1" a="1"/>
  <c r="R514" i="1" s="1"/>
  <c r="R95" i="1" a="1"/>
  <c r="R95" i="1" s="1"/>
  <c r="R80" i="1" a="1"/>
  <c r="R80" i="1" s="1"/>
  <c r="R321" i="1" a="1"/>
  <c r="R321" i="1" s="1"/>
  <c r="R12" i="1" a="1"/>
  <c r="R12" i="1" s="1"/>
  <c r="R241" i="1" a="1"/>
  <c r="R241" i="1" s="1"/>
  <c r="R75" i="1" a="1"/>
  <c r="R75" i="1" s="1"/>
  <c r="R173" i="1" a="1"/>
  <c r="R173" i="1" s="1"/>
  <c r="R646" i="1" a="1"/>
  <c r="R646" i="1" s="1"/>
  <c r="R704" i="1" a="1"/>
  <c r="R704" i="1" s="1"/>
  <c r="R68" i="1" a="1"/>
  <c r="R68" i="1" s="1"/>
  <c r="R496" i="1" a="1"/>
  <c r="R496" i="1" s="1"/>
  <c r="R708" i="1" a="1"/>
  <c r="R708" i="1" s="1"/>
  <c r="R538" i="1" a="1"/>
  <c r="R538" i="1" s="1"/>
  <c r="R346" i="1" a="1"/>
  <c r="R346" i="1" s="1"/>
  <c r="R636" i="1" a="1"/>
  <c r="R636" i="1" s="1"/>
  <c r="R214" i="1" a="1"/>
  <c r="R214" i="1" s="1"/>
  <c r="R84" i="1" a="1"/>
  <c r="R84" i="1" s="1"/>
  <c r="R634" i="1" a="1"/>
  <c r="R634" i="1" s="1"/>
  <c r="R783" i="1" a="1"/>
  <c r="R783" i="1" s="1"/>
  <c r="R605" i="1" a="1"/>
  <c r="R605" i="1" s="1"/>
  <c r="R679" i="1" a="1"/>
  <c r="R679" i="1" s="1"/>
  <c r="R92" i="1" a="1"/>
  <c r="R92" i="1" s="1"/>
  <c r="R375" i="1" a="1"/>
  <c r="R375" i="1" s="1"/>
  <c r="R635" i="1" a="1"/>
  <c r="R635" i="1" s="1"/>
  <c r="R101" i="1" a="1"/>
  <c r="R101" i="1" s="1"/>
  <c r="R468" i="1" a="1"/>
  <c r="R468" i="1" s="1"/>
  <c r="R2" i="1" a="1"/>
  <c r="R2" i="1" s="1"/>
  <c r="R743" i="1" a="1"/>
  <c r="R743" i="1" s="1"/>
  <c r="R624" i="1" a="1"/>
  <c r="R624" i="1" s="1"/>
  <c r="R707" i="1" a="1"/>
  <c r="R707" i="1" s="1"/>
  <c r="R59" i="1" a="1"/>
  <c r="R59" i="1" s="1"/>
  <c r="R139" i="1" a="1"/>
  <c r="R139" i="1" s="1"/>
  <c r="R162" i="1" a="1"/>
  <c r="R162" i="1" s="1"/>
  <c r="R786" i="1" a="1"/>
  <c r="R786" i="1" s="1"/>
  <c r="R586" i="1" a="1"/>
  <c r="R586" i="1" s="1"/>
  <c r="R739" i="1" a="1"/>
  <c r="R739" i="1" s="1"/>
  <c r="R83" i="1" a="1"/>
  <c r="R83" i="1" s="1"/>
  <c r="R167" i="1" a="1"/>
  <c r="R167" i="1" s="1"/>
  <c r="R663" i="1" a="1"/>
  <c r="R663" i="1" s="1"/>
  <c r="R49" i="1" a="1"/>
  <c r="R49" i="1" s="1"/>
  <c r="R442" i="1" a="1"/>
  <c r="R442" i="1" s="1"/>
  <c r="R735" i="1" a="1"/>
  <c r="R735" i="1" s="1"/>
  <c r="R24" i="1" a="1"/>
  <c r="R24" i="1" s="1"/>
  <c r="R56" i="1" a="1"/>
  <c r="R56" i="1" s="1"/>
  <c r="R744" i="1" a="1"/>
  <c r="R744" i="1" s="1"/>
  <c r="R71" i="1" a="1"/>
  <c r="R71" i="1" s="1"/>
  <c r="R632" i="1" a="1"/>
  <c r="R632" i="1" s="1"/>
  <c r="R767" i="1" a="1"/>
  <c r="R767" i="1" s="1"/>
  <c r="R166" i="1" a="1"/>
  <c r="R166" i="1" s="1"/>
  <c r="R8" i="1" a="1"/>
  <c r="R8" i="1" s="1"/>
  <c r="R273" i="1" a="1"/>
  <c r="R273" i="1" s="1"/>
  <c r="R543" i="1" a="1"/>
  <c r="R543" i="1" s="1"/>
  <c r="R685" i="1" a="1"/>
  <c r="R685" i="1" s="1"/>
  <c r="R159" i="1" a="1"/>
  <c r="R159" i="1" s="1"/>
  <c r="R732" i="1" a="1"/>
  <c r="R732" i="1" s="1"/>
  <c r="R731" i="1" a="1"/>
  <c r="R731" i="1" s="1"/>
  <c r="R425" i="1" a="1"/>
  <c r="R425" i="1" s="1"/>
  <c r="R656" i="1" a="1"/>
  <c r="R656" i="1" s="1"/>
  <c r="R686" i="1" a="1"/>
  <c r="R686" i="1" s="1"/>
  <c r="R483" i="1" a="1"/>
  <c r="R483" i="1" s="1"/>
  <c r="R122" i="1" a="1"/>
  <c r="R122" i="1" s="1"/>
  <c r="R334" i="1" a="1"/>
  <c r="R334" i="1" s="1"/>
  <c r="R546" i="1" a="1"/>
  <c r="R546" i="1" s="1"/>
  <c r="R681" i="1" a="1"/>
  <c r="R681" i="1" s="1"/>
  <c r="R57" i="1" a="1"/>
  <c r="R57" i="1" s="1"/>
  <c r="R10" i="1" a="1"/>
  <c r="R10" i="1" s="1"/>
  <c r="R541" i="1" a="1"/>
  <c r="R541" i="1" s="1"/>
  <c r="R418" i="1" a="1"/>
  <c r="R418" i="1" s="1"/>
  <c r="R584" i="1" a="1"/>
  <c r="R584" i="1" s="1"/>
  <c r="R672" i="1" a="1"/>
  <c r="R672" i="1" s="1"/>
  <c r="R18" i="1" a="1"/>
  <c r="R18" i="1" s="1"/>
  <c r="R800" i="1" a="1"/>
  <c r="R800" i="1" s="1"/>
  <c r="R568" i="1" a="1"/>
  <c r="R568" i="1" s="1"/>
  <c r="R784" i="1" a="1"/>
  <c r="R784" i="1" s="1"/>
  <c r="R552" i="1" a="1"/>
  <c r="R552" i="1" s="1"/>
  <c r="R387" i="1" a="1"/>
  <c r="R387" i="1" s="1"/>
  <c r="R113" i="1" a="1"/>
  <c r="R113" i="1" s="1"/>
  <c r="R22" i="1" a="1"/>
  <c r="R22" i="1" s="1"/>
  <c r="R182" i="1" a="1"/>
  <c r="R182" i="1" s="1"/>
  <c r="R458" i="1" a="1"/>
  <c r="R458" i="1" s="1"/>
  <c r="R17" i="1" a="1"/>
  <c r="R17" i="1" s="1"/>
  <c r="R114" i="1" a="1"/>
  <c r="R114" i="1" s="1"/>
  <c r="R296" i="1" a="1"/>
  <c r="R296" i="1" s="1"/>
  <c r="R699" i="1" a="1"/>
  <c r="R699" i="1" s="1"/>
  <c r="R40" i="1" a="1"/>
  <c r="R40" i="1" s="1"/>
  <c r="R585" i="1" a="1"/>
  <c r="R585" i="1" s="1"/>
  <c r="R614" i="1" a="1"/>
  <c r="R614" i="1" s="1"/>
  <c r="R46" i="1" a="1"/>
  <c r="R46" i="1" s="1"/>
  <c r="R332" i="1" a="1"/>
  <c r="R332" i="1" s="1"/>
  <c r="R579" i="1" a="1"/>
  <c r="R579" i="1" s="1"/>
  <c r="R683" i="1" a="1"/>
  <c r="R683" i="1" s="1"/>
  <c r="R367" i="1" a="1"/>
  <c r="R367" i="1" s="1"/>
  <c r="R102" i="1" a="1"/>
  <c r="R102" i="1" s="1"/>
  <c r="R532" i="1" a="1"/>
  <c r="R532" i="1" s="1"/>
  <c r="R674" i="1" a="1"/>
  <c r="R674" i="1" s="1"/>
  <c r="R472" i="1" a="1"/>
  <c r="R472" i="1" s="1"/>
  <c r="R776" i="1" a="1"/>
  <c r="R776" i="1" s="1"/>
  <c r="R622" i="1" a="1"/>
  <c r="R622" i="1" s="1"/>
  <c r="R118" i="1" a="1"/>
  <c r="R118" i="1" s="1"/>
  <c r="R720" i="1" a="1"/>
  <c r="R720" i="1" s="1"/>
  <c r="R181" i="1" a="1"/>
  <c r="R181" i="1" s="1"/>
  <c r="R170" i="1" a="1"/>
  <c r="R170" i="1" s="1"/>
  <c r="R232" i="1" a="1"/>
  <c r="R232" i="1" s="1"/>
  <c r="R756" i="1" a="1"/>
  <c r="R756" i="1" s="1"/>
  <c r="R98" i="1" a="1"/>
  <c r="R98" i="1" s="1"/>
  <c r="R763" i="1" a="1"/>
  <c r="R763" i="1" s="1"/>
  <c r="R301" i="1" a="1"/>
  <c r="R301" i="1" s="1"/>
  <c r="R555" i="1" a="1"/>
  <c r="R555" i="1" s="1"/>
  <c r="R48" i="1" a="1"/>
  <c r="R48" i="1" s="1"/>
  <c r="R304" i="1" a="1"/>
  <c r="R304" i="1" s="1"/>
  <c r="R399" i="1" a="1"/>
  <c r="R399" i="1" s="1"/>
  <c r="R325" i="1" a="1"/>
  <c r="R325" i="1" s="1"/>
  <c r="R508" i="1" a="1"/>
  <c r="R508" i="1" s="1"/>
  <c r="R455" i="1" a="1"/>
  <c r="R455" i="1" s="1"/>
  <c r="R420" i="1" a="1"/>
  <c r="R420" i="1" s="1"/>
  <c r="R741" i="1" a="1"/>
  <c r="R741" i="1" s="1"/>
  <c r="R523" i="1" a="1"/>
  <c r="R523" i="1" s="1"/>
  <c r="R89" i="1" a="1"/>
  <c r="R89" i="1" s="1"/>
  <c r="R250" i="1" a="1"/>
  <c r="R250" i="1" s="1"/>
  <c r="R124" i="1" a="1"/>
  <c r="R124" i="1" s="1"/>
  <c r="R449" i="1" a="1"/>
  <c r="R449" i="1" s="1"/>
  <c r="R179" i="1" a="1"/>
  <c r="R179" i="1" s="1"/>
  <c r="R240" i="1" a="1"/>
  <c r="R240" i="1" s="1"/>
  <c r="R276" i="1" a="1"/>
  <c r="R276" i="1" s="1"/>
  <c r="R134" i="1" a="1"/>
  <c r="R134" i="1" s="1"/>
  <c r="R271" i="1" a="1"/>
  <c r="R271" i="1" s="1"/>
  <c r="R311" i="1" a="1"/>
  <c r="R311" i="1" s="1"/>
  <c r="R549" i="1" a="1"/>
  <c r="R549" i="1" s="1"/>
  <c r="R777" i="1" a="1"/>
  <c r="R777" i="1" s="1"/>
  <c r="R14" i="1" a="1"/>
  <c r="R14" i="1" s="1"/>
  <c r="R690" i="1" a="1"/>
  <c r="R690" i="1" s="1"/>
  <c r="R602" i="1" a="1"/>
  <c r="R602" i="1" s="1"/>
  <c r="R286" i="1" a="1"/>
  <c r="R286" i="1" s="1"/>
  <c r="R749" i="1" a="1"/>
  <c r="R749" i="1" s="1"/>
  <c r="R428" i="1" a="1"/>
  <c r="R428" i="1" s="1"/>
  <c r="R518" i="1" a="1"/>
  <c r="R518" i="1" s="1"/>
  <c r="R565" i="1" a="1"/>
  <c r="R565" i="1" s="1"/>
  <c r="R550" i="1" a="1"/>
  <c r="R550" i="1" s="1"/>
  <c r="R249" i="1" a="1"/>
  <c r="R249" i="1" s="1"/>
  <c r="R412" i="1" a="1"/>
  <c r="R412" i="1" s="1"/>
  <c r="R191" i="1" a="1"/>
  <c r="R191" i="1" s="1"/>
  <c r="R422" i="1" a="1"/>
  <c r="R422" i="1" s="1"/>
  <c r="R183" i="1" a="1"/>
  <c r="R183" i="1" s="1"/>
  <c r="R753" i="1" a="1"/>
  <c r="R753" i="1" s="1"/>
  <c r="R154" i="1" a="1"/>
  <c r="R154" i="1" s="1"/>
  <c r="R577" i="1" a="1"/>
  <c r="R577" i="1" s="1"/>
  <c r="R553" i="1" a="1"/>
  <c r="R553" i="1" s="1"/>
  <c r="R16" i="1" a="1"/>
  <c r="R16" i="1" s="1"/>
  <c r="R299" i="1" a="1"/>
  <c r="R299" i="1" s="1"/>
  <c r="R407" i="1" a="1"/>
  <c r="R407" i="1" s="1"/>
  <c r="R609" i="1" a="1"/>
  <c r="R609" i="1" s="1"/>
  <c r="R539" i="1" a="1"/>
  <c r="R539" i="1" s="1"/>
  <c r="R319" i="1" a="1"/>
  <c r="R319" i="1" s="1"/>
  <c r="R381" i="1" a="1"/>
  <c r="R381" i="1" s="1"/>
  <c r="R61" i="1" a="1"/>
  <c r="R61" i="1" s="1"/>
  <c r="R295" i="1" a="1"/>
  <c r="R295" i="1" s="1"/>
  <c r="R176" i="1" a="1"/>
  <c r="R176" i="1" s="1"/>
  <c r="R464" i="1" a="1"/>
  <c r="R464" i="1" s="1"/>
  <c r="R289" i="1" a="1"/>
  <c r="R289" i="1" s="1"/>
  <c r="R146" i="1" a="1"/>
  <c r="R146" i="1" s="1"/>
  <c r="R274" i="1" a="1"/>
  <c r="R274" i="1" s="1"/>
  <c r="R267" i="1" a="1"/>
  <c r="R267" i="1" s="1"/>
  <c r="R216" i="1" a="1"/>
  <c r="R216" i="1" s="1"/>
  <c r="R247" i="1" a="1"/>
  <c r="R247" i="1" s="1"/>
  <c r="R413" i="1" a="1"/>
  <c r="R413" i="1" s="1"/>
  <c r="R453" i="1" a="1"/>
  <c r="R453" i="1" s="1"/>
  <c r="R28" i="1" a="1"/>
  <c r="R28" i="1" s="1"/>
  <c r="R42" i="1" a="1"/>
  <c r="R42" i="1" s="1"/>
  <c r="R210" i="1" a="1"/>
  <c r="R210" i="1" s="1"/>
  <c r="R142" i="1" a="1"/>
  <c r="R142" i="1" s="1"/>
  <c r="R600" i="1" a="1"/>
  <c r="R600" i="1" s="1"/>
  <c r="R206" i="1" a="1"/>
  <c r="R206" i="1" s="1"/>
  <c r="R705" i="1" a="1"/>
  <c r="R705" i="1" s="1"/>
  <c r="R501" i="1" a="1"/>
  <c r="R501" i="1" s="1"/>
  <c r="R229" i="1" a="1"/>
  <c r="R229" i="1" s="1"/>
  <c r="R34" i="1" a="1"/>
  <c r="R34" i="1" s="1"/>
  <c r="R81" i="1" a="1"/>
  <c r="R81" i="1" s="1"/>
  <c r="R192" i="1" a="1"/>
  <c r="R192" i="1" s="1"/>
  <c r="R158" i="1" a="1"/>
  <c r="R158" i="1" s="1"/>
  <c r="R535" i="1" a="1"/>
  <c r="R535" i="1" s="1"/>
  <c r="R426" i="1" a="1"/>
  <c r="R426" i="1" s="1"/>
  <c r="R673" i="1" a="1"/>
  <c r="R673" i="1" s="1"/>
  <c r="R237" i="1" a="1"/>
  <c r="R237" i="1" s="1"/>
  <c r="R320" i="1" a="1"/>
  <c r="R320" i="1" s="1"/>
  <c r="R246" i="1" a="1"/>
  <c r="R246" i="1" s="1"/>
  <c r="R477" i="1" a="1"/>
  <c r="R477" i="1" s="1"/>
  <c r="R30" i="1" a="1"/>
  <c r="R30" i="1" s="1"/>
  <c r="R380" i="1" a="1"/>
  <c r="R380" i="1" s="1"/>
  <c r="R621" i="1" a="1"/>
  <c r="R621" i="1" s="1"/>
  <c r="R570" i="1" a="1"/>
  <c r="R570" i="1" s="1"/>
  <c r="R561" i="1" a="1"/>
  <c r="R561" i="1" s="1"/>
  <c r="R345" i="1" a="1"/>
  <c r="R345" i="1" s="1"/>
  <c r="R789" i="1" a="1"/>
  <c r="R789" i="1" s="1"/>
  <c r="R180" i="1" a="1"/>
  <c r="R180" i="1" s="1"/>
  <c r="R312" i="1" a="1"/>
  <c r="R312" i="1" s="1"/>
  <c r="R50" i="1" a="1"/>
  <c r="R50" i="1" s="1"/>
  <c r="R688" i="1" a="1"/>
  <c r="R688" i="1" s="1"/>
  <c r="R47" i="1" a="1"/>
  <c r="R47" i="1" s="1"/>
  <c r="R754" i="1" a="1"/>
  <c r="R754" i="1" s="1"/>
  <c r="R266" i="1" a="1"/>
  <c r="R266" i="1" s="1"/>
  <c r="R589" i="1" a="1"/>
  <c r="R589" i="1" s="1"/>
  <c r="R99" i="1" a="1"/>
  <c r="R99" i="1" s="1"/>
  <c r="R502" i="1" a="1"/>
  <c r="R502" i="1" s="1"/>
  <c r="R643" i="1" a="1"/>
  <c r="R643" i="1" s="1"/>
  <c r="R242" i="1" a="1"/>
  <c r="R242" i="1" s="1"/>
  <c r="R575" i="1" a="1"/>
  <c r="R575" i="1" s="1"/>
  <c r="R330" i="1" a="1"/>
  <c r="R330" i="1" s="1"/>
  <c r="R504" i="1" a="1"/>
  <c r="R504" i="1" s="1"/>
  <c r="R724" i="1" a="1"/>
  <c r="R724" i="1" s="1"/>
  <c r="R415" i="1" a="1"/>
  <c r="R415" i="1" s="1"/>
  <c r="R393" i="1" a="1"/>
  <c r="R393" i="1" s="1"/>
  <c r="R316" i="1" a="1"/>
  <c r="R316" i="1" s="1"/>
  <c r="R718" i="1" a="1"/>
  <c r="R718" i="1" s="1"/>
  <c r="R526" i="1" a="1"/>
  <c r="R526" i="1" s="1"/>
  <c r="R725" i="1" a="1"/>
  <c r="R725" i="1" s="1"/>
  <c r="R235" i="1" a="1"/>
  <c r="R235" i="1" s="1"/>
  <c r="R115" i="1" a="1"/>
  <c r="R115" i="1" s="1"/>
  <c r="R693" i="1" a="1"/>
  <c r="R693" i="1" s="1"/>
  <c r="R248" i="1" a="1"/>
  <c r="R248" i="1" s="1"/>
  <c r="R645" i="1" a="1"/>
  <c r="R645" i="1" s="1"/>
  <c r="R613" i="1" a="1"/>
  <c r="R613" i="1" s="1"/>
  <c r="R227" i="1" a="1"/>
  <c r="R227" i="1" s="1"/>
  <c r="R327" i="1" a="1"/>
  <c r="R327" i="1" s="1"/>
  <c r="R164" i="1" a="1"/>
  <c r="R164" i="1" s="1"/>
  <c r="R177" i="1" a="1"/>
  <c r="R177" i="1" s="1"/>
  <c r="R597" i="1" a="1"/>
  <c r="R597" i="1" s="1"/>
  <c r="R270" i="1" a="1"/>
  <c r="R270" i="1" s="1"/>
  <c r="R557" i="1" a="1"/>
  <c r="R557" i="1" s="1"/>
  <c r="R199" i="1" a="1"/>
  <c r="R199" i="1" s="1"/>
  <c r="R368" i="1" a="1"/>
  <c r="R368" i="1" s="1"/>
  <c r="R774" i="1" a="1"/>
  <c r="R774" i="1" s="1"/>
  <c r="R293" i="1" a="1"/>
  <c r="R293" i="1" s="1"/>
  <c r="R499" i="1" a="1"/>
  <c r="R499" i="1" s="1"/>
  <c r="R408" i="1" a="1"/>
  <c r="R408" i="1" s="1"/>
  <c r="R517" i="1" a="1"/>
  <c r="R517" i="1" s="1"/>
  <c r="R394" i="1" a="1"/>
  <c r="R394" i="1" s="1"/>
  <c r="R513" i="1" a="1"/>
  <c r="R513" i="1" s="1"/>
  <c r="R383" i="1" a="1"/>
  <c r="R383" i="1" s="1"/>
  <c r="R799" i="1" a="1"/>
  <c r="R799" i="1" s="1"/>
  <c r="R39" i="1" a="1"/>
  <c r="R39" i="1" s="1"/>
  <c r="R37" i="1" a="1"/>
  <c r="R37" i="1" s="1"/>
  <c r="R533" i="1" a="1"/>
  <c r="R533" i="1" s="1"/>
  <c r="R702" i="1" a="1"/>
  <c r="R702" i="1" s="1"/>
  <c r="R314" i="1" a="1"/>
  <c r="R314" i="1" s="1"/>
  <c r="R760" i="1" a="1"/>
  <c r="R760" i="1" s="1"/>
  <c r="R669" i="1" a="1"/>
  <c r="R669" i="1" s="1"/>
  <c r="R482" i="1" a="1"/>
  <c r="R482" i="1" s="1"/>
  <c r="R726" i="1" a="1"/>
  <c r="R726" i="1" s="1"/>
  <c r="R687" i="1" a="1"/>
  <c r="R687" i="1" s="1"/>
  <c r="R651" i="1" a="1"/>
  <c r="R651" i="1" s="1"/>
  <c r="R354" i="1" a="1"/>
  <c r="R354" i="1" s="1"/>
  <c r="R110" i="1" a="1"/>
  <c r="R110" i="1" s="1"/>
  <c r="R750" i="1" a="1"/>
  <c r="R750" i="1" s="1"/>
  <c r="R506" i="1" a="1"/>
  <c r="R506" i="1" s="1"/>
  <c r="R129" i="1" a="1"/>
  <c r="R129" i="1" s="1"/>
  <c r="R454" i="1" a="1"/>
  <c r="R454" i="1" s="1"/>
  <c r="R336" i="1" a="1"/>
  <c r="R336" i="1" s="1"/>
  <c r="R790" i="1" a="1"/>
  <c r="R790" i="1" s="1"/>
  <c r="R755" i="1" a="1"/>
  <c r="R755" i="1" s="1"/>
  <c r="R27" i="1" a="1"/>
  <c r="R27" i="1" s="1"/>
  <c r="R439" i="1" a="1"/>
  <c r="R439" i="1" s="1"/>
  <c r="R151" i="1" a="1"/>
  <c r="R151" i="1" s="1"/>
  <c r="R378" i="1" a="1"/>
  <c r="R378" i="1" s="1"/>
  <c r="R593" i="1" a="1"/>
  <c r="R593" i="1" s="1"/>
  <c r="R677" i="1" a="1"/>
  <c r="R677" i="1" s="1"/>
  <c r="R633" i="1" a="1"/>
  <c r="R633" i="1" s="1"/>
  <c r="R156" i="1" a="1"/>
  <c r="R156" i="1" s="1"/>
  <c r="R291" i="1" a="1"/>
  <c r="R291" i="1" s="1"/>
  <c r="R185" i="1" a="1"/>
  <c r="R185" i="1" s="1"/>
  <c r="R447" i="1" a="1"/>
  <c r="R447" i="1" s="1"/>
  <c r="R79" i="1" a="1"/>
  <c r="R79" i="1" s="1"/>
  <c r="R255" i="1" a="1"/>
  <c r="R255" i="1" s="1"/>
  <c r="R373" i="1" a="1"/>
  <c r="R373" i="1" s="1"/>
  <c r="R757" i="1" a="1"/>
  <c r="R757" i="1" s="1"/>
  <c r="R119" i="1" a="1"/>
  <c r="R119" i="1" s="1"/>
  <c r="R356" i="1" a="1"/>
  <c r="R356" i="1" s="1"/>
  <c r="R759" i="1" a="1"/>
  <c r="R759" i="1" s="1"/>
  <c r="R369" i="1" a="1"/>
  <c r="R369" i="1" s="1"/>
  <c r="R25" i="1" a="1"/>
  <c r="R25" i="1" s="1"/>
  <c r="R616" i="1" a="1"/>
  <c r="R616" i="1" s="1"/>
  <c r="R140" i="1" a="1"/>
  <c r="R140" i="1" s="1"/>
  <c r="R402" i="1" a="1"/>
  <c r="R402" i="1" s="1"/>
  <c r="R127" i="1" a="1"/>
  <c r="R127" i="1" s="1"/>
  <c r="R470" i="1" a="1"/>
  <c r="R470" i="1" s="1"/>
  <c r="R619" i="1" a="1"/>
  <c r="R619" i="1" s="1"/>
  <c r="R193" i="1" a="1"/>
  <c r="R193" i="1" s="1"/>
  <c r="R527" i="1" a="1"/>
  <c r="R527" i="1" s="1"/>
  <c r="R275" i="1" a="1"/>
  <c r="R275" i="1" s="1"/>
  <c r="R245" i="1" a="1"/>
  <c r="R245" i="1" s="1"/>
  <c r="R591" i="1" a="1"/>
  <c r="R591" i="1" s="1"/>
  <c r="R363" i="1" a="1"/>
  <c r="R363" i="1" s="1"/>
  <c r="R642" i="1" a="1"/>
  <c r="R642" i="1" s="1"/>
  <c r="R317" i="1" a="1"/>
  <c r="R317" i="1" s="1"/>
  <c r="R160" i="1" a="1"/>
  <c r="R160" i="1" s="1"/>
  <c r="R416" i="1" a="1"/>
  <c r="R416" i="1" s="1"/>
  <c r="R745" i="1" a="1"/>
  <c r="R745" i="1" s="1"/>
  <c r="R297" i="1" a="1"/>
  <c r="R297" i="1" s="1"/>
  <c r="R714" i="1" a="1"/>
  <c r="R714" i="1" s="1"/>
  <c r="R239" i="1" a="1"/>
  <c r="R239" i="1" s="1"/>
  <c r="R484" i="1" a="1"/>
  <c r="R484" i="1" s="1"/>
  <c r="R467" i="1" a="1"/>
  <c r="R467" i="1" s="1"/>
  <c r="R639" i="1" a="1"/>
  <c r="R639" i="1" s="1"/>
  <c r="R9" i="1" a="1"/>
  <c r="R9" i="1" s="1"/>
  <c r="R263" i="1" a="1"/>
  <c r="R263" i="1" s="1"/>
  <c r="R104" i="1" a="1"/>
  <c r="R104" i="1" s="1"/>
  <c r="R371" i="1" a="1"/>
  <c r="R371" i="1" s="1"/>
  <c r="R574" i="1" a="1"/>
  <c r="R574" i="1" s="1"/>
  <c r="R762" i="1" a="1"/>
  <c r="R762" i="1" s="1"/>
  <c r="R202" i="1" a="1"/>
  <c r="R202" i="1" s="1"/>
  <c r="R87" i="1" a="1"/>
  <c r="R87" i="1" s="1"/>
  <c r="R516" i="1" a="1"/>
  <c r="R516" i="1" s="1"/>
  <c r="R703" i="1" a="1"/>
  <c r="R703" i="1" s="1"/>
  <c r="R662" i="1" a="1"/>
  <c r="R662" i="1" s="1"/>
  <c r="R485" i="1" a="1"/>
  <c r="R485" i="1" s="1"/>
  <c r="R795" i="1" a="1"/>
  <c r="R795" i="1" s="1"/>
  <c r="R682" i="1" a="1"/>
  <c r="R682" i="1" s="1"/>
  <c r="R427" i="1" a="1"/>
  <c r="R427" i="1" s="1"/>
  <c r="R715" i="1" a="1"/>
  <c r="R715" i="1" s="1"/>
  <c r="R448" i="1" a="1"/>
  <c r="R448" i="1" s="1"/>
  <c r="R128" i="1" a="1"/>
  <c r="R128" i="1" s="1"/>
  <c r="R457" i="1" a="1"/>
  <c r="R457" i="1" s="1"/>
  <c r="R359" i="1" a="1"/>
  <c r="R359" i="1" s="1"/>
  <c r="R93" i="1" a="1"/>
  <c r="R93" i="1" s="1"/>
  <c r="R278" i="1" a="1"/>
  <c r="R278" i="1" s="1"/>
  <c r="R618" i="1" a="1"/>
  <c r="R618" i="1" s="1"/>
  <c r="R534" i="1" a="1"/>
  <c r="R534" i="1" s="1"/>
  <c r="R444" i="1" a="1"/>
  <c r="R444" i="1" s="1"/>
  <c r="R676" i="1" a="1"/>
  <c r="R676" i="1" s="1"/>
  <c r="R736" i="1" a="1"/>
  <c r="R736" i="1" s="1"/>
  <c r="R779" i="1" a="1"/>
  <c r="R779" i="1" s="1"/>
  <c r="R72" i="1" a="1"/>
  <c r="R72" i="1" s="1"/>
  <c r="R529" i="1" a="1"/>
  <c r="R529" i="1" s="1"/>
  <c r="R711" i="1" a="1"/>
  <c r="R711" i="1" s="1"/>
  <c r="R126" i="1" a="1"/>
  <c r="R126" i="1" s="1"/>
  <c r="R178" i="1" a="1"/>
  <c r="R178" i="1" s="1"/>
  <c r="R188" i="1" a="1"/>
  <c r="R188" i="1" s="1"/>
  <c r="R283" i="1" a="1"/>
  <c r="R283" i="1" s="1"/>
  <c r="R438" i="1" a="1"/>
  <c r="R438" i="1" s="1"/>
  <c r="R630" i="1" a="1"/>
  <c r="R630" i="1" s="1"/>
  <c r="R252" i="1" a="1"/>
  <c r="R252" i="1" s="1"/>
  <c r="R432" i="1" a="1"/>
  <c r="R432" i="1" s="1"/>
  <c r="R5" i="1" a="1"/>
  <c r="R5" i="1" s="1"/>
  <c r="R211" i="1" a="1"/>
  <c r="R211" i="1" s="1"/>
  <c r="R617" i="1" a="1"/>
  <c r="R617" i="1" s="1"/>
  <c r="R478" i="1" a="1"/>
  <c r="R478" i="1" s="1"/>
  <c r="R667" i="1" a="1"/>
  <c r="R667" i="1" s="1"/>
  <c r="R417" i="1" a="1"/>
  <c r="R417" i="1" s="1"/>
  <c r="R305" i="1" a="1"/>
  <c r="R305" i="1" s="1"/>
  <c r="R379" i="1" a="1"/>
  <c r="R379" i="1" s="1"/>
  <c r="R509" i="1" a="1"/>
  <c r="R509" i="1" s="1"/>
  <c r="R389" i="1" a="1"/>
  <c r="R389" i="1" s="1"/>
  <c r="R666" i="1" a="1"/>
  <c r="R666" i="1" s="1"/>
  <c r="R698" i="1" a="1"/>
  <c r="R698" i="1" s="1"/>
  <c r="R588" i="1" a="1"/>
  <c r="R588" i="1" s="1"/>
  <c r="R323" i="1" a="1"/>
  <c r="R323" i="1" s="1"/>
  <c r="R475" i="1" a="1"/>
  <c r="R475" i="1" s="1"/>
  <c r="R109" i="1" a="1"/>
  <c r="R109" i="1" s="1"/>
  <c r="R780" i="1" a="1"/>
  <c r="R780" i="1" s="1"/>
  <c r="R559" i="1" a="1"/>
  <c r="R559" i="1" s="1"/>
  <c r="R292" i="1" a="1"/>
  <c r="R292" i="1" s="1"/>
  <c r="R331" i="1" a="1"/>
  <c r="R331" i="1" s="1"/>
  <c r="R233" i="1" a="1"/>
  <c r="R233" i="1" s="1"/>
  <c r="R576" i="1" a="1"/>
  <c r="R576" i="1" s="1"/>
  <c r="R450" i="1" a="1"/>
  <c r="R450" i="1" s="1"/>
  <c r="R310" i="1" a="1"/>
  <c r="R310" i="1" s="1"/>
  <c r="R785" i="1" a="1"/>
  <c r="R785" i="1" s="1"/>
  <c r="R107" i="1" a="1"/>
  <c r="R107" i="1" s="1"/>
  <c r="R770" i="1" a="1"/>
  <c r="R770" i="1" s="1"/>
  <c r="R792" i="1" a="1"/>
  <c r="R792" i="1" s="1"/>
  <c r="R370" i="1" a="1"/>
  <c r="R370" i="1" s="1"/>
  <c r="R44" i="1" a="1"/>
  <c r="R44" i="1" s="1"/>
  <c r="R73" i="1" a="1"/>
  <c r="R73" i="1" s="1"/>
  <c r="R746" i="1" a="1"/>
  <c r="R746" i="1" s="1"/>
  <c r="R165" i="1" a="1"/>
  <c r="R165" i="1" s="1"/>
  <c r="R257" i="1" a="1"/>
  <c r="R257" i="1" s="1"/>
  <c r="R560" i="1" a="1"/>
  <c r="R560" i="1" s="1"/>
  <c r="R661" i="1" a="1"/>
  <c r="R661" i="1" s="1"/>
  <c r="R771" i="1" a="1"/>
  <c r="R771" i="1" s="1"/>
  <c r="R601" i="1" a="1"/>
  <c r="R601" i="1" s="1"/>
  <c r="R764" i="1" a="1"/>
  <c r="R764" i="1" s="1"/>
  <c r="R734" i="1" a="1"/>
  <c r="R734" i="1" s="1"/>
  <c r="R564" i="1" a="1"/>
  <c r="R564" i="1" s="1"/>
  <c r="R424" i="1" a="1"/>
  <c r="R424" i="1" s="1"/>
  <c r="R88" i="1" a="1"/>
  <c r="R88" i="1" s="1"/>
  <c r="R522" i="1" a="1"/>
  <c r="R522" i="1" s="1"/>
  <c r="R269" i="1" a="1"/>
  <c r="R269" i="1" s="1"/>
  <c r="R465" i="1" a="1"/>
  <c r="R465" i="1" s="1"/>
  <c r="R125" i="1" a="1"/>
  <c r="R125" i="1" s="1"/>
  <c r="R640" i="1" a="1"/>
  <c r="R640" i="1" s="1"/>
  <c r="R51" i="1" a="1"/>
  <c r="R51" i="1" s="1"/>
  <c r="R324" i="1" a="1"/>
  <c r="R324" i="1" s="1"/>
  <c r="R788" i="1" a="1"/>
  <c r="R788" i="1" s="1"/>
  <c r="R434" i="1" a="1"/>
  <c r="R434" i="1" s="1"/>
  <c r="R525" i="1" a="1"/>
  <c r="R525" i="1" s="1"/>
  <c r="R200" i="1" a="1"/>
  <c r="R200" i="1" s="1"/>
  <c r="R791" i="1" a="1"/>
  <c r="R791" i="1" s="1"/>
  <c r="R443" i="1" a="1"/>
  <c r="R443" i="1" s="1"/>
  <c r="R678" i="1" a="1"/>
  <c r="R678" i="1" s="1"/>
  <c r="R592" i="1" a="1"/>
  <c r="R592" i="1" s="1"/>
  <c r="R223" i="1" a="1"/>
  <c r="R223" i="1" s="1"/>
  <c r="R772" i="1" a="1"/>
  <c r="R772" i="1" s="1"/>
  <c r="R403" i="1" a="1"/>
  <c r="R403" i="1" s="1"/>
  <c r="R163" i="1" a="1"/>
  <c r="R163" i="1" s="1"/>
  <c r="R594" i="1" a="1"/>
  <c r="R594" i="1" s="1"/>
  <c r="R105" i="1" a="1"/>
  <c r="R105" i="1" s="1"/>
  <c r="R308" i="1" a="1"/>
  <c r="R308" i="1" s="1"/>
  <c r="R41" i="1" a="1"/>
  <c r="R41" i="1" s="1"/>
  <c r="R268" i="1" a="1"/>
  <c r="R268" i="1" s="1"/>
  <c r="R430" i="1" a="1"/>
  <c r="R430" i="1" s="1"/>
  <c r="R713" i="1" a="1"/>
  <c r="R713" i="1" s="1"/>
  <c r="R82" i="1" a="1"/>
  <c r="R82" i="1" s="1"/>
  <c r="R629" i="1" a="1"/>
  <c r="R629" i="1" s="1"/>
  <c r="R169" i="1" a="1"/>
  <c r="R169" i="1" s="1"/>
  <c r="R264" i="1" a="1"/>
  <c r="R264" i="1" s="1"/>
  <c r="R53" i="1" a="1"/>
  <c r="R53" i="1" s="1"/>
  <c r="R294" i="1" a="1"/>
  <c r="R294" i="1" s="1"/>
  <c r="R738" i="1" a="1"/>
  <c r="R738" i="1" s="1"/>
  <c r="R657" i="1" a="1"/>
  <c r="R657" i="1" s="1"/>
  <c r="R218" i="1" a="1"/>
  <c r="R218" i="1" s="1"/>
  <c r="R19" i="1" a="1"/>
  <c r="R19" i="1" s="1"/>
  <c r="R212" i="1" a="1"/>
  <c r="R212" i="1" s="1"/>
  <c r="R348" i="1" a="1"/>
  <c r="R348" i="1" s="1"/>
  <c r="R460" i="1" a="1"/>
  <c r="R460" i="1" s="1"/>
  <c r="R569" i="1" a="1"/>
  <c r="R569" i="1" s="1"/>
  <c r="R536" i="1" a="1"/>
  <c r="R536" i="1" s="1"/>
  <c r="R256" i="1" a="1"/>
  <c r="R256" i="1" s="1"/>
  <c r="R544" i="1" a="1"/>
  <c r="R544" i="1" s="1"/>
  <c r="R77" i="1" a="1"/>
  <c r="R77" i="1" s="1"/>
  <c r="R480" i="1" a="1"/>
  <c r="R480" i="1" s="1"/>
  <c r="R186" i="1" a="1"/>
  <c r="R186" i="1" s="1"/>
  <c r="R21" i="1" a="1"/>
  <c r="R21" i="1" s="1"/>
  <c r="R429" i="1" a="1"/>
  <c r="R429" i="1" s="1"/>
  <c r="R258" i="1" a="1"/>
  <c r="R258" i="1" s="1"/>
  <c r="R551" i="1" a="1"/>
  <c r="R551" i="1" s="1"/>
  <c r="R710" i="1" a="1"/>
  <c r="R710" i="1" s="1"/>
  <c r="R694" i="1" a="1"/>
  <c r="R694" i="1" s="1"/>
  <c r="R395" i="1" a="1"/>
  <c r="R395" i="1" s="1"/>
  <c r="R638" i="1" a="1"/>
  <c r="R638" i="1" s="1"/>
  <c r="R7" i="1" a="1"/>
  <c r="R7" i="1" s="1"/>
  <c r="R196" i="1" a="1"/>
  <c r="R196" i="1" s="1"/>
  <c r="R103" i="1" a="1"/>
  <c r="R103" i="1" s="1"/>
  <c r="R318" i="1" a="1"/>
  <c r="R318" i="1" s="1"/>
  <c r="R463" i="1" a="1"/>
  <c r="R463" i="1" s="1"/>
  <c r="R220" i="1" a="1"/>
  <c r="R220" i="1" s="1"/>
  <c r="R524" i="1" a="1"/>
  <c r="R524" i="1" s="1"/>
  <c r="R353" i="1" a="1"/>
  <c r="R353" i="1" s="1"/>
  <c r="R106" i="1" a="1"/>
  <c r="R106" i="1" s="1"/>
  <c r="R228" i="1" a="1"/>
  <c r="R228" i="1" s="1"/>
  <c r="R172" i="1" a="1"/>
  <c r="R172" i="1" s="1"/>
  <c r="R491" i="1" a="1"/>
  <c r="R491" i="1" s="1"/>
  <c r="R184" i="1" a="1"/>
  <c r="R184" i="1" s="1"/>
  <c r="R701" i="1" a="1"/>
  <c r="R701" i="1" s="1"/>
  <c r="R670" i="1" a="1"/>
  <c r="R670" i="1" s="1"/>
  <c r="R590" i="1" a="1"/>
  <c r="R590" i="1" s="1"/>
  <c r="R765" i="1" a="1"/>
  <c r="R765" i="1" s="1"/>
  <c r="R152" i="1" a="1"/>
  <c r="R152" i="1" s="1"/>
  <c r="R133" i="1" a="1"/>
  <c r="R133" i="1" s="1"/>
  <c r="R490" i="1" a="1"/>
  <c r="R490" i="1" s="1"/>
  <c r="R773" i="1" a="1"/>
  <c r="R773" i="1" s="1"/>
  <c r="R262" i="1" a="1"/>
  <c r="R262" i="1" s="1"/>
  <c r="R120" i="1" a="1"/>
  <c r="R120" i="1" s="1"/>
  <c r="R675" i="1" a="1"/>
  <c r="R675" i="1" s="1"/>
  <c r="R620" i="1" a="1"/>
  <c r="R620" i="1" s="1"/>
  <c r="R265" i="1" a="1"/>
  <c r="R265" i="1" s="1"/>
  <c r="R300" i="1" a="1"/>
  <c r="R300" i="1" s="1"/>
  <c r="R215" i="1" a="1"/>
  <c r="R215" i="1" s="1"/>
  <c r="R123" i="1" a="1"/>
  <c r="R123" i="1" s="1"/>
  <c r="R406" i="1" a="1"/>
  <c r="R406" i="1" s="1"/>
  <c r="R554" i="1" a="1"/>
  <c r="R554" i="1" s="1"/>
  <c r="R100" i="1" a="1"/>
  <c r="R100" i="1" s="1"/>
  <c r="R644" i="1" a="1"/>
  <c r="R644" i="1" s="1"/>
  <c r="R244" i="1" a="1"/>
  <c r="R244" i="1" s="1"/>
  <c r="R70" i="1" a="1"/>
  <c r="R70" i="1" s="1"/>
  <c r="R573" i="1" a="1"/>
  <c r="R573" i="1" s="1"/>
  <c r="R194" i="1" a="1"/>
  <c r="R194" i="1" s="1"/>
  <c r="R11" i="1" a="1"/>
  <c r="R11" i="1" s="1"/>
  <c r="R611" i="1" a="1"/>
  <c r="R611" i="1" s="1"/>
  <c r="R277" i="1" a="1"/>
  <c r="R277" i="1" s="1"/>
  <c r="R801" i="1" a="1"/>
  <c r="R801" i="1" s="1"/>
  <c r="R798" i="1" a="1"/>
  <c r="R798" i="1" s="1"/>
  <c r="R587" i="1" a="1"/>
  <c r="R587" i="1" s="1"/>
  <c r="R599" i="1" a="1"/>
  <c r="R599" i="1" s="1"/>
  <c r="R238" i="1" a="1"/>
  <c r="R238" i="1" s="1"/>
  <c r="R671" i="1" a="1"/>
  <c r="R671" i="1" s="1"/>
  <c r="R32" i="1" a="1"/>
  <c r="R32" i="1" s="1"/>
  <c r="R313" i="1" a="1"/>
  <c r="R313" i="1" s="1"/>
  <c r="R781" i="1" a="1"/>
  <c r="R781" i="1" s="1"/>
  <c r="R43" i="1" a="1"/>
  <c r="R43" i="1" s="1"/>
  <c r="R758" i="1" a="1"/>
  <c r="R758" i="1" s="1"/>
  <c r="R709" i="1" a="1"/>
  <c r="R709" i="1" s="1"/>
  <c r="R419" i="1" a="1"/>
  <c r="R419" i="1" s="1"/>
  <c r="R66" i="1" a="1"/>
  <c r="R66" i="1" s="1"/>
  <c r="R528" i="1" a="1"/>
  <c r="R528" i="1" s="1"/>
  <c r="R537" i="1" a="1"/>
  <c r="R537" i="1" s="1"/>
  <c r="R226" i="1" a="1"/>
  <c r="R226" i="1" s="1"/>
  <c r="R117" i="1" a="1"/>
  <c r="R117" i="1" s="1"/>
  <c r="R236" i="1" a="1"/>
  <c r="R236" i="1" s="1"/>
  <c r="R376" i="1" a="1"/>
  <c r="R376" i="1" s="1"/>
  <c r="R251" i="1" a="1"/>
  <c r="R251" i="1" s="1"/>
  <c r="R391" i="1" a="1"/>
  <c r="R391" i="1" s="1"/>
  <c r="R338" i="1" a="1"/>
  <c r="R338" i="1" s="1"/>
  <c r="R298" i="1" a="1"/>
  <c r="R298" i="1" s="1"/>
  <c r="R628" i="1" a="1"/>
  <c r="R628" i="1" s="1"/>
  <c r="R302" i="1" a="1"/>
  <c r="R302" i="1" s="1"/>
  <c r="R38" i="1" a="1"/>
  <c r="R38" i="1" s="1"/>
  <c r="R604" i="1" a="1"/>
  <c r="R604" i="1" s="1"/>
  <c r="R339" i="1" a="1"/>
  <c r="R339" i="1" s="1"/>
  <c r="R660" i="1" a="1"/>
  <c r="R660" i="1" s="1"/>
  <c r="R224" i="1" a="1"/>
  <c r="R224" i="1" s="1"/>
  <c r="R385" i="1" a="1"/>
  <c r="R385" i="1" s="1"/>
  <c r="R400" i="1" a="1"/>
  <c r="R400" i="1" s="1"/>
  <c r="R649" i="1" a="1"/>
  <c r="R649" i="1" s="1"/>
  <c r="R203" i="1" a="1"/>
  <c r="R203" i="1" s="1"/>
  <c r="R631" i="1" a="1"/>
  <c r="R631" i="1" s="1"/>
  <c r="R135" i="1" a="1"/>
  <c r="R135" i="1" s="1"/>
  <c r="R652" i="1" a="1"/>
  <c r="R652" i="1" s="1"/>
  <c r="R52" i="1" a="1"/>
  <c r="R52" i="1" s="1"/>
  <c r="R284" i="1" a="1"/>
  <c r="R284" i="1" s="1"/>
  <c r="R571" i="1" a="1"/>
  <c r="R571" i="1" s="1"/>
  <c r="R706" i="1" a="1"/>
  <c r="R706" i="1" s="1"/>
  <c r="R567" i="1" a="1"/>
  <c r="R567" i="1" s="1"/>
  <c r="R547" i="1" a="1"/>
  <c r="R547" i="1" s="1"/>
  <c r="R421" i="1" a="1"/>
  <c r="R421" i="1" s="1"/>
  <c r="R451" i="1" a="1"/>
  <c r="R451" i="1" s="1"/>
  <c r="R548" i="1" a="1"/>
  <c r="R548" i="1" s="1"/>
  <c r="R31" i="1" a="1"/>
  <c r="R31" i="1" s="1"/>
  <c r="R769" i="1" a="1"/>
  <c r="R769" i="1" s="1"/>
  <c r="R797" i="1" a="1"/>
  <c r="R797" i="1" s="1"/>
  <c r="R364" i="1" a="1"/>
  <c r="R364" i="1" s="1"/>
  <c r="R337" i="1" a="1"/>
  <c r="R337" i="1" s="1"/>
  <c r="R733" i="1" a="1"/>
  <c r="R733" i="1" s="1"/>
  <c r="R288" i="1" a="1"/>
  <c r="R288" i="1" s="1"/>
  <c r="R197" i="1" a="1"/>
  <c r="R197" i="1" s="1"/>
  <c r="R392" i="1" a="1"/>
  <c r="R392" i="1" s="1"/>
  <c r="R596" i="1" a="1"/>
  <c r="R596" i="1" s="1"/>
  <c r="R691" i="1" a="1"/>
  <c r="R691" i="1" s="1"/>
  <c r="R487" i="1" a="1"/>
  <c r="R487" i="1" s="1"/>
  <c r="R74" i="1" a="1"/>
  <c r="R74" i="1" s="1"/>
  <c r="R623" i="1" a="1"/>
  <c r="R623" i="1" s="1"/>
  <c r="R362" i="1" a="1"/>
  <c r="R362" i="1" s="1"/>
  <c r="R78" i="1" a="1"/>
  <c r="R78" i="1" s="1"/>
  <c r="R461" i="1" a="1"/>
  <c r="R461" i="1" s="1"/>
  <c r="R637" i="1" a="1"/>
  <c r="R637" i="1" s="1"/>
  <c r="R740" i="1" a="1"/>
  <c r="R740" i="1" s="1"/>
  <c r="R63" i="1" a="1"/>
  <c r="R63" i="1" s="1"/>
  <c r="R695" i="1" a="1"/>
  <c r="R695" i="1" s="1"/>
  <c r="R466" i="1" a="1"/>
  <c r="R466" i="1" s="1"/>
  <c r="R494" i="1" a="1"/>
  <c r="R494" i="1" s="1"/>
  <c r="R650" i="1" a="1"/>
  <c r="R650" i="1" s="1"/>
  <c r="R136" i="1" a="1"/>
  <c r="R136" i="1" s="1"/>
  <c r="R431" i="1" a="1"/>
  <c r="R431" i="1" s="1"/>
  <c r="R254" i="1" a="1"/>
  <c r="R254" i="1" s="1"/>
  <c r="R761" i="1" a="1"/>
  <c r="R761" i="1" s="1"/>
  <c r="R404" i="1" a="1"/>
  <c r="R404" i="1" s="1"/>
  <c r="R340" i="1" a="1"/>
  <c r="R340" i="1" s="1"/>
  <c r="R208" i="1" a="1"/>
  <c r="R208" i="1" s="1"/>
  <c r="R259" i="1" a="1"/>
  <c r="R259" i="1" s="1"/>
  <c r="R161" i="1" a="1"/>
  <c r="R161" i="1" s="1"/>
  <c r="R372" i="1" a="1"/>
  <c r="R372" i="1" s="1"/>
  <c r="R130" i="1" a="1"/>
  <c r="R130" i="1" s="1"/>
  <c r="R26" i="1" a="1"/>
  <c r="R26" i="1" s="1"/>
  <c r="R405" i="1" a="1"/>
  <c r="R405" i="1" s="1"/>
  <c r="R452" i="1" a="1"/>
  <c r="R452" i="1" s="1"/>
  <c r="R481" i="1" a="1"/>
  <c r="R481" i="1" s="1"/>
  <c r="R488" i="1" a="1"/>
  <c r="R488" i="1" s="1"/>
  <c r="R45" i="1" a="1"/>
  <c r="R45" i="1" s="1"/>
  <c r="R315" i="1" a="1"/>
  <c r="R315" i="1" s="1"/>
  <c r="R36" i="1" a="1"/>
  <c r="R36" i="1" s="1"/>
  <c r="R700" i="1" a="1"/>
  <c r="R700" i="1" s="1"/>
  <c r="R243" i="1" a="1"/>
  <c r="R243" i="1" s="1"/>
  <c r="R641" i="1" a="1"/>
  <c r="R641" i="1" s="1"/>
  <c r="R519" i="1" a="1"/>
  <c r="R519" i="1" s="1"/>
  <c r="R436" i="1" a="1"/>
  <c r="R436" i="1" s="1"/>
  <c r="R168" i="1" a="1"/>
  <c r="R168" i="1" s="1"/>
  <c r="R595" i="1" a="1"/>
  <c r="R595" i="1" s="1"/>
  <c r="R653" i="1" a="1"/>
  <c r="R653" i="1" s="1"/>
  <c r="R603" i="1" a="1"/>
  <c r="R603" i="1" s="1"/>
  <c r="R521" i="1" a="1"/>
  <c r="R521" i="1" s="1"/>
  <c r="R476" i="1" a="1"/>
  <c r="R476" i="1" s="1"/>
  <c r="R347" i="1" a="1"/>
  <c r="R347" i="1" s="1"/>
  <c r="R689" i="1" a="1"/>
  <c r="R689" i="1" s="1"/>
  <c r="Z2" i="1" l="1"/>
  <c r="T373" i="1" a="1"/>
  <c r="T373" i="1" s="1"/>
  <c r="T95" i="1" a="1"/>
  <c r="T95" i="1" s="1"/>
  <c r="T435" i="1" a="1"/>
  <c r="T435" i="1" s="1"/>
  <c r="T685" i="1" a="1"/>
  <c r="T685" i="1" s="1"/>
  <c r="T181" i="1" a="1"/>
  <c r="T181" i="1" s="1"/>
  <c r="T144" i="1" a="1"/>
  <c r="T144" i="1" s="1"/>
  <c r="AD799" i="1"/>
  <c r="T312" i="1" a="1"/>
  <c r="T312" i="1" s="1"/>
  <c r="T234" i="1" a="1"/>
  <c r="T234" i="1" s="1"/>
  <c r="T393" i="1" a="1"/>
  <c r="T393" i="1" s="1"/>
  <c r="T690" i="1" a="1"/>
  <c r="T690" i="1" s="1"/>
  <c r="T87" i="1" a="1"/>
  <c r="T87" i="1" s="1"/>
  <c r="T160" i="1" a="1"/>
  <c r="T160" i="1" s="1"/>
  <c r="T513" i="1" a="1"/>
  <c r="T513" i="1" s="1"/>
  <c r="T613" i="1" a="1"/>
  <c r="T613" i="1" s="1"/>
  <c r="T222" i="1" a="1"/>
  <c r="T222" i="1" s="1"/>
  <c r="T176" i="1" a="1"/>
  <c r="T176" i="1" s="1"/>
  <c r="T89" i="1" a="1"/>
  <c r="T89" i="1" s="1"/>
  <c r="T454" i="1" a="1"/>
  <c r="T454" i="1" s="1"/>
  <c r="T383" i="1" a="1"/>
  <c r="T383" i="1" s="1"/>
  <c r="T503" i="1" a="1"/>
  <c r="T503" i="1" s="1"/>
  <c r="Q523" i="1" a="1"/>
  <c r="Q523" i="1" s="1"/>
  <c r="T523" i="1" a="1"/>
  <c r="T523" i="1" s="1"/>
  <c r="T238" i="1" a="1"/>
  <c r="T238" i="1" s="1"/>
  <c r="T617" i="1" a="1"/>
  <c r="T617" i="1" s="1"/>
  <c r="T731" i="1" a="1"/>
  <c r="T731" i="1" s="1"/>
  <c r="T527" i="1" a="1"/>
  <c r="T527" i="1" s="1"/>
  <c r="K58" i="1" a="1"/>
  <c r="K58" i="1" s="1"/>
  <c r="T58" i="1" s="1" a="1"/>
  <c r="T58" i="1" s="1"/>
  <c r="T471" i="1" a="1"/>
  <c r="T471" i="1" s="1"/>
  <c r="T684" i="1" a="1"/>
  <c r="T684" i="1" s="1"/>
  <c r="K222" i="1" a="1"/>
  <c r="K222" i="1" s="1"/>
  <c r="K563" i="1" a="1"/>
  <c r="K563" i="1" s="1"/>
  <c r="T563" i="1" s="1" a="1"/>
  <c r="T563" i="1" s="1"/>
  <c r="L469" i="1" a="1"/>
  <c r="L469" i="1" s="1"/>
  <c r="Q469" i="1" s="1" a="1"/>
  <c r="Q469" i="1" s="1"/>
  <c r="K478" i="1" a="1"/>
  <c r="K478" i="1" s="1"/>
  <c r="T478" i="1" s="1" a="1"/>
  <c r="T478" i="1" s="1"/>
  <c r="K234" i="1" a="1"/>
  <c r="K234" i="1" s="1"/>
  <c r="K219" i="1" a="1"/>
  <c r="K219" i="1" s="1"/>
  <c r="T14" i="1" a="1"/>
  <c r="T14" i="1" s="1"/>
  <c r="K665" i="1" a="1"/>
  <c r="K665" i="1" s="1"/>
  <c r="AE452" i="1"/>
  <c r="AE391" i="1"/>
  <c r="AE523" i="1"/>
  <c r="AE741" i="1"/>
  <c r="AE481" i="1"/>
  <c r="AE690" i="1"/>
  <c r="AE671" i="1"/>
  <c r="AE83" i="1"/>
  <c r="AE238" i="1"/>
  <c r="AE739" i="1"/>
  <c r="AE554" i="1"/>
  <c r="AE586" i="1"/>
  <c r="AE163" i="1"/>
  <c r="AE225" i="1"/>
  <c r="AE640" i="1"/>
  <c r="AE190" i="1"/>
  <c r="AE125" i="1"/>
  <c r="AE144" i="1"/>
  <c r="AE762" i="1"/>
  <c r="AE90" i="1"/>
  <c r="AE574" i="1"/>
  <c r="AE409" i="1"/>
  <c r="AE317" i="1"/>
  <c r="AE566" i="1"/>
  <c r="AE557" i="1"/>
  <c r="AE316" i="1"/>
  <c r="AE393" i="1"/>
  <c r="AE488" i="1"/>
  <c r="AE688" i="1"/>
  <c r="AE650" i="1"/>
  <c r="AE406" i="1"/>
  <c r="AE465" i="1"/>
  <c r="AE642" i="1"/>
  <c r="AE50" i="1"/>
  <c r="AE420" i="1"/>
  <c r="AE679" i="1"/>
  <c r="AE542" i="1"/>
  <c r="AE217" i="1"/>
  <c r="AE494" i="1"/>
  <c r="AE123" i="1"/>
  <c r="AE746" i="1"/>
  <c r="AE363" i="1"/>
  <c r="AE312" i="1"/>
  <c r="AE181" i="1"/>
  <c r="AE605" i="1"/>
  <c r="AE390" i="1"/>
  <c r="AE545" i="1"/>
  <c r="AE466" i="1"/>
  <c r="AE670" i="1"/>
  <c r="AE73" i="1"/>
  <c r="AE759" i="1"/>
  <c r="AE426" i="1"/>
  <c r="AE720" i="1"/>
  <c r="AE783" i="1"/>
  <c r="AE97" i="1"/>
  <c r="AE659" i="1"/>
  <c r="AE197" i="1"/>
  <c r="AE701" i="1"/>
  <c r="AE44" i="1"/>
  <c r="AE356" i="1"/>
  <c r="AE535" i="1"/>
  <c r="AE118" i="1"/>
  <c r="AE241" i="1"/>
  <c r="AE281" i="1"/>
  <c r="AE143" i="1"/>
  <c r="AE288" i="1"/>
  <c r="AE184" i="1"/>
  <c r="AE109" i="1"/>
  <c r="AE119" i="1"/>
  <c r="AE158" i="1"/>
  <c r="AE40" i="1"/>
  <c r="AE12" i="1"/>
  <c r="AE138" i="1"/>
  <c r="AE411" i="1"/>
  <c r="AE733" i="1"/>
  <c r="AE395" i="1"/>
  <c r="AE323" i="1"/>
  <c r="AE439" i="1"/>
  <c r="AE413" i="1"/>
  <c r="AE699" i="1"/>
  <c r="AE321" i="1"/>
  <c r="AE155" i="1"/>
  <c r="AE768" i="1"/>
  <c r="AE52" i="1"/>
  <c r="AE694" i="1"/>
  <c r="AE432" i="1"/>
  <c r="AE27" i="1"/>
  <c r="AE247" i="1"/>
  <c r="AE296" i="1"/>
  <c r="AE459" i="1"/>
  <c r="AE189" i="1"/>
  <c r="AE171" i="1"/>
  <c r="AC154" i="1"/>
  <c r="AE652" i="1"/>
  <c r="AE710" i="1"/>
  <c r="AE252" i="1"/>
  <c r="AE755" i="1"/>
  <c r="AE216" i="1"/>
  <c r="AE584" i="1"/>
  <c r="AE664" i="1"/>
  <c r="AE62" i="1"/>
  <c r="AE306" i="1"/>
  <c r="AC602" i="1"/>
  <c r="AE135" i="1"/>
  <c r="AE212" i="1"/>
  <c r="AE630" i="1"/>
  <c r="AE760" i="1"/>
  <c r="AE299" i="1"/>
  <c r="AE418" i="1"/>
  <c r="AE234" i="1"/>
  <c r="AE287" i="1"/>
  <c r="AE23" i="1"/>
  <c r="AC720" i="1"/>
  <c r="AE338" i="1"/>
  <c r="AE19" i="1"/>
  <c r="AE618" i="1"/>
  <c r="AE199" i="1"/>
  <c r="AE16" i="1"/>
  <c r="AE541" i="1"/>
  <c r="AE3" i="1"/>
  <c r="AE692" i="1"/>
  <c r="AE729" i="1"/>
  <c r="AE689" i="1"/>
  <c r="AE218" i="1"/>
  <c r="AE278" i="1"/>
  <c r="AE553" i="1"/>
  <c r="AE685" i="1"/>
  <c r="AE489" i="1"/>
  <c r="AE349" i="1"/>
  <c r="AE530" i="1"/>
  <c r="AE347" i="1"/>
  <c r="AE251" i="1"/>
  <c r="AE105" i="1"/>
  <c r="AE93" i="1"/>
  <c r="AE270" i="1"/>
  <c r="AE286" i="1"/>
  <c r="AE543" i="1"/>
  <c r="AE67" i="1"/>
  <c r="AE280" i="1"/>
  <c r="AE121" i="1"/>
  <c r="AE476" i="1"/>
  <c r="AE32" i="1"/>
  <c r="AE594" i="1"/>
  <c r="AE202" i="1"/>
  <c r="AE718" i="1"/>
  <c r="AE602" i="1"/>
  <c r="AE273" i="1"/>
  <c r="AE350" i="1"/>
  <c r="AE384" i="1"/>
  <c r="AE437" i="1"/>
  <c r="AC605" i="1"/>
  <c r="AE521" i="1"/>
  <c r="AE405" i="1"/>
  <c r="AE695" i="1"/>
  <c r="AE337" i="1"/>
  <c r="AE631" i="1"/>
  <c r="AE376" i="1"/>
  <c r="AE599" i="1"/>
  <c r="AE215" i="1"/>
  <c r="AE491" i="1"/>
  <c r="AE551" i="1"/>
  <c r="AE657" i="1"/>
  <c r="AE403" i="1"/>
  <c r="AE269" i="1"/>
  <c r="AE370" i="1"/>
  <c r="AE588" i="1"/>
  <c r="AE438" i="1"/>
  <c r="AE359" i="1"/>
  <c r="AE371" i="1"/>
  <c r="AE591" i="1"/>
  <c r="AE757" i="1"/>
  <c r="AE790" i="1"/>
  <c r="AE533" i="1"/>
  <c r="AE597" i="1"/>
  <c r="AE415" i="1"/>
  <c r="AE180" i="1"/>
  <c r="AE192" i="1"/>
  <c r="AE267" i="1"/>
  <c r="AE577" i="1"/>
  <c r="AE14" i="1"/>
  <c r="AE455" i="1"/>
  <c r="AE622" i="1"/>
  <c r="AE114" i="1"/>
  <c r="AE10" i="1"/>
  <c r="AE8" i="1"/>
  <c r="AE786" i="1"/>
  <c r="AE634" i="1"/>
  <c r="AE80" i="1"/>
  <c r="AE290" i="1"/>
  <c r="AE221" i="1"/>
  <c r="AE562" i="1"/>
  <c r="AE433" i="1"/>
  <c r="AE382" i="1"/>
  <c r="AE366" i="1"/>
  <c r="AE261" i="1"/>
  <c r="AE149" i="1"/>
  <c r="AE654" i="1"/>
  <c r="AE374" i="1"/>
  <c r="AE111" i="1"/>
  <c r="AE563" i="1"/>
  <c r="AE351" i="1"/>
  <c r="AD671" i="1"/>
  <c r="AE603" i="1"/>
  <c r="AE26" i="1"/>
  <c r="AE63" i="1"/>
  <c r="AE364" i="1"/>
  <c r="AE203" i="1"/>
  <c r="AE236" i="1"/>
  <c r="AE587" i="1"/>
  <c r="AE300" i="1"/>
  <c r="AE172" i="1"/>
  <c r="AE258" i="1"/>
  <c r="AE738" i="1"/>
  <c r="AE772" i="1"/>
  <c r="AE522" i="1"/>
  <c r="AE792" i="1"/>
  <c r="AE698" i="1"/>
  <c r="AE283" i="1"/>
  <c r="AE457" i="1"/>
  <c r="AE104" i="1"/>
  <c r="AE245" i="1"/>
  <c r="AE373" i="1"/>
  <c r="AE336" i="1"/>
  <c r="AE37" i="1"/>
  <c r="AE177" i="1"/>
  <c r="AE724" i="1"/>
  <c r="AE789" i="1"/>
  <c r="AE81" i="1"/>
  <c r="AE274" i="1"/>
  <c r="AE154" i="1"/>
  <c r="AE777" i="1"/>
  <c r="AE508" i="1"/>
  <c r="AE776" i="1"/>
  <c r="AE17" i="1"/>
  <c r="AE57" i="1"/>
  <c r="AE166" i="1"/>
  <c r="AE162" i="1"/>
  <c r="AE84" i="1"/>
  <c r="AE95" i="1"/>
  <c r="AE20" i="1"/>
  <c r="AE365" i="1"/>
  <c r="AE440" i="1"/>
  <c r="AE201" i="1"/>
  <c r="AE307" i="1"/>
  <c r="AE435" i="1"/>
  <c r="AE6" i="1"/>
  <c r="AE13" i="1"/>
  <c r="AE204" i="1"/>
  <c r="AE793" i="1"/>
  <c r="AE157" i="1"/>
  <c r="AE377" i="1"/>
  <c r="AE131" i="1"/>
  <c r="AD406" i="1"/>
  <c r="AE653" i="1"/>
  <c r="AE130" i="1"/>
  <c r="AE740" i="1"/>
  <c r="AE797" i="1"/>
  <c r="AE649" i="1"/>
  <c r="AE117" i="1"/>
  <c r="AE798" i="1"/>
  <c r="AE265" i="1"/>
  <c r="AE228" i="1"/>
  <c r="AE429" i="1"/>
  <c r="AE294" i="1"/>
  <c r="AE223" i="1"/>
  <c r="AE88" i="1"/>
  <c r="AE770" i="1"/>
  <c r="AE666" i="1"/>
  <c r="AE188" i="1"/>
  <c r="AE128" i="1"/>
  <c r="AE263" i="1"/>
  <c r="AE275" i="1"/>
  <c r="AE255" i="1"/>
  <c r="AE454" i="1"/>
  <c r="AE39" i="1"/>
  <c r="AE164" i="1"/>
  <c r="AE504" i="1"/>
  <c r="AE345" i="1"/>
  <c r="AE34" i="1"/>
  <c r="AE146" i="1"/>
  <c r="AE753" i="1"/>
  <c r="AE549" i="1"/>
  <c r="AE325" i="1"/>
  <c r="AE472" i="1"/>
  <c r="AE458" i="1"/>
  <c r="AE681" i="1"/>
  <c r="AE767" i="1"/>
  <c r="AE139" i="1"/>
  <c r="AE214" i="1"/>
  <c r="AE514" i="1"/>
  <c r="AE343" i="1"/>
  <c r="AE500" i="1"/>
  <c r="AE410" i="1"/>
  <c r="AE747" i="1"/>
  <c r="AE515" i="1"/>
  <c r="AE205" i="1"/>
  <c r="AE219" i="1"/>
  <c r="AE469" i="1"/>
  <c r="AE209" i="1"/>
  <c r="AE361" i="1"/>
  <c r="AE503" i="1"/>
  <c r="AE174" i="1"/>
  <c r="AE558" i="1"/>
  <c r="AE475" i="1"/>
  <c r="AE702" i="1"/>
  <c r="AD701" i="1"/>
  <c r="AE595" i="1"/>
  <c r="AE372" i="1"/>
  <c r="AE637" i="1"/>
  <c r="AE769" i="1"/>
  <c r="AE400" i="1"/>
  <c r="AE226" i="1"/>
  <c r="AE801" i="1"/>
  <c r="AE620" i="1"/>
  <c r="AE106" i="1"/>
  <c r="AE21" i="1"/>
  <c r="AE53" i="1"/>
  <c r="AE592" i="1"/>
  <c r="AE424" i="1"/>
  <c r="AE107" i="1"/>
  <c r="AE389" i="1"/>
  <c r="AE178" i="1"/>
  <c r="AE448" i="1"/>
  <c r="AE9" i="1"/>
  <c r="AE527" i="1"/>
  <c r="AE79" i="1"/>
  <c r="AE129" i="1"/>
  <c r="AE799" i="1"/>
  <c r="AE327" i="1"/>
  <c r="AE330" i="1"/>
  <c r="AE561" i="1"/>
  <c r="AE229" i="1"/>
  <c r="AE289" i="1"/>
  <c r="AE183" i="1"/>
  <c r="AE311" i="1"/>
  <c r="AE399" i="1"/>
  <c r="AE674" i="1"/>
  <c r="AE182" i="1"/>
  <c r="AE546" i="1"/>
  <c r="AE632" i="1"/>
  <c r="AE59" i="1"/>
  <c r="AE636" i="1"/>
  <c r="AE668" i="1"/>
  <c r="AE396" i="1"/>
  <c r="AE33" i="1"/>
  <c r="AE342" i="1"/>
  <c r="AE727" i="1"/>
  <c r="AE333" i="1"/>
  <c r="AE742" i="1"/>
  <c r="AE326" i="1"/>
  <c r="AE195" i="1"/>
  <c r="AE578" i="1"/>
  <c r="AE54" i="1"/>
  <c r="AE137" i="1"/>
  <c r="AE328" i="1"/>
  <c r="AE658" i="1"/>
  <c r="AD594" i="1"/>
  <c r="AE168" i="1"/>
  <c r="AE161" i="1"/>
  <c r="AE461" i="1"/>
  <c r="AE31" i="1"/>
  <c r="AE385" i="1"/>
  <c r="AE537" i="1"/>
  <c r="AE277" i="1"/>
  <c r="AE675" i="1"/>
  <c r="AE353" i="1"/>
  <c r="AE186" i="1"/>
  <c r="AE264" i="1"/>
  <c r="AE678" i="1"/>
  <c r="AE564" i="1"/>
  <c r="AE785" i="1"/>
  <c r="AE509" i="1"/>
  <c r="AE126" i="1"/>
  <c r="AE715" i="1"/>
  <c r="AE639" i="1"/>
  <c r="AE193" i="1"/>
  <c r="AE447" i="1"/>
  <c r="AE506" i="1"/>
  <c r="AE383" i="1"/>
  <c r="AE227" i="1"/>
  <c r="AE575" i="1"/>
  <c r="AE570" i="1"/>
  <c r="AE501" i="1"/>
  <c r="AE464" i="1"/>
  <c r="AE422" i="1"/>
  <c r="AE271" i="1"/>
  <c r="AE304" i="1"/>
  <c r="AE532" i="1"/>
  <c r="AE22" i="1"/>
  <c r="AE334" i="1"/>
  <c r="AE71" i="1"/>
  <c r="AE707" i="1"/>
  <c r="AE346" i="1"/>
  <c r="AE230" i="1"/>
  <c r="AE398" i="1"/>
  <c r="AE148" i="1"/>
  <c r="AE253" i="1"/>
  <c r="AE471" i="1"/>
  <c r="AE648" i="1"/>
  <c r="AE207" i="1"/>
  <c r="AE29" i="1"/>
  <c r="AE150" i="1"/>
  <c r="AE728" i="1"/>
  <c r="AE141" i="1"/>
  <c r="AE582" i="1"/>
  <c r="AE580" i="1"/>
  <c r="AE397" i="1"/>
  <c r="AD314" i="1"/>
  <c r="AE436" i="1"/>
  <c r="AE259" i="1"/>
  <c r="AE78" i="1"/>
  <c r="AE548" i="1"/>
  <c r="AE224" i="1"/>
  <c r="AE528" i="1"/>
  <c r="AE611" i="1"/>
  <c r="AE120" i="1"/>
  <c r="AE524" i="1"/>
  <c r="AE480" i="1"/>
  <c r="AE169" i="1"/>
  <c r="AE443" i="1"/>
  <c r="AE734" i="1"/>
  <c r="AE310" i="1"/>
  <c r="AE379" i="1"/>
  <c r="AE711" i="1"/>
  <c r="AE427" i="1"/>
  <c r="AE467" i="1"/>
  <c r="AE619" i="1"/>
  <c r="AE185" i="1"/>
  <c r="AE750" i="1"/>
  <c r="AE513" i="1"/>
  <c r="AE613" i="1"/>
  <c r="AE242" i="1"/>
  <c r="AE621" i="1"/>
  <c r="AE705" i="1"/>
  <c r="AE176" i="1"/>
  <c r="AE191" i="1"/>
  <c r="AE134" i="1"/>
  <c r="AE48" i="1"/>
  <c r="AE102" i="1"/>
  <c r="AE113" i="1"/>
  <c r="AE122" i="1"/>
  <c r="AE744" i="1"/>
  <c r="AE624" i="1"/>
  <c r="AE538" i="1"/>
  <c r="AE386" i="1"/>
  <c r="AE610" i="1"/>
  <c r="AE737" i="1"/>
  <c r="AE401" i="1"/>
  <c r="AE282" i="1"/>
  <c r="AE684" i="1"/>
  <c r="AE697" i="1"/>
  <c r="AE751" i="1"/>
  <c r="AE65" i="1"/>
  <c r="AE495" i="1"/>
  <c r="AE360" i="1"/>
  <c r="AE309" i="1"/>
  <c r="AE388" i="1"/>
  <c r="AE96" i="1"/>
  <c r="AD702" i="1"/>
  <c r="AE519" i="1"/>
  <c r="AE208" i="1"/>
  <c r="AE362" i="1"/>
  <c r="AE451" i="1"/>
  <c r="AE660" i="1"/>
  <c r="AE66" i="1"/>
  <c r="AE11" i="1"/>
  <c r="AE262" i="1"/>
  <c r="AE220" i="1"/>
  <c r="AE77" i="1"/>
  <c r="AE629" i="1"/>
  <c r="AE791" i="1"/>
  <c r="AE764" i="1"/>
  <c r="AE450" i="1"/>
  <c r="AE305" i="1"/>
  <c r="AE529" i="1"/>
  <c r="AE682" i="1"/>
  <c r="AE484" i="1"/>
  <c r="AE470" i="1"/>
  <c r="AE291" i="1"/>
  <c r="AE110" i="1"/>
  <c r="AE394" i="1"/>
  <c r="AE645" i="1"/>
  <c r="AE643" i="1"/>
  <c r="AE380" i="1"/>
  <c r="AE206" i="1"/>
  <c r="AE295" i="1"/>
  <c r="AE412" i="1"/>
  <c r="AE276" i="1"/>
  <c r="AE555" i="1"/>
  <c r="AE367" i="1"/>
  <c r="AE387" i="1"/>
  <c r="AE483" i="1"/>
  <c r="AE56" i="1"/>
  <c r="AE743" i="1"/>
  <c r="AE708" i="1"/>
  <c r="AE147" i="1"/>
  <c r="AE213" i="1"/>
  <c r="AE462" i="1"/>
  <c r="AE231" i="1"/>
  <c r="AE626" i="1"/>
  <c r="AE607" i="1"/>
  <c r="AE86" i="1"/>
  <c r="AE581" i="1"/>
  <c r="AE719" i="1"/>
  <c r="AE615" i="1"/>
  <c r="AE357" i="1"/>
  <c r="AE303" i="1"/>
  <c r="AE76" i="1"/>
  <c r="AE456" i="1"/>
  <c r="AD557" i="1"/>
  <c r="AE641" i="1"/>
  <c r="AE340" i="1"/>
  <c r="AE623" i="1"/>
  <c r="AE421" i="1"/>
  <c r="AE339" i="1"/>
  <c r="AE419" i="1"/>
  <c r="AE194" i="1"/>
  <c r="AE773" i="1"/>
  <c r="AE463" i="1"/>
  <c r="AE544" i="1"/>
  <c r="AE82" i="1"/>
  <c r="AE200" i="1"/>
  <c r="AE601" i="1"/>
  <c r="AE576" i="1"/>
  <c r="AE417" i="1"/>
  <c r="AE72" i="1"/>
  <c r="AE795" i="1"/>
  <c r="AE239" i="1"/>
  <c r="AE127" i="1"/>
  <c r="AE156" i="1"/>
  <c r="AE354" i="1"/>
  <c r="AE517" i="1"/>
  <c r="AE248" i="1"/>
  <c r="AE502" i="1"/>
  <c r="AE30" i="1"/>
  <c r="AE600" i="1"/>
  <c r="AE61" i="1"/>
  <c r="AE249" i="1"/>
  <c r="AE240" i="1"/>
  <c r="AE301" i="1"/>
  <c r="AE683" i="1"/>
  <c r="AE552" i="1"/>
  <c r="AE686" i="1"/>
  <c r="AE24" i="1"/>
  <c r="AE2" i="1"/>
  <c r="AE496" i="1"/>
  <c r="AE344" i="1"/>
  <c r="AE540" i="1"/>
  <c r="AE721" i="1"/>
  <c r="AE647" i="1"/>
  <c r="AE473" i="1"/>
  <c r="AE493" i="1"/>
  <c r="AE85" i="1"/>
  <c r="AE510" i="1"/>
  <c r="AE322" i="1"/>
  <c r="AE445" i="1"/>
  <c r="AE112" i="1"/>
  <c r="AE612" i="1"/>
  <c r="AE696" i="1"/>
  <c r="AE722" i="1"/>
  <c r="AE314" i="1"/>
  <c r="AD535" i="1"/>
  <c r="AE243" i="1"/>
  <c r="AE404" i="1"/>
  <c r="AE74" i="1"/>
  <c r="AE547" i="1"/>
  <c r="AE604" i="1"/>
  <c r="AE709" i="1"/>
  <c r="AE573" i="1"/>
  <c r="AE490" i="1"/>
  <c r="AE318" i="1"/>
  <c r="AE256" i="1"/>
  <c r="AE713" i="1"/>
  <c r="AE771" i="1"/>
  <c r="AE233" i="1"/>
  <c r="AE667" i="1"/>
  <c r="AE779" i="1"/>
  <c r="AE485" i="1"/>
  <c r="AE714" i="1"/>
  <c r="AE402" i="1"/>
  <c r="AE633" i="1"/>
  <c r="AE651" i="1"/>
  <c r="AE408" i="1"/>
  <c r="AE693" i="1"/>
  <c r="AE99" i="1"/>
  <c r="AE477" i="1"/>
  <c r="AE142" i="1"/>
  <c r="AE381" i="1"/>
  <c r="AE550" i="1"/>
  <c r="AE179" i="1"/>
  <c r="AE763" i="1"/>
  <c r="AE579" i="1"/>
  <c r="AE784" i="1"/>
  <c r="AE656" i="1"/>
  <c r="AE735" i="1"/>
  <c r="AE468" i="1"/>
  <c r="AE68" i="1"/>
  <c r="AE505" i="1"/>
  <c r="AE748" i="1"/>
  <c r="AE717" i="1"/>
  <c r="AE279" i="1"/>
  <c r="AE175" i="1"/>
  <c r="AE787" i="1"/>
  <c r="AE712" i="1"/>
  <c r="AE796" i="1"/>
  <c r="AE153" i="1"/>
  <c r="AE285" i="1"/>
  <c r="AE60" i="1"/>
  <c r="AE507" i="1"/>
  <c r="AE680" i="1"/>
  <c r="AE782" i="1"/>
  <c r="AE700" i="1"/>
  <c r="AE761" i="1"/>
  <c r="AE487" i="1"/>
  <c r="AE567" i="1"/>
  <c r="AE38" i="1"/>
  <c r="AE758" i="1"/>
  <c r="AE70" i="1"/>
  <c r="AE133" i="1"/>
  <c r="AE103" i="1"/>
  <c r="AE536" i="1"/>
  <c r="AE430" i="1"/>
  <c r="AE434" i="1"/>
  <c r="AE661" i="1"/>
  <c r="AE331" i="1"/>
  <c r="AE478" i="1"/>
  <c r="AE736" i="1"/>
  <c r="AE662" i="1"/>
  <c r="AE297" i="1"/>
  <c r="AE677" i="1"/>
  <c r="AE687" i="1"/>
  <c r="AE499" i="1"/>
  <c r="AE115" i="1"/>
  <c r="AE589" i="1"/>
  <c r="AE246" i="1"/>
  <c r="AE210" i="1"/>
  <c r="AE319" i="1"/>
  <c r="AE565" i="1"/>
  <c r="AE449" i="1"/>
  <c r="AE332" i="1"/>
  <c r="AE568" i="1"/>
  <c r="AE425" i="1"/>
  <c r="AE442" i="1"/>
  <c r="AE101" i="1"/>
  <c r="AE441" i="1"/>
  <c r="AE423" i="1"/>
  <c r="AE329" i="1"/>
  <c r="AE145" i="1"/>
  <c r="AE352" i="1"/>
  <c r="AE15" i="1"/>
  <c r="AE198" i="1"/>
  <c r="AE598" i="1"/>
  <c r="AE498" i="1"/>
  <c r="AE91" i="1"/>
  <c r="AE655" i="1"/>
  <c r="AE716" i="1"/>
  <c r="AE486" i="1"/>
  <c r="AE531" i="1"/>
  <c r="AE36" i="1"/>
  <c r="AE254" i="1"/>
  <c r="AE691" i="1"/>
  <c r="AE706" i="1"/>
  <c r="AE302" i="1"/>
  <c r="AE43" i="1"/>
  <c r="AE244" i="1"/>
  <c r="AE152" i="1"/>
  <c r="AE196" i="1"/>
  <c r="AE569" i="1"/>
  <c r="AE268" i="1"/>
  <c r="AE788" i="1"/>
  <c r="AE560" i="1"/>
  <c r="AE292" i="1"/>
  <c r="AE617" i="1"/>
  <c r="AE676" i="1"/>
  <c r="AE703" i="1"/>
  <c r="AE745" i="1"/>
  <c r="AE616" i="1"/>
  <c r="AE593" i="1"/>
  <c r="AE726" i="1"/>
  <c r="AE293" i="1"/>
  <c r="AE235" i="1"/>
  <c r="AE266" i="1"/>
  <c r="AE320" i="1"/>
  <c r="AE42" i="1"/>
  <c r="AE539" i="1"/>
  <c r="AE518" i="1"/>
  <c r="AE124" i="1"/>
  <c r="AE756" i="1"/>
  <c r="AE46" i="1"/>
  <c r="AE800" i="1"/>
  <c r="AE731" i="1"/>
  <c r="AE49" i="1"/>
  <c r="AE635" i="1"/>
  <c r="AE646" i="1"/>
  <c r="AE414" i="1"/>
  <c r="AE572" i="1"/>
  <c r="AE556" i="1"/>
  <c r="AE775" i="1"/>
  <c r="AE260" i="1"/>
  <c r="AE69" i="1"/>
  <c r="AE355" i="1"/>
  <c r="AE608" i="1"/>
  <c r="AE272" i="1"/>
  <c r="AE116" i="1"/>
  <c r="AE665" i="1"/>
  <c r="AE64" i="1"/>
  <c r="AE625" i="1"/>
  <c r="AE479" i="1"/>
  <c r="AE315" i="1"/>
  <c r="AE431" i="1"/>
  <c r="AE596" i="1"/>
  <c r="AE571" i="1"/>
  <c r="AE628" i="1"/>
  <c r="AE781" i="1"/>
  <c r="AE644" i="1"/>
  <c r="AE765" i="1"/>
  <c r="AE7" i="1"/>
  <c r="AE460" i="1"/>
  <c r="AE41" i="1"/>
  <c r="AE324" i="1"/>
  <c r="AE257" i="1"/>
  <c r="AE559" i="1"/>
  <c r="AE211" i="1"/>
  <c r="AE444" i="1"/>
  <c r="AE516" i="1"/>
  <c r="AE416" i="1"/>
  <c r="AE25" i="1"/>
  <c r="AE378" i="1"/>
  <c r="AE482" i="1"/>
  <c r="AE774" i="1"/>
  <c r="AE725" i="1"/>
  <c r="AE754" i="1"/>
  <c r="AE237" i="1"/>
  <c r="AE28" i="1"/>
  <c r="AE609" i="1"/>
  <c r="AE428" i="1"/>
  <c r="AE250" i="1"/>
  <c r="AE232" i="1"/>
  <c r="AE614" i="1"/>
  <c r="AE18" i="1"/>
  <c r="AE732" i="1"/>
  <c r="AE663" i="1"/>
  <c r="AE375" i="1"/>
  <c r="AE173" i="1"/>
  <c r="AE512" i="1"/>
  <c r="AE132" i="1"/>
  <c r="AE35" i="1"/>
  <c r="AE108" i="1"/>
  <c r="AE4" i="1"/>
  <c r="AE94" i="1"/>
  <c r="AE446" i="1"/>
  <c r="AE520" i="1"/>
  <c r="AE627" i="1"/>
  <c r="AE778" i="1"/>
  <c r="AE187" i="1"/>
  <c r="AE723" i="1"/>
  <c r="AE341" i="1"/>
  <c r="AE511" i="1"/>
  <c r="AC314" i="1"/>
  <c r="AD281" i="1"/>
  <c r="AE45" i="1"/>
  <c r="AE136" i="1"/>
  <c r="AE392" i="1"/>
  <c r="AE284" i="1"/>
  <c r="AE298" i="1"/>
  <c r="AE313" i="1"/>
  <c r="AE100" i="1"/>
  <c r="AE590" i="1"/>
  <c r="AE638" i="1"/>
  <c r="AE348" i="1"/>
  <c r="AE308" i="1"/>
  <c r="AE51" i="1"/>
  <c r="AE165" i="1"/>
  <c r="AE780" i="1"/>
  <c r="AE5" i="1"/>
  <c r="AE534" i="1"/>
  <c r="AE87" i="1"/>
  <c r="AE160" i="1"/>
  <c r="AE369" i="1"/>
  <c r="AE151" i="1"/>
  <c r="AE669" i="1"/>
  <c r="AE368" i="1"/>
  <c r="AE526" i="1"/>
  <c r="AE47" i="1"/>
  <c r="AE673" i="1"/>
  <c r="AE453" i="1"/>
  <c r="AE407" i="1"/>
  <c r="AE749" i="1"/>
  <c r="AE89" i="1"/>
  <c r="AE170" i="1"/>
  <c r="AE585" i="1"/>
  <c r="AE672" i="1"/>
  <c r="AE159" i="1"/>
  <c r="AE167" i="1"/>
  <c r="AE92" i="1"/>
  <c r="AE75" i="1"/>
  <c r="AE492" i="1"/>
  <c r="AE335" i="1"/>
  <c r="AE497" i="1"/>
  <c r="AE474" i="1"/>
  <c r="AE794" i="1"/>
  <c r="AE358" i="1"/>
  <c r="AE606" i="1"/>
  <c r="AE55" i="1"/>
  <c r="AE58" i="1"/>
  <c r="AE766" i="1"/>
  <c r="AE730" i="1"/>
  <c r="AE583" i="1"/>
  <c r="AE222" i="1"/>
  <c r="AE752" i="1"/>
  <c r="AD694" i="1"/>
  <c r="AD316" i="1"/>
  <c r="AD225" i="1"/>
  <c r="AC162" i="1"/>
  <c r="AD19" i="1"/>
  <c r="AD50" i="1"/>
  <c r="AD542" i="1"/>
  <c r="AA459" i="1"/>
  <c r="AC20" i="1"/>
  <c r="AD125" i="1"/>
  <c r="AD247" i="1"/>
  <c r="AD189" i="1"/>
  <c r="AA97" i="1"/>
  <c r="AC692" i="1"/>
  <c r="AD73" i="1"/>
  <c r="AD16" i="1"/>
  <c r="AD692" i="1"/>
  <c r="AC391" i="1"/>
  <c r="AC6" i="1"/>
  <c r="AD44" i="1"/>
  <c r="AD602" i="1"/>
  <c r="AD384" i="1"/>
  <c r="AC236" i="1"/>
  <c r="AD347" i="1"/>
  <c r="AD475" i="1"/>
  <c r="AD720" i="1"/>
  <c r="AD566" i="1"/>
  <c r="AC671" i="1"/>
  <c r="AD481" i="1"/>
  <c r="AD252" i="1"/>
  <c r="AD699" i="1"/>
  <c r="AD217" i="1"/>
  <c r="AC73" i="1"/>
  <c r="AD494" i="1"/>
  <c r="AD278" i="1"/>
  <c r="AD418" i="1"/>
  <c r="AD659" i="1"/>
  <c r="AC792" i="1"/>
  <c r="AD288" i="1"/>
  <c r="AD762" i="1"/>
  <c r="AD543" i="1"/>
  <c r="AD768" i="1"/>
  <c r="AC475" i="1"/>
  <c r="AD652" i="1"/>
  <c r="AD642" i="1"/>
  <c r="AD739" i="1"/>
  <c r="AD23" i="1"/>
  <c r="AC790" i="1"/>
  <c r="AD391" i="1"/>
  <c r="AD356" i="1"/>
  <c r="AD605" i="1"/>
  <c r="AD121" i="1"/>
  <c r="AC336" i="1"/>
  <c r="AD251" i="1"/>
  <c r="AD27" i="1"/>
  <c r="AD12" i="1"/>
  <c r="AD511" i="1"/>
  <c r="AD452" i="1"/>
  <c r="AD270" i="1"/>
  <c r="AD138" i="1"/>
  <c r="AA241" i="1"/>
  <c r="AC522" i="1"/>
  <c r="AC27" i="1"/>
  <c r="AC16" i="1"/>
  <c r="AC786" i="1"/>
  <c r="AC435" i="1"/>
  <c r="AD689" i="1"/>
  <c r="AD488" i="1"/>
  <c r="AD650" i="1"/>
  <c r="AD197" i="1"/>
  <c r="AD52" i="1"/>
  <c r="AD338" i="1"/>
  <c r="AD32" i="1"/>
  <c r="AD554" i="1"/>
  <c r="AD670" i="1"/>
  <c r="AD395" i="1"/>
  <c r="AD212" i="1"/>
  <c r="AD105" i="1"/>
  <c r="AD640" i="1"/>
  <c r="AD746" i="1"/>
  <c r="AD109" i="1"/>
  <c r="AD432" i="1"/>
  <c r="AD618" i="1"/>
  <c r="AD202" i="1"/>
  <c r="AD317" i="1"/>
  <c r="AD759" i="1"/>
  <c r="AD439" i="1"/>
  <c r="AD760" i="1"/>
  <c r="AD199" i="1"/>
  <c r="AD718" i="1"/>
  <c r="AD688" i="1"/>
  <c r="AD426" i="1"/>
  <c r="AD413" i="1"/>
  <c r="AD299" i="1"/>
  <c r="AD286" i="1"/>
  <c r="AD523" i="1"/>
  <c r="AD181" i="1"/>
  <c r="AD40" i="1"/>
  <c r="AD584" i="1"/>
  <c r="AD685" i="1"/>
  <c r="AD83" i="1"/>
  <c r="AD679" i="1"/>
  <c r="AD241" i="1"/>
  <c r="AD459" i="1"/>
  <c r="AD3" i="1"/>
  <c r="AD350" i="1"/>
  <c r="AD144" i="1"/>
  <c r="AD97" i="1"/>
  <c r="AD155" i="1"/>
  <c r="AD287" i="1"/>
  <c r="AD280" i="1"/>
  <c r="AD409" i="1"/>
  <c r="AD545" i="1"/>
  <c r="AD411" i="1"/>
  <c r="AD306" i="1"/>
  <c r="AD530" i="1"/>
  <c r="AA692" i="1"/>
  <c r="AC587" i="1"/>
  <c r="AC777" i="1"/>
  <c r="AC84" i="1"/>
  <c r="AC384" i="1"/>
  <c r="AD521" i="1"/>
  <c r="AD405" i="1"/>
  <c r="AD695" i="1"/>
  <c r="AD337" i="1"/>
  <c r="AD631" i="1"/>
  <c r="AD376" i="1"/>
  <c r="AD599" i="1"/>
  <c r="AD215" i="1"/>
  <c r="AD491" i="1"/>
  <c r="AD551" i="1"/>
  <c r="AD657" i="1"/>
  <c r="AD403" i="1"/>
  <c r="AD269" i="1"/>
  <c r="AD370" i="1"/>
  <c r="AD588" i="1"/>
  <c r="AD438" i="1"/>
  <c r="AD359" i="1"/>
  <c r="AD371" i="1"/>
  <c r="AD591" i="1"/>
  <c r="AD757" i="1"/>
  <c r="AD533" i="1"/>
  <c r="AD597" i="1"/>
  <c r="AD415" i="1"/>
  <c r="AD180" i="1"/>
  <c r="AD192" i="1"/>
  <c r="AD267" i="1"/>
  <c r="AD577" i="1"/>
  <c r="AD14" i="1"/>
  <c r="AD455" i="1"/>
  <c r="AD622" i="1"/>
  <c r="AD114" i="1"/>
  <c r="AD10" i="1"/>
  <c r="AD8" i="1"/>
  <c r="AD786" i="1"/>
  <c r="AD634" i="1"/>
  <c r="AD80" i="1"/>
  <c r="AD290" i="1"/>
  <c r="AD221" i="1"/>
  <c r="AD562" i="1"/>
  <c r="AD433" i="1"/>
  <c r="AD382" i="1"/>
  <c r="AD366" i="1"/>
  <c r="AD261" i="1"/>
  <c r="AD149" i="1"/>
  <c r="AD654" i="1"/>
  <c r="AD374" i="1"/>
  <c r="AD111" i="1"/>
  <c r="AD563" i="1"/>
  <c r="AD351" i="1"/>
  <c r="AD218" i="1"/>
  <c r="AD93" i="1"/>
  <c r="AD393" i="1"/>
  <c r="AD420" i="1"/>
  <c r="AD273" i="1"/>
  <c r="AD437" i="1"/>
  <c r="AA384" i="1"/>
  <c r="AC406" i="1"/>
  <c r="AC588" i="1"/>
  <c r="AC37" i="1"/>
  <c r="AC741" i="1"/>
  <c r="AC12" i="1"/>
  <c r="AC13" i="1"/>
  <c r="AD603" i="1"/>
  <c r="AD26" i="1"/>
  <c r="AD63" i="1"/>
  <c r="AD364" i="1"/>
  <c r="AD203" i="1"/>
  <c r="AD236" i="1"/>
  <c r="AD587" i="1"/>
  <c r="AD300" i="1"/>
  <c r="AD172" i="1"/>
  <c r="AD258" i="1"/>
  <c r="AD738" i="1"/>
  <c r="AD772" i="1"/>
  <c r="AD522" i="1"/>
  <c r="AD792" i="1"/>
  <c r="AD698" i="1"/>
  <c r="AD283" i="1"/>
  <c r="AD457" i="1"/>
  <c r="AD104" i="1"/>
  <c r="AD245" i="1"/>
  <c r="AD373" i="1"/>
  <c r="AD336" i="1"/>
  <c r="AD37" i="1"/>
  <c r="AD177" i="1"/>
  <c r="AD724" i="1"/>
  <c r="AD789" i="1"/>
  <c r="AD81" i="1"/>
  <c r="AD274" i="1"/>
  <c r="AD154" i="1"/>
  <c r="AD777" i="1"/>
  <c r="AD508" i="1"/>
  <c r="AD776" i="1"/>
  <c r="AD17" i="1"/>
  <c r="AD57" i="1"/>
  <c r="AD166" i="1"/>
  <c r="AD162" i="1"/>
  <c r="AD84" i="1"/>
  <c r="AD95" i="1"/>
  <c r="AD20" i="1"/>
  <c r="AD365" i="1"/>
  <c r="AD440" i="1"/>
  <c r="AD201" i="1"/>
  <c r="AD307" i="1"/>
  <c r="AD435" i="1"/>
  <c r="AD6" i="1"/>
  <c r="AD13" i="1"/>
  <c r="AD204" i="1"/>
  <c r="AD793" i="1"/>
  <c r="AD157" i="1"/>
  <c r="AD377" i="1"/>
  <c r="AD131" i="1"/>
  <c r="AD476" i="1"/>
  <c r="AD710" i="1"/>
  <c r="AD363" i="1"/>
  <c r="AD216" i="1"/>
  <c r="AD296" i="1"/>
  <c r="AD321" i="1"/>
  <c r="AD729" i="1"/>
  <c r="AC347" i="1"/>
  <c r="AC300" i="1"/>
  <c r="AC698" i="1"/>
  <c r="AC557" i="1"/>
  <c r="AC95" i="1"/>
  <c r="AC566" i="1"/>
  <c r="AD653" i="1"/>
  <c r="AD130" i="1"/>
  <c r="AD740" i="1"/>
  <c r="AD504" i="1"/>
  <c r="AD146" i="1"/>
  <c r="AD753" i="1"/>
  <c r="AD325" i="1"/>
  <c r="AD767" i="1"/>
  <c r="AD214" i="1"/>
  <c r="AD67" i="1"/>
  <c r="AC603" i="1"/>
  <c r="AC701" i="1"/>
  <c r="AC252" i="1"/>
  <c r="AC177" i="1"/>
  <c r="AC508" i="1"/>
  <c r="AD135" i="1"/>
  <c r="AD465" i="1"/>
  <c r="AD62" i="1"/>
  <c r="AC481" i="1"/>
  <c r="AC172" i="1"/>
  <c r="AC283" i="1"/>
  <c r="AC316" i="1"/>
  <c r="AC365" i="1"/>
  <c r="AC204" i="1"/>
  <c r="AC26" i="1"/>
  <c r="AC694" i="1"/>
  <c r="AC278" i="1"/>
  <c r="AC724" i="1"/>
  <c r="AC776" i="1"/>
  <c r="AC225" i="1"/>
  <c r="AC659" i="1"/>
  <c r="AD436" i="1"/>
  <c r="AD259" i="1"/>
  <c r="AD78" i="1"/>
  <c r="AD548" i="1"/>
  <c r="AD224" i="1"/>
  <c r="AD528" i="1"/>
  <c r="AD611" i="1"/>
  <c r="AD120" i="1"/>
  <c r="AD524" i="1"/>
  <c r="AD480" i="1"/>
  <c r="AD169" i="1"/>
  <c r="AD443" i="1"/>
  <c r="AD734" i="1"/>
  <c r="AD310" i="1"/>
  <c r="AD379" i="1"/>
  <c r="AD711" i="1"/>
  <c r="AD427" i="1"/>
  <c r="AD467" i="1"/>
  <c r="AD619" i="1"/>
  <c r="AD185" i="1"/>
  <c r="AD750" i="1"/>
  <c r="AD513" i="1"/>
  <c r="AD613" i="1"/>
  <c r="AD242" i="1"/>
  <c r="AD621" i="1"/>
  <c r="AD705" i="1"/>
  <c r="AD176" i="1"/>
  <c r="AD191" i="1"/>
  <c r="AD134" i="1"/>
  <c r="AD48" i="1"/>
  <c r="AD102" i="1"/>
  <c r="AD113" i="1"/>
  <c r="AD122" i="1"/>
  <c r="AD744" i="1"/>
  <c r="AD624" i="1"/>
  <c r="AD538" i="1"/>
  <c r="AD386" i="1"/>
  <c r="AD610" i="1"/>
  <c r="AD737" i="1"/>
  <c r="AD401" i="1"/>
  <c r="AD282" i="1"/>
  <c r="AD684" i="1"/>
  <c r="AD697" i="1"/>
  <c r="AD751" i="1"/>
  <c r="AD65" i="1"/>
  <c r="AD495" i="1"/>
  <c r="AD360" i="1"/>
  <c r="AD309" i="1"/>
  <c r="AD388" i="1"/>
  <c r="AD96" i="1"/>
  <c r="AD184" i="1"/>
  <c r="AD574" i="1"/>
  <c r="AD158" i="1"/>
  <c r="AD541" i="1"/>
  <c r="AD783" i="1"/>
  <c r="AD171" i="1"/>
  <c r="AC494" i="1"/>
  <c r="AC457" i="1"/>
  <c r="AC50" i="1"/>
  <c r="AC699" i="1"/>
  <c r="AC440" i="1"/>
  <c r="AC793" i="1"/>
  <c r="AD519" i="1"/>
  <c r="AD208" i="1"/>
  <c r="AD362" i="1"/>
  <c r="AD451" i="1"/>
  <c r="AD660" i="1"/>
  <c r="AD66" i="1"/>
  <c r="AD11" i="1"/>
  <c r="AD262" i="1"/>
  <c r="AD220" i="1"/>
  <c r="AD77" i="1"/>
  <c r="AD629" i="1"/>
  <c r="AD791" i="1"/>
  <c r="AD764" i="1"/>
  <c r="AD450" i="1"/>
  <c r="AD305" i="1"/>
  <c r="AD529" i="1"/>
  <c r="AD682" i="1"/>
  <c r="AD484" i="1"/>
  <c r="AD470" i="1"/>
  <c r="AD291" i="1"/>
  <c r="AD110" i="1"/>
  <c r="AD394" i="1"/>
  <c r="AD645" i="1"/>
  <c r="AD643" i="1"/>
  <c r="AD380" i="1"/>
  <c r="AD206" i="1"/>
  <c r="AD295" i="1"/>
  <c r="AD412" i="1"/>
  <c r="AD276" i="1"/>
  <c r="AD555" i="1"/>
  <c r="AD367" i="1"/>
  <c r="AD387" i="1"/>
  <c r="AD483" i="1"/>
  <c r="AD56" i="1"/>
  <c r="AD743" i="1"/>
  <c r="AD708" i="1"/>
  <c r="AD147" i="1"/>
  <c r="AD213" i="1"/>
  <c r="AD462" i="1"/>
  <c r="AD231" i="1"/>
  <c r="AD626" i="1"/>
  <c r="AD607" i="1"/>
  <c r="AD86" i="1"/>
  <c r="AD581" i="1"/>
  <c r="AD719" i="1"/>
  <c r="AD615" i="1"/>
  <c r="AD357" i="1"/>
  <c r="AD303" i="1"/>
  <c r="AD76" i="1"/>
  <c r="AD456" i="1"/>
  <c r="AD190" i="1"/>
  <c r="AC63" i="1"/>
  <c r="AC258" i="1"/>
  <c r="AC762" i="1"/>
  <c r="AC789" i="1"/>
  <c r="AC17" i="1"/>
  <c r="AC542" i="1"/>
  <c r="AC768" i="1"/>
  <c r="AD641" i="1"/>
  <c r="AD340" i="1"/>
  <c r="AD623" i="1"/>
  <c r="AD421" i="1"/>
  <c r="AD339" i="1"/>
  <c r="AD419" i="1"/>
  <c r="AD194" i="1"/>
  <c r="AD773" i="1"/>
  <c r="AD463" i="1"/>
  <c r="AD544" i="1"/>
  <c r="AD82" i="1"/>
  <c r="AD200" i="1"/>
  <c r="AD601" i="1"/>
  <c r="AD576" i="1"/>
  <c r="AD417" i="1"/>
  <c r="AD72" i="1"/>
  <c r="AD795" i="1"/>
  <c r="AD239" i="1"/>
  <c r="AD127" i="1"/>
  <c r="AD156" i="1"/>
  <c r="AD354" i="1"/>
  <c r="AD517" i="1"/>
  <c r="AD248" i="1"/>
  <c r="AD502" i="1"/>
  <c r="AD30" i="1"/>
  <c r="AD600" i="1"/>
  <c r="AD61" i="1"/>
  <c r="AD249" i="1"/>
  <c r="AD240" i="1"/>
  <c r="AD301" i="1"/>
  <c r="AD683" i="1"/>
  <c r="AD552" i="1"/>
  <c r="AD686" i="1"/>
  <c r="AD24" i="1"/>
  <c r="AD2" i="1"/>
  <c r="AD496" i="1"/>
  <c r="AD344" i="1"/>
  <c r="AD540" i="1"/>
  <c r="AD721" i="1"/>
  <c r="AD647" i="1"/>
  <c r="AD473" i="1"/>
  <c r="AD493" i="1"/>
  <c r="AD85" i="1"/>
  <c r="AD510" i="1"/>
  <c r="AD322" i="1"/>
  <c r="AD445" i="1"/>
  <c r="AD112" i="1"/>
  <c r="AD612" i="1"/>
  <c r="AD696" i="1"/>
  <c r="AD722" i="1"/>
  <c r="AD238" i="1"/>
  <c r="AD630" i="1"/>
  <c r="AD312" i="1"/>
  <c r="AD118" i="1"/>
  <c r="AD586" i="1"/>
  <c r="AD143" i="1"/>
  <c r="AC288" i="1"/>
  <c r="AC19" i="1"/>
  <c r="AC104" i="1"/>
  <c r="AC535" i="1"/>
  <c r="AC418" i="1"/>
  <c r="AC157" i="1"/>
  <c r="AD243" i="1"/>
  <c r="AD404" i="1"/>
  <c r="AD74" i="1"/>
  <c r="AD547" i="1"/>
  <c r="AD604" i="1"/>
  <c r="AD709" i="1"/>
  <c r="AD573" i="1"/>
  <c r="AD490" i="1"/>
  <c r="AD318" i="1"/>
  <c r="AD256" i="1"/>
  <c r="AD713" i="1"/>
  <c r="AD771" i="1"/>
  <c r="AD233" i="1"/>
  <c r="AD667" i="1"/>
  <c r="AD779" i="1"/>
  <c r="AD485" i="1"/>
  <c r="AD714" i="1"/>
  <c r="AD402" i="1"/>
  <c r="AD633" i="1"/>
  <c r="AD651" i="1"/>
  <c r="AD408" i="1"/>
  <c r="AD693" i="1"/>
  <c r="AD99" i="1"/>
  <c r="AD477" i="1"/>
  <c r="AD142" i="1"/>
  <c r="AD381" i="1"/>
  <c r="AD550" i="1"/>
  <c r="AD179" i="1"/>
  <c r="AD763" i="1"/>
  <c r="AD579" i="1"/>
  <c r="AD784" i="1"/>
  <c r="AD656" i="1"/>
  <c r="AD735" i="1"/>
  <c r="AD468" i="1"/>
  <c r="AD68" i="1"/>
  <c r="AD505" i="1"/>
  <c r="AD748" i="1"/>
  <c r="AD717" i="1"/>
  <c r="AD279" i="1"/>
  <c r="AD175" i="1"/>
  <c r="AD787" i="1"/>
  <c r="AD712" i="1"/>
  <c r="AD796" i="1"/>
  <c r="AD153" i="1"/>
  <c r="AD285" i="1"/>
  <c r="AD60" i="1"/>
  <c r="AD507" i="1"/>
  <c r="AD680" i="1"/>
  <c r="AD782" i="1"/>
  <c r="AD390" i="1"/>
  <c r="AA105" i="1"/>
  <c r="AC364" i="1"/>
  <c r="AC738" i="1"/>
  <c r="AC642" i="1"/>
  <c r="AC57" i="1"/>
  <c r="AC201" i="1"/>
  <c r="AC23" i="1"/>
  <c r="AD700" i="1"/>
  <c r="AD761" i="1"/>
  <c r="AD487" i="1"/>
  <c r="AD567" i="1"/>
  <c r="AD38" i="1"/>
  <c r="AD758" i="1"/>
  <c r="AD70" i="1"/>
  <c r="AD133" i="1"/>
  <c r="AD103" i="1"/>
  <c r="AD536" i="1"/>
  <c r="AD430" i="1"/>
  <c r="AD434" i="1"/>
  <c r="AD661" i="1"/>
  <c r="AD331" i="1"/>
  <c r="AD478" i="1"/>
  <c r="AD736" i="1"/>
  <c r="AD662" i="1"/>
  <c r="AD297" i="1"/>
  <c r="AD677" i="1"/>
  <c r="AD687" i="1"/>
  <c r="AD499" i="1"/>
  <c r="AD115" i="1"/>
  <c r="AD589" i="1"/>
  <c r="AD246" i="1"/>
  <c r="AD210" i="1"/>
  <c r="AD319" i="1"/>
  <c r="AD565" i="1"/>
  <c r="AD449" i="1"/>
  <c r="AD332" i="1"/>
  <c r="AD568" i="1"/>
  <c r="AD425" i="1"/>
  <c r="AD442" i="1"/>
  <c r="AD101" i="1"/>
  <c r="AD441" i="1"/>
  <c r="AD423" i="1"/>
  <c r="AD329" i="1"/>
  <c r="AD145" i="1"/>
  <c r="AD352" i="1"/>
  <c r="AD15" i="1"/>
  <c r="AD198" i="1"/>
  <c r="AD598" i="1"/>
  <c r="AD498" i="1"/>
  <c r="AD91" i="1"/>
  <c r="AD655" i="1"/>
  <c r="AD716" i="1"/>
  <c r="AD486" i="1"/>
  <c r="AD531" i="1"/>
  <c r="AD733" i="1"/>
  <c r="AD163" i="1"/>
  <c r="AD119" i="1"/>
  <c r="AD553" i="1"/>
  <c r="AD90" i="1"/>
  <c r="AA640" i="1"/>
  <c r="AC652" i="1"/>
  <c r="AC594" i="1"/>
  <c r="AC245" i="1"/>
  <c r="AC81" i="1"/>
  <c r="AC543" i="1"/>
  <c r="AC281" i="1"/>
  <c r="AC377" i="1"/>
  <c r="AD36" i="1"/>
  <c r="AD254" i="1"/>
  <c r="AD691" i="1"/>
  <c r="AD706" i="1"/>
  <c r="AD302" i="1"/>
  <c r="AD43" i="1"/>
  <c r="AD244" i="1"/>
  <c r="AD152" i="1"/>
  <c r="AD196" i="1"/>
  <c r="AD569" i="1"/>
  <c r="AD268" i="1"/>
  <c r="AD788" i="1"/>
  <c r="AD560" i="1"/>
  <c r="AD292" i="1"/>
  <c r="AD617" i="1"/>
  <c r="AD676" i="1"/>
  <c r="AD703" i="1"/>
  <c r="AD745" i="1"/>
  <c r="AD616" i="1"/>
  <c r="AD593" i="1"/>
  <c r="AD726" i="1"/>
  <c r="AD293" i="1"/>
  <c r="AD235" i="1"/>
  <c r="AD266" i="1"/>
  <c r="AD320" i="1"/>
  <c r="AD42" i="1"/>
  <c r="AD539" i="1"/>
  <c r="AD518" i="1"/>
  <c r="AD124" i="1"/>
  <c r="AD756" i="1"/>
  <c r="AD46" i="1"/>
  <c r="AD800" i="1"/>
  <c r="AD731" i="1"/>
  <c r="AD49" i="1"/>
  <c r="AD635" i="1"/>
  <c r="AD646" i="1"/>
  <c r="AD414" i="1"/>
  <c r="AD572" i="1"/>
  <c r="AD556" i="1"/>
  <c r="AD775" i="1"/>
  <c r="AD260" i="1"/>
  <c r="AD69" i="1"/>
  <c r="AD355" i="1"/>
  <c r="AD608" i="1"/>
  <c r="AD272" i="1"/>
  <c r="AD116" i="1"/>
  <c r="AD665" i="1"/>
  <c r="AD64" i="1"/>
  <c r="AD625" i="1"/>
  <c r="AD479" i="1"/>
  <c r="AA125" i="1"/>
  <c r="AC631" i="1"/>
  <c r="AC772" i="1"/>
  <c r="AC356" i="1"/>
  <c r="AC247" i="1"/>
  <c r="AC166" i="1"/>
  <c r="AC307" i="1"/>
  <c r="AC121" i="1"/>
  <c r="AD315" i="1"/>
  <c r="AD431" i="1"/>
  <c r="AD596" i="1"/>
  <c r="AD571" i="1"/>
  <c r="AD628" i="1"/>
  <c r="AD781" i="1"/>
  <c r="AD644" i="1"/>
  <c r="AD765" i="1"/>
  <c r="AD7" i="1"/>
  <c r="AD460" i="1"/>
  <c r="AD41" i="1"/>
  <c r="AD324" i="1"/>
  <c r="AD257" i="1"/>
  <c r="AD559" i="1"/>
  <c r="AD211" i="1"/>
  <c r="AD444" i="1"/>
  <c r="AD516" i="1"/>
  <c r="AD416" i="1"/>
  <c r="AD25" i="1"/>
  <c r="AD378" i="1"/>
  <c r="AD482" i="1"/>
  <c r="AD774" i="1"/>
  <c r="AD725" i="1"/>
  <c r="AD754" i="1"/>
  <c r="AD237" i="1"/>
  <c r="AD28" i="1"/>
  <c r="AD609" i="1"/>
  <c r="AD428" i="1"/>
  <c r="AD250" i="1"/>
  <c r="AD232" i="1"/>
  <c r="AD614" i="1"/>
  <c r="AD18" i="1"/>
  <c r="AD732" i="1"/>
  <c r="AD663" i="1"/>
  <c r="AD375" i="1"/>
  <c r="AD173" i="1"/>
  <c r="AD512" i="1"/>
  <c r="AD132" i="1"/>
  <c r="AD35" i="1"/>
  <c r="AD108" i="1"/>
  <c r="AD4" i="1"/>
  <c r="AD94" i="1"/>
  <c r="AD446" i="1"/>
  <c r="AD520" i="1"/>
  <c r="AD627" i="1"/>
  <c r="AD778" i="1"/>
  <c r="AD187" i="1"/>
  <c r="AD723" i="1"/>
  <c r="AD341" i="1"/>
  <c r="AD741" i="1"/>
  <c r="AD466" i="1"/>
  <c r="AD123" i="1"/>
  <c r="AD323" i="1"/>
  <c r="AD755" i="1"/>
  <c r="AD690" i="1"/>
  <c r="AD349" i="1"/>
  <c r="AA202" i="1"/>
  <c r="AC203" i="1"/>
  <c r="AC125" i="1"/>
  <c r="AC373" i="1"/>
  <c r="AC274" i="1"/>
  <c r="AC739" i="1"/>
  <c r="AC189" i="1"/>
  <c r="AC131" i="1"/>
  <c r="AD45" i="1"/>
  <c r="AD136" i="1"/>
  <c r="AD392" i="1"/>
  <c r="AD284" i="1"/>
  <c r="AD298" i="1"/>
  <c r="AD313" i="1"/>
  <c r="AD100" i="1"/>
  <c r="AD590" i="1"/>
  <c r="AD638" i="1"/>
  <c r="AD348" i="1"/>
  <c r="AD308" i="1"/>
  <c r="AD51" i="1"/>
  <c r="AD165" i="1"/>
  <c r="AD780" i="1"/>
  <c r="AD5" i="1"/>
  <c r="AD534" i="1"/>
  <c r="AD87" i="1"/>
  <c r="AD160" i="1"/>
  <c r="AD369" i="1"/>
  <c r="AD151" i="1"/>
  <c r="AD669" i="1"/>
  <c r="AD368" i="1"/>
  <c r="AD526" i="1"/>
  <c r="AD47" i="1"/>
  <c r="AD673" i="1"/>
  <c r="AD453" i="1"/>
  <c r="AD407" i="1"/>
  <c r="AD749" i="1"/>
  <c r="AD89" i="1"/>
  <c r="AD170" i="1"/>
  <c r="AD585" i="1"/>
  <c r="AD672" i="1"/>
  <c r="AD159" i="1"/>
  <c r="AD167" i="1"/>
  <c r="AD92" i="1"/>
  <c r="AD75" i="1"/>
  <c r="AD492" i="1"/>
  <c r="AD335" i="1"/>
  <c r="AD497" i="1"/>
  <c r="AD474" i="1"/>
  <c r="AD794" i="1"/>
  <c r="AD358" i="1"/>
  <c r="AD606" i="1"/>
  <c r="AD55" i="1"/>
  <c r="AD58" i="1"/>
  <c r="AD766" i="1"/>
  <c r="AD730" i="1"/>
  <c r="AD583" i="1"/>
  <c r="AD222" i="1"/>
  <c r="AD752" i="1"/>
  <c r="Z797" i="1"/>
  <c r="AC797" i="1"/>
  <c r="Z400" i="1"/>
  <c r="AC400" i="1"/>
  <c r="Z551" i="1"/>
  <c r="AB551" i="1"/>
  <c r="AC337" i="1"/>
  <c r="AC767" i="1"/>
  <c r="Z649" i="1"/>
  <c r="AC649" i="1"/>
  <c r="Z88" i="1"/>
  <c r="AC88" i="1"/>
  <c r="Z454" i="1"/>
  <c r="AC454" i="1"/>
  <c r="Z343" i="1"/>
  <c r="AC343" i="1"/>
  <c r="Z361" i="1"/>
  <c r="AC361" i="1"/>
  <c r="Z174" i="1"/>
  <c r="AC174" i="1"/>
  <c r="Z372" i="1"/>
  <c r="AC372" i="1"/>
  <c r="Z107" i="1"/>
  <c r="AC107" i="1"/>
  <c r="Z129" i="1"/>
  <c r="AC129" i="1"/>
  <c r="Z399" i="1"/>
  <c r="AC399" i="1"/>
  <c r="Z182" i="1"/>
  <c r="AC182" i="1"/>
  <c r="Z342" i="1"/>
  <c r="AC342" i="1"/>
  <c r="Z333" i="1"/>
  <c r="AC333" i="1"/>
  <c r="Z137" i="1"/>
  <c r="AC137" i="1"/>
  <c r="Z168" i="1"/>
  <c r="AC168" i="1"/>
  <c r="Z161" i="1"/>
  <c r="AC161" i="1"/>
  <c r="Z461" i="1"/>
  <c r="AC461" i="1"/>
  <c r="Z31" i="1"/>
  <c r="AC31" i="1"/>
  <c r="Z385" i="1"/>
  <c r="AC385" i="1"/>
  <c r="Z537" i="1"/>
  <c r="AC537" i="1"/>
  <c r="Z277" i="1"/>
  <c r="AC277" i="1"/>
  <c r="Z675" i="1"/>
  <c r="AC675" i="1"/>
  <c r="Z353" i="1"/>
  <c r="AC353" i="1"/>
  <c r="Z186" i="1"/>
  <c r="AC186" i="1"/>
  <c r="Z264" i="1"/>
  <c r="AC264" i="1"/>
  <c r="Z678" i="1"/>
  <c r="AC678" i="1"/>
  <c r="Z564" i="1"/>
  <c r="AC564" i="1"/>
  <c r="Z785" i="1"/>
  <c r="AC785" i="1"/>
  <c r="Z509" i="1"/>
  <c r="AC509" i="1"/>
  <c r="Z126" i="1"/>
  <c r="AC126" i="1"/>
  <c r="Z715" i="1"/>
  <c r="AC715" i="1"/>
  <c r="Z639" i="1"/>
  <c r="AC639" i="1"/>
  <c r="Z193" i="1"/>
  <c r="AC193" i="1"/>
  <c r="Z447" i="1"/>
  <c r="AC447" i="1"/>
  <c r="Z506" i="1"/>
  <c r="AC506" i="1"/>
  <c r="Z383" i="1"/>
  <c r="AC383" i="1"/>
  <c r="Z227" i="1"/>
  <c r="AC227" i="1"/>
  <c r="Z575" i="1"/>
  <c r="AC575" i="1"/>
  <c r="Z570" i="1"/>
  <c r="AC570" i="1"/>
  <c r="Z501" i="1"/>
  <c r="AC501" i="1"/>
  <c r="Z464" i="1"/>
  <c r="AC464" i="1"/>
  <c r="Z422" i="1"/>
  <c r="AC422" i="1"/>
  <c r="Z271" i="1"/>
  <c r="AC271" i="1"/>
  <c r="Z304" i="1"/>
  <c r="AC304" i="1"/>
  <c r="Z532" i="1"/>
  <c r="AC532" i="1"/>
  <c r="Z22" i="1"/>
  <c r="AC22" i="1"/>
  <c r="Z334" i="1"/>
  <c r="AC334" i="1"/>
  <c r="Z71" i="1"/>
  <c r="AC71" i="1"/>
  <c r="Z707" i="1"/>
  <c r="AC707" i="1"/>
  <c r="Z346" i="1"/>
  <c r="AC346" i="1"/>
  <c r="Z230" i="1"/>
  <c r="AC230" i="1"/>
  <c r="Z398" i="1"/>
  <c r="AC398" i="1"/>
  <c r="Z148" i="1"/>
  <c r="AC148" i="1"/>
  <c r="Z253" i="1"/>
  <c r="AC253" i="1"/>
  <c r="Z471" i="1"/>
  <c r="AC471" i="1"/>
  <c r="Z648" i="1"/>
  <c r="AC648" i="1"/>
  <c r="Z207" i="1"/>
  <c r="AC207" i="1"/>
  <c r="Z29" i="1"/>
  <c r="AC29" i="1"/>
  <c r="Z150" i="1"/>
  <c r="AC150" i="1"/>
  <c r="Z728" i="1"/>
  <c r="AC728" i="1"/>
  <c r="Z141" i="1"/>
  <c r="AC141" i="1"/>
  <c r="Z582" i="1"/>
  <c r="AC582" i="1"/>
  <c r="Z580" i="1"/>
  <c r="AC580" i="1"/>
  <c r="Z397" i="1"/>
  <c r="AC397" i="1"/>
  <c r="Z489" i="1"/>
  <c r="AC489" i="1"/>
  <c r="AC521" i="1"/>
  <c r="Z620" i="1"/>
  <c r="AC620" i="1"/>
  <c r="AC657" i="1"/>
  <c r="Z664" i="1"/>
  <c r="AC664" i="1"/>
  <c r="Z389" i="1"/>
  <c r="AC389" i="1"/>
  <c r="AC653" i="1"/>
  <c r="AC376" i="1"/>
  <c r="AC382" i="1"/>
  <c r="Z34" i="1"/>
  <c r="AC34" i="1"/>
  <c r="Z799" i="1"/>
  <c r="AC799" i="1"/>
  <c r="AC214" i="1"/>
  <c r="Z294" i="1"/>
  <c r="AC294" i="1"/>
  <c r="Z458" i="1"/>
  <c r="AC458" i="1"/>
  <c r="Z219" i="1"/>
  <c r="AC219" i="1"/>
  <c r="Z21" i="1"/>
  <c r="AC21" i="1"/>
  <c r="Z327" i="1"/>
  <c r="AC327" i="1"/>
  <c r="Z636" i="1"/>
  <c r="AC636" i="1"/>
  <c r="Z54" i="1"/>
  <c r="AC54" i="1"/>
  <c r="AC405" i="1"/>
  <c r="AC146" i="1"/>
  <c r="Z265" i="1"/>
  <c r="AC265" i="1"/>
  <c r="Z666" i="1"/>
  <c r="AC666" i="1"/>
  <c r="Z39" i="1"/>
  <c r="AC39" i="1"/>
  <c r="Z549" i="1"/>
  <c r="AC549" i="1"/>
  <c r="Z410" i="1"/>
  <c r="AB410" i="1"/>
  <c r="AC410" i="1"/>
  <c r="Z106" i="1"/>
  <c r="AC106" i="1"/>
  <c r="Z79" i="1"/>
  <c r="AC79" i="1"/>
  <c r="Z311" i="1"/>
  <c r="AC311" i="1"/>
  <c r="Z632" i="1"/>
  <c r="AC632" i="1"/>
  <c r="Z195" i="1"/>
  <c r="AC195" i="1"/>
  <c r="AC599" i="1"/>
  <c r="AC366" i="1"/>
  <c r="Z117" i="1"/>
  <c r="AC117" i="1"/>
  <c r="Z770" i="1"/>
  <c r="AC770" i="1"/>
  <c r="Z255" i="1"/>
  <c r="AC255" i="1"/>
  <c r="Z345" i="1"/>
  <c r="AC345" i="1"/>
  <c r="Z681" i="1"/>
  <c r="AC681" i="1"/>
  <c r="Z205" i="1"/>
  <c r="AC205" i="1"/>
  <c r="Z226" i="1"/>
  <c r="AC226" i="1"/>
  <c r="Z527" i="1"/>
  <c r="AC527" i="1"/>
  <c r="Z289" i="1"/>
  <c r="AC289" i="1"/>
  <c r="Z396" i="1"/>
  <c r="AC396" i="1"/>
  <c r="Z658" i="1"/>
  <c r="AC658" i="1"/>
  <c r="AC325" i="1"/>
  <c r="AC130" i="1"/>
  <c r="Z592" i="1"/>
  <c r="AC592" i="1"/>
  <c r="Z234" i="1"/>
  <c r="AC234" i="1"/>
  <c r="Z429" i="1"/>
  <c r="AC429" i="1"/>
  <c r="Z263" i="1"/>
  <c r="AC263" i="1"/>
  <c r="Z139" i="1"/>
  <c r="AC139" i="1"/>
  <c r="Z500" i="1"/>
  <c r="AC500" i="1"/>
  <c r="Z209" i="1"/>
  <c r="AC209" i="1"/>
  <c r="Z558" i="1"/>
  <c r="AC558" i="1"/>
  <c r="Z637" i="1"/>
  <c r="AC637" i="1"/>
  <c r="Z53" i="1"/>
  <c r="AC53" i="1"/>
  <c r="Z9" i="1"/>
  <c r="AC9" i="1"/>
  <c r="Z561" i="1"/>
  <c r="AC561" i="1"/>
  <c r="Z674" i="1"/>
  <c r="AC674" i="1"/>
  <c r="Z33" i="1"/>
  <c r="AC33" i="1"/>
  <c r="Z727" i="1"/>
  <c r="AC727" i="1"/>
  <c r="Z328" i="1"/>
  <c r="AC328" i="1"/>
  <c r="AC695" i="1"/>
  <c r="AC215" i="1"/>
  <c r="AC753" i="1"/>
  <c r="AC261" i="1"/>
  <c r="Z798" i="1"/>
  <c r="AC798" i="1"/>
  <c r="Z188" i="1"/>
  <c r="AC188" i="1"/>
  <c r="Z469" i="1"/>
  <c r="AC469" i="1"/>
  <c r="Z595" i="1"/>
  <c r="AC595" i="1"/>
  <c r="Z424" i="1"/>
  <c r="AC424" i="1"/>
  <c r="Z330" i="1"/>
  <c r="AC330" i="1"/>
  <c r="Z59" i="1"/>
  <c r="AC59" i="1"/>
  <c r="Z326" i="1"/>
  <c r="AC326" i="1"/>
  <c r="Z228" i="1"/>
  <c r="AC228" i="1"/>
  <c r="Z128" i="1"/>
  <c r="AC128" i="1"/>
  <c r="Z514" i="1"/>
  <c r="AC514" i="1"/>
  <c r="Z747" i="1"/>
  <c r="AC747" i="1"/>
  <c r="Z503" i="1"/>
  <c r="AC503" i="1"/>
  <c r="Z801" i="1"/>
  <c r="AC801" i="1"/>
  <c r="Z448" i="1"/>
  <c r="AC448" i="1"/>
  <c r="Z183" i="1"/>
  <c r="AC183" i="1"/>
  <c r="Z546" i="1"/>
  <c r="AC546" i="1"/>
  <c r="Z742" i="1"/>
  <c r="AC742" i="1"/>
  <c r="AC740" i="1"/>
  <c r="AC370" i="1"/>
  <c r="AC504" i="1"/>
  <c r="Z223" i="1"/>
  <c r="AC223" i="1"/>
  <c r="Z275" i="1"/>
  <c r="AC275" i="1"/>
  <c r="Z164" i="1"/>
  <c r="AC164" i="1"/>
  <c r="Z472" i="1"/>
  <c r="AC472" i="1"/>
  <c r="Z515" i="1"/>
  <c r="AC515" i="1"/>
  <c r="Z769" i="1"/>
  <c r="AC769" i="1"/>
  <c r="Z178" i="1"/>
  <c r="AC178" i="1"/>
  <c r="Z229" i="1"/>
  <c r="AC229" i="1"/>
  <c r="Z668" i="1"/>
  <c r="AC668" i="1"/>
  <c r="Z578" i="1"/>
  <c r="AC578" i="1"/>
  <c r="AC491" i="1"/>
  <c r="AA701" i="1"/>
  <c r="AA605" i="1"/>
  <c r="AC689" i="1"/>
  <c r="AC488" i="1"/>
  <c r="AC650" i="1"/>
  <c r="AC197" i="1"/>
  <c r="AC52" i="1"/>
  <c r="AC338" i="1"/>
  <c r="AC32" i="1"/>
  <c r="AC554" i="1"/>
  <c r="AC670" i="1"/>
  <c r="AC395" i="1"/>
  <c r="AC212" i="1"/>
  <c r="AC105" i="1"/>
  <c r="AC640" i="1"/>
  <c r="AC746" i="1"/>
  <c r="AC109" i="1"/>
  <c r="AC432" i="1"/>
  <c r="AC618" i="1"/>
  <c r="AC202" i="1"/>
  <c r="AC317" i="1"/>
  <c r="AC759" i="1"/>
  <c r="AC439" i="1"/>
  <c r="AC760" i="1"/>
  <c r="AC199" i="1"/>
  <c r="AC718" i="1"/>
  <c r="AC688" i="1"/>
  <c r="AC426" i="1"/>
  <c r="AC413" i="1"/>
  <c r="AC299" i="1"/>
  <c r="AC286" i="1"/>
  <c r="AC523" i="1"/>
  <c r="AC181" i="1"/>
  <c r="AC40" i="1"/>
  <c r="AC584" i="1"/>
  <c r="AC685" i="1"/>
  <c r="AC83" i="1"/>
  <c r="AC679" i="1"/>
  <c r="AC241" i="1"/>
  <c r="AC459" i="1"/>
  <c r="AC3" i="1"/>
  <c r="AC350" i="1"/>
  <c r="AC144" i="1"/>
  <c r="AC97" i="1"/>
  <c r="AC155" i="1"/>
  <c r="AC287" i="1"/>
  <c r="AC280" i="1"/>
  <c r="AC409" i="1"/>
  <c r="AC545" i="1"/>
  <c r="AC411" i="1"/>
  <c r="AC306" i="1"/>
  <c r="AC530" i="1"/>
  <c r="AA594" i="1"/>
  <c r="AA12" i="1"/>
  <c r="AC476" i="1"/>
  <c r="AC452" i="1"/>
  <c r="AC466" i="1"/>
  <c r="AC733" i="1"/>
  <c r="AC135" i="1"/>
  <c r="AC251" i="1"/>
  <c r="AC238" i="1"/>
  <c r="AC123" i="1"/>
  <c r="AC184" i="1"/>
  <c r="AC710" i="1"/>
  <c r="AC218" i="1"/>
  <c r="AC163" i="1"/>
  <c r="AC465" i="1"/>
  <c r="AC44" i="1"/>
  <c r="AC323" i="1"/>
  <c r="AC630" i="1"/>
  <c r="AC93" i="1"/>
  <c r="AC574" i="1"/>
  <c r="AC363" i="1"/>
  <c r="AC119" i="1"/>
  <c r="AC755" i="1"/>
  <c r="AC702" i="1"/>
  <c r="AC270" i="1"/>
  <c r="AC393" i="1"/>
  <c r="AC312" i="1"/>
  <c r="AC158" i="1"/>
  <c r="AC216" i="1"/>
  <c r="AC553" i="1"/>
  <c r="AC690" i="1"/>
  <c r="AC118" i="1"/>
  <c r="AC296" i="1"/>
  <c r="AC541" i="1"/>
  <c r="AC273" i="1"/>
  <c r="AC586" i="1"/>
  <c r="AC783" i="1"/>
  <c r="AC321" i="1"/>
  <c r="AC67" i="1"/>
  <c r="AC190" i="1"/>
  <c r="AC390" i="1"/>
  <c r="AC138" i="1"/>
  <c r="AC62" i="1"/>
  <c r="AC349" i="1"/>
  <c r="AC90" i="1"/>
  <c r="AC217" i="1"/>
  <c r="AC143" i="1"/>
  <c r="AC171" i="1"/>
  <c r="AC729" i="1"/>
  <c r="AC437" i="1"/>
  <c r="AA356" i="1"/>
  <c r="AA280" i="1"/>
  <c r="AA439" i="1"/>
  <c r="AA27" i="1"/>
  <c r="AA409" i="1"/>
  <c r="AC436" i="1"/>
  <c r="AC259" i="1"/>
  <c r="AC78" i="1"/>
  <c r="AC548" i="1"/>
  <c r="AC224" i="1"/>
  <c r="AC528" i="1"/>
  <c r="AC611" i="1"/>
  <c r="AC120" i="1"/>
  <c r="AC524" i="1"/>
  <c r="AC480" i="1"/>
  <c r="AC169" i="1"/>
  <c r="AC443" i="1"/>
  <c r="AC734" i="1"/>
  <c r="AC310" i="1"/>
  <c r="AC379" i="1"/>
  <c r="AC711" i="1"/>
  <c r="AC427" i="1"/>
  <c r="AC467" i="1"/>
  <c r="AC619" i="1"/>
  <c r="AC185" i="1"/>
  <c r="AC750" i="1"/>
  <c r="AC513" i="1"/>
  <c r="AC613" i="1"/>
  <c r="AC242" i="1"/>
  <c r="AC621" i="1"/>
  <c r="AC705" i="1"/>
  <c r="AC176" i="1"/>
  <c r="AC191" i="1"/>
  <c r="AC134" i="1"/>
  <c r="AC48" i="1"/>
  <c r="AC102" i="1"/>
  <c r="AC113" i="1"/>
  <c r="AC122" i="1"/>
  <c r="AC744" i="1"/>
  <c r="AC624" i="1"/>
  <c r="AC538" i="1"/>
  <c r="AC386" i="1"/>
  <c r="AC610" i="1"/>
  <c r="AC737" i="1"/>
  <c r="AC401" i="1"/>
  <c r="AC282" i="1"/>
  <c r="AC684" i="1"/>
  <c r="AC697" i="1"/>
  <c r="AC751" i="1"/>
  <c r="AC65" i="1"/>
  <c r="AC495" i="1"/>
  <c r="AC360" i="1"/>
  <c r="AC309" i="1"/>
  <c r="AC388" i="1"/>
  <c r="AC96" i="1"/>
  <c r="AA760" i="1"/>
  <c r="AA530" i="1"/>
  <c r="AC519" i="1"/>
  <c r="AC208" i="1"/>
  <c r="AC362" i="1"/>
  <c r="AC451" i="1"/>
  <c r="AC660" i="1"/>
  <c r="AC66" i="1"/>
  <c r="AC11" i="1"/>
  <c r="AC262" i="1"/>
  <c r="AC220" i="1"/>
  <c r="AC77" i="1"/>
  <c r="AC629" i="1"/>
  <c r="AC791" i="1"/>
  <c r="AC764" i="1"/>
  <c r="AC450" i="1"/>
  <c r="AC305" i="1"/>
  <c r="AC529" i="1"/>
  <c r="AC682" i="1"/>
  <c r="AC484" i="1"/>
  <c r="AC470" i="1"/>
  <c r="AC291" i="1"/>
  <c r="AC110" i="1"/>
  <c r="AC394" i="1"/>
  <c r="AC645" i="1"/>
  <c r="AC643" i="1"/>
  <c r="AC380" i="1"/>
  <c r="AC206" i="1"/>
  <c r="AC295" i="1"/>
  <c r="AC412" i="1"/>
  <c r="AC276" i="1"/>
  <c r="AC555" i="1"/>
  <c r="AC367" i="1"/>
  <c r="AC387" i="1"/>
  <c r="AC483" i="1"/>
  <c r="AC56" i="1"/>
  <c r="AC743" i="1"/>
  <c r="AC708" i="1"/>
  <c r="AC147" i="1"/>
  <c r="AC213" i="1"/>
  <c r="AC462" i="1"/>
  <c r="AC231" i="1"/>
  <c r="AC626" i="1"/>
  <c r="AC607" i="1"/>
  <c r="AC86" i="1"/>
  <c r="AC581" i="1"/>
  <c r="AC719" i="1"/>
  <c r="AC615" i="1"/>
  <c r="AC357" i="1"/>
  <c r="AC303" i="1"/>
  <c r="AC76" i="1"/>
  <c r="AC456" i="1"/>
  <c r="AA426" i="1"/>
  <c r="AC641" i="1"/>
  <c r="AC340" i="1"/>
  <c r="AC623" i="1"/>
  <c r="AC421" i="1"/>
  <c r="AC339" i="1"/>
  <c r="AC419" i="1"/>
  <c r="AC194" i="1"/>
  <c r="AC773" i="1"/>
  <c r="AC463" i="1"/>
  <c r="AC544" i="1"/>
  <c r="AC82" i="1"/>
  <c r="AC200" i="1"/>
  <c r="AC601" i="1"/>
  <c r="AC576" i="1"/>
  <c r="AC417" i="1"/>
  <c r="AC72" i="1"/>
  <c r="AC795" i="1"/>
  <c r="AC239" i="1"/>
  <c r="AC127" i="1"/>
  <c r="AC156" i="1"/>
  <c r="AC354" i="1"/>
  <c r="AC517" i="1"/>
  <c r="AC248" i="1"/>
  <c r="AC502" i="1"/>
  <c r="AC30" i="1"/>
  <c r="AC600" i="1"/>
  <c r="AC61" i="1"/>
  <c r="AC249" i="1"/>
  <c r="AC240" i="1"/>
  <c r="AC301" i="1"/>
  <c r="AC683" i="1"/>
  <c r="AC552" i="1"/>
  <c r="AC686" i="1"/>
  <c r="AC24" i="1"/>
  <c r="AC2" i="1"/>
  <c r="AC496" i="1"/>
  <c r="AC344" i="1"/>
  <c r="AC540" i="1"/>
  <c r="AC721" i="1"/>
  <c r="AC647" i="1"/>
  <c r="AC473" i="1"/>
  <c r="AC493" i="1"/>
  <c r="AC85" i="1"/>
  <c r="AC510" i="1"/>
  <c r="AC322" i="1"/>
  <c r="AC445" i="1"/>
  <c r="AC112" i="1"/>
  <c r="AC612" i="1"/>
  <c r="AC696" i="1"/>
  <c r="AC722" i="1"/>
  <c r="AA347" i="1"/>
  <c r="AA16" i="1"/>
  <c r="AB440" i="1"/>
  <c r="AC243" i="1"/>
  <c r="AC404" i="1"/>
  <c r="AC74" i="1"/>
  <c r="AC547" i="1"/>
  <c r="AC604" i="1"/>
  <c r="AC709" i="1"/>
  <c r="AC573" i="1"/>
  <c r="AC490" i="1"/>
  <c r="AC318" i="1"/>
  <c r="AC256" i="1"/>
  <c r="AC713" i="1"/>
  <c r="AC771" i="1"/>
  <c r="AC233" i="1"/>
  <c r="AC667" i="1"/>
  <c r="AC779" i="1"/>
  <c r="AC485" i="1"/>
  <c r="AC714" i="1"/>
  <c r="AC402" i="1"/>
  <c r="AC633" i="1"/>
  <c r="AC651" i="1"/>
  <c r="AC408" i="1"/>
  <c r="AC693" i="1"/>
  <c r="AC99" i="1"/>
  <c r="AC477" i="1"/>
  <c r="AC142" i="1"/>
  <c r="AC381" i="1"/>
  <c r="AC550" i="1"/>
  <c r="AC179" i="1"/>
  <c r="AC763" i="1"/>
  <c r="AC579" i="1"/>
  <c r="AC784" i="1"/>
  <c r="AC656" i="1"/>
  <c r="AC735" i="1"/>
  <c r="AC468" i="1"/>
  <c r="AC68" i="1"/>
  <c r="AC505" i="1"/>
  <c r="AC748" i="1"/>
  <c r="AC717" i="1"/>
  <c r="AC279" i="1"/>
  <c r="AC175" i="1"/>
  <c r="AC787" i="1"/>
  <c r="AC712" i="1"/>
  <c r="AC796" i="1"/>
  <c r="AC153" i="1"/>
  <c r="AC285" i="1"/>
  <c r="AC60" i="1"/>
  <c r="AC507" i="1"/>
  <c r="AC680" i="1"/>
  <c r="AC782" i="1"/>
  <c r="AA197" i="1"/>
  <c r="AA286" i="1"/>
  <c r="AC700" i="1"/>
  <c r="AC761" i="1"/>
  <c r="AC487" i="1"/>
  <c r="AC567" i="1"/>
  <c r="AC38" i="1"/>
  <c r="AC758" i="1"/>
  <c r="AC70" i="1"/>
  <c r="AC133" i="1"/>
  <c r="AC103" i="1"/>
  <c r="AC536" i="1"/>
  <c r="AC430" i="1"/>
  <c r="AC434" i="1"/>
  <c r="AC661" i="1"/>
  <c r="AC331" i="1"/>
  <c r="AC478" i="1"/>
  <c r="AC736" i="1"/>
  <c r="AC662" i="1"/>
  <c r="AC297" i="1"/>
  <c r="AC677" i="1"/>
  <c r="AC687" i="1"/>
  <c r="AC499" i="1"/>
  <c r="AC115" i="1"/>
  <c r="AC589" i="1"/>
  <c r="AC246" i="1"/>
  <c r="AC210" i="1"/>
  <c r="AC319" i="1"/>
  <c r="AC565" i="1"/>
  <c r="AC449" i="1"/>
  <c r="AC332" i="1"/>
  <c r="AC568" i="1"/>
  <c r="AC425" i="1"/>
  <c r="AC442" i="1"/>
  <c r="AC101" i="1"/>
  <c r="AC441" i="1"/>
  <c r="AC423" i="1"/>
  <c r="AC329" i="1"/>
  <c r="AC145" i="1"/>
  <c r="AC352" i="1"/>
  <c r="AC15" i="1"/>
  <c r="AC198" i="1"/>
  <c r="AC598" i="1"/>
  <c r="AC498" i="1"/>
  <c r="AC91" i="1"/>
  <c r="AC655" i="1"/>
  <c r="AC716" i="1"/>
  <c r="AC486" i="1"/>
  <c r="AC531" i="1"/>
  <c r="AA288" i="1"/>
  <c r="AA602" i="1"/>
  <c r="AB201" i="1"/>
  <c r="AC36" i="1"/>
  <c r="AC254" i="1"/>
  <c r="AC691" i="1"/>
  <c r="AC706" i="1"/>
  <c r="AC302" i="1"/>
  <c r="AC43" i="1"/>
  <c r="AC244" i="1"/>
  <c r="AC152" i="1"/>
  <c r="AC196" i="1"/>
  <c r="AC569" i="1"/>
  <c r="AC268" i="1"/>
  <c r="AC788" i="1"/>
  <c r="AC560" i="1"/>
  <c r="AC292" i="1"/>
  <c r="AC617" i="1"/>
  <c r="AC676" i="1"/>
  <c r="AC703" i="1"/>
  <c r="AC745" i="1"/>
  <c r="AC616" i="1"/>
  <c r="AC593" i="1"/>
  <c r="AC726" i="1"/>
  <c r="AC293" i="1"/>
  <c r="AC235" i="1"/>
  <c r="AC266" i="1"/>
  <c r="AC320" i="1"/>
  <c r="AC42" i="1"/>
  <c r="AC539" i="1"/>
  <c r="AC518" i="1"/>
  <c r="AC124" i="1"/>
  <c r="AC756" i="1"/>
  <c r="AC46" i="1"/>
  <c r="AC800" i="1"/>
  <c r="AC731" i="1"/>
  <c r="AC49" i="1"/>
  <c r="AC635" i="1"/>
  <c r="AC646" i="1"/>
  <c r="AC414" i="1"/>
  <c r="AC572" i="1"/>
  <c r="AC556" i="1"/>
  <c r="AC775" i="1"/>
  <c r="AC260" i="1"/>
  <c r="AC69" i="1"/>
  <c r="AC355" i="1"/>
  <c r="AC608" i="1"/>
  <c r="AC272" i="1"/>
  <c r="AC116" i="1"/>
  <c r="AC665" i="1"/>
  <c r="AC64" i="1"/>
  <c r="AC625" i="1"/>
  <c r="AC479" i="1"/>
  <c r="AA52" i="1"/>
  <c r="AA523" i="1"/>
  <c r="AB4" i="1"/>
  <c r="AC315" i="1"/>
  <c r="AC431" i="1"/>
  <c r="AC596" i="1"/>
  <c r="AC571" i="1"/>
  <c r="AC628" i="1"/>
  <c r="AC781" i="1"/>
  <c r="AC644" i="1"/>
  <c r="AC765" i="1"/>
  <c r="AC7" i="1"/>
  <c r="AC460" i="1"/>
  <c r="AC41" i="1"/>
  <c r="AC324" i="1"/>
  <c r="AC257" i="1"/>
  <c r="AC559" i="1"/>
  <c r="AC211" i="1"/>
  <c r="AC444" i="1"/>
  <c r="AC516" i="1"/>
  <c r="AC416" i="1"/>
  <c r="AC25" i="1"/>
  <c r="AC378" i="1"/>
  <c r="AC482" i="1"/>
  <c r="AC774" i="1"/>
  <c r="AC725" i="1"/>
  <c r="AC754" i="1"/>
  <c r="AC237" i="1"/>
  <c r="AC28" i="1"/>
  <c r="AC609" i="1"/>
  <c r="AC428" i="1"/>
  <c r="AC250" i="1"/>
  <c r="AC232" i="1"/>
  <c r="AC614" i="1"/>
  <c r="AC18" i="1"/>
  <c r="AC732" i="1"/>
  <c r="AC663" i="1"/>
  <c r="AC375" i="1"/>
  <c r="AC173" i="1"/>
  <c r="AC512" i="1"/>
  <c r="AC132" i="1"/>
  <c r="AC35" i="1"/>
  <c r="AC108" i="1"/>
  <c r="AC4" i="1"/>
  <c r="AC94" i="1"/>
  <c r="AC446" i="1"/>
  <c r="AC520" i="1"/>
  <c r="AC627" i="1"/>
  <c r="AC778" i="1"/>
  <c r="AC187" i="1"/>
  <c r="AC723" i="1"/>
  <c r="AC341" i="1"/>
  <c r="AC511" i="1"/>
  <c r="AA652" i="1"/>
  <c r="AA685" i="1"/>
  <c r="AB307" i="1"/>
  <c r="AC45" i="1"/>
  <c r="AC136" i="1"/>
  <c r="AC392" i="1"/>
  <c r="AC284" i="1"/>
  <c r="AC298" i="1"/>
  <c r="AC313" i="1"/>
  <c r="AC100" i="1"/>
  <c r="AC590" i="1"/>
  <c r="AC638" i="1"/>
  <c r="AC348" i="1"/>
  <c r="AC308" i="1"/>
  <c r="AC51" i="1"/>
  <c r="AC165" i="1"/>
  <c r="AC780" i="1"/>
  <c r="AC5" i="1"/>
  <c r="AC534" i="1"/>
  <c r="AC87" i="1"/>
  <c r="AC160" i="1"/>
  <c r="AC369" i="1"/>
  <c r="AC151" i="1"/>
  <c r="AC669" i="1"/>
  <c r="AC368" i="1"/>
  <c r="AC526" i="1"/>
  <c r="AC47" i="1"/>
  <c r="AC673" i="1"/>
  <c r="AC453" i="1"/>
  <c r="AC407" i="1"/>
  <c r="AC749" i="1"/>
  <c r="AC89" i="1"/>
  <c r="AC170" i="1"/>
  <c r="AC585" i="1"/>
  <c r="AC672" i="1"/>
  <c r="AC159" i="1"/>
  <c r="AC167" i="1"/>
  <c r="AC92" i="1"/>
  <c r="AC75" i="1"/>
  <c r="AC492" i="1"/>
  <c r="AC335" i="1"/>
  <c r="AC497" i="1"/>
  <c r="AC474" i="1"/>
  <c r="AC794" i="1"/>
  <c r="AC358" i="1"/>
  <c r="AC606" i="1"/>
  <c r="AC55" i="1"/>
  <c r="AC58" i="1"/>
  <c r="AC766" i="1"/>
  <c r="AC730" i="1"/>
  <c r="AC583" i="1"/>
  <c r="AC222" i="1"/>
  <c r="AC752" i="1"/>
  <c r="AB599" i="1"/>
  <c r="Z403" i="1"/>
  <c r="AB403" i="1"/>
  <c r="Z269" i="1"/>
  <c r="AB269" i="1"/>
  <c r="Z438" i="1"/>
  <c r="AB438" i="1"/>
  <c r="Z359" i="1"/>
  <c r="AB359" i="1"/>
  <c r="Z371" i="1"/>
  <c r="AB371" i="1"/>
  <c r="Z591" i="1"/>
  <c r="AB591" i="1"/>
  <c r="Z757" i="1"/>
  <c r="AB757" i="1"/>
  <c r="Z790" i="1"/>
  <c r="AB790" i="1"/>
  <c r="Z533" i="1"/>
  <c r="AB533" i="1"/>
  <c r="Z597" i="1"/>
  <c r="AB597" i="1"/>
  <c r="Z415" i="1"/>
  <c r="AB415" i="1"/>
  <c r="Z180" i="1"/>
  <c r="AB180" i="1"/>
  <c r="Z192" i="1"/>
  <c r="AB192" i="1"/>
  <c r="Z267" i="1"/>
  <c r="AB267" i="1"/>
  <c r="Z577" i="1"/>
  <c r="AB577" i="1"/>
  <c r="Z14" i="1"/>
  <c r="AB14" i="1"/>
  <c r="Z455" i="1"/>
  <c r="AB455" i="1"/>
  <c r="Z622" i="1"/>
  <c r="AB622" i="1"/>
  <c r="Z114" i="1"/>
  <c r="AB114" i="1"/>
  <c r="Z10" i="1"/>
  <c r="AB10" i="1"/>
  <c r="Z8" i="1"/>
  <c r="AB8" i="1"/>
  <c r="Z634" i="1"/>
  <c r="AB634" i="1"/>
  <c r="Z80" i="1"/>
  <c r="AB80" i="1"/>
  <c r="Z290" i="1"/>
  <c r="AB290" i="1"/>
  <c r="Z221" i="1"/>
  <c r="AB221" i="1"/>
  <c r="Z562" i="1"/>
  <c r="AB562" i="1"/>
  <c r="Z433" i="1"/>
  <c r="AB433" i="1"/>
  <c r="Z149" i="1"/>
  <c r="AB149" i="1"/>
  <c r="Z654" i="1"/>
  <c r="AB654" i="1"/>
  <c r="Z374" i="1"/>
  <c r="AB374" i="1"/>
  <c r="Z111" i="1"/>
  <c r="AB111" i="1"/>
  <c r="Z563" i="1"/>
  <c r="AB563" i="1"/>
  <c r="Z351" i="1"/>
  <c r="AB351" i="1"/>
  <c r="Z420" i="1"/>
  <c r="AB420" i="1"/>
  <c r="AB215" i="1"/>
  <c r="AB491" i="1"/>
  <c r="AB370" i="1"/>
  <c r="AB588" i="1"/>
  <c r="AB786" i="1"/>
  <c r="AB657" i="1"/>
  <c r="AB521" i="1"/>
  <c r="AB405" i="1"/>
  <c r="AB695" i="1"/>
  <c r="AB382" i="1"/>
  <c r="AB337" i="1"/>
  <c r="AB631" i="1"/>
  <c r="AB366" i="1"/>
  <c r="AB376" i="1"/>
  <c r="AB261" i="1"/>
  <c r="AB258" i="1"/>
  <c r="AB104" i="1"/>
  <c r="AB508" i="1"/>
  <c r="AB6" i="1"/>
  <c r="AB797" i="1"/>
  <c r="AB223" i="1"/>
  <c r="AB454" i="1"/>
  <c r="AB472" i="1"/>
  <c r="AB205" i="1"/>
  <c r="AB315" i="1"/>
  <c r="AB628" i="1"/>
  <c r="AB7" i="1"/>
  <c r="AB257" i="1"/>
  <c r="AB516" i="1"/>
  <c r="AB482" i="1"/>
  <c r="AB237" i="1"/>
  <c r="AB232" i="1"/>
  <c r="AB663" i="1"/>
  <c r="AB132" i="1"/>
  <c r="AA481" i="1"/>
  <c r="AA694" i="1"/>
  <c r="AA317" i="1"/>
  <c r="AA413" i="1"/>
  <c r="AA83" i="1"/>
  <c r="AA155" i="1"/>
  <c r="AB689" i="1"/>
  <c r="AB488" i="1"/>
  <c r="AB650" i="1"/>
  <c r="AB197" i="1"/>
  <c r="AB52" i="1"/>
  <c r="AB338" i="1"/>
  <c r="AB32" i="1"/>
  <c r="AB554" i="1"/>
  <c r="AB670" i="1"/>
  <c r="AB395" i="1"/>
  <c r="AB212" i="1"/>
  <c r="AB105" i="1"/>
  <c r="AB640" i="1"/>
  <c r="AB746" i="1"/>
  <c r="AB109" i="1"/>
  <c r="AB432" i="1"/>
  <c r="AB618" i="1"/>
  <c r="AB202" i="1"/>
  <c r="AB317" i="1"/>
  <c r="AB759" i="1"/>
  <c r="AB439" i="1"/>
  <c r="AB760" i="1"/>
  <c r="AB199" i="1"/>
  <c r="AB718" i="1"/>
  <c r="AB688" i="1"/>
  <c r="AB426" i="1"/>
  <c r="AB413" i="1"/>
  <c r="AB299" i="1"/>
  <c r="AB286" i="1"/>
  <c r="AB523" i="1"/>
  <c r="AB181" i="1"/>
  <c r="AB40" i="1"/>
  <c r="AB584" i="1"/>
  <c r="AB685" i="1"/>
  <c r="AB83" i="1"/>
  <c r="AB679" i="1"/>
  <c r="AB241" i="1"/>
  <c r="AB459" i="1"/>
  <c r="AB3" i="1"/>
  <c r="AB350" i="1"/>
  <c r="AB144" i="1"/>
  <c r="AB97" i="1"/>
  <c r="AB155" i="1"/>
  <c r="AB287" i="1"/>
  <c r="AB280" i="1"/>
  <c r="AB409" i="1"/>
  <c r="AB545" i="1"/>
  <c r="AB411" i="1"/>
  <c r="AB306" i="1"/>
  <c r="AB530" i="1"/>
  <c r="AB26" i="1"/>
  <c r="AB172" i="1"/>
  <c r="AB457" i="1"/>
  <c r="AB789" i="1"/>
  <c r="AB17" i="1"/>
  <c r="AB20" i="1"/>
  <c r="AB377" i="1"/>
  <c r="AB798" i="1"/>
  <c r="AB770" i="1"/>
  <c r="AB39" i="1"/>
  <c r="AB753" i="1"/>
  <c r="AB343" i="1"/>
  <c r="AB174" i="1"/>
  <c r="AB596" i="1"/>
  <c r="AB644" i="1"/>
  <c r="AB324" i="1"/>
  <c r="AB444" i="1"/>
  <c r="AB378" i="1"/>
  <c r="AB754" i="1"/>
  <c r="AB609" i="1"/>
  <c r="AB614" i="1"/>
  <c r="AB375" i="1"/>
  <c r="AB35" i="1"/>
  <c r="AA650" i="1"/>
  <c r="AA212" i="1"/>
  <c r="AA642" i="1"/>
  <c r="AA247" i="1"/>
  <c r="AA739" i="1"/>
  <c r="AA189" i="1"/>
  <c r="AB347" i="1"/>
  <c r="AB481" i="1"/>
  <c r="AB494" i="1"/>
  <c r="AB288" i="1"/>
  <c r="AB652" i="1"/>
  <c r="AB391" i="1"/>
  <c r="AB671" i="1"/>
  <c r="AB406" i="1"/>
  <c r="AB701" i="1"/>
  <c r="AB694" i="1"/>
  <c r="AB19" i="1"/>
  <c r="AB594" i="1"/>
  <c r="AB125" i="1"/>
  <c r="AB73" i="1"/>
  <c r="AB475" i="1"/>
  <c r="AB252" i="1"/>
  <c r="AB278" i="1"/>
  <c r="AB762" i="1"/>
  <c r="AB642" i="1"/>
  <c r="AB356" i="1"/>
  <c r="AB27" i="1"/>
  <c r="AB314" i="1"/>
  <c r="AB557" i="1"/>
  <c r="AB316" i="1"/>
  <c r="AB50" i="1"/>
  <c r="AB535" i="1"/>
  <c r="AB247" i="1"/>
  <c r="AB16" i="1"/>
  <c r="AB602" i="1"/>
  <c r="AB741" i="1"/>
  <c r="AB720" i="1"/>
  <c r="AB699" i="1"/>
  <c r="AB418" i="1"/>
  <c r="AB543" i="1"/>
  <c r="AB739" i="1"/>
  <c r="AB605" i="1"/>
  <c r="AB12" i="1"/>
  <c r="AB664" i="1"/>
  <c r="AB489" i="1"/>
  <c r="AB225" i="1"/>
  <c r="AB542" i="1"/>
  <c r="AB281" i="1"/>
  <c r="AB189" i="1"/>
  <c r="AB692" i="1"/>
  <c r="AB384" i="1"/>
  <c r="AB566" i="1"/>
  <c r="AB659" i="1"/>
  <c r="AB768" i="1"/>
  <c r="AB23" i="1"/>
  <c r="AB121" i="1"/>
  <c r="AB364" i="1"/>
  <c r="AB522" i="1"/>
  <c r="AB373" i="1"/>
  <c r="AB777" i="1"/>
  <c r="AB84" i="1"/>
  <c r="AB13" i="1"/>
  <c r="AB740" i="1"/>
  <c r="AB294" i="1"/>
  <c r="AB275" i="1"/>
  <c r="AB146" i="1"/>
  <c r="AB139" i="1"/>
  <c r="AB219" i="1"/>
  <c r="AB431" i="1"/>
  <c r="AB781" i="1"/>
  <c r="AB460" i="1"/>
  <c r="AB559" i="1"/>
  <c r="AB416" i="1"/>
  <c r="AB725" i="1"/>
  <c r="AB428" i="1"/>
  <c r="AB18" i="1"/>
  <c r="AB173" i="1"/>
  <c r="AB512" i="1"/>
  <c r="AA494" i="1"/>
  <c r="AA19" i="1"/>
  <c r="AA759" i="1"/>
  <c r="AA299" i="1"/>
  <c r="AA679" i="1"/>
  <c r="AA287" i="1"/>
  <c r="AB476" i="1"/>
  <c r="AB452" i="1"/>
  <c r="AB466" i="1"/>
  <c r="AB733" i="1"/>
  <c r="AB135" i="1"/>
  <c r="AB251" i="1"/>
  <c r="AB238" i="1"/>
  <c r="AB123" i="1"/>
  <c r="AB184" i="1"/>
  <c r="AB710" i="1"/>
  <c r="AB218" i="1"/>
  <c r="AB163" i="1"/>
  <c r="AB465" i="1"/>
  <c r="AB44" i="1"/>
  <c r="AB323" i="1"/>
  <c r="AB630" i="1"/>
  <c r="AB93" i="1"/>
  <c r="AB574" i="1"/>
  <c r="AB363" i="1"/>
  <c r="AB119" i="1"/>
  <c r="AB755" i="1"/>
  <c r="AB702" i="1"/>
  <c r="AB270" i="1"/>
  <c r="AB393" i="1"/>
  <c r="AB312" i="1"/>
  <c r="AB158" i="1"/>
  <c r="AB216" i="1"/>
  <c r="AB553" i="1"/>
  <c r="AB690" i="1"/>
  <c r="AB118" i="1"/>
  <c r="AB296" i="1"/>
  <c r="AB541" i="1"/>
  <c r="AB273" i="1"/>
  <c r="AB586" i="1"/>
  <c r="AB783" i="1"/>
  <c r="AB321" i="1"/>
  <c r="AB234" i="1"/>
  <c r="AB67" i="1"/>
  <c r="AB190" i="1"/>
  <c r="AB390" i="1"/>
  <c r="AB138" i="1"/>
  <c r="AB62" i="1"/>
  <c r="AB349" i="1"/>
  <c r="AB90" i="1"/>
  <c r="AB217" i="1"/>
  <c r="AB143" i="1"/>
  <c r="AB171" i="1"/>
  <c r="AB729" i="1"/>
  <c r="AB437" i="1"/>
  <c r="AB603" i="1"/>
  <c r="AB738" i="1"/>
  <c r="AB245" i="1"/>
  <c r="AB776" i="1"/>
  <c r="AB435" i="1"/>
  <c r="AB649" i="1"/>
  <c r="AB88" i="1"/>
  <c r="AB255" i="1"/>
  <c r="AB549" i="1"/>
  <c r="AB209" i="1"/>
  <c r="AB400" i="1"/>
  <c r="AB53" i="1"/>
  <c r="AB389" i="1"/>
  <c r="AB527" i="1"/>
  <c r="AB330" i="1"/>
  <c r="AB311" i="1"/>
  <c r="AB546" i="1"/>
  <c r="AB636" i="1"/>
  <c r="AB342" i="1"/>
  <c r="AB742" i="1"/>
  <c r="AB328" i="1"/>
  <c r="AA338" i="1"/>
  <c r="AA746" i="1"/>
  <c r="AA314" i="1"/>
  <c r="AA741" i="1"/>
  <c r="AA664" i="1"/>
  <c r="AA566" i="1"/>
  <c r="AB168" i="1"/>
  <c r="AB161" i="1"/>
  <c r="AB461" i="1"/>
  <c r="AB31" i="1"/>
  <c r="AB385" i="1"/>
  <c r="AB537" i="1"/>
  <c r="AB277" i="1"/>
  <c r="AB675" i="1"/>
  <c r="AB353" i="1"/>
  <c r="AB186" i="1"/>
  <c r="AB264" i="1"/>
  <c r="AB678" i="1"/>
  <c r="AB564" i="1"/>
  <c r="AB785" i="1"/>
  <c r="AB509" i="1"/>
  <c r="AB126" i="1"/>
  <c r="AB715" i="1"/>
  <c r="AB639" i="1"/>
  <c r="AB193" i="1"/>
  <c r="AB447" i="1"/>
  <c r="AB506" i="1"/>
  <c r="AB383" i="1"/>
  <c r="AB227" i="1"/>
  <c r="AB575" i="1"/>
  <c r="AB570" i="1"/>
  <c r="AB501" i="1"/>
  <c r="AB464" i="1"/>
  <c r="AB422" i="1"/>
  <c r="AB271" i="1"/>
  <c r="AB304" i="1"/>
  <c r="AB532" i="1"/>
  <c r="AB22" i="1"/>
  <c r="AB334" i="1"/>
  <c r="AB71" i="1"/>
  <c r="AB707" i="1"/>
  <c r="AB346" i="1"/>
  <c r="AB230" i="1"/>
  <c r="AB398" i="1"/>
  <c r="AB148" i="1"/>
  <c r="AB253" i="1"/>
  <c r="AB471" i="1"/>
  <c r="AB648" i="1"/>
  <c r="AB207" i="1"/>
  <c r="AB29" i="1"/>
  <c r="AB150" i="1"/>
  <c r="AB728" i="1"/>
  <c r="AB141" i="1"/>
  <c r="AB582" i="1"/>
  <c r="AB580" i="1"/>
  <c r="AB397" i="1"/>
  <c r="AB747" i="1"/>
  <c r="AB637" i="1"/>
  <c r="AB21" i="1"/>
  <c r="AB178" i="1"/>
  <c r="AB799" i="1"/>
  <c r="AB289" i="1"/>
  <c r="AB182" i="1"/>
  <c r="AB658" i="1"/>
  <c r="AA391" i="1"/>
  <c r="AA73" i="1"/>
  <c r="AA199" i="1"/>
  <c r="AA181" i="1"/>
  <c r="AA3" i="1"/>
  <c r="AA545" i="1"/>
  <c r="AB436" i="1"/>
  <c r="AB259" i="1"/>
  <c r="AB78" i="1"/>
  <c r="AB548" i="1"/>
  <c r="AB224" i="1"/>
  <c r="AB528" i="1"/>
  <c r="AB611" i="1"/>
  <c r="AB120" i="1"/>
  <c r="AB524" i="1"/>
  <c r="AB480" i="1"/>
  <c r="AB169" i="1"/>
  <c r="AB443" i="1"/>
  <c r="AB734" i="1"/>
  <c r="AB310" i="1"/>
  <c r="AB379" i="1"/>
  <c r="AB711" i="1"/>
  <c r="AB427" i="1"/>
  <c r="AB467" i="1"/>
  <c r="AB619" i="1"/>
  <c r="AB185" i="1"/>
  <c r="AB750" i="1"/>
  <c r="AB513" i="1"/>
  <c r="AB613" i="1"/>
  <c r="AB242" i="1"/>
  <c r="AB621" i="1"/>
  <c r="AB705" i="1"/>
  <c r="AB176" i="1"/>
  <c r="AB191" i="1"/>
  <c r="AB134" i="1"/>
  <c r="AB48" i="1"/>
  <c r="AB102" i="1"/>
  <c r="AB113" i="1"/>
  <c r="AB122" i="1"/>
  <c r="AB744" i="1"/>
  <c r="AB624" i="1"/>
  <c r="AB538" i="1"/>
  <c r="AB386" i="1"/>
  <c r="AB610" i="1"/>
  <c r="AB737" i="1"/>
  <c r="AB401" i="1"/>
  <c r="AB282" i="1"/>
  <c r="AB684" i="1"/>
  <c r="AB697" i="1"/>
  <c r="AB751" i="1"/>
  <c r="AB65" i="1"/>
  <c r="AB495" i="1"/>
  <c r="AB360" i="1"/>
  <c r="AB309" i="1"/>
  <c r="AB388" i="1"/>
  <c r="AB96" i="1"/>
  <c r="AB203" i="1"/>
  <c r="AB772" i="1"/>
  <c r="AB336" i="1"/>
  <c r="AB154" i="1"/>
  <c r="AB95" i="1"/>
  <c r="AB204" i="1"/>
  <c r="AB429" i="1"/>
  <c r="AB263" i="1"/>
  <c r="AB34" i="1"/>
  <c r="AB767" i="1"/>
  <c r="AB503" i="1"/>
  <c r="AB595" i="1"/>
  <c r="AB226" i="1"/>
  <c r="AB592" i="1"/>
  <c r="AB448" i="1"/>
  <c r="AB79" i="1"/>
  <c r="AB229" i="1"/>
  <c r="AB399" i="1"/>
  <c r="AB632" i="1"/>
  <c r="AB396" i="1"/>
  <c r="AB727" i="1"/>
  <c r="AB326" i="1"/>
  <c r="AB137" i="1"/>
  <c r="AA32" i="1"/>
  <c r="AA109" i="1"/>
  <c r="AA557" i="1"/>
  <c r="AA720" i="1"/>
  <c r="AA489" i="1"/>
  <c r="AA659" i="1"/>
  <c r="AB519" i="1"/>
  <c r="AB208" i="1"/>
  <c r="AB362" i="1"/>
  <c r="AB451" i="1"/>
  <c r="AB660" i="1"/>
  <c r="AB66" i="1"/>
  <c r="AB11" i="1"/>
  <c r="AB262" i="1"/>
  <c r="AB220" i="1"/>
  <c r="AB77" i="1"/>
  <c r="AB629" i="1"/>
  <c r="AB791" i="1"/>
  <c r="AB764" i="1"/>
  <c r="AB450" i="1"/>
  <c r="AB305" i="1"/>
  <c r="AB529" i="1"/>
  <c r="AB682" i="1"/>
  <c r="AB484" i="1"/>
  <c r="AB470" i="1"/>
  <c r="AB291" i="1"/>
  <c r="AB110" i="1"/>
  <c r="AB394" i="1"/>
  <c r="AB645" i="1"/>
  <c r="AB643" i="1"/>
  <c r="AB380" i="1"/>
  <c r="AB206" i="1"/>
  <c r="AB295" i="1"/>
  <c r="AB412" i="1"/>
  <c r="AB276" i="1"/>
  <c r="AB555" i="1"/>
  <c r="AB367" i="1"/>
  <c r="AB387" i="1"/>
  <c r="AB483" i="1"/>
  <c r="AB56" i="1"/>
  <c r="AB743" i="1"/>
  <c r="AB708" i="1"/>
  <c r="AB147" i="1"/>
  <c r="AB213" i="1"/>
  <c r="AB462" i="1"/>
  <c r="AB231" i="1"/>
  <c r="AB626" i="1"/>
  <c r="AB607" i="1"/>
  <c r="AB86" i="1"/>
  <c r="AB581" i="1"/>
  <c r="AB719" i="1"/>
  <c r="AB615" i="1"/>
  <c r="AB357" i="1"/>
  <c r="AB303" i="1"/>
  <c r="AB76" i="1"/>
  <c r="AB456" i="1"/>
  <c r="AB63" i="1"/>
  <c r="AB300" i="1"/>
  <c r="AB283" i="1"/>
  <c r="AB724" i="1"/>
  <c r="AB57" i="1"/>
  <c r="AB365" i="1"/>
  <c r="AB131" i="1"/>
  <c r="AB117" i="1"/>
  <c r="AB666" i="1"/>
  <c r="AB164" i="1"/>
  <c r="AB458" i="1"/>
  <c r="AB500" i="1"/>
  <c r="AB558" i="1"/>
  <c r="AB769" i="1"/>
  <c r="AB106" i="1"/>
  <c r="AB424" i="1"/>
  <c r="AB9" i="1"/>
  <c r="AB129" i="1"/>
  <c r="AB561" i="1"/>
  <c r="AB183" i="1"/>
  <c r="AB674" i="1"/>
  <c r="AB59" i="1"/>
  <c r="AB668" i="1"/>
  <c r="AB33" i="1"/>
  <c r="AB333" i="1"/>
  <c r="AB195" i="1"/>
  <c r="AB578" i="1"/>
  <c r="AA671" i="1"/>
  <c r="AA432" i="1"/>
  <c r="AA718" i="1"/>
  <c r="AA40" i="1"/>
  <c r="AA350" i="1"/>
  <c r="AA411" i="1"/>
  <c r="AB641" i="1"/>
  <c r="AB340" i="1"/>
  <c r="AB623" i="1"/>
  <c r="AB421" i="1"/>
  <c r="AB339" i="1"/>
  <c r="AB419" i="1"/>
  <c r="AB194" i="1"/>
  <c r="AB773" i="1"/>
  <c r="AB463" i="1"/>
  <c r="AB544" i="1"/>
  <c r="AB82" i="1"/>
  <c r="AB200" i="1"/>
  <c r="AB601" i="1"/>
  <c r="AB576" i="1"/>
  <c r="AB417" i="1"/>
  <c r="AB72" i="1"/>
  <c r="AB795" i="1"/>
  <c r="AB239" i="1"/>
  <c r="AB127" i="1"/>
  <c r="AB156" i="1"/>
  <c r="AB354" i="1"/>
  <c r="AB517" i="1"/>
  <c r="AB248" i="1"/>
  <c r="AB502" i="1"/>
  <c r="AB30" i="1"/>
  <c r="AB600" i="1"/>
  <c r="AB61" i="1"/>
  <c r="AB249" i="1"/>
  <c r="AB240" i="1"/>
  <c r="AB301" i="1"/>
  <c r="AB683" i="1"/>
  <c r="AB552" i="1"/>
  <c r="AB686" i="1"/>
  <c r="AB24" i="1"/>
  <c r="AB2" i="1"/>
  <c r="AB496" i="1"/>
  <c r="AB344" i="1"/>
  <c r="AB540" i="1"/>
  <c r="AB721" i="1"/>
  <c r="AB647" i="1"/>
  <c r="AB473" i="1"/>
  <c r="AB493" i="1"/>
  <c r="AB85" i="1"/>
  <c r="AB510" i="1"/>
  <c r="AB322" i="1"/>
  <c r="AB445" i="1"/>
  <c r="AB112" i="1"/>
  <c r="AB612" i="1"/>
  <c r="AB696" i="1"/>
  <c r="AB722" i="1"/>
  <c r="AB515" i="1"/>
  <c r="AB372" i="1"/>
  <c r="AB801" i="1"/>
  <c r="AB107" i="1"/>
  <c r="AB327" i="1"/>
  <c r="AB54" i="1"/>
  <c r="AA554" i="1"/>
  <c r="AA252" i="1"/>
  <c r="AA316" i="1"/>
  <c r="AA699" i="1"/>
  <c r="AA225" i="1"/>
  <c r="AA768" i="1"/>
  <c r="AB243" i="1"/>
  <c r="AB404" i="1"/>
  <c r="AB74" i="1"/>
  <c r="AB547" i="1"/>
  <c r="AB604" i="1"/>
  <c r="AB709" i="1"/>
  <c r="AB573" i="1"/>
  <c r="AB490" i="1"/>
  <c r="AB318" i="1"/>
  <c r="AB256" i="1"/>
  <c r="AB713" i="1"/>
  <c r="AB771" i="1"/>
  <c r="AB233" i="1"/>
  <c r="AB667" i="1"/>
  <c r="AB779" i="1"/>
  <c r="AB485" i="1"/>
  <c r="AB714" i="1"/>
  <c r="AB402" i="1"/>
  <c r="AB633" i="1"/>
  <c r="AB651" i="1"/>
  <c r="AB408" i="1"/>
  <c r="AB693" i="1"/>
  <c r="AB99" i="1"/>
  <c r="AB477" i="1"/>
  <c r="AB142" i="1"/>
  <c r="AB381" i="1"/>
  <c r="AB550" i="1"/>
  <c r="AB179" i="1"/>
  <c r="AB763" i="1"/>
  <c r="AB579" i="1"/>
  <c r="AB784" i="1"/>
  <c r="AB656" i="1"/>
  <c r="AB735" i="1"/>
  <c r="AB468" i="1"/>
  <c r="AB68" i="1"/>
  <c r="AB505" i="1"/>
  <c r="AB748" i="1"/>
  <c r="AB717" i="1"/>
  <c r="AB279" i="1"/>
  <c r="AB175" i="1"/>
  <c r="AB787" i="1"/>
  <c r="AB712" i="1"/>
  <c r="AB796" i="1"/>
  <c r="AB153" i="1"/>
  <c r="AB285" i="1"/>
  <c r="AB60" i="1"/>
  <c r="AB507" i="1"/>
  <c r="AB680" i="1"/>
  <c r="AB782" i="1"/>
  <c r="AA406" i="1"/>
  <c r="AA618" i="1"/>
  <c r="AA688" i="1"/>
  <c r="AA584" i="1"/>
  <c r="AA144" i="1"/>
  <c r="AA306" i="1"/>
  <c r="AB700" i="1"/>
  <c r="AB761" i="1"/>
  <c r="AB487" i="1"/>
  <c r="AB567" i="1"/>
  <c r="AB38" i="1"/>
  <c r="AB758" i="1"/>
  <c r="AB70" i="1"/>
  <c r="AB133" i="1"/>
  <c r="AB103" i="1"/>
  <c r="AB536" i="1"/>
  <c r="AB430" i="1"/>
  <c r="AB434" i="1"/>
  <c r="AB661" i="1"/>
  <c r="AB331" i="1"/>
  <c r="AB478" i="1"/>
  <c r="AB736" i="1"/>
  <c r="AB662" i="1"/>
  <c r="AB297" i="1"/>
  <c r="AB677" i="1"/>
  <c r="AB687" i="1"/>
  <c r="AB499" i="1"/>
  <c r="AB115" i="1"/>
  <c r="AB589" i="1"/>
  <c r="AB246" i="1"/>
  <c r="AB210" i="1"/>
  <c r="AB319" i="1"/>
  <c r="AB565" i="1"/>
  <c r="AB449" i="1"/>
  <c r="AB332" i="1"/>
  <c r="AB568" i="1"/>
  <c r="AB425" i="1"/>
  <c r="AB442" i="1"/>
  <c r="AB101" i="1"/>
  <c r="AB441" i="1"/>
  <c r="AB423" i="1"/>
  <c r="AB329" i="1"/>
  <c r="AB145" i="1"/>
  <c r="AB352" i="1"/>
  <c r="AB15" i="1"/>
  <c r="AB198" i="1"/>
  <c r="AB598" i="1"/>
  <c r="AB498" i="1"/>
  <c r="AB91" i="1"/>
  <c r="AB655" i="1"/>
  <c r="AB716" i="1"/>
  <c r="AB486" i="1"/>
  <c r="AB531" i="1"/>
  <c r="AB587" i="1"/>
  <c r="AB698" i="1"/>
  <c r="AB177" i="1"/>
  <c r="AB274" i="1"/>
  <c r="AB162" i="1"/>
  <c r="AB157" i="1"/>
  <c r="AB130" i="1"/>
  <c r="AB265" i="1"/>
  <c r="AB188" i="1"/>
  <c r="AB345" i="1"/>
  <c r="AB681" i="1"/>
  <c r="AB514" i="1"/>
  <c r="AB361" i="1"/>
  <c r="AB620" i="1"/>
  <c r="AA689" i="1"/>
  <c r="AA670" i="1"/>
  <c r="AA278" i="1"/>
  <c r="AA50" i="1"/>
  <c r="AA418" i="1"/>
  <c r="AA542" i="1"/>
  <c r="AA23" i="1"/>
  <c r="AB36" i="1"/>
  <c r="AB254" i="1"/>
  <c r="AB691" i="1"/>
  <c r="AB706" i="1"/>
  <c r="AB302" i="1"/>
  <c r="AB43" i="1"/>
  <c r="AB244" i="1"/>
  <c r="AB152" i="1"/>
  <c r="AB196" i="1"/>
  <c r="AB569" i="1"/>
  <c r="AB268" i="1"/>
  <c r="AB788" i="1"/>
  <c r="AB560" i="1"/>
  <c r="AB292" i="1"/>
  <c r="AB617" i="1"/>
  <c r="AB676" i="1"/>
  <c r="AB703" i="1"/>
  <c r="AB745" i="1"/>
  <c r="AB616" i="1"/>
  <c r="AB593" i="1"/>
  <c r="AB726" i="1"/>
  <c r="AB293" i="1"/>
  <c r="AB235" i="1"/>
  <c r="AB266" i="1"/>
  <c r="AB320" i="1"/>
  <c r="AB42" i="1"/>
  <c r="AB539" i="1"/>
  <c r="AB518" i="1"/>
  <c r="AB124" i="1"/>
  <c r="AB756" i="1"/>
  <c r="AB46" i="1"/>
  <c r="AB800" i="1"/>
  <c r="AB731" i="1"/>
  <c r="AB49" i="1"/>
  <c r="AB635" i="1"/>
  <c r="AB646" i="1"/>
  <c r="AB414" i="1"/>
  <c r="AB572" i="1"/>
  <c r="AB556" i="1"/>
  <c r="AB775" i="1"/>
  <c r="AB260" i="1"/>
  <c r="AB69" i="1"/>
  <c r="AB355" i="1"/>
  <c r="AB608" i="1"/>
  <c r="AB272" i="1"/>
  <c r="AB116" i="1"/>
  <c r="AB665" i="1"/>
  <c r="AB64" i="1"/>
  <c r="AB625" i="1"/>
  <c r="AB479" i="1"/>
  <c r="AB94" i="1"/>
  <c r="AB446" i="1"/>
  <c r="AB520" i="1"/>
  <c r="AB627" i="1"/>
  <c r="AB778" i="1"/>
  <c r="AB187" i="1"/>
  <c r="AB723" i="1"/>
  <c r="AB341" i="1"/>
  <c r="AB511" i="1"/>
  <c r="AB236" i="1"/>
  <c r="AB792" i="1"/>
  <c r="AB37" i="1"/>
  <c r="AB81" i="1"/>
  <c r="AB166" i="1"/>
  <c r="AB793" i="1"/>
  <c r="AB653" i="1"/>
  <c r="AB228" i="1"/>
  <c r="AB128" i="1"/>
  <c r="AB504" i="1"/>
  <c r="AB325" i="1"/>
  <c r="AB214" i="1"/>
  <c r="AB469" i="1"/>
  <c r="AB571" i="1"/>
  <c r="AB765" i="1"/>
  <c r="AB41" i="1"/>
  <c r="AB211" i="1"/>
  <c r="AB25" i="1"/>
  <c r="AB774" i="1"/>
  <c r="AB28" i="1"/>
  <c r="AB250" i="1"/>
  <c r="AB732" i="1"/>
  <c r="AB108" i="1"/>
  <c r="AA488" i="1"/>
  <c r="AA395" i="1"/>
  <c r="AA762" i="1"/>
  <c r="AA535" i="1"/>
  <c r="AA543" i="1"/>
  <c r="AA281" i="1"/>
  <c r="AA121" i="1"/>
  <c r="AB45" i="1"/>
  <c r="AB136" i="1"/>
  <c r="AB392" i="1"/>
  <c r="AB284" i="1"/>
  <c r="AB298" i="1"/>
  <c r="AB313" i="1"/>
  <c r="AB100" i="1"/>
  <c r="AB590" i="1"/>
  <c r="AB638" i="1"/>
  <c r="AB348" i="1"/>
  <c r="AB308" i="1"/>
  <c r="AB51" i="1"/>
  <c r="AB165" i="1"/>
  <c r="AB780" i="1"/>
  <c r="AB5" i="1"/>
  <c r="AB534" i="1"/>
  <c r="AB87" i="1"/>
  <c r="AB160" i="1"/>
  <c r="AB369" i="1"/>
  <c r="AB151" i="1"/>
  <c r="AB669" i="1"/>
  <c r="AB368" i="1"/>
  <c r="AB526" i="1"/>
  <c r="AB47" i="1"/>
  <c r="AB673" i="1"/>
  <c r="AB453" i="1"/>
  <c r="AB407" i="1"/>
  <c r="AB749" i="1"/>
  <c r="AB89" i="1"/>
  <c r="AB170" i="1"/>
  <c r="AB585" i="1"/>
  <c r="AB672" i="1"/>
  <c r="AB159" i="1"/>
  <c r="AB167" i="1"/>
  <c r="AB92" i="1"/>
  <c r="AB75" i="1"/>
  <c r="AB492" i="1"/>
  <c r="AB335" i="1"/>
  <c r="AB497" i="1"/>
  <c r="AB474" i="1"/>
  <c r="AB794" i="1"/>
  <c r="AB358" i="1"/>
  <c r="AB606" i="1"/>
  <c r="AB55" i="1"/>
  <c r="AB58" i="1"/>
  <c r="AB766" i="1"/>
  <c r="AB730" i="1"/>
  <c r="AB583" i="1"/>
  <c r="AB222" i="1"/>
  <c r="AB752" i="1"/>
  <c r="AA476" i="1"/>
  <c r="AA452" i="1"/>
  <c r="AA466" i="1"/>
  <c r="AA733" i="1"/>
  <c r="AA135" i="1"/>
  <c r="AA251" i="1"/>
  <c r="AA238" i="1"/>
  <c r="AA123" i="1"/>
  <c r="AA184" i="1"/>
  <c r="AA710" i="1"/>
  <c r="AA218" i="1"/>
  <c r="AA163" i="1"/>
  <c r="AA465" i="1"/>
  <c r="AA44" i="1"/>
  <c r="AA323" i="1"/>
  <c r="AA630" i="1"/>
  <c r="AA93" i="1"/>
  <c r="AA574" i="1"/>
  <c r="AA363" i="1"/>
  <c r="AA119" i="1"/>
  <c r="AA755" i="1"/>
  <c r="AA702" i="1"/>
  <c r="AA270" i="1"/>
  <c r="AA393" i="1"/>
  <c r="AA312" i="1"/>
  <c r="AA158" i="1"/>
  <c r="AA216" i="1"/>
  <c r="AA553" i="1"/>
  <c r="AA690" i="1"/>
  <c r="AA420" i="1"/>
  <c r="AA118" i="1"/>
  <c r="AA296" i="1"/>
  <c r="AA541" i="1"/>
  <c r="AA273" i="1"/>
  <c r="AA586" i="1"/>
  <c r="AA783" i="1"/>
  <c r="AA321" i="1"/>
  <c r="AA234" i="1"/>
  <c r="AA67" i="1"/>
  <c r="AA190" i="1"/>
  <c r="AA390" i="1"/>
  <c r="AA138" i="1"/>
  <c r="AA62" i="1"/>
  <c r="AA349" i="1"/>
  <c r="AA90" i="1"/>
  <c r="AA217" i="1"/>
  <c r="AA143" i="1"/>
  <c r="AA171" i="1"/>
  <c r="AA729" i="1"/>
  <c r="AA437" i="1"/>
  <c r="AA521" i="1"/>
  <c r="AA405" i="1"/>
  <c r="AA695" i="1"/>
  <c r="AA337" i="1"/>
  <c r="AA631" i="1"/>
  <c r="AA376" i="1"/>
  <c r="AA599" i="1"/>
  <c r="AA215" i="1"/>
  <c r="AA491" i="1"/>
  <c r="AA551" i="1"/>
  <c r="AA657" i="1"/>
  <c r="AA403" i="1"/>
  <c r="AA269" i="1"/>
  <c r="AA370" i="1"/>
  <c r="AA588" i="1"/>
  <c r="AA438" i="1"/>
  <c r="AA359" i="1"/>
  <c r="AA371" i="1"/>
  <c r="AA591" i="1"/>
  <c r="AA757" i="1"/>
  <c r="AA790" i="1"/>
  <c r="AA533" i="1"/>
  <c r="AA597" i="1"/>
  <c r="AA415" i="1"/>
  <c r="AA180" i="1"/>
  <c r="AA192" i="1"/>
  <c r="AA267" i="1"/>
  <c r="AA577" i="1"/>
  <c r="AA14" i="1"/>
  <c r="AA455" i="1"/>
  <c r="AA622" i="1"/>
  <c r="AA114" i="1"/>
  <c r="AA10" i="1"/>
  <c r="AA8" i="1"/>
  <c r="AA786" i="1"/>
  <c r="AA634" i="1"/>
  <c r="AA80" i="1"/>
  <c r="AA290" i="1"/>
  <c r="AA221" i="1"/>
  <c r="AA562" i="1"/>
  <c r="AA433" i="1"/>
  <c r="AA382" i="1"/>
  <c r="AA366" i="1"/>
  <c r="AA261" i="1"/>
  <c r="AA149" i="1"/>
  <c r="AA654" i="1"/>
  <c r="AA374" i="1"/>
  <c r="AA111" i="1"/>
  <c r="AA563" i="1"/>
  <c r="AA351" i="1"/>
  <c r="AA603" i="1"/>
  <c r="AA26" i="1"/>
  <c r="AA63" i="1"/>
  <c r="AA364" i="1"/>
  <c r="AA203" i="1"/>
  <c r="AA236" i="1"/>
  <c r="AA587" i="1"/>
  <c r="AA300" i="1"/>
  <c r="AA172" i="1"/>
  <c r="AA258" i="1"/>
  <c r="AA738" i="1"/>
  <c r="AA772" i="1"/>
  <c r="AA522" i="1"/>
  <c r="AA792" i="1"/>
  <c r="AA698" i="1"/>
  <c r="AA283" i="1"/>
  <c r="AA457" i="1"/>
  <c r="AA104" i="1"/>
  <c r="AA245" i="1"/>
  <c r="AA373" i="1"/>
  <c r="AA336" i="1"/>
  <c r="AA37" i="1"/>
  <c r="AA177" i="1"/>
  <c r="AA724" i="1"/>
  <c r="AA789" i="1"/>
  <c r="AA81" i="1"/>
  <c r="AA274" i="1"/>
  <c r="AA154" i="1"/>
  <c r="AA777" i="1"/>
  <c r="AA508" i="1"/>
  <c r="AA776" i="1"/>
  <c r="AA17" i="1"/>
  <c r="AA57" i="1"/>
  <c r="AA166" i="1"/>
  <c r="AA162" i="1"/>
  <c r="AA84" i="1"/>
  <c r="AA95" i="1"/>
  <c r="AA20" i="1"/>
  <c r="AA365" i="1"/>
  <c r="AA440" i="1"/>
  <c r="AA201" i="1"/>
  <c r="AA307" i="1"/>
  <c r="AA435" i="1"/>
  <c r="AA6" i="1"/>
  <c r="AA13" i="1"/>
  <c r="AA204" i="1"/>
  <c r="AA793" i="1"/>
  <c r="AA157" i="1"/>
  <c r="AA377" i="1"/>
  <c r="AA131" i="1"/>
  <c r="AA653" i="1"/>
  <c r="AA130" i="1"/>
  <c r="AA740" i="1"/>
  <c r="AA797" i="1"/>
  <c r="AA649" i="1"/>
  <c r="AA117" i="1"/>
  <c r="AA798" i="1"/>
  <c r="AA265" i="1"/>
  <c r="AA228" i="1"/>
  <c r="AA429" i="1"/>
  <c r="AA294" i="1"/>
  <c r="AA223" i="1"/>
  <c r="AA88" i="1"/>
  <c r="AA770" i="1"/>
  <c r="AA666" i="1"/>
  <c r="AA188" i="1"/>
  <c r="AA128" i="1"/>
  <c r="AA263" i="1"/>
  <c r="AA275" i="1"/>
  <c r="AA255" i="1"/>
  <c r="AA454" i="1"/>
  <c r="AA39" i="1"/>
  <c r="AA164" i="1"/>
  <c r="AA504" i="1"/>
  <c r="AA345" i="1"/>
  <c r="AA34" i="1"/>
  <c r="AA146" i="1"/>
  <c r="AA753" i="1"/>
  <c r="AA549" i="1"/>
  <c r="AA325" i="1"/>
  <c r="AA472" i="1"/>
  <c r="AA458" i="1"/>
  <c r="AA681" i="1"/>
  <c r="AA767" i="1"/>
  <c r="AA139" i="1"/>
  <c r="AA214" i="1"/>
  <c r="AA514" i="1"/>
  <c r="AA343" i="1"/>
  <c r="AA500" i="1"/>
  <c r="AA410" i="1"/>
  <c r="AA747" i="1"/>
  <c r="AA515" i="1"/>
  <c r="AA205" i="1"/>
  <c r="AA219" i="1"/>
  <c r="AA469" i="1"/>
  <c r="AA209" i="1"/>
  <c r="AA361" i="1"/>
  <c r="AA503" i="1"/>
  <c r="AA174" i="1"/>
  <c r="AA558" i="1"/>
  <c r="AA595" i="1"/>
  <c r="AA372" i="1"/>
  <c r="AA637" i="1"/>
  <c r="AA769" i="1"/>
  <c r="AA400" i="1"/>
  <c r="AA226" i="1"/>
  <c r="AA801" i="1"/>
  <c r="AA620" i="1"/>
  <c r="AA106" i="1"/>
  <c r="AA21" i="1"/>
  <c r="AA53" i="1"/>
  <c r="AA592" i="1"/>
  <c r="AA424" i="1"/>
  <c r="AA107" i="1"/>
  <c r="AA389" i="1"/>
  <c r="AA178" i="1"/>
  <c r="AA448" i="1"/>
  <c r="AA9" i="1"/>
  <c r="AA527" i="1"/>
  <c r="AA79" i="1"/>
  <c r="AA129" i="1"/>
  <c r="AA799" i="1"/>
  <c r="AA327" i="1"/>
  <c r="AA330" i="1"/>
  <c r="AA561" i="1"/>
  <c r="AA229" i="1"/>
  <c r="AA289" i="1"/>
  <c r="AA183" i="1"/>
  <c r="AA311" i="1"/>
  <c r="AA399" i="1"/>
  <c r="AA674" i="1"/>
  <c r="AA182" i="1"/>
  <c r="AA546" i="1"/>
  <c r="AA632" i="1"/>
  <c r="AA59" i="1"/>
  <c r="AA636" i="1"/>
  <c r="AA668" i="1"/>
  <c r="AA396" i="1"/>
  <c r="AA33" i="1"/>
  <c r="AA342" i="1"/>
  <c r="AA727" i="1"/>
  <c r="AA333" i="1"/>
  <c r="AA742" i="1"/>
  <c r="AA326" i="1"/>
  <c r="AA195" i="1"/>
  <c r="AA578" i="1"/>
  <c r="AA54" i="1"/>
  <c r="AA137" i="1"/>
  <c r="AA328" i="1"/>
  <c r="AA658" i="1"/>
  <c r="AA168" i="1"/>
  <c r="AA161" i="1"/>
  <c r="AA461" i="1"/>
  <c r="AA31" i="1"/>
  <c r="AA385" i="1"/>
  <c r="AA537" i="1"/>
  <c r="AA277" i="1"/>
  <c r="AA675" i="1"/>
  <c r="AA353" i="1"/>
  <c r="AA186" i="1"/>
  <c r="AA264" i="1"/>
  <c r="AA678" i="1"/>
  <c r="AA564" i="1"/>
  <c r="AA785" i="1"/>
  <c r="AA509" i="1"/>
  <c r="AA126" i="1"/>
  <c r="AA715" i="1"/>
  <c r="AA639" i="1"/>
  <c r="AA193" i="1"/>
  <c r="AA447" i="1"/>
  <c r="AA506" i="1"/>
  <c r="AA383" i="1"/>
  <c r="AA227" i="1"/>
  <c r="AA575" i="1"/>
  <c r="AA570" i="1"/>
  <c r="AA501" i="1"/>
  <c r="AA464" i="1"/>
  <c r="AA422" i="1"/>
  <c r="AA271" i="1"/>
  <c r="AA304" i="1"/>
  <c r="AA532" i="1"/>
  <c r="AA22" i="1"/>
  <c r="AA334" i="1"/>
  <c r="AA71" i="1"/>
  <c r="AA707" i="1"/>
  <c r="AA346" i="1"/>
  <c r="AA230" i="1"/>
  <c r="AA398" i="1"/>
  <c r="AA148" i="1"/>
  <c r="AA253" i="1"/>
  <c r="AA471" i="1"/>
  <c r="AA648" i="1"/>
  <c r="AA207" i="1"/>
  <c r="AA29" i="1"/>
  <c r="AA150" i="1"/>
  <c r="AA728" i="1"/>
  <c r="AA141" i="1"/>
  <c r="AA582" i="1"/>
  <c r="AA580" i="1"/>
  <c r="AA397" i="1"/>
  <c r="AA436" i="1"/>
  <c r="AA259" i="1"/>
  <c r="AA78" i="1"/>
  <c r="AA548" i="1"/>
  <c r="AA224" i="1"/>
  <c r="AA528" i="1"/>
  <c r="AA611" i="1"/>
  <c r="AA120" i="1"/>
  <c r="AA524" i="1"/>
  <c r="AA480" i="1"/>
  <c r="AA169" i="1"/>
  <c r="AA443" i="1"/>
  <c r="AA734" i="1"/>
  <c r="AA310" i="1"/>
  <c r="AA379" i="1"/>
  <c r="AA711" i="1"/>
  <c r="AA427" i="1"/>
  <c r="AA467" i="1"/>
  <c r="AA619" i="1"/>
  <c r="AA185" i="1"/>
  <c r="AA750" i="1"/>
  <c r="AA513" i="1"/>
  <c r="AA613" i="1"/>
  <c r="AA242" i="1"/>
  <c r="AA621" i="1"/>
  <c r="AA705" i="1"/>
  <c r="AA176" i="1"/>
  <c r="AA191" i="1"/>
  <c r="AA134" i="1"/>
  <c r="AA48" i="1"/>
  <c r="AA102" i="1"/>
  <c r="AA113" i="1"/>
  <c r="AA122" i="1"/>
  <c r="AA744" i="1"/>
  <c r="AA624" i="1"/>
  <c r="AA538" i="1"/>
  <c r="AA386" i="1"/>
  <c r="AA610" i="1"/>
  <c r="AA737" i="1"/>
  <c r="AA401" i="1"/>
  <c r="AA282" i="1"/>
  <c r="AA684" i="1"/>
  <c r="AA697" i="1"/>
  <c r="AA751" i="1"/>
  <c r="AA65" i="1"/>
  <c r="AA495" i="1"/>
  <c r="AA360" i="1"/>
  <c r="AA309" i="1"/>
  <c r="AA388" i="1"/>
  <c r="AA96" i="1"/>
  <c r="AA519" i="1"/>
  <c r="AA208" i="1"/>
  <c r="AA362" i="1"/>
  <c r="AA451" i="1"/>
  <c r="AA660" i="1"/>
  <c r="AA66" i="1"/>
  <c r="AA11" i="1"/>
  <c r="AA262" i="1"/>
  <c r="AA220" i="1"/>
  <c r="AA77" i="1"/>
  <c r="AA629" i="1"/>
  <c r="AA791" i="1"/>
  <c r="AA764" i="1"/>
  <c r="AA450" i="1"/>
  <c r="AA305" i="1"/>
  <c r="AA529" i="1"/>
  <c r="AA682" i="1"/>
  <c r="AA484" i="1"/>
  <c r="AA470" i="1"/>
  <c r="AA291" i="1"/>
  <c r="AA110" i="1"/>
  <c r="AA394" i="1"/>
  <c r="AA645" i="1"/>
  <c r="AA643" i="1"/>
  <c r="AA380" i="1"/>
  <c r="AA206" i="1"/>
  <c r="AA295" i="1"/>
  <c r="AA412" i="1"/>
  <c r="AA276" i="1"/>
  <c r="AA555" i="1"/>
  <c r="AA367" i="1"/>
  <c r="AA387" i="1"/>
  <c r="AA483" i="1"/>
  <c r="AA56" i="1"/>
  <c r="AA743" i="1"/>
  <c r="AA708" i="1"/>
  <c r="AA147" i="1"/>
  <c r="AA213" i="1"/>
  <c r="AA462" i="1"/>
  <c r="AA231" i="1"/>
  <c r="AA626" i="1"/>
  <c r="AA607" i="1"/>
  <c r="AA86" i="1"/>
  <c r="AA581" i="1"/>
  <c r="AA719" i="1"/>
  <c r="AA615" i="1"/>
  <c r="AA357" i="1"/>
  <c r="AA303" i="1"/>
  <c r="AA76" i="1"/>
  <c r="AA456" i="1"/>
  <c r="AA641" i="1"/>
  <c r="AA340" i="1"/>
  <c r="AA623" i="1"/>
  <c r="AA421" i="1"/>
  <c r="AA339" i="1"/>
  <c r="AA419" i="1"/>
  <c r="AA194" i="1"/>
  <c r="AA773" i="1"/>
  <c r="AA463" i="1"/>
  <c r="AA544" i="1"/>
  <c r="AA82" i="1"/>
  <c r="AA200" i="1"/>
  <c r="AA601" i="1"/>
  <c r="AA576" i="1"/>
  <c r="AA417" i="1"/>
  <c r="AA72" i="1"/>
  <c r="AA795" i="1"/>
  <c r="AA239" i="1"/>
  <c r="AA127" i="1"/>
  <c r="AA156" i="1"/>
  <c r="AA354" i="1"/>
  <c r="AA517" i="1"/>
  <c r="AA248" i="1"/>
  <c r="AA502" i="1"/>
  <c r="AA30" i="1"/>
  <c r="AA600" i="1"/>
  <c r="AA61" i="1"/>
  <c r="AA249" i="1"/>
  <c r="AA240" i="1"/>
  <c r="AA301" i="1"/>
  <c r="AA683" i="1"/>
  <c r="AA552" i="1"/>
  <c r="AA686" i="1"/>
  <c r="AA24" i="1"/>
  <c r="AA2" i="1"/>
  <c r="AA496" i="1"/>
  <c r="AA344" i="1"/>
  <c r="AA540" i="1"/>
  <c r="AA721" i="1"/>
  <c r="AA647" i="1"/>
  <c r="AA473" i="1"/>
  <c r="AA493" i="1"/>
  <c r="AA85" i="1"/>
  <c r="AA510" i="1"/>
  <c r="AA322" i="1"/>
  <c r="AA445" i="1"/>
  <c r="AA112" i="1"/>
  <c r="AA612" i="1"/>
  <c r="AA696" i="1"/>
  <c r="AA722" i="1"/>
  <c r="AA475" i="1"/>
  <c r="AA243" i="1"/>
  <c r="AA404" i="1"/>
  <c r="AA74" i="1"/>
  <c r="AA547" i="1"/>
  <c r="AA604" i="1"/>
  <c r="AA709" i="1"/>
  <c r="AA573" i="1"/>
  <c r="AA490" i="1"/>
  <c r="AA318" i="1"/>
  <c r="AA256" i="1"/>
  <c r="AA713" i="1"/>
  <c r="AA771" i="1"/>
  <c r="AA233" i="1"/>
  <c r="AA667" i="1"/>
  <c r="AA779" i="1"/>
  <c r="AA485" i="1"/>
  <c r="AA714" i="1"/>
  <c r="AA402" i="1"/>
  <c r="AA633" i="1"/>
  <c r="AA651" i="1"/>
  <c r="AA408" i="1"/>
  <c r="AA693" i="1"/>
  <c r="AA99" i="1"/>
  <c r="AA477" i="1"/>
  <c r="AA142" i="1"/>
  <c r="AA381" i="1"/>
  <c r="AA550" i="1"/>
  <c r="AA179" i="1"/>
  <c r="AA763" i="1"/>
  <c r="AA579" i="1"/>
  <c r="AA784" i="1"/>
  <c r="AA656" i="1"/>
  <c r="AA735" i="1"/>
  <c r="AA468" i="1"/>
  <c r="AA68" i="1"/>
  <c r="AA505" i="1"/>
  <c r="AA748" i="1"/>
  <c r="AA717" i="1"/>
  <c r="AA279" i="1"/>
  <c r="AA175" i="1"/>
  <c r="AA787" i="1"/>
  <c r="AA712" i="1"/>
  <c r="AA796" i="1"/>
  <c r="AA153" i="1"/>
  <c r="AA285" i="1"/>
  <c r="AA60" i="1"/>
  <c r="AA507" i="1"/>
  <c r="AA680" i="1"/>
  <c r="AA782" i="1"/>
  <c r="AA700" i="1"/>
  <c r="AA761" i="1"/>
  <c r="AA487" i="1"/>
  <c r="AA567" i="1"/>
  <c r="AA38" i="1"/>
  <c r="AA758" i="1"/>
  <c r="AA70" i="1"/>
  <c r="AA133" i="1"/>
  <c r="AA103" i="1"/>
  <c r="AA536" i="1"/>
  <c r="AA430" i="1"/>
  <c r="AA434" i="1"/>
  <c r="AA661" i="1"/>
  <c r="AA331" i="1"/>
  <c r="AA478" i="1"/>
  <c r="AA736" i="1"/>
  <c r="AA662" i="1"/>
  <c r="AA297" i="1"/>
  <c r="AA677" i="1"/>
  <c r="AA687" i="1"/>
  <c r="AA499" i="1"/>
  <c r="AA115" i="1"/>
  <c r="AA589" i="1"/>
  <c r="AA246" i="1"/>
  <c r="AA210" i="1"/>
  <c r="AA319" i="1"/>
  <c r="AA565" i="1"/>
  <c r="AA449" i="1"/>
  <c r="AA332" i="1"/>
  <c r="AA568" i="1"/>
  <c r="AA425" i="1"/>
  <c r="AA442" i="1"/>
  <c r="AA101" i="1"/>
  <c r="AA441" i="1"/>
  <c r="AA423" i="1"/>
  <c r="AA329" i="1"/>
  <c r="AA145" i="1"/>
  <c r="AA352" i="1"/>
  <c r="AA15" i="1"/>
  <c r="AA198" i="1"/>
  <c r="AA598" i="1"/>
  <c r="AA498" i="1"/>
  <c r="AA91" i="1"/>
  <c r="AA655" i="1"/>
  <c r="AA716" i="1"/>
  <c r="AA486" i="1"/>
  <c r="AA531" i="1"/>
  <c r="AA36" i="1"/>
  <c r="AA254" i="1"/>
  <c r="AA691" i="1"/>
  <c r="AA706" i="1"/>
  <c r="AA302" i="1"/>
  <c r="AA43" i="1"/>
  <c r="AA244" i="1"/>
  <c r="AA152" i="1"/>
  <c r="AA196" i="1"/>
  <c r="AA569" i="1"/>
  <c r="AA268" i="1"/>
  <c r="AA788" i="1"/>
  <c r="AA560" i="1"/>
  <c r="AA292" i="1"/>
  <c r="AA617" i="1"/>
  <c r="AA676" i="1"/>
  <c r="AA703" i="1"/>
  <c r="AA745" i="1"/>
  <c r="AA616" i="1"/>
  <c r="AA593" i="1"/>
  <c r="AA726" i="1"/>
  <c r="AA293" i="1"/>
  <c r="AA235" i="1"/>
  <c r="AA266" i="1"/>
  <c r="AA320" i="1"/>
  <c r="AA42" i="1"/>
  <c r="AA539" i="1"/>
  <c r="AA518" i="1"/>
  <c r="AA124" i="1"/>
  <c r="AA756" i="1"/>
  <c r="AA46" i="1"/>
  <c r="AA800" i="1"/>
  <c r="AA731" i="1"/>
  <c r="AA49" i="1"/>
  <c r="AA635" i="1"/>
  <c r="AA646" i="1"/>
  <c r="AA414" i="1"/>
  <c r="AA572" i="1"/>
  <c r="AA556" i="1"/>
  <c r="AA775" i="1"/>
  <c r="AA260" i="1"/>
  <c r="AA69" i="1"/>
  <c r="AA355" i="1"/>
  <c r="AA608" i="1"/>
  <c r="AA272" i="1"/>
  <c r="AA116" i="1"/>
  <c r="AA665" i="1"/>
  <c r="AA64" i="1"/>
  <c r="AA625" i="1"/>
  <c r="AA479" i="1"/>
  <c r="AA315" i="1"/>
  <c r="AA431" i="1"/>
  <c r="AA596" i="1"/>
  <c r="AA571" i="1"/>
  <c r="AA628" i="1"/>
  <c r="AA781" i="1"/>
  <c r="AA644" i="1"/>
  <c r="AA765" i="1"/>
  <c r="AA7" i="1"/>
  <c r="AA460" i="1"/>
  <c r="AA41" i="1"/>
  <c r="AA324" i="1"/>
  <c r="AA257" i="1"/>
  <c r="AA559" i="1"/>
  <c r="AA211" i="1"/>
  <c r="AA444" i="1"/>
  <c r="AA516" i="1"/>
  <c r="AA416" i="1"/>
  <c r="AA25" i="1"/>
  <c r="AA378" i="1"/>
  <c r="AA482" i="1"/>
  <c r="AA774" i="1"/>
  <c r="AA725" i="1"/>
  <c r="AA754" i="1"/>
  <c r="AA237" i="1"/>
  <c r="AA28" i="1"/>
  <c r="AA609" i="1"/>
  <c r="AA428" i="1"/>
  <c r="AA250" i="1"/>
  <c r="AA232" i="1"/>
  <c r="AA614" i="1"/>
  <c r="AA18" i="1"/>
  <c r="AA732" i="1"/>
  <c r="AA663" i="1"/>
  <c r="AA375" i="1"/>
  <c r="AA173" i="1"/>
  <c r="AA512" i="1"/>
  <c r="AA132" i="1"/>
  <c r="AA35" i="1"/>
  <c r="AA108" i="1"/>
  <c r="AA4" i="1"/>
  <c r="AA94" i="1"/>
  <c r="AA446" i="1"/>
  <c r="AA520" i="1"/>
  <c r="AA627" i="1"/>
  <c r="AA778" i="1"/>
  <c r="AA187" i="1"/>
  <c r="AA723" i="1"/>
  <c r="AA341" i="1"/>
  <c r="AA511" i="1"/>
  <c r="AA45" i="1"/>
  <c r="AA136" i="1"/>
  <c r="AA392" i="1"/>
  <c r="AA284" i="1"/>
  <c r="AA298" i="1"/>
  <c r="AA313" i="1"/>
  <c r="AA100" i="1"/>
  <c r="AA590" i="1"/>
  <c r="AA638" i="1"/>
  <c r="AA348" i="1"/>
  <c r="AA308" i="1"/>
  <c r="AA51" i="1"/>
  <c r="AA165" i="1"/>
  <c r="AA780" i="1"/>
  <c r="AA5" i="1"/>
  <c r="AA534" i="1"/>
  <c r="AA87" i="1"/>
  <c r="AA160" i="1"/>
  <c r="AA369" i="1"/>
  <c r="AA151" i="1"/>
  <c r="AA669" i="1"/>
  <c r="AA368" i="1"/>
  <c r="AA526" i="1"/>
  <c r="AA47" i="1"/>
  <c r="AA673" i="1"/>
  <c r="AA453" i="1"/>
  <c r="AA407" i="1"/>
  <c r="AA749" i="1"/>
  <c r="AA89" i="1"/>
  <c r="AA170" i="1"/>
  <c r="AA585" i="1"/>
  <c r="AA672" i="1"/>
  <c r="AA159" i="1"/>
  <c r="AA167" i="1"/>
  <c r="AA92" i="1"/>
  <c r="AA75" i="1"/>
  <c r="AA492" i="1"/>
  <c r="AA335" i="1"/>
  <c r="AA497" i="1"/>
  <c r="AA474" i="1"/>
  <c r="AA794" i="1"/>
  <c r="AA358" i="1"/>
  <c r="AA606" i="1"/>
  <c r="AA55" i="1"/>
  <c r="AA58" i="1"/>
  <c r="AA766" i="1"/>
  <c r="AA730" i="1"/>
  <c r="AA583" i="1"/>
  <c r="AA222" i="1"/>
  <c r="AA752" i="1"/>
  <c r="L30" i="1" a="1"/>
  <c r="L30" i="1" s="1"/>
  <c r="Q30" i="1" s="1" a="1"/>
  <c r="Q30" i="1" s="1"/>
  <c r="K30" i="1" a="1"/>
  <c r="K30" i="1" s="1"/>
  <c r="Q190" i="1" a="1"/>
  <c r="Q190" i="1" s="1"/>
  <c r="T190" i="1" a="1"/>
  <c r="T190" i="1" s="1"/>
  <c r="L455" i="1" a="1"/>
  <c r="L455" i="1" s="1"/>
  <c r="K455" i="1" a="1"/>
  <c r="K455" i="1" s="1"/>
  <c r="T368" i="1" a="1"/>
  <c r="T368" i="1" s="1"/>
  <c r="T532" i="1" a="1"/>
  <c r="T532" i="1" s="1"/>
  <c r="T626" i="1" a="1"/>
  <c r="T626" i="1" s="1"/>
  <c r="K327" i="1" a="1"/>
  <c r="K327" i="1" s="1"/>
  <c r="T327" i="1" s="1" a="1"/>
  <c r="T327" i="1" s="1"/>
  <c r="K121" i="1" a="1"/>
  <c r="K121" i="1" s="1"/>
  <c r="T121" i="1" s="1" a="1"/>
  <c r="T121" i="1" s="1"/>
  <c r="T140" i="1" a="1"/>
  <c r="T140" i="1" s="1"/>
  <c r="T98" i="1" a="1"/>
  <c r="T98" i="1" s="1"/>
  <c r="T704" i="1" a="1"/>
  <c r="T704" i="1" s="1"/>
  <c r="T395" i="1" a="1"/>
  <c r="T395" i="1" s="1"/>
  <c r="T683" i="1" a="1"/>
  <c r="T683" i="1" s="1"/>
  <c r="K393" i="1" a="1"/>
  <c r="K393" i="1" s="1"/>
  <c r="L631" i="1" a="1"/>
  <c r="L631" i="1" s="1"/>
  <c r="Q631" i="1" s="1" a="1"/>
  <c r="Q631" i="1" s="1"/>
  <c r="T525" i="1" a="1"/>
  <c r="T525" i="1" s="1"/>
  <c r="T77" i="1" a="1"/>
  <c r="T77" i="1" s="1"/>
  <c r="T17" i="1" a="1"/>
  <c r="T17" i="1" s="1"/>
  <c r="L423" i="1" a="1"/>
  <c r="L423" i="1" s="1"/>
  <c r="Q423" i="1" s="1" a="1"/>
  <c r="Q423" i="1" s="1"/>
  <c r="T264" i="1" a="1"/>
  <c r="T264" i="1" s="1"/>
  <c r="T219" i="1" a="1"/>
  <c r="T219" i="1" s="1"/>
  <c r="K89" i="1" a="1"/>
  <c r="K89" i="1" s="1"/>
  <c r="T785" i="1" a="1"/>
  <c r="T785" i="1" s="1"/>
  <c r="T501" i="1" a="1"/>
  <c r="T501" i="1" s="1"/>
  <c r="T326" i="1" a="1"/>
  <c r="T326" i="1" s="1"/>
  <c r="T389" i="1" a="1"/>
  <c r="T389" i="1" s="1"/>
  <c r="T210" i="1" a="1"/>
  <c r="T210" i="1" s="1"/>
  <c r="T273" i="1" a="1"/>
  <c r="T273" i="1" s="1"/>
  <c r="K102" i="1" a="1"/>
  <c r="K102" i="1" s="1"/>
  <c r="T786" i="1" a="1"/>
  <c r="T786" i="1" s="1"/>
  <c r="T149" i="1" a="1"/>
  <c r="T149" i="1" s="1"/>
  <c r="K75" i="1" a="1"/>
  <c r="K75" i="1" s="1"/>
  <c r="T75" i="1" s="1" a="1"/>
  <c r="T75" i="1" s="1"/>
  <c r="T743" i="1" a="1"/>
  <c r="T743" i="1" s="1"/>
  <c r="T539" i="1" a="1"/>
  <c r="T539" i="1" s="1"/>
  <c r="T202" i="1" a="1"/>
  <c r="T202" i="1" s="1"/>
  <c r="T753" i="1" a="1"/>
  <c r="T753" i="1" s="1"/>
  <c r="T615" i="1" a="1"/>
  <c r="T615" i="1" s="1"/>
  <c r="K556" i="1" a="1"/>
  <c r="K556" i="1" s="1"/>
  <c r="C2" i="8"/>
  <c r="F2" i="8" s="1"/>
  <c r="K245" i="1" a="1"/>
  <c r="K245" i="1" s="1"/>
  <c r="T346" i="1" a="1"/>
  <c r="T346" i="1" s="1"/>
  <c r="T141" i="1" a="1"/>
  <c r="T141" i="1" s="1"/>
  <c r="K471" i="1" a="1"/>
  <c r="K471" i="1" s="1"/>
  <c r="D2" i="8"/>
  <c r="T311" i="1" a="1"/>
  <c r="T311" i="1" s="1"/>
  <c r="T668" i="1" a="1"/>
  <c r="T668" i="1" s="1"/>
  <c r="I2" i="8"/>
  <c r="T151" i="1" a="1"/>
  <c r="T151" i="1" s="1"/>
  <c r="K78" i="1" a="1"/>
  <c r="K78" i="1" s="1"/>
  <c r="D3" i="8"/>
  <c r="A4" i="8"/>
  <c r="I4" i="8" s="1"/>
  <c r="C3" i="8"/>
  <c r="L282" i="1" a="1"/>
  <c r="L282" i="1" s="1"/>
  <c r="K282" i="1" a="1"/>
  <c r="K282" i="1" s="1"/>
  <c r="Q600" i="1" a="1"/>
  <c r="Q600" i="1" s="1"/>
  <c r="T600" i="1" a="1"/>
  <c r="T600" i="1" s="1"/>
  <c r="L199" i="1" a="1"/>
  <c r="L199" i="1" s="1"/>
  <c r="Q199" i="1" s="1" a="1"/>
  <c r="Q199" i="1" s="1"/>
  <c r="K199" i="1" a="1"/>
  <c r="K199" i="1" s="1"/>
  <c r="K628" i="1" a="1"/>
  <c r="K628" i="1" s="1"/>
  <c r="L628" i="1" a="1"/>
  <c r="L628" i="1" s="1"/>
  <c r="Q628" i="1" s="1" a="1"/>
  <c r="Q628" i="1" s="1"/>
  <c r="T430" i="1" a="1"/>
  <c r="T430" i="1" s="1"/>
  <c r="T142" i="1" a="1"/>
  <c r="T142" i="1" s="1"/>
  <c r="K436" i="1" a="1"/>
  <c r="K436" i="1" s="1"/>
  <c r="K233" i="1" a="1"/>
  <c r="K233" i="1" s="1"/>
  <c r="K164" i="1" a="1"/>
  <c r="K164" i="1" s="1"/>
  <c r="T164" i="1" s="1" a="1"/>
  <c r="T164" i="1" s="1"/>
  <c r="K14" i="1" a="1"/>
  <c r="K14" i="1" s="1"/>
  <c r="K708" i="1" a="1"/>
  <c r="K708" i="1" s="1"/>
  <c r="T708" i="1" s="1" a="1"/>
  <c r="T708" i="1" s="1"/>
  <c r="K261" i="1" a="1"/>
  <c r="K261" i="1" s="1"/>
  <c r="L748" i="1" a="1"/>
  <c r="L748" i="1" s="1"/>
  <c r="T748" i="1" s="1" a="1"/>
  <c r="T748" i="1" s="1"/>
  <c r="T269" i="1" a="1"/>
  <c r="T269" i="1" s="1"/>
  <c r="T799" i="1" a="1"/>
  <c r="T799" i="1" s="1"/>
  <c r="T113" i="1" a="1"/>
  <c r="T113" i="1" s="1"/>
  <c r="K623" i="1" a="1"/>
  <c r="K623" i="1" s="1"/>
  <c r="K93" i="1" a="1"/>
  <c r="K93" i="1" s="1"/>
  <c r="T93" i="1" s="1" a="1"/>
  <c r="T93" i="1" s="1"/>
  <c r="K724" i="1" a="1"/>
  <c r="K724" i="1" s="1"/>
  <c r="T724" i="1" s="1" a="1"/>
  <c r="T724" i="1" s="1"/>
  <c r="K325" i="1" a="1"/>
  <c r="K325" i="1" s="1"/>
  <c r="T325" i="1" s="1" a="1"/>
  <c r="T325" i="1" s="1"/>
  <c r="K343" i="1" a="1"/>
  <c r="K343" i="1" s="1"/>
  <c r="T343" i="1" s="1" a="1"/>
  <c r="T343" i="1" s="1"/>
  <c r="K272" i="1" a="1"/>
  <c r="K272" i="1" s="1"/>
  <c r="T272" i="1" s="1" a="1"/>
  <c r="T272" i="1" s="1"/>
  <c r="L298" i="1" a="1"/>
  <c r="L298" i="1" s="1"/>
  <c r="Q298" i="1" s="1" a="1"/>
  <c r="Q298" i="1" s="1"/>
  <c r="L205" i="1" a="1"/>
  <c r="L205" i="1" s="1"/>
  <c r="T205" i="1" s="1" a="1"/>
  <c r="T205" i="1" s="1"/>
  <c r="K405" i="1" a="1"/>
  <c r="K405" i="1" s="1"/>
  <c r="K457" i="1" a="1"/>
  <c r="K457" i="1" s="1"/>
  <c r="L554" i="1" a="1"/>
  <c r="L554" i="1" s="1"/>
  <c r="Q554" i="1" s="1" a="1"/>
  <c r="Q554" i="1" s="1"/>
  <c r="T666" i="1" a="1"/>
  <c r="T666" i="1" s="1"/>
  <c r="T159" i="1" a="1"/>
  <c r="T159" i="1" s="1"/>
  <c r="T582" i="1" a="1"/>
  <c r="T582" i="1" s="1"/>
  <c r="K338" i="1" a="1"/>
  <c r="K338" i="1" s="1"/>
  <c r="K263" i="1" a="1"/>
  <c r="K263" i="1" s="1"/>
  <c r="T263" i="1" s="1" a="1"/>
  <c r="T263" i="1" s="1"/>
  <c r="K330" i="1" a="1"/>
  <c r="K330" i="1" s="1"/>
  <c r="K182" i="1" a="1"/>
  <c r="K182" i="1" s="1"/>
  <c r="K497" i="1" a="1"/>
  <c r="K497" i="1" s="1"/>
  <c r="T497" i="1" s="1" a="1"/>
  <c r="T497" i="1" s="1"/>
  <c r="K566" i="1" a="1"/>
  <c r="K566" i="1" s="1"/>
  <c r="L772" i="1" a="1"/>
  <c r="L772" i="1" s="1"/>
  <c r="T249" i="1" a="1"/>
  <c r="T249" i="1" s="1"/>
  <c r="T145" i="1" a="1"/>
  <c r="T145" i="1" s="1"/>
  <c r="T309" i="1" a="1"/>
  <c r="T309" i="1" s="1"/>
  <c r="K123" i="1" a="1"/>
  <c r="K123" i="1" s="1"/>
  <c r="K160" i="1" a="1"/>
  <c r="K160" i="1" s="1"/>
  <c r="K312" i="1" a="1"/>
  <c r="K312" i="1" s="1"/>
  <c r="K418" i="1" a="1"/>
  <c r="K418" i="1" s="1"/>
  <c r="K144" i="1" a="1"/>
  <c r="K144" i="1" s="1"/>
  <c r="K141" i="1" a="1"/>
  <c r="K141" i="1" s="1"/>
  <c r="L450" i="1" a="1"/>
  <c r="L450" i="1" s="1"/>
  <c r="T450" i="1" s="1" a="1"/>
  <c r="T450" i="1" s="1"/>
  <c r="T270" i="1" a="1"/>
  <c r="T270" i="1" s="1"/>
  <c r="T328" i="1" a="1"/>
  <c r="T328" i="1" s="1"/>
  <c r="K773" i="1" a="1"/>
  <c r="K773" i="1" s="1"/>
  <c r="K642" i="1" a="1"/>
  <c r="K642" i="1" s="1"/>
  <c r="K789" i="1" a="1"/>
  <c r="K789" i="1" s="1"/>
  <c r="K731" i="1" a="1"/>
  <c r="K731" i="1" s="1"/>
  <c r="K542" i="1" a="1"/>
  <c r="K542" i="1" s="1"/>
  <c r="K357" i="1" a="1"/>
  <c r="K357" i="1" s="1"/>
  <c r="L416" i="1" a="1"/>
  <c r="L416" i="1" s="1"/>
  <c r="Q416" i="1" s="1" a="1"/>
  <c r="Q416" i="1" s="1"/>
  <c r="K133" i="1" a="1"/>
  <c r="K133" i="1" s="1"/>
  <c r="L363" i="1" a="1"/>
  <c r="L363" i="1" s="1"/>
  <c r="T363" i="1" s="1" a="1"/>
  <c r="T363" i="1" s="1"/>
  <c r="T736" i="1" a="1"/>
  <c r="T736" i="1" s="1"/>
  <c r="T442" i="1" a="1"/>
  <c r="T442" i="1" s="1"/>
  <c r="T49" i="1" a="1"/>
  <c r="T49" i="1" s="1"/>
  <c r="K480" i="1" a="1"/>
  <c r="K480" i="1" s="1"/>
  <c r="T480" i="1" s="1" a="1"/>
  <c r="T480" i="1" s="1"/>
  <c r="K275" i="1" a="1"/>
  <c r="K275" i="1" s="1"/>
  <c r="K501" i="1" a="1"/>
  <c r="K501" i="1" s="1"/>
  <c r="K159" i="1" a="1"/>
  <c r="K159" i="1" s="1"/>
  <c r="K503" i="1" a="1"/>
  <c r="K503" i="1" s="1"/>
  <c r="L25" i="1" a="1"/>
  <c r="L25" i="1" s="1"/>
  <c r="Q25" i="1" s="1" a="1"/>
  <c r="Q25" i="1" s="1"/>
  <c r="T129" i="1" a="1"/>
  <c r="T129" i="1" s="1"/>
  <c r="T131" i="1" a="1"/>
  <c r="T131" i="1" s="1"/>
  <c r="K77" i="1" a="1"/>
  <c r="K77" i="1" s="1"/>
  <c r="K600" i="1" a="1"/>
  <c r="K600" i="1" s="1"/>
  <c r="K8" i="1" a="1"/>
  <c r="K8" i="1" s="1"/>
  <c r="T8" i="1" s="1" a="1"/>
  <c r="T8" i="1" s="1"/>
  <c r="K626" i="1" a="1"/>
  <c r="K626" i="1" s="1"/>
  <c r="L177" i="1" a="1"/>
  <c r="L177" i="1" s="1"/>
  <c r="L33" i="1" a="1"/>
  <c r="L33" i="1" s="1"/>
  <c r="Q33" i="1" s="1" a="1"/>
  <c r="Q33" i="1" s="1"/>
  <c r="K41" i="1" a="1"/>
  <c r="K41" i="1" s="1"/>
  <c r="T41" i="1" s="1" a="1"/>
  <c r="T41" i="1" s="1"/>
  <c r="K373" i="1" a="1"/>
  <c r="K373" i="1" s="1"/>
  <c r="K142" i="1" a="1"/>
  <c r="K142" i="1" s="1"/>
  <c r="K786" i="1" a="1"/>
  <c r="K786" i="1" s="1"/>
  <c r="K684" i="1" a="1"/>
  <c r="K684" i="1" s="1"/>
  <c r="Y525" i="1"/>
  <c r="P525" i="8" s="1" a="1"/>
  <c r="P525" i="8" s="1"/>
  <c r="T133" i="1" a="1"/>
  <c r="T133" i="1" s="1"/>
  <c r="T570" i="1" a="1"/>
  <c r="T570" i="1" s="1"/>
  <c r="T2" i="1" a="1"/>
  <c r="T2" i="1" s="1"/>
  <c r="K105" i="1" a="1"/>
  <c r="K105" i="1" s="1"/>
  <c r="K39" i="1" a="1"/>
  <c r="K39" i="1" s="1"/>
  <c r="T39" i="1" s="1" a="1"/>
  <c r="T39" i="1" s="1"/>
  <c r="K210" i="1" a="1"/>
  <c r="K210" i="1" s="1"/>
  <c r="K743" i="1" a="1"/>
  <c r="K743" i="1" s="1"/>
  <c r="K787" i="1" a="1"/>
  <c r="K787" i="1" s="1"/>
  <c r="T787" i="1" s="1" a="1"/>
  <c r="T787" i="1" s="1"/>
  <c r="K174" i="1" a="1"/>
  <c r="K174" i="1" s="1"/>
  <c r="L553" i="1" a="1"/>
  <c r="L553" i="1" s="1"/>
  <c r="Y140" i="1"/>
  <c r="Y98" i="1"/>
  <c r="P386" i="8" s="1" a="1"/>
  <c r="P386" i="8" s="1"/>
  <c r="Y704" i="1"/>
  <c r="T673" i="1" a="1"/>
  <c r="T673" i="1" s="1"/>
  <c r="T508" i="1" a="1"/>
  <c r="T508" i="1" s="1"/>
  <c r="K176" i="1" a="1"/>
  <c r="K176" i="1" s="1"/>
  <c r="K2" i="1" a="1"/>
  <c r="K2" i="1" s="1"/>
  <c r="K69" i="1" a="1"/>
  <c r="K69" i="1" s="1"/>
  <c r="T69" i="1" s="1" a="1"/>
  <c r="T69" i="1" s="1"/>
  <c r="L10" i="1" a="1"/>
  <c r="L10" i="1" s="1"/>
  <c r="Q10" i="1" s="1" a="1"/>
  <c r="Q10" i="1" s="1"/>
  <c r="K465" i="1" a="1"/>
  <c r="K465" i="1" s="1"/>
  <c r="T465" i="1" s="1" a="1"/>
  <c r="T465" i="1" s="1"/>
  <c r="K799" i="1" a="1"/>
  <c r="K799" i="1" s="1"/>
  <c r="K539" i="1" a="1"/>
  <c r="K539" i="1" s="1"/>
  <c r="K468" i="1" a="1"/>
  <c r="K468" i="1" s="1"/>
  <c r="K435" i="1" a="1"/>
  <c r="K435" i="1" s="1"/>
  <c r="K530" i="1" a="1"/>
  <c r="K530" i="1" s="1"/>
  <c r="T530" i="1" s="1" a="1"/>
  <c r="T530" i="1" s="1"/>
  <c r="L646" i="1" a="1"/>
  <c r="L646" i="1" s="1"/>
  <c r="T646" i="1" s="1" a="1"/>
  <c r="T646" i="1" s="1"/>
  <c r="T735" i="1" a="1"/>
  <c r="T735" i="1" s="1"/>
  <c r="K734" i="1" a="1"/>
  <c r="K734" i="1" s="1"/>
  <c r="T734" i="1" s="1" a="1"/>
  <c r="T734" i="1" s="1"/>
  <c r="K690" i="1" a="1"/>
  <c r="K690" i="1" s="1"/>
  <c r="K346" i="1" a="1"/>
  <c r="K346" i="1" s="1"/>
  <c r="K692" i="1" a="1"/>
  <c r="K692" i="1" s="1"/>
  <c r="T692" i="1" s="1" a="1"/>
  <c r="T692" i="1" s="1"/>
  <c r="L230" i="1" a="1"/>
  <c r="L230" i="1" s="1"/>
  <c r="T105" i="1" a="1"/>
  <c r="T105" i="1" s="1"/>
  <c r="Q105" i="1" a="1"/>
  <c r="Q105" i="1" s="1"/>
  <c r="L557" i="1" a="1"/>
  <c r="L557" i="1" s="1"/>
  <c r="Q557" i="1" s="1" a="1"/>
  <c r="Q557" i="1" s="1"/>
  <c r="K557" i="1" a="1"/>
  <c r="K557" i="1" s="1"/>
  <c r="L653" i="1" a="1"/>
  <c r="L653" i="1" s="1"/>
  <c r="K653" i="1" a="1"/>
  <c r="K653" i="1" s="1"/>
  <c r="K265" i="1" a="1"/>
  <c r="K265" i="1" s="1"/>
  <c r="L265" i="1" a="1"/>
  <c r="L265" i="1" s="1"/>
  <c r="L533" i="1" a="1"/>
  <c r="L533" i="1" s="1"/>
  <c r="K533" i="1" a="1"/>
  <c r="K533" i="1" s="1"/>
  <c r="K390" i="1" a="1"/>
  <c r="K390" i="1" s="1"/>
  <c r="L390" i="1" a="1"/>
  <c r="L390" i="1" s="1"/>
  <c r="L595" i="1" a="1"/>
  <c r="L595" i="1" s="1"/>
  <c r="K595" i="1" a="1"/>
  <c r="K595" i="1" s="1"/>
  <c r="L571" i="1" a="1"/>
  <c r="L571" i="1" s="1"/>
  <c r="Q571" i="1" s="1" a="1"/>
  <c r="Q571" i="1" s="1"/>
  <c r="K571" i="1" a="1"/>
  <c r="K571" i="1" s="1"/>
  <c r="K296" i="1" a="1"/>
  <c r="K296" i="1" s="1"/>
  <c r="L296" i="1" a="1"/>
  <c r="L296" i="1" s="1"/>
  <c r="L403" i="1" a="1"/>
  <c r="L403" i="1" s="1"/>
  <c r="K403" i="1" a="1"/>
  <c r="K403" i="1" s="1"/>
  <c r="L127" i="1" a="1"/>
  <c r="L127" i="1" s="1"/>
  <c r="K127" i="1" a="1"/>
  <c r="K127" i="1" s="1"/>
  <c r="K737" i="1" a="1"/>
  <c r="K737" i="1" s="1"/>
  <c r="L737" i="1" a="1"/>
  <c r="L737" i="1" s="1"/>
  <c r="L372" i="1" a="1"/>
  <c r="L372" i="1" s="1"/>
  <c r="Q372" i="1" s="1" a="1"/>
  <c r="Q372" i="1" s="1"/>
  <c r="K372" i="1" a="1"/>
  <c r="K372" i="1" s="1"/>
  <c r="L370" i="1" a="1"/>
  <c r="L370" i="1" s="1"/>
  <c r="Q370" i="1" s="1" a="1"/>
  <c r="Q370" i="1" s="1"/>
  <c r="K370" i="1" a="1"/>
  <c r="K370" i="1" s="1"/>
  <c r="K540" i="1" a="1"/>
  <c r="K540" i="1" s="1"/>
  <c r="L540" i="1" a="1"/>
  <c r="L540" i="1" s="1"/>
  <c r="K637" i="1" a="1"/>
  <c r="K637" i="1" s="1"/>
  <c r="L637" i="1" a="1"/>
  <c r="L637" i="1" s="1"/>
  <c r="L797" i="1" a="1"/>
  <c r="L797" i="1" s="1"/>
  <c r="K797" i="1" a="1"/>
  <c r="K797" i="1" s="1"/>
  <c r="L629" i="1" a="1"/>
  <c r="L629" i="1" s="1"/>
  <c r="K629" i="1" a="1"/>
  <c r="K629" i="1" s="1"/>
  <c r="L649" i="1" a="1"/>
  <c r="L649" i="1" s="1"/>
  <c r="K649" i="1" a="1"/>
  <c r="K649" i="1" s="1"/>
  <c r="K12" i="1" a="1"/>
  <c r="K12" i="1" s="1"/>
  <c r="L12" i="1" a="1"/>
  <c r="L12" i="1" s="1"/>
  <c r="Q12" i="1" s="1" a="1"/>
  <c r="Q12" i="1" s="1"/>
  <c r="L400" i="1" a="1"/>
  <c r="L400" i="1" s="1"/>
  <c r="K400" i="1" a="1"/>
  <c r="K400" i="1" s="1"/>
  <c r="L380" i="1" a="1"/>
  <c r="L380" i="1" s="1"/>
  <c r="K380" i="1" a="1"/>
  <c r="K380" i="1" s="1"/>
  <c r="K670" i="1" a="1"/>
  <c r="K670" i="1" s="1"/>
  <c r="L670" i="1" a="1"/>
  <c r="L670" i="1" s="1"/>
  <c r="L305" i="1" a="1"/>
  <c r="L305" i="1" s="1"/>
  <c r="K305" i="1" a="1"/>
  <c r="K305" i="1" s="1"/>
  <c r="L56" i="1" a="1"/>
  <c r="L56" i="1" s="1"/>
  <c r="K56" i="1" a="1"/>
  <c r="K56" i="1" s="1"/>
  <c r="L417" i="1" a="1"/>
  <c r="L417" i="1" s="1"/>
  <c r="Q417" i="1" s="1" a="1"/>
  <c r="Q417" i="1" s="1"/>
  <c r="K417" i="1" a="1"/>
  <c r="K417" i="1" s="1"/>
  <c r="L798" i="1" a="1"/>
  <c r="L798" i="1" s="1"/>
  <c r="K798" i="1" a="1"/>
  <c r="K798" i="1" s="1"/>
  <c r="L240" i="1" a="1"/>
  <c r="L240" i="1" s="1"/>
  <c r="K240" i="1" a="1"/>
  <c r="K240" i="1" s="1"/>
  <c r="L386" i="1" a="1"/>
  <c r="L386" i="1" s="1"/>
  <c r="K386" i="1" a="1"/>
  <c r="K386" i="1" s="1"/>
  <c r="K243" i="1" a="1"/>
  <c r="K243" i="1" s="1"/>
  <c r="L243" i="1" a="1"/>
  <c r="L243" i="1" s="1"/>
  <c r="Q243" i="1" s="1" a="1"/>
  <c r="Q243" i="1" s="1"/>
  <c r="L161" i="1" a="1"/>
  <c r="L161" i="1" s="1"/>
  <c r="K161" i="1" a="1"/>
  <c r="K161" i="1" s="1"/>
  <c r="K733" i="1" a="1"/>
  <c r="K733" i="1" s="1"/>
  <c r="L733" i="1" a="1"/>
  <c r="L733" i="1" s="1"/>
  <c r="Q733" i="1" s="1" a="1"/>
  <c r="Q733" i="1" s="1"/>
  <c r="K302" i="1" a="1"/>
  <c r="K302" i="1" s="1"/>
  <c r="L302" i="1" a="1"/>
  <c r="L302" i="1" s="1"/>
  <c r="L371" i="1" a="1"/>
  <c r="L371" i="1" s="1"/>
  <c r="K371" i="1" a="1"/>
  <c r="K371" i="1" s="1"/>
  <c r="T378" i="1" a="1"/>
  <c r="T378" i="1" s="1"/>
  <c r="Q378" i="1" a="1"/>
  <c r="Q378" i="1" s="1"/>
  <c r="L651" i="1" a="1"/>
  <c r="L651" i="1" s="1"/>
  <c r="K651" i="1" a="1"/>
  <c r="K651" i="1" s="1"/>
  <c r="L394" i="1" a="1"/>
  <c r="L394" i="1" s="1"/>
  <c r="K394" i="1" a="1"/>
  <c r="K394" i="1" s="1"/>
  <c r="L227" i="1" a="1"/>
  <c r="L227" i="1" s="1"/>
  <c r="K227" i="1" a="1"/>
  <c r="K227" i="1" s="1"/>
  <c r="L504" i="1" a="1"/>
  <c r="L504" i="1" s="1"/>
  <c r="K504" i="1" a="1"/>
  <c r="K504" i="1" s="1"/>
  <c r="L345" i="1" a="1"/>
  <c r="L345" i="1" s="1"/>
  <c r="K345" i="1" a="1"/>
  <c r="K345" i="1" s="1"/>
  <c r="L158" i="1" a="1"/>
  <c r="L158" i="1" s="1"/>
  <c r="K158" i="1" a="1"/>
  <c r="K158" i="1" s="1"/>
  <c r="L179" i="1" a="1"/>
  <c r="L179" i="1" s="1"/>
  <c r="K179" i="1" a="1"/>
  <c r="K179" i="1" s="1"/>
  <c r="L48" i="1" a="1"/>
  <c r="L48" i="1" s="1"/>
  <c r="K48" i="1" a="1"/>
  <c r="K48" i="1" s="1"/>
  <c r="L101" i="1" a="1"/>
  <c r="L101" i="1" s="1"/>
  <c r="K101" i="1" a="1"/>
  <c r="K101" i="1" s="1"/>
  <c r="L147" i="1" a="1"/>
  <c r="L147" i="1" s="1"/>
  <c r="K147" i="1" a="1"/>
  <c r="K147" i="1" s="1"/>
  <c r="L794" i="1" a="1"/>
  <c r="L794" i="1" s="1"/>
  <c r="K794" i="1" a="1"/>
  <c r="K794" i="1" s="1"/>
  <c r="L94" i="1" a="1"/>
  <c r="L94" i="1" s="1"/>
  <c r="Q94" i="1" s="1" a="1"/>
  <c r="Q94" i="1" s="1"/>
  <c r="K94" i="1" a="1"/>
  <c r="K94" i="1" s="1"/>
  <c r="L712" i="1" a="1"/>
  <c r="L712" i="1" s="1"/>
  <c r="K712" i="1" a="1"/>
  <c r="K712" i="1" s="1"/>
  <c r="L510" i="1" a="1"/>
  <c r="L510" i="1" s="1"/>
  <c r="K510" i="1" a="1"/>
  <c r="K510" i="1" s="1"/>
  <c r="K215" i="1" a="1"/>
  <c r="K215" i="1" s="1"/>
  <c r="T107" i="1" a="1"/>
  <c r="T107" i="1" s="1"/>
  <c r="K700" i="1" a="1"/>
  <c r="K700" i="1" s="1"/>
  <c r="L700" i="1" a="1"/>
  <c r="L700" i="1" s="1"/>
  <c r="Q700" i="1" s="1" a="1"/>
  <c r="Q700" i="1" s="1"/>
  <c r="K259" i="1" a="1"/>
  <c r="K259" i="1" s="1"/>
  <c r="L259" i="1" a="1"/>
  <c r="L259" i="1" s="1"/>
  <c r="Q259" i="1" s="1" a="1"/>
  <c r="Q259" i="1" s="1"/>
  <c r="L337" i="1" a="1"/>
  <c r="L337" i="1" s="1"/>
  <c r="Q337" i="1" s="1" a="1"/>
  <c r="Q337" i="1" s="1"/>
  <c r="K337" i="1" a="1"/>
  <c r="K337" i="1" s="1"/>
  <c r="T52" i="1" a="1"/>
  <c r="T52" i="1" s="1"/>
  <c r="Q52" i="1" a="1"/>
  <c r="Q52" i="1" s="1"/>
  <c r="L419" i="1" a="1"/>
  <c r="L419" i="1" s="1"/>
  <c r="K419" i="1" a="1"/>
  <c r="K419" i="1" s="1"/>
  <c r="T277" i="1" a="1"/>
  <c r="T277" i="1" s="1"/>
  <c r="Q277" i="1" a="1"/>
  <c r="Q277" i="1" s="1"/>
  <c r="L491" i="1" a="1"/>
  <c r="L491" i="1" s="1"/>
  <c r="K491" i="1" a="1"/>
  <c r="K491" i="1" s="1"/>
  <c r="L178" i="1" a="1"/>
  <c r="L178" i="1" s="1"/>
  <c r="K178" i="1" a="1"/>
  <c r="K178" i="1" s="1"/>
  <c r="L128" i="1" a="1"/>
  <c r="L128" i="1" s="1"/>
  <c r="K128" i="1" a="1"/>
  <c r="K128" i="1" s="1"/>
  <c r="Q428" i="1" a="1"/>
  <c r="Q428" i="1" s="1"/>
  <c r="L555" i="1" a="1"/>
  <c r="L555" i="1" s="1"/>
  <c r="K555" i="1" a="1"/>
  <c r="K555" i="1" s="1"/>
  <c r="L458" i="1" a="1"/>
  <c r="L458" i="1" s="1"/>
  <c r="K458" i="1" a="1"/>
  <c r="K458" i="1" s="1"/>
  <c r="L562" i="1" a="1"/>
  <c r="L562" i="1" s="1"/>
  <c r="K562" i="1" a="1"/>
  <c r="K562" i="1" s="1"/>
  <c r="L97" i="1" a="1"/>
  <c r="L97" i="1" s="1"/>
  <c r="K97" i="1" a="1"/>
  <c r="K97" i="1" s="1"/>
  <c r="L358" i="1" a="1"/>
  <c r="L358" i="1" s="1"/>
  <c r="Q358" i="1" s="1" a="1"/>
  <c r="Q358" i="1" s="1"/>
  <c r="K358" i="1" a="1"/>
  <c r="K358" i="1" s="1"/>
  <c r="L198" i="1" a="1"/>
  <c r="L198" i="1" s="1"/>
  <c r="K198" i="1" a="1"/>
  <c r="K198" i="1" s="1"/>
  <c r="K487" i="1" a="1"/>
  <c r="K487" i="1" s="1"/>
  <c r="K391" i="1" a="1"/>
  <c r="K391" i="1" s="1"/>
  <c r="K19" i="1" a="1"/>
  <c r="K19" i="1" s="1"/>
  <c r="K601" i="1" a="1"/>
  <c r="K601" i="1" s="1"/>
  <c r="T601" i="1" s="1" a="1"/>
  <c r="T601" i="1" s="1"/>
  <c r="K711" i="1" a="1"/>
  <c r="K711" i="1" s="1"/>
  <c r="T711" i="1" s="1" a="1"/>
  <c r="T711" i="1" s="1"/>
  <c r="K229" i="1" a="1"/>
  <c r="K229" i="1" s="1"/>
  <c r="T229" i="1" s="1" a="1"/>
  <c r="T229" i="1" s="1"/>
  <c r="K288" i="1" a="1"/>
  <c r="K288" i="1" s="1"/>
  <c r="L288" i="1" a="1"/>
  <c r="L288" i="1" s="1"/>
  <c r="Q288" i="1" s="1" a="1"/>
  <c r="Q288" i="1" s="1"/>
  <c r="L581" i="1" a="1"/>
  <c r="L581" i="1" s="1"/>
  <c r="Q581" i="1" s="1" a="1"/>
  <c r="Q581" i="1" s="1"/>
  <c r="K581" i="1" a="1"/>
  <c r="K581" i="1" s="1"/>
  <c r="L65" i="1" a="1"/>
  <c r="L65" i="1" s="1"/>
  <c r="K65" i="1" a="1"/>
  <c r="K65" i="1" s="1"/>
  <c r="L212" i="1" a="1"/>
  <c r="L212" i="1" s="1"/>
  <c r="K212" i="1" a="1"/>
  <c r="K212" i="1" s="1"/>
  <c r="Q364" i="1" a="1"/>
  <c r="Q364" i="1" s="1"/>
  <c r="L551" i="1" a="1"/>
  <c r="L551" i="1" s="1"/>
  <c r="K551" i="1" a="1"/>
  <c r="K551" i="1" s="1"/>
  <c r="L771" i="1" a="1"/>
  <c r="L771" i="1" s="1"/>
  <c r="K771" i="1" a="1"/>
  <c r="K771" i="1" s="1"/>
  <c r="L576" i="1" a="1"/>
  <c r="L576" i="1" s="1"/>
  <c r="K576" i="1" a="1"/>
  <c r="K576" i="1" s="1"/>
  <c r="L126" i="1" a="1"/>
  <c r="L126" i="1" s="1"/>
  <c r="K126" i="1" a="1"/>
  <c r="K126" i="1" s="1"/>
  <c r="L591" i="1" a="1"/>
  <c r="L591" i="1" s="1"/>
  <c r="K591" i="1" a="1"/>
  <c r="K591" i="1" s="1"/>
  <c r="L356" i="1" a="1"/>
  <c r="L356" i="1" s="1"/>
  <c r="Q356" i="1" s="1" a="1"/>
  <c r="Q356" i="1" s="1"/>
  <c r="K356" i="1" a="1"/>
  <c r="K356" i="1" s="1"/>
  <c r="T439" i="1" a="1"/>
  <c r="T439" i="1" s="1"/>
  <c r="Q439" i="1" a="1"/>
  <c r="Q439" i="1" s="1"/>
  <c r="L687" i="1" a="1"/>
  <c r="L687" i="1" s="1"/>
  <c r="K687" i="1" a="1"/>
  <c r="K687" i="1" s="1"/>
  <c r="T575" i="1" a="1"/>
  <c r="T575" i="1" s="1"/>
  <c r="Q575" i="1" a="1"/>
  <c r="Q575" i="1" s="1"/>
  <c r="L216" i="1" a="1"/>
  <c r="L216" i="1" s="1"/>
  <c r="K216" i="1" a="1"/>
  <c r="K216" i="1" s="1"/>
  <c r="K407" i="1" a="1"/>
  <c r="K407" i="1" s="1"/>
  <c r="L407" i="1" a="1"/>
  <c r="L407" i="1" s="1"/>
  <c r="Q407" i="1" s="1" a="1"/>
  <c r="Q407" i="1" s="1"/>
  <c r="L749" i="1" a="1"/>
  <c r="L749" i="1" s="1"/>
  <c r="K749" i="1" a="1"/>
  <c r="K749" i="1" s="1"/>
  <c r="L375" i="1" a="1"/>
  <c r="L375" i="1" s="1"/>
  <c r="Q375" i="1" s="1" a="1"/>
  <c r="Q375" i="1" s="1"/>
  <c r="K375" i="1" a="1"/>
  <c r="K375" i="1" s="1"/>
  <c r="L440" i="1" a="1"/>
  <c r="L440" i="1" s="1"/>
  <c r="K440" i="1" a="1"/>
  <c r="K440" i="1" s="1"/>
  <c r="L281" i="1" a="1"/>
  <c r="L281" i="1" s="1"/>
  <c r="Q281" i="1" s="1" a="1"/>
  <c r="Q281" i="1" s="1"/>
  <c r="K281" i="1" a="1"/>
  <c r="K281" i="1" s="1"/>
  <c r="L155" i="1" a="1"/>
  <c r="L155" i="1" s="1"/>
  <c r="K155" i="1" a="1"/>
  <c r="K155" i="1" s="1"/>
  <c r="L355" i="1" a="1"/>
  <c r="L355" i="1" s="1"/>
  <c r="Q355" i="1" s="1" a="1"/>
  <c r="Q355" i="1" s="1"/>
  <c r="K355" i="1" a="1"/>
  <c r="K355" i="1" s="1"/>
  <c r="L322" i="1" a="1"/>
  <c r="L322" i="1" s="1"/>
  <c r="K322" i="1" a="1"/>
  <c r="K322" i="1" s="1"/>
  <c r="K657" i="1" a="1"/>
  <c r="K657" i="1" s="1"/>
  <c r="K560" i="1" a="1"/>
  <c r="K560" i="1" s="1"/>
  <c r="T560" i="1" s="1" a="1"/>
  <c r="T560" i="1" s="1"/>
  <c r="K529" i="1" a="1"/>
  <c r="K529" i="1" s="1"/>
  <c r="K543" i="1" a="1"/>
  <c r="K543" i="1" s="1"/>
  <c r="K396" i="1" a="1"/>
  <c r="K396" i="1" s="1"/>
  <c r="L369" i="1" a="1"/>
  <c r="L369" i="1" s="1"/>
  <c r="T310" i="1" a="1"/>
  <c r="T310" i="1" s="1"/>
  <c r="T319" i="1" a="1"/>
  <c r="T319" i="1" s="1"/>
  <c r="L689" i="1" a="1"/>
  <c r="L689" i="1" s="1"/>
  <c r="K689" i="1" a="1"/>
  <c r="K689" i="1" s="1"/>
  <c r="K340" i="1" a="1"/>
  <c r="K340" i="1" s="1"/>
  <c r="L340" i="1" a="1"/>
  <c r="L340" i="1" s="1"/>
  <c r="Q340" i="1" s="1" a="1"/>
  <c r="Q340" i="1" s="1"/>
  <c r="K461" i="1" a="1"/>
  <c r="K461" i="1" s="1"/>
  <c r="L461" i="1" a="1"/>
  <c r="L461" i="1" s="1"/>
  <c r="T135" i="1" a="1"/>
  <c r="T135" i="1" s="1"/>
  <c r="Q135" i="1" a="1"/>
  <c r="Q135" i="1" s="1"/>
  <c r="L620" i="1" a="1"/>
  <c r="L620" i="1" s="1"/>
  <c r="Q620" i="1" s="1" a="1"/>
  <c r="Q620" i="1" s="1"/>
  <c r="K620" i="1" a="1"/>
  <c r="K620" i="1" s="1"/>
  <c r="L228" i="1" a="1"/>
  <c r="L228" i="1" s="1"/>
  <c r="K228" i="1" a="1"/>
  <c r="K228" i="1" s="1"/>
  <c r="L218" i="1" a="1"/>
  <c r="L218" i="1" s="1"/>
  <c r="K218" i="1" a="1"/>
  <c r="K218" i="1" s="1"/>
  <c r="L51" i="1" a="1"/>
  <c r="L51" i="1" s="1"/>
  <c r="K51" i="1" a="1"/>
  <c r="K51" i="1" s="1"/>
  <c r="L661" i="1" a="1"/>
  <c r="L661" i="1" s="1"/>
  <c r="K661" i="1" a="1"/>
  <c r="K661" i="1" s="1"/>
  <c r="T233" i="1" a="1"/>
  <c r="T233" i="1" s="1"/>
  <c r="Q233" i="1" a="1"/>
  <c r="Q233" i="1" s="1"/>
  <c r="L715" i="1" a="1"/>
  <c r="L715" i="1" s="1"/>
  <c r="K715" i="1" a="1"/>
  <c r="K715" i="1" s="1"/>
  <c r="T726" i="1" a="1"/>
  <c r="T726" i="1" s="1"/>
  <c r="Q726" i="1" a="1"/>
  <c r="Q726" i="1" s="1"/>
  <c r="T621" i="1" a="1"/>
  <c r="T621" i="1" s="1"/>
  <c r="Q621" i="1" a="1"/>
  <c r="Q621" i="1" s="1"/>
  <c r="L81" i="1" a="1"/>
  <c r="L81" i="1" s="1"/>
  <c r="K81" i="1" a="1"/>
  <c r="K81" i="1" s="1"/>
  <c r="K267" i="1" a="1"/>
  <c r="K267" i="1" s="1"/>
  <c r="L267" i="1" a="1"/>
  <c r="L267" i="1" s="1"/>
  <c r="L299" i="1" a="1"/>
  <c r="L299" i="1" s="1"/>
  <c r="K299" i="1" a="1"/>
  <c r="K299" i="1" s="1"/>
  <c r="L286" i="1" a="1"/>
  <c r="L286" i="1" s="1"/>
  <c r="K286" i="1" a="1"/>
  <c r="K286" i="1" s="1"/>
  <c r="T367" i="1" a="1"/>
  <c r="T367" i="1" s="1"/>
  <c r="Q367" i="1" a="1"/>
  <c r="Q367" i="1" s="1"/>
  <c r="L681" i="1" a="1"/>
  <c r="L681" i="1" s="1"/>
  <c r="K681" i="1" a="1"/>
  <c r="K681" i="1" s="1"/>
  <c r="L166" i="1" a="1"/>
  <c r="L166" i="1" s="1"/>
  <c r="K166" i="1" a="1"/>
  <c r="K166" i="1" s="1"/>
  <c r="K739" i="1" a="1"/>
  <c r="K739" i="1" s="1"/>
  <c r="L739" i="1" a="1"/>
  <c r="L739" i="1" s="1"/>
  <c r="Q739" i="1" s="1" a="1"/>
  <c r="Q739" i="1" s="1"/>
  <c r="K173" i="1" a="1"/>
  <c r="K173" i="1" s="1"/>
  <c r="L173" i="1" a="1"/>
  <c r="L173" i="1" s="1"/>
  <c r="L505" i="1" a="1"/>
  <c r="L505" i="1" s="1"/>
  <c r="K505" i="1" a="1"/>
  <c r="K505" i="1" s="1"/>
  <c r="K213" i="1" a="1"/>
  <c r="K213" i="1" s="1"/>
  <c r="L213" i="1" a="1"/>
  <c r="L213" i="1" s="1"/>
  <c r="L410" i="1" a="1"/>
  <c r="L410" i="1" s="1"/>
  <c r="K410" i="1" a="1"/>
  <c r="K410" i="1" s="1"/>
  <c r="L433" i="1" a="1"/>
  <c r="L433" i="1" s="1"/>
  <c r="K433" i="1" a="1"/>
  <c r="K433" i="1" s="1"/>
  <c r="K168" i="1" a="1"/>
  <c r="K168" i="1" s="1"/>
  <c r="K691" i="1" a="1"/>
  <c r="K691" i="1" s="1"/>
  <c r="K537" i="1" a="1"/>
  <c r="K537" i="1" s="1"/>
  <c r="T537" i="1" s="1" a="1"/>
  <c r="T537" i="1" s="1"/>
  <c r="K294" i="1" a="1"/>
  <c r="K294" i="1" s="1"/>
  <c r="T294" i="1" s="1" a="1"/>
  <c r="T294" i="1" s="1"/>
  <c r="K72" i="1" a="1"/>
  <c r="K72" i="1" s="1"/>
  <c r="T72" i="1" s="1" a="1"/>
  <c r="T72" i="1" s="1"/>
  <c r="K270" i="1" a="1"/>
  <c r="K270" i="1" s="1"/>
  <c r="K508" i="1" a="1"/>
  <c r="K508" i="1" s="1"/>
  <c r="K273" i="1" a="1"/>
  <c r="K273" i="1" s="1"/>
  <c r="K148" i="1" a="1"/>
  <c r="K148" i="1" s="1"/>
  <c r="T148" i="1" s="1" a="1"/>
  <c r="T148" i="1" s="1"/>
  <c r="L408" i="1" a="1"/>
  <c r="L408" i="1" s="1"/>
  <c r="T427" i="1" a="1"/>
  <c r="T427" i="1" s="1"/>
  <c r="Q427" i="1" a="1"/>
  <c r="Q427" i="1" s="1"/>
  <c r="T9" i="1" a="1"/>
  <c r="T9" i="1" s="1"/>
  <c r="Q9" i="1" a="1"/>
  <c r="Q9" i="1" s="1"/>
  <c r="T275" i="1" a="1"/>
  <c r="T275" i="1" s="1"/>
  <c r="Q275" i="1" a="1"/>
  <c r="Q275" i="1" s="1"/>
  <c r="T757" i="1" a="1"/>
  <c r="T757" i="1" s="1"/>
  <c r="Q757" i="1" a="1"/>
  <c r="Q757" i="1" s="1"/>
  <c r="L27" i="1" a="1"/>
  <c r="L27" i="1" s="1"/>
  <c r="Q27" i="1" s="1" a="1"/>
  <c r="Q27" i="1" s="1"/>
  <c r="K27" i="1" a="1"/>
  <c r="K27" i="1" s="1"/>
  <c r="L482" i="1" a="1"/>
  <c r="L482" i="1" s="1"/>
  <c r="K482" i="1" a="1"/>
  <c r="K482" i="1" s="1"/>
  <c r="K293" i="1" a="1"/>
  <c r="K293" i="1" s="1"/>
  <c r="L293" i="1" a="1"/>
  <c r="L293" i="1" s="1"/>
  <c r="L248" i="1" a="1"/>
  <c r="L248" i="1" s="1"/>
  <c r="Q248" i="1" s="1" a="1"/>
  <c r="Q248" i="1" s="1"/>
  <c r="K248" i="1" a="1"/>
  <c r="K248" i="1" s="1"/>
  <c r="K34" i="1" a="1"/>
  <c r="K34" i="1" s="1"/>
  <c r="L34" i="1" a="1"/>
  <c r="L34" i="1" s="1"/>
  <c r="Q34" i="1" s="1" a="1"/>
  <c r="Q34" i="1" s="1"/>
  <c r="L274" i="1" a="1"/>
  <c r="L274" i="1" s="1"/>
  <c r="K274" i="1" a="1"/>
  <c r="K274" i="1" s="1"/>
  <c r="L250" i="1" a="1"/>
  <c r="L250" i="1" s="1"/>
  <c r="K250" i="1" a="1"/>
  <c r="K250" i="1" s="1"/>
  <c r="L763" i="1" a="1"/>
  <c r="L763" i="1" s="1"/>
  <c r="K763" i="1" a="1"/>
  <c r="K763" i="1" s="1"/>
  <c r="L679" i="1" a="1"/>
  <c r="L679" i="1" s="1"/>
  <c r="K679" i="1" a="1"/>
  <c r="K679" i="1" s="1"/>
  <c r="L441" i="1" a="1"/>
  <c r="L441" i="1" s="1"/>
  <c r="K441" i="1" a="1"/>
  <c r="K441" i="1" s="1"/>
  <c r="L112" i="1" a="1"/>
  <c r="L112" i="1" s="1"/>
  <c r="K112" i="1" a="1"/>
  <c r="K112" i="1" s="1"/>
  <c r="L388" i="1" a="1"/>
  <c r="L388" i="1" s="1"/>
  <c r="K388" i="1" a="1"/>
  <c r="K388" i="1" s="1"/>
  <c r="L558" i="1" a="1"/>
  <c r="L558" i="1" s="1"/>
  <c r="Q558" i="1" s="1" a="1"/>
  <c r="Q558" i="1" s="1"/>
  <c r="K558" i="1" a="1"/>
  <c r="K558" i="1" s="1"/>
  <c r="K364" i="1" a="1"/>
  <c r="K364" i="1" s="1"/>
  <c r="T364" i="1" s="1" a="1"/>
  <c r="T364" i="1" s="1"/>
  <c r="K66" i="1" a="1"/>
  <c r="K66" i="1" s="1"/>
  <c r="K765" i="1" a="1"/>
  <c r="K765" i="1" s="1"/>
  <c r="T765" i="1" s="1" a="1"/>
  <c r="T765" i="1" s="1"/>
  <c r="K53" i="1" a="1"/>
  <c r="K53" i="1" s="1"/>
  <c r="K257" i="1" a="1"/>
  <c r="K257" i="1" s="1"/>
  <c r="K759" i="1" a="1"/>
  <c r="K759" i="1" s="1"/>
  <c r="T759" i="1" s="1" a="1"/>
  <c r="T759" i="1" s="1"/>
  <c r="L429" i="1" a="1"/>
  <c r="L429" i="1" s="1"/>
  <c r="Q429" i="1" s="1" a="1"/>
  <c r="Q429" i="1" s="1"/>
  <c r="K429" i="1" a="1"/>
  <c r="K429" i="1" s="1"/>
  <c r="L738" i="1" a="1"/>
  <c r="L738" i="1" s="1"/>
  <c r="K738" i="1" a="1"/>
  <c r="K738" i="1" s="1"/>
  <c r="L163" i="1" a="1"/>
  <c r="L163" i="1" s="1"/>
  <c r="K163" i="1" a="1"/>
  <c r="K163" i="1" s="1"/>
  <c r="T257" i="1" a="1"/>
  <c r="T257" i="1" s="1"/>
  <c r="Q257" i="1" a="1"/>
  <c r="Q257" i="1" s="1"/>
  <c r="L292" i="1" a="1"/>
  <c r="L292" i="1" s="1"/>
  <c r="K292" i="1" a="1"/>
  <c r="K292" i="1" s="1"/>
  <c r="T667" i="1" a="1"/>
  <c r="T667" i="1" s="1"/>
  <c r="Q667" i="1" a="1"/>
  <c r="Q667" i="1" s="1"/>
  <c r="Q72" i="1" a="1"/>
  <c r="Q72" i="1" s="1"/>
  <c r="L682" i="1" a="1"/>
  <c r="L682" i="1" s="1"/>
  <c r="K682" i="1" a="1"/>
  <c r="K682" i="1" s="1"/>
  <c r="T755" i="1" a="1"/>
  <c r="T755" i="1" s="1"/>
  <c r="Q755" i="1" a="1"/>
  <c r="Q755" i="1" s="1"/>
  <c r="K502" i="1" a="1"/>
  <c r="K502" i="1" s="1"/>
  <c r="L502" i="1" a="1"/>
  <c r="L502" i="1" s="1"/>
  <c r="T146" i="1" a="1"/>
  <c r="T146" i="1" s="1"/>
  <c r="Q146" i="1" a="1"/>
  <c r="Q146" i="1" s="1"/>
  <c r="L387" i="1" a="1"/>
  <c r="L387" i="1" s="1"/>
  <c r="K387" i="1" a="1"/>
  <c r="K387" i="1" s="1"/>
  <c r="L334" i="1" a="1"/>
  <c r="L334" i="1" s="1"/>
  <c r="K334" i="1" a="1"/>
  <c r="K334" i="1" s="1"/>
  <c r="L632" i="1" a="1"/>
  <c r="L632" i="1" s="1"/>
  <c r="Q632" i="1" s="1" a="1"/>
  <c r="Q632" i="1" s="1"/>
  <c r="K632" i="1" a="1"/>
  <c r="K632" i="1" s="1"/>
  <c r="K586" i="1" a="1"/>
  <c r="K586" i="1" s="1"/>
  <c r="L586" i="1" a="1"/>
  <c r="L586" i="1" s="1"/>
  <c r="Q586" i="1" s="1" a="1"/>
  <c r="Q586" i="1" s="1"/>
  <c r="L241" i="1" a="1"/>
  <c r="L241" i="1" s="1"/>
  <c r="K241" i="1" a="1"/>
  <c r="K241" i="1" s="1"/>
  <c r="L414" i="1" a="1"/>
  <c r="L414" i="1" s="1"/>
  <c r="K414" i="1" a="1"/>
  <c r="K414" i="1" s="1"/>
  <c r="L612" i="1" a="1"/>
  <c r="L612" i="1" s="1"/>
  <c r="K612" i="1" a="1"/>
  <c r="K612" i="1" s="1"/>
  <c r="K315" i="1" a="1"/>
  <c r="K315" i="1" s="1"/>
  <c r="T315" i="1" s="1" a="1"/>
  <c r="T315" i="1" s="1"/>
  <c r="K709" i="1" a="1"/>
  <c r="K709" i="1" s="1"/>
  <c r="K107" i="1" a="1"/>
  <c r="K107" i="1" s="1"/>
  <c r="K757" i="1" a="1"/>
  <c r="K757" i="1" s="1"/>
  <c r="K181" i="1" a="1"/>
  <c r="K181" i="1" s="1"/>
  <c r="K83" i="1" a="1"/>
  <c r="K83" i="1" s="1"/>
  <c r="T83" i="1" s="1" a="1"/>
  <c r="T83" i="1" s="1"/>
  <c r="K326" i="1" a="1"/>
  <c r="K326" i="1" s="1"/>
  <c r="L90" i="1" a="1"/>
  <c r="L90" i="1" s="1"/>
  <c r="K284" i="1" a="1"/>
  <c r="K284" i="1" s="1"/>
  <c r="L284" i="1" a="1"/>
  <c r="L284" i="1" s="1"/>
  <c r="L43" i="1" a="1"/>
  <c r="L43" i="1" s="1"/>
  <c r="K43" i="1" a="1"/>
  <c r="K43" i="1" s="1"/>
  <c r="L675" i="1" a="1"/>
  <c r="L675" i="1" s="1"/>
  <c r="K675" i="1" a="1"/>
  <c r="K675" i="1" s="1"/>
  <c r="L476" i="1" a="1"/>
  <c r="L476" i="1" s="1"/>
  <c r="K476" i="1" a="1"/>
  <c r="K476" i="1" s="1"/>
  <c r="L769" i="1" a="1"/>
  <c r="L769" i="1" s="1"/>
  <c r="K769" i="1" a="1"/>
  <c r="K769" i="1" s="1"/>
  <c r="L203" i="1" a="1"/>
  <c r="L203" i="1" s="1"/>
  <c r="Q203" i="1" s="1" a="1"/>
  <c r="Q203" i="1" s="1"/>
  <c r="K203" i="1" a="1"/>
  <c r="K203" i="1" s="1"/>
  <c r="T338" i="1" a="1"/>
  <c r="T338" i="1" s="1"/>
  <c r="Q338" i="1" a="1"/>
  <c r="Q338" i="1" s="1"/>
  <c r="L781" i="1" a="1"/>
  <c r="L781" i="1" s="1"/>
  <c r="K781" i="1" a="1"/>
  <c r="K781" i="1" s="1"/>
  <c r="L573" i="1" a="1"/>
  <c r="L573" i="1" s="1"/>
  <c r="Q573" i="1" s="1" a="1"/>
  <c r="Q573" i="1" s="1"/>
  <c r="K573" i="1" a="1"/>
  <c r="K573" i="1" s="1"/>
  <c r="L120" i="1" a="1"/>
  <c r="L120" i="1" s="1"/>
  <c r="K120" i="1" a="1"/>
  <c r="K120" i="1" s="1"/>
  <c r="T396" i="1" a="1"/>
  <c r="T396" i="1" s="1"/>
  <c r="Q254" i="1" a="1"/>
  <c r="Q254" i="1" s="1"/>
  <c r="T31" i="1" a="1"/>
  <c r="T31" i="1" s="1"/>
  <c r="Q31" i="1" a="1"/>
  <c r="Q31" i="1" s="1"/>
  <c r="L70" i="1" a="1"/>
  <c r="L70" i="1" s="1"/>
  <c r="Q70" i="1" s="1" a="1"/>
  <c r="Q70" i="1" s="1"/>
  <c r="K70" i="1" a="1"/>
  <c r="K70" i="1" s="1"/>
  <c r="L262" i="1" a="1"/>
  <c r="L262" i="1" s="1"/>
  <c r="K262" i="1" a="1"/>
  <c r="K262" i="1" s="1"/>
  <c r="L524" i="1" a="1"/>
  <c r="L524" i="1" s="1"/>
  <c r="K524" i="1" a="1"/>
  <c r="K524" i="1" s="1"/>
  <c r="L21" i="1" a="1"/>
  <c r="L21" i="1" s="1"/>
  <c r="Q21" i="1" s="1" a="1"/>
  <c r="Q21" i="1" s="1"/>
  <c r="K21" i="1" a="1"/>
  <c r="K21" i="1" s="1"/>
  <c r="L165" i="1" a="1"/>
  <c r="L165" i="1" s="1"/>
  <c r="K165" i="1" a="1"/>
  <c r="K165" i="1" s="1"/>
  <c r="L559" i="1" a="1"/>
  <c r="L559" i="1" s="1"/>
  <c r="Q559" i="1" s="1" a="1"/>
  <c r="Q559" i="1" s="1"/>
  <c r="K559" i="1" a="1"/>
  <c r="K559" i="1" s="1"/>
  <c r="Q478" i="1" a="1"/>
  <c r="Q478" i="1" s="1"/>
  <c r="K693" i="1" a="1"/>
  <c r="K693" i="1" s="1"/>
  <c r="L693" i="1" a="1"/>
  <c r="L693" i="1" s="1"/>
  <c r="K99" i="1" a="1"/>
  <c r="K99" i="1" s="1"/>
  <c r="L99" i="1" a="1"/>
  <c r="L99" i="1" s="1"/>
  <c r="L332" i="1" a="1"/>
  <c r="L332" i="1" s="1"/>
  <c r="K332" i="1" a="1"/>
  <c r="K332" i="1" s="1"/>
  <c r="K721" i="1" a="1"/>
  <c r="K721" i="1" s="1"/>
  <c r="L721" i="1" a="1"/>
  <c r="L721" i="1" s="1"/>
  <c r="T655" i="1" a="1"/>
  <c r="T655" i="1" s="1"/>
  <c r="Q655" i="1" a="1"/>
  <c r="Q655" i="1" s="1"/>
  <c r="L76" i="1" a="1"/>
  <c r="L76" i="1" s="1"/>
  <c r="K76" i="1" a="1"/>
  <c r="K76" i="1" s="1"/>
  <c r="L397" i="1" a="1"/>
  <c r="L397" i="1" s="1"/>
  <c r="K397" i="1" a="1"/>
  <c r="K397" i="1" s="1"/>
  <c r="K488" i="1" a="1"/>
  <c r="K488" i="1" s="1"/>
  <c r="K31" i="1" a="1"/>
  <c r="K31" i="1" s="1"/>
  <c r="K758" i="1" a="1"/>
  <c r="K758" i="1" s="1"/>
  <c r="K590" i="1" a="1"/>
  <c r="K590" i="1" s="1"/>
  <c r="T590" i="1" s="1" a="1"/>
  <c r="T590" i="1" s="1"/>
  <c r="K310" i="1" a="1"/>
  <c r="K310" i="1" s="1"/>
  <c r="K674" i="1" a="1"/>
  <c r="K674" i="1" s="1"/>
  <c r="T674" i="1" s="1" a="1"/>
  <c r="T674" i="1" s="1"/>
  <c r="K350" i="1" a="1"/>
  <c r="K350" i="1" s="1"/>
  <c r="T350" i="1" s="1" a="1"/>
  <c r="T350" i="1" s="1"/>
  <c r="L603" i="1" a="1"/>
  <c r="L603" i="1" s="1"/>
  <c r="L82" i="1" a="1"/>
  <c r="L82" i="1" s="1"/>
  <c r="L645" i="1" a="1"/>
  <c r="L645" i="1" s="1"/>
  <c r="Q465" i="1" a="1"/>
  <c r="Q465" i="1" s="1"/>
  <c r="K336" i="1" a="1"/>
  <c r="K336" i="1" s="1"/>
  <c r="L336" i="1" a="1"/>
  <c r="L336" i="1" s="1"/>
  <c r="K115" i="1" a="1"/>
  <c r="K115" i="1" s="1"/>
  <c r="L115" i="1" a="1"/>
  <c r="L115" i="1" s="1"/>
  <c r="L784" i="1" a="1"/>
  <c r="L784" i="1" s="1"/>
  <c r="K784" i="1" a="1"/>
  <c r="K784" i="1" s="1"/>
  <c r="L483" i="1" a="1"/>
  <c r="L483" i="1" s="1"/>
  <c r="K483" i="1" a="1"/>
  <c r="K483" i="1" s="1"/>
  <c r="L783" i="1" a="1"/>
  <c r="L783" i="1" s="1"/>
  <c r="K783" i="1" a="1"/>
  <c r="K783" i="1" s="1"/>
  <c r="L507" i="1" a="1"/>
  <c r="L507" i="1" s="1"/>
  <c r="K507" i="1" a="1"/>
  <c r="K507" i="1" s="1"/>
  <c r="K548" i="1" a="1"/>
  <c r="K548" i="1" s="1"/>
  <c r="K106" i="1" a="1"/>
  <c r="K106" i="1" s="1"/>
  <c r="K448" i="1" a="1"/>
  <c r="K448" i="1" s="1"/>
  <c r="K225" i="1" a="1"/>
  <c r="K225" i="1" s="1"/>
  <c r="L36" i="1" a="1"/>
  <c r="L36" i="1" s="1"/>
  <c r="L217" i="1" a="1"/>
  <c r="L217" i="1" s="1"/>
  <c r="L641" i="1" a="1"/>
  <c r="L641" i="1" s="1"/>
  <c r="K641" i="1" a="1"/>
  <c r="K641" i="1" s="1"/>
  <c r="K359" i="1" a="1"/>
  <c r="K359" i="1" s="1"/>
  <c r="L359" i="1" a="1"/>
  <c r="L359" i="1" s="1"/>
  <c r="L413" i="1" a="1"/>
  <c r="L413" i="1" s="1"/>
  <c r="K413" i="1" a="1"/>
  <c r="K413" i="1" s="1"/>
  <c r="L728" i="1" a="1"/>
  <c r="L728" i="1" s="1"/>
  <c r="K728" i="1" a="1"/>
  <c r="K728" i="1" s="1"/>
  <c r="L268" i="1" a="1"/>
  <c r="L268" i="1" s="1"/>
  <c r="Q268" i="1" s="1" a="1"/>
  <c r="Q268" i="1" s="1"/>
  <c r="K268" i="1" a="1"/>
  <c r="K268" i="1" s="1"/>
  <c r="K652" i="1" a="1"/>
  <c r="K652" i="1" s="1"/>
  <c r="L652" i="1" a="1"/>
  <c r="L652" i="1" s="1"/>
  <c r="Q652" i="1" s="1" a="1"/>
  <c r="Q652" i="1" s="1"/>
  <c r="T258" i="1" a="1"/>
  <c r="T258" i="1" s="1"/>
  <c r="Q258" i="1" a="1"/>
  <c r="Q258" i="1" s="1"/>
  <c r="T548" i="1" a="1"/>
  <c r="T548" i="1" s="1"/>
  <c r="Q548" i="1" a="1"/>
  <c r="Q548" i="1" s="1"/>
  <c r="L251" i="1" a="1"/>
  <c r="L251" i="1" s="1"/>
  <c r="K251" i="1" a="1"/>
  <c r="K251" i="1" s="1"/>
  <c r="L313" i="1" a="1"/>
  <c r="L313" i="1" s="1"/>
  <c r="K313" i="1" a="1"/>
  <c r="K313" i="1" s="1"/>
  <c r="L244" i="1" a="1"/>
  <c r="L244" i="1" s="1"/>
  <c r="K244" i="1" a="1"/>
  <c r="K244" i="1" s="1"/>
  <c r="L746" i="1" a="1"/>
  <c r="L746" i="1" s="1"/>
  <c r="K746" i="1" a="1"/>
  <c r="K746" i="1" s="1"/>
  <c r="L484" i="1" a="1"/>
  <c r="L484" i="1" s="1"/>
  <c r="K484" i="1" a="1"/>
  <c r="K484" i="1" s="1"/>
  <c r="L255" i="1" a="1"/>
  <c r="L255" i="1" s="1"/>
  <c r="K255" i="1" a="1"/>
  <c r="K255" i="1" s="1"/>
  <c r="K314" i="1" a="1"/>
  <c r="K314" i="1" s="1"/>
  <c r="L314" i="1" a="1"/>
  <c r="L314" i="1" s="1"/>
  <c r="Q314" i="1" s="1" a="1"/>
  <c r="Q314" i="1" s="1"/>
  <c r="L589" i="1" a="1"/>
  <c r="L589" i="1" s="1"/>
  <c r="K589" i="1" a="1"/>
  <c r="K589" i="1" s="1"/>
  <c r="L464" i="1" a="1"/>
  <c r="L464" i="1" s="1"/>
  <c r="K464" i="1" a="1"/>
  <c r="K464" i="1" s="1"/>
  <c r="T657" i="1" a="1"/>
  <c r="T657" i="1" s="1"/>
  <c r="L481" i="1" a="1"/>
  <c r="L481" i="1" s="1"/>
  <c r="Q481" i="1" s="1" a="1"/>
  <c r="Q481" i="1" s="1"/>
  <c r="K481" i="1" a="1"/>
  <c r="K481" i="1" s="1"/>
  <c r="L376" i="1" a="1"/>
  <c r="L376" i="1" s="1"/>
  <c r="Q376" i="1" s="1" a="1"/>
  <c r="Q376" i="1" s="1"/>
  <c r="K376" i="1" a="1"/>
  <c r="K376" i="1" s="1"/>
  <c r="L32" i="1" a="1"/>
  <c r="L32" i="1" s="1"/>
  <c r="K32" i="1" a="1"/>
  <c r="K32" i="1" s="1"/>
  <c r="L490" i="1" a="1"/>
  <c r="L490" i="1" s="1"/>
  <c r="K490" i="1" a="1"/>
  <c r="K490" i="1" s="1"/>
  <c r="K109" i="1" a="1"/>
  <c r="K109" i="1" s="1"/>
  <c r="L109" i="1" a="1"/>
  <c r="L109" i="1" s="1"/>
  <c r="L211" i="1" a="1"/>
  <c r="L211" i="1" s="1"/>
  <c r="Q211" i="1" s="1" a="1"/>
  <c r="Q211" i="1" s="1"/>
  <c r="K211" i="1" a="1"/>
  <c r="K211" i="1" s="1"/>
  <c r="L676" i="1" a="1"/>
  <c r="L676" i="1" s="1"/>
  <c r="K676" i="1" a="1"/>
  <c r="K676" i="1" s="1"/>
  <c r="L485" i="1" a="1"/>
  <c r="L485" i="1" s="1"/>
  <c r="Q485" i="1" s="1" a="1"/>
  <c r="Q485" i="1" s="1"/>
  <c r="K485" i="1" a="1"/>
  <c r="K485" i="1" s="1"/>
  <c r="K239" i="1" a="1"/>
  <c r="K239" i="1" s="1"/>
  <c r="L239" i="1" a="1"/>
  <c r="L239" i="1" s="1"/>
  <c r="L470" i="1" a="1"/>
  <c r="L470" i="1" s="1"/>
  <c r="K470" i="1" a="1"/>
  <c r="K470" i="1" s="1"/>
  <c r="K79" i="1" a="1"/>
  <c r="K79" i="1" s="1"/>
  <c r="L79" i="1" a="1"/>
  <c r="L79" i="1" s="1"/>
  <c r="K235" i="1" a="1"/>
  <c r="K235" i="1" s="1"/>
  <c r="L235" i="1" a="1"/>
  <c r="L235" i="1" s="1"/>
  <c r="L266" i="1" a="1"/>
  <c r="L266" i="1" s="1"/>
  <c r="K266" i="1" a="1"/>
  <c r="K266" i="1" s="1"/>
  <c r="L477" i="1" a="1"/>
  <c r="L477" i="1" s="1"/>
  <c r="Q477" i="1" s="1" a="1"/>
  <c r="Q477" i="1" s="1"/>
  <c r="K477" i="1" a="1"/>
  <c r="K477" i="1" s="1"/>
  <c r="L206" i="1" a="1"/>
  <c r="L206" i="1" s="1"/>
  <c r="K206" i="1" a="1"/>
  <c r="K206" i="1" s="1"/>
  <c r="L741" i="1" a="1"/>
  <c r="L741" i="1" s="1"/>
  <c r="K741" i="1" a="1"/>
  <c r="K741" i="1" s="1"/>
  <c r="L170" i="1" a="1"/>
  <c r="L170" i="1" s="1"/>
  <c r="K170" i="1" a="1"/>
  <c r="K170" i="1" s="1"/>
  <c r="K614" i="1" a="1"/>
  <c r="K614" i="1" s="1"/>
  <c r="L614" i="1" a="1"/>
  <c r="L614" i="1" s="1"/>
  <c r="Q614" i="1" s="1" a="1"/>
  <c r="Q614" i="1" s="1"/>
  <c r="K162" i="1" a="1"/>
  <c r="K162" i="1" s="1"/>
  <c r="L162" i="1" a="1"/>
  <c r="L162" i="1" s="1"/>
  <c r="L634" i="1" a="1"/>
  <c r="L634" i="1" s="1"/>
  <c r="K634" i="1" a="1"/>
  <c r="K634" i="1" s="1"/>
  <c r="L349" i="1" a="1"/>
  <c r="L349" i="1" s="1"/>
  <c r="K349" i="1" a="1"/>
  <c r="K349" i="1" s="1"/>
  <c r="L766" i="1" a="1"/>
  <c r="L766" i="1" s="1"/>
  <c r="K766" i="1" a="1"/>
  <c r="K766" i="1" s="1"/>
  <c r="L187" i="1" a="1"/>
  <c r="L187" i="1" s="1"/>
  <c r="Q187" i="1" s="1" a="1"/>
  <c r="Q187" i="1" s="1"/>
  <c r="K187" i="1" a="1"/>
  <c r="K187" i="1" s="1"/>
  <c r="K26" i="1" a="1"/>
  <c r="K26" i="1" s="1"/>
  <c r="K451" i="1" a="1"/>
  <c r="K451" i="1" s="1"/>
  <c r="K599" i="1" a="1"/>
  <c r="K599" i="1" s="1"/>
  <c r="K353" i="1" a="1"/>
  <c r="K353" i="1" s="1"/>
  <c r="T353" i="1" s="1" a="1"/>
  <c r="T353" i="1" s="1"/>
  <c r="K331" i="1" a="1"/>
  <c r="K331" i="1" s="1"/>
  <c r="T331" i="1" s="1" a="1"/>
  <c r="T331" i="1" s="1"/>
  <c r="K378" i="1" a="1"/>
  <c r="K378" i="1" s="1"/>
  <c r="K319" i="1" a="1"/>
  <c r="K319" i="1" s="1"/>
  <c r="K367" i="1" a="1"/>
  <c r="K367" i="1" s="1"/>
  <c r="L381" i="1" a="1"/>
  <c r="L381" i="1" s="1"/>
  <c r="L374" i="1" a="1"/>
  <c r="L374" i="1" s="1"/>
  <c r="L701" i="1" a="1"/>
  <c r="L701" i="1" s="1"/>
  <c r="Q701" i="1" s="1" a="1"/>
  <c r="Q701" i="1" s="1"/>
  <c r="K701" i="1" a="1"/>
  <c r="K701" i="1" s="1"/>
  <c r="L304" i="1" a="1"/>
  <c r="L304" i="1" s="1"/>
  <c r="K304" i="1" a="1"/>
  <c r="K304" i="1" s="1"/>
  <c r="L496" i="1" a="1"/>
  <c r="L496" i="1" s="1"/>
  <c r="K496" i="1" a="1"/>
  <c r="K496" i="1" s="1"/>
  <c r="L300" i="1" a="1"/>
  <c r="L300" i="1" s="1"/>
  <c r="Q300" i="1" s="1" a="1"/>
  <c r="Q300" i="1" s="1"/>
  <c r="K300" i="1" a="1"/>
  <c r="K300" i="1" s="1"/>
  <c r="L347" i="1" a="1"/>
  <c r="L347" i="1" s="1"/>
  <c r="Q347" i="1" s="1" a="1"/>
  <c r="Q347" i="1" s="1"/>
  <c r="K347" i="1" a="1"/>
  <c r="K347" i="1" s="1"/>
  <c r="L194" i="1" a="1"/>
  <c r="L194" i="1" s="1"/>
  <c r="K194" i="1" a="1"/>
  <c r="K194" i="1" s="1"/>
  <c r="L594" i="1" a="1"/>
  <c r="L594" i="1" s="1"/>
  <c r="K594" i="1" a="1"/>
  <c r="K594" i="1" s="1"/>
  <c r="T488" i="1" a="1"/>
  <c r="T488" i="1" s="1"/>
  <c r="Q488" i="1" a="1"/>
  <c r="Q488" i="1" s="1"/>
  <c r="L431" i="1" a="1"/>
  <c r="L431" i="1" s="1"/>
  <c r="Q431" i="1" s="1" a="1"/>
  <c r="Q431" i="1" s="1"/>
  <c r="K431" i="1" a="1"/>
  <c r="K431" i="1" s="1"/>
  <c r="T186" i="1" a="1"/>
  <c r="T186" i="1" s="1"/>
  <c r="Q186" i="1" a="1"/>
  <c r="Q186" i="1" s="1"/>
  <c r="L795" i="1" a="1"/>
  <c r="L795" i="1" s="1"/>
  <c r="Q795" i="1" s="1" a="1"/>
  <c r="Q795" i="1" s="1"/>
  <c r="K795" i="1" a="1"/>
  <c r="K795" i="1" s="1"/>
  <c r="T53" i="1" a="1"/>
  <c r="T53" i="1" s="1"/>
  <c r="T665" i="1" a="1"/>
  <c r="T665" i="1" s="1"/>
  <c r="L452" i="1" a="1"/>
  <c r="L452" i="1" s="1"/>
  <c r="K452" i="1" a="1"/>
  <c r="K452" i="1" s="1"/>
  <c r="T691" i="1" a="1"/>
  <c r="T691" i="1" s="1"/>
  <c r="Q691" i="1" a="1"/>
  <c r="Q691" i="1" s="1"/>
  <c r="L421" i="1" a="1"/>
  <c r="L421" i="1" s="1"/>
  <c r="Q421" i="1" s="1" a="1"/>
  <c r="Q421" i="1" s="1"/>
  <c r="K421" i="1" a="1"/>
  <c r="K421" i="1" s="1"/>
  <c r="K236" i="1" a="1"/>
  <c r="K236" i="1" s="1"/>
  <c r="L236" i="1" a="1"/>
  <c r="L236" i="1" s="1"/>
  <c r="Q236" i="1" s="1" a="1"/>
  <c r="Q236" i="1" s="1"/>
  <c r="L671" i="1" a="1"/>
  <c r="L671" i="1" s="1"/>
  <c r="Q671" i="1" s="1" a="1"/>
  <c r="Q671" i="1" s="1"/>
  <c r="K671" i="1" a="1"/>
  <c r="K671" i="1" s="1"/>
  <c r="L169" i="1" a="1"/>
  <c r="L169" i="1" s="1"/>
  <c r="K169" i="1" a="1"/>
  <c r="K169" i="1" s="1"/>
  <c r="L223" i="1" a="1"/>
  <c r="L223" i="1" s="1"/>
  <c r="K223" i="1" a="1"/>
  <c r="K223" i="1" s="1"/>
  <c r="L522" i="1" a="1"/>
  <c r="L522" i="1" s="1"/>
  <c r="K522" i="1" a="1"/>
  <c r="K522" i="1" s="1"/>
  <c r="L44" i="1" a="1"/>
  <c r="L44" i="1" s="1"/>
  <c r="K44" i="1" a="1"/>
  <c r="K44" i="1" s="1"/>
  <c r="L475" i="1" a="1"/>
  <c r="L475" i="1" s="1"/>
  <c r="K475" i="1" a="1"/>
  <c r="K475" i="1" s="1"/>
  <c r="L444" i="1" a="1"/>
  <c r="L444" i="1" s="1"/>
  <c r="Q444" i="1" s="1" a="1"/>
  <c r="Q444" i="1" s="1"/>
  <c r="K444" i="1" a="1"/>
  <c r="K444" i="1" s="1"/>
  <c r="L662" i="1" a="1"/>
  <c r="L662" i="1" s="1"/>
  <c r="K662" i="1" a="1"/>
  <c r="K662" i="1" s="1"/>
  <c r="L714" i="1" a="1"/>
  <c r="L714" i="1" s="1"/>
  <c r="K714" i="1" a="1"/>
  <c r="K714" i="1" s="1"/>
  <c r="L447" i="1" a="1"/>
  <c r="L447" i="1" s="1"/>
  <c r="K447" i="1" a="1"/>
  <c r="K447" i="1" s="1"/>
  <c r="L725" i="1" a="1"/>
  <c r="L725" i="1" s="1"/>
  <c r="Q725" i="1" s="1" a="1"/>
  <c r="Q725" i="1" s="1"/>
  <c r="K725" i="1" a="1"/>
  <c r="K725" i="1" s="1"/>
  <c r="L754" i="1" a="1"/>
  <c r="L754" i="1" s="1"/>
  <c r="Q754" i="1" s="1" a="1"/>
  <c r="Q754" i="1" s="1"/>
  <c r="K754" i="1" a="1"/>
  <c r="K754" i="1" s="1"/>
  <c r="K549" i="1" a="1"/>
  <c r="K549" i="1" s="1"/>
  <c r="L549" i="1" a="1"/>
  <c r="L549" i="1" s="1"/>
  <c r="L139" i="1" a="1"/>
  <c r="L139" i="1" s="1"/>
  <c r="K139" i="1" a="1"/>
  <c r="K139" i="1" s="1"/>
  <c r="L84" i="1" a="1"/>
  <c r="L84" i="1" s="1"/>
  <c r="K84" i="1" a="1"/>
  <c r="K84" i="1" s="1"/>
  <c r="L545" i="1" a="1"/>
  <c r="L545" i="1" s="1"/>
  <c r="K545" i="1" a="1"/>
  <c r="K545" i="1" s="1"/>
  <c r="L680" i="1" a="1"/>
  <c r="L680" i="1" s="1"/>
  <c r="Q680" i="1" s="1" a="1"/>
  <c r="Q680" i="1" s="1"/>
  <c r="K680" i="1" a="1"/>
  <c r="K680" i="1" s="1"/>
  <c r="K722" i="1" a="1"/>
  <c r="K722" i="1" s="1"/>
  <c r="L722" i="1" a="1"/>
  <c r="L722" i="1" s="1"/>
  <c r="K52" i="1" a="1"/>
  <c r="K52" i="1" s="1"/>
  <c r="K463" i="1" a="1"/>
  <c r="K463" i="1" s="1"/>
  <c r="T463" i="1" s="1" a="1"/>
  <c r="T463" i="1" s="1"/>
  <c r="K87" i="1" a="1"/>
  <c r="K87" i="1" s="1"/>
  <c r="K439" i="1" a="1"/>
  <c r="K439" i="1" s="1"/>
  <c r="K683" i="1" a="1"/>
  <c r="K683" i="1" s="1"/>
  <c r="K409" i="1" a="1"/>
  <c r="K409" i="1" s="1"/>
  <c r="T409" i="1" s="1" a="1"/>
  <c r="T409" i="1" s="1"/>
  <c r="L365" i="1" a="1"/>
  <c r="L365" i="1" s="1"/>
  <c r="K365" i="1" a="1"/>
  <c r="K365" i="1" s="1"/>
  <c r="K308" i="1" a="1"/>
  <c r="K308" i="1" s="1"/>
  <c r="L308" i="1" a="1"/>
  <c r="L308" i="1" s="1"/>
  <c r="Q308" i="1" s="1" a="1"/>
  <c r="Q308" i="1" s="1"/>
  <c r="T448" i="1" a="1"/>
  <c r="T448" i="1" s="1"/>
  <c r="L74" i="1" a="1"/>
  <c r="L74" i="1" s="1"/>
  <c r="Q74" i="1" s="1" a="1"/>
  <c r="Q74" i="1" s="1"/>
  <c r="K74" i="1" a="1"/>
  <c r="K74" i="1" s="1"/>
  <c r="T773" i="1" a="1"/>
  <c r="T773" i="1" s="1"/>
  <c r="Q773" i="1" a="1"/>
  <c r="Q773" i="1" s="1"/>
  <c r="L220" i="1" a="1"/>
  <c r="L220" i="1" s="1"/>
  <c r="K220" i="1" a="1"/>
  <c r="K220" i="1" s="1"/>
  <c r="K619" i="1" a="1"/>
  <c r="K619" i="1" s="1"/>
  <c r="L619" i="1" a="1"/>
  <c r="L619" i="1" s="1"/>
  <c r="T68" i="1" a="1"/>
  <c r="T68" i="1" s="1"/>
  <c r="T650" i="1" a="1"/>
  <c r="T650" i="1" s="1"/>
  <c r="Q650" i="1" a="1"/>
  <c r="Q650" i="1" s="1"/>
  <c r="L547" i="1" a="1"/>
  <c r="L547" i="1" s="1"/>
  <c r="Q547" i="1" s="1" a="1"/>
  <c r="Q547" i="1" s="1"/>
  <c r="K547" i="1" a="1"/>
  <c r="K547" i="1" s="1"/>
  <c r="L385" i="1" a="1"/>
  <c r="L385" i="1" s="1"/>
  <c r="Q385" i="1" s="1" a="1"/>
  <c r="Q385" i="1" s="1"/>
  <c r="K385" i="1" a="1"/>
  <c r="K385" i="1" s="1"/>
  <c r="L117" i="1" a="1"/>
  <c r="L117" i="1" s="1"/>
  <c r="K117" i="1" a="1"/>
  <c r="K117" i="1" s="1"/>
  <c r="L152" i="1" a="1"/>
  <c r="L152" i="1" s="1"/>
  <c r="K152" i="1" a="1"/>
  <c r="K152" i="1" s="1"/>
  <c r="L544" i="1" a="1"/>
  <c r="L544" i="1" s="1"/>
  <c r="K544" i="1" a="1"/>
  <c r="K544" i="1" s="1"/>
  <c r="L592" i="1" a="1"/>
  <c r="L592" i="1" s="1"/>
  <c r="K592" i="1" a="1"/>
  <c r="K592" i="1" s="1"/>
  <c r="L88" i="1" a="1"/>
  <c r="L88" i="1" s="1"/>
  <c r="Q88" i="1" s="1" a="1"/>
  <c r="Q88" i="1" s="1"/>
  <c r="K88" i="1" a="1"/>
  <c r="K88" i="1" s="1"/>
  <c r="L323" i="1" a="1"/>
  <c r="L323" i="1" s="1"/>
  <c r="K323" i="1" a="1"/>
  <c r="K323" i="1" s="1"/>
  <c r="L432" i="1" a="1"/>
  <c r="L432" i="1" s="1"/>
  <c r="K432" i="1" a="1"/>
  <c r="K432" i="1" s="1"/>
  <c r="L534" i="1" a="1"/>
  <c r="L534" i="1" s="1"/>
  <c r="Q534" i="1" s="1" a="1"/>
  <c r="Q534" i="1" s="1"/>
  <c r="K534" i="1" a="1"/>
  <c r="K534" i="1" s="1"/>
  <c r="L703" i="1" a="1"/>
  <c r="L703" i="1" s="1"/>
  <c r="K703" i="1" a="1"/>
  <c r="K703" i="1" s="1"/>
  <c r="L297" i="1" a="1"/>
  <c r="L297" i="1" s="1"/>
  <c r="K297" i="1" a="1"/>
  <c r="K297" i="1" s="1"/>
  <c r="L185" i="1" a="1"/>
  <c r="L185" i="1" s="1"/>
  <c r="Q185" i="1" s="1" a="1"/>
  <c r="Q185" i="1" s="1"/>
  <c r="K185" i="1" a="1"/>
  <c r="K185" i="1" s="1"/>
  <c r="L506" i="1" a="1"/>
  <c r="L506" i="1" s="1"/>
  <c r="K506" i="1" a="1"/>
  <c r="K506" i="1" s="1"/>
  <c r="L526" i="1" a="1"/>
  <c r="L526" i="1" s="1"/>
  <c r="K526" i="1" a="1"/>
  <c r="K526" i="1" s="1"/>
  <c r="L47" i="1" a="1"/>
  <c r="L47" i="1" s="1"/>
  <c r="K47" i="1" a="1"/>
  <c r="K47" i="1" s="1"/>
  <c r="L422" i="1" a="1"/>
  <c r="L422" i="1" s="1"/>
  <c r="Q422" i="1" s="1" a="1"/>
  <c r="Q422" i="1" s="1"/>
  <c r="K422" i="1" a="1"/>
  <c r="K422" i="1" s="1"/>
  <c r="T455" i="1" a="1"/>
  <c r="T455" i="1" s="1"/>
  <c r="Q455" i="1" a="1"/>
  <c r="Q455" i="1" s="1"/>
  <c r="K40" i="1" a="1"/>
  <c r="K40" i="1" s="1"/>
  <c r="L40" i="1" a="1"/>
  <c r="L40" i="1" s="1"/>
  <c r="L18" i="1" a="1"/>
  <c r="L18" i="1" s="1"/>
  <c r="Q18" i="1" s="1" a="1"/>
  <c r="Q18" i="1" s="1"/>
  <c r="K18" i="1" a="1"/>
  <c r="K18" i="1" s="1"/>
  <c r="L656" i="1" a="1"/>
  <c r="L656" i="1" s="1"/>
  <c r="Q656" i="1" s="1" a="1"/>
  <c r="Q656" i="1" s="1"/>
  <c r="K656" i="1" a="1"/>
  <c r="K656" i="1" s="1"/>
  <c r="L24" i="1" a="1"/>
  <c r="L24" i="1" s="1"/>
  <c r="K24" i="1" a="1"/>
  <c r="K24" i="1" s="1"/>
  <c r="L59" i="1" a="1"/>
  <c r="L59" i="1" s="1"/>
  <c r="Q59" i="1" s="1" a="1"/>
  <c r="Q59" i="1" s="1"/>
  <c r="K59" i="1" a="1"/>
  <c r="K59" i="1" s="1"/>
  <c r="L6" i="1" a="1"/>
  <c r="L6" i="1" s="1"/>
  <c r="K6" i="1" a="1"/>
  <c r="K6" i="1" s="1"/>
  <c r="K411" i="1" a="1"/>
  <c r="K411" i="1" s="1"/>
  <c r="L411" i="1" a="1"/>
  <c r="L411" i="1" s="1"/>
  <c r="K723" i="1" a="1"/>
  <c r="K723" i="1" s="1"/>
  <c r="L723" i="1" a="1"/>
  <c r="L723" i="1" s="1"/>
  <c r="Q723" i="1" s="1" a="1"/>
  <c r="Q723" i="1" s="1"/>
  <c r="L486" i="1" a="1"/>
  <c r="L486" i="1" s="1"/>
  <c r="K486" i="1" a="1"/>
  <c r="K486" i="1" s="1"/>
  <c r="K761" i="1" a="1"/>
  <c r="K761" i="1" s="1"/>
  <c r="T761" i="1" s="1" a="1"/>
  <c r="T761" i="1" s="1"/>
  <c r="K135" i="1" a="1"/>
  <c r="K135" i="1" s="1"/>
  <c r="K801" i="1" a="1"/>
  <c r="K801" i="1" s="1"/>
  <c r="T801" i="1" s="1" a="1"/>
  <c r="T801" i="1" s="1"/>
  <c r="K318" i="1" a="1"/>
  <c r="K318" i="1" s="1"/>
  <c r="T318" i="1" s="1" a="1"/>
  <c r="T318" i="1" s="1"/>
  <c r="K666" i="1" a="1"/>
  <c r="K666" i="1" s="1"/>
  <c r="K762" i="1" a="1"/>
  <c r="K762" i="1" s="1"/>
  <c r="K454" i="1" a="1"/>
  <c r="K454" i="1" s="1"/>
  <c r="K16" i="1" a="1"/>
  <c r="K16" i="1" s="1"/>
  <c r="L577" i="1" a="1"/>
  <c r="L577" i="1" s="1"/>
  <c r="T611" i="1" a="1"/>
  <c r="T611" i="1" s="1"/>
  <c r="Q611" i="1" a="1"/>
  <c r="Q611" i="1" s="1"/>
  <c r="L596" i="1" a="1"/>
  <c r="L596" i="1" s="1"/>
  <c r="Q596" i="1" s="1" a="1"/>
  <c r="Q596" i="1" s="1"/>
  <c r="K596" i="1" a="1"/>
  <c r="K596" i="1" s="1"/>
  <c r="L100" i="1" a="1"/>
  <c r="L100" i="1" s="1"/>
  <c r="Q100" i="1" s="1" a="1"/>
  <c r="Q100" i="1" s="1"/>
  <c r="K100" i="1" a="1"/>
  <c r="K100" i="1" s="1"/>
  <c r="L256" i="1" a="1"/>
  <c r="L256" i="1" s="1"/>
  <c r="Q256" i="1" s="1" a="1"/>
  <c r="Q256" i="1" s="1"/>
  <c r="K256" i="1" a="1"/>
  <c r="K256" i="1" s="1"/>
  <c r="L678" i="1" a="1"/>
  <c r="L678" i="1" s="1"/>
  <c r="K678" i="1" a="1"/>
  <c r="K678" i="1" s="1"/>
  <c r="L424" i="1" a="1"/>
  <c r="L424" i="1" s="1"/>
  <c r="K424" i="1" a="1"/>
  <c r="K424" i="1" s="1"/>
  <c r="L588" i="1" a="1"/>
  <c r="L588" i="1" s="1"/>
  <c r="K588" i="1" a="1"/>
  <c r="K588" i="1" s="1"/>
  <c r="L618" i="1" a="1"/>
  <c r="L618" i="1" s="1"/>
  <c r="K618" i="1" a="1"/>
  <c r="K618" i="1" s="1"/>
  <c r="L516" i="1" a="1"/>
  <c r="L516" i="1" s="1"/>
  <c r="Q516" i="1" s="1" a="1"/>
  <c r="Q516" i="1" s="1"/>
  <c r="K516" i="1" a="1"/>
  <c r="K516" i="1" s="1"/>
  <c r="L745" i="1" a="1"/>
  <c r="L745" i="1" s="1"/>
  <c r="K745" i="1" a="1"/>
  <c r="K745" i="1" s="1"/>
  <c r="L291" i="1" a="1"/>
  <c r="L291" i="1" s="1"/>
  <c r="Q291" i="1" s="1" a="1"/>
  <c r="Q291" i="1" s="1"/>
  <c r="K291" i="1" a="1"/>
  <c r="K291" i="1" s="1"/>
  <c r="L750" i="1" a="1"/>
  <c r="L750" i="1" s="1"/>
  <c r="K750" i="1" a="1"/>
  <c r="K750" i="1" s="1"/>
  <c r="L37" i="1" a="1"/>
  <c r="L37" i="1" s="1"/>
  <c r="K37" i="1" a="1"/>
  <c r="K37" i="1" s="1"/>
  <c r="L718" i="1" a="1"/>
  <c r="L718" i="1" s="1"/>
  <c r="K718" i="1" a="1"/>
  <c r="K718" i="1" s="1"/>
  <c r="L688" i="1" a="1"/>
  <c r="L688" i="1" s="1"/>
  <c r="K688" i="1" a="1"/>
  <c r="K688" i="1" s="1"/>
  <c r="K61" i="1" a="1"/>
  <c r="K61" i="1" s="1"/>
  <c r="L61" i="1" a="1"/>
  <c r="L61" i="1" s="1"/>
  <c r="L271" i="1" a="1"/>
  <c r="L271" i="1" s="1"/>
  <c r="K271" i="1" a="1"/>
  <c r="K271" i="1" s="1"/>
  <c r="K118" i="1" a="1"/>
  <c r="K118" i="1" s="1"/>
  <c r="L118" i="1" a="1"/>
  <c r="L118" i="1" s="1"/>
  <c r="K672" i="1" a="1"/>
  <c r="K672" i="1" s="1"/>
  <c r="L672" i="1" a="1"/>
  <c r="L672" i="1" s="1"/>
  <c r="Q672" i="1" s="1" a="1"/>
  <c r="Q672" i="1" s="1"/>
  <c r="L425" i="1" a="1"/>
  <c r="L425" i="1" s="1"/>
  <c r="K425" i="1" a="1"/>
  <c r="K425" i="1" s="1"/>
  <c r="L3" i="1" a="1"/>
  <c r="L3" i="1" s="1"/>
  <c r="K3" i="1" a="1"/>
  <c r="K3" i="1" s="1"/>
  <c r="L473" i="1" a="1"/>
  <c r="L473" i="1" s="1"/>
  <c r="Q473" i="1" s="1" a="1"/>
  <c r="Q473" i="1" s="1"/>
  <c r="K473" i="1" a="1"/>
  <c r="K473" i="1" s="1"/>
  <c r="L493" i="1" a="1"/>
  <c r="L493" i="1" s="1"/>
  <c r="K493" i="1" a="1"/>
  <c r="K493" i="1" s="1"/>
  <c r="L697" i="1" a="1"/>
  <c r="L697" i="1" s="1"/>
  <c r="K697" i="1" a="1"/>
  <c r="K697" i="1" s="1"/>
  <c r="K13" i="1" a="1"/>
  <c r="K13" i="1" s="1"/>
  <c r="L13" i="1" a="1"/>
  <c r="L13" i="1" s="1"/>
  <c r="K768" i="1" a="1"/>
  <c r="K768" i="1" s="1"/>
  <c r="L768" i="1" a="1"/>
  <c r="L768" i="1" s="1"/>
  <c r="Q768" i="1" s="1" a="1"/>
  <c r="Q768" i="1" s="1"/>
  <c r="K583" i="1" a="1"/>
  <c r="K583" i="1" s="1"/>
  <c r="L583" i="1" a="1"/>
  <c r="L583" i="1" s="1"/>
  <c r="L625" i="1" a="1"/>
  <c r="L625" i="1" s="1"/>
  <c r="Q625" i="1" s="1" a="1"/>
  <c r="Q625" i="1" s="1"/>
  <c r="K625" i="1" a="1"/>
  <c r="K625" i="1" s="1"/>
  <c r="K782" i="1" a="1"/>
  <c r="K782" i="1" s="1"/>
  <c r="L782" i="1" a="1"/>
  <c r="L782" i="1" s="1"/>
  <c r="K254" i="1" a="1"/>
  <c r="K254" i="1" s="1"/>
  <c r="T254" i="1" s="1" a="1"/>
  <c r="T254" i="1" s="1"/>
  <c r="K277" i="1" a="1"/>
  <c r="K277" i="1" s="1"/>
  <c r="K103" i="1" a="1"/>
  <c r="K103" i="1" s="1"/>
  <c r="K434" i="1" a="1"/>
  <c r="K434" i="1" s="1"/>
  <c r="K509" i="1" a="1"/>
  <c r="K509" i="1" s="1"/>
  <c r="T509" i="1" s="1" a="1"/>
  <c r="T509" i="1" s="1"/>
  <c r="K104" i="1" a="1"/>
  <c r="K104" i="1" s="1"/>
  <c r="K575" i="1" a="1"/>
  <c r="K575" i="1" s="1"/>
  <c r="K412" i="1" a="1"/>
  <c r="K412" i="1" s="1"/>
  <c r="T412" i="1" s="1" a="1"/>
  <c r="T412" i="1" s="1"/>
  <c r="K113" i="1" a="1"/>
  <c r="K113" i="1" s="1"/>
  <c r="L472" i="1" a="1"/>
  <c r="L472" i="1" s="1"/>
  <c r="L740" i="1" a="1"/>
  <c r="L740" i="1" s="1"/>
  <c r="K740" i="1" a="1"/>
  <c r="K740" i="1" s="1"/>
  <c r="T106" i="1" a="1"/>
  <c r="T106" i="1" s="1"/>
  <c r="T168" i="1" a="1"/>
  <c r="T168" i="1" s="1"/>
  <c r="Q168" i="1" a="1"/>
  <c r="Q168" i="1" s="1"/>
  <c r="L130" i="1" a="1"/>
  <c r="L130" i="1" s="1"/>
  <c r="K130" i="1" a="1"/>
  <c r="K130" i="1" s="1"/>
  <c r="L706" i="1" a="1"/>
  <c r="L706" i="1" s="1"/>
  <c r="K706" i="1" a="1"/>
  <c r="K706" i="1" s="1"/>
  <c r="L660" i="1" a="1"/>
  <c r="L660" i="1" s="1"/>
  <c r="Q660" i="1" s="1" a="1"/>
  <c r="Q660" i="1" s="1"/>
  <c r="K660" i="1" a="1"/>
  <c r="K660" i="1" s="1"/>
  <c r="L226" i="1" a="1"/>
  <c r="L226" i="1" s="1"/>
  <c r="Q226" i="1" s="1" a="1"/>
  <c r="Q226" i="1" s="1"/>
  <c r="K226" i="1" a="1"/>
  <c r="K226" i="1" s="1"/>
  <c r="L587" i="1" a="1"/>
  <c r="L587" i="1" s="1"/>
  <c r="K587" i="1" a="1"/>
  <c r="K587" i="1" s="1"/>
  <c r="L196" i="1" a="1"/>
  <c r="L196" i="1" s="1"/>
  <c r="K196" i="1" a="1"/>
  <c r="K196" i="1" s="1"/>
  <c r="L536" i="1" a="1"/>
  <c r="L536" i="1" s="1"/>
  <c r="K536" i="1" a="1"/>
  <c r="K536" i="1" s="1"/>
  <c r="L443" i="1" a="1"/>
  <c r="L443" i="1" s="1"/>
  <c r="Q443" i="1" s="1" a="1"/>
  <c r="Q443" i="1" s="1"/>
  <c r="K443" i="1" a="1"/>
  <c r="K443" i="1" s="1"/>
  <c r="K564" i="1" a="1"/>
  <c r="K564" i="1" s="1"/>
  <c r="L564" i="1" a="1"/>
  <c r="L564" i="1" s="1"/>
  <c r="L792" i="1" a="1"/>
  <c r="L792" i="1" s="1"/>
  <c r="K792" i="1" a="1"/>
  <c r="K792" i="1" s="1"/>
  <c r="L698" i="1" a="1"/>
  <c r="L698" i="1" s="1"/>
  <c r="K698" i="1" a="1"/>
  <c r="K698" i="1" s="1"/>
  <c r="L402" i="1" a="1"/>
  <c r="L402" i="1" s="1"/>
  <c r="K402" i="1" a="1"/>
  <c r="K402" i="1" s="1"/>
  <c r="L156" i="1" a="1"/>
  <c r="L156" i="1" s="1"/>
  <c r="K156" i="1" a="1"/>
  <c r="K156" i="1" s="1"/>
  <c r="L110" i="1" a="1"/>
  <c r="L110" i="1" s="1"/>
  <c r="K110" i="1" a="1"/>
  <c r="K110" i="1" s="1"/>
  <c r="L597" i="1" a="1"/>
  <c r="L597" i="1" s="1"/>
  <c r="K597" i="1" a="1"/>
  <c r="K597" i="1" s="1"/>
  <c r="L50" i="1" a="1"/>
  <c r="L50" i="1" s="1"/>
  <c r="Q50" i="1" s="1" a="1"/>
  <c r="Q50" i="1" s="1"/>
  <c r="K50" i="1" a="1"/>
  <c r="K50" i="1" s="1"/>
  <c r="L237" i="1" a="1"/>
  <c r="L237" i="1" s="1"/>
  <c r="Q237" i="1" s="1" a="1"/>
  <c r="Q237" i="1" s="1"/>
  <c r="K237" i="1" a="1"/>
  <c r="K237" i="1" s="1"/>
  <c r="L42" i="1" a="1"/>
  <c r="L42" i="1" s="1"/>
  <c r="K42" i="1" a="1"/>
  <c r="K42" i="1" s="1"/>
  <c r="K699" i="1" a="1"/>
  <c r="K699" i="1" s="1"/>
  <c r="L699" i="1" a="1"/>
  <c r="L699" i="1" s="1"/>
  <c r="Q699" i="1" s="1" a="1"/>
  <c r="Q699" i="1" s="1"/>
  <c r="L624" i="1" a="1"/>
  <c r="L624" i="1" s="1"/>
  <c r="K624" i="1" a="1"/>
  <c r="K624" i="1" s="1"/>
  <c r="L775" i="1" a="1"/>
  <c r="L775" i="1" s="1"/>
  <c r="Q775" i="1" s="1" a="1"/>
  <c r="Q775" i="1" s="1"/>
  <c r="K775" i="1" a="1"/>
  <c r="K775" i="1" s="1"/>
  <c r="K171" i="1" a="1"/>
  <c r="K171" i="1" s="1"/>
  <c r="L171" i="1" a="1"/>
  <c r="L171" i="1" s="1"/>
  <c r="K306" i="1" a="1"/>
  <c r="K306" i="1" s="1"/>
  <c r="L306" i="1" a="1"/>
  <c r="L306" i="1" s="1"/>
  <c r="K136" i="1" a="1"/>
  <c r="K136" i="1" s="1"/>
  <c r="T136" i="1" s="1" a="1"/>
  <c r="T136" i="1" s="1"/>
  <c r="K611" i="1" a="1"/>
  <c r="K611" i="1" s="1"/>
  <c r="K258" i="1" a="1"/>
  <c r="K258" i="1" s="1"/>
  <c r="K129" i="1" a="1"/>
  <c r="K129" i="1" s="1"/>
  <c r="K428" i="1" a="1"/>
  <c r="K428" i="1" s="1"/>
  <c r="T428" i="1" s="1" a="1"/>
  <c r="T428" i="1" s="1"/>
  <c r="K704" i="1" a="1"/>
  <c r="K704" i="1" s="1"/>
  <c r="L5" i="1" a="1"/>
  <c r="L5" i="1" s="1"/>
  <c r="Q5" i="1" s="1" a="1"/>
  <c r="Q5" i="1" s="1"/>
  <c r="L584" i="1" a="1"/>
  <c r="L584" i="1" s="1"/>
  <c r="L528" i="1" a="1"/>
  <c r="L528" i="1" s="1"/>
  <c r="K528" i="1" a="1"/>
  <c r="K528" i="1" s="1"/>
  <c r="L283" i="1" a="1"/>
  <c r="L283" i="1" s="1"/>
  <c r="K283" i="1" a="1"/>
  <c r="K283" i="1" s="1"/>
  <c r="L694" i="1" a="1"/>
  <c r="L694" i="1" s="1"/>
  <c r="Q694" i="1" s="1" a="1"/>
  <c r="Q694" i="1" s="1"/>
  <c r="K694" i="1" a="1"/>
  <c r="K694" i="1" s="1"/>
  <c r="T468" i="1" a="1"/>
  <c r="T468" i="1" s="1"/>
  <c r="K208" i="1" a="1"/>
  <c r="K208" i="1" s="1"/>
  <c r="L208" i="1" a="1"/>
  <c r="L208" i="1" s="1"/>
  <c r="Q208" i="1" s="1" a="1"/>
  <c r="Q208" i="1" s="1"/>
  <c r="L324" i="1" a="1"/>
  <c r="L324" i="1" s="1"/>
  <c r="K324" i="1" a="1"/>
  <c r="K324" i="1" s="1"/>
  <c r="K404" i="1" a="1"/>
  <c r="K404" i="1" s="1"/>
  <c r="L404" i="1" a="1"/>
  <c r="L404" i="1" s="1"/>
  <c r="Q404" i="1" s="1" a="1"/>
  <c r="Q404" i="1" s="1"/>
  <c r="Q529" i="1" a="1"/>
  <c r="Q529" i="1" s="1"/>
  <c r="T529" i="1" a="1"/>
  <c r="T529" i="1" s="1"/>
  <c r="L695" i="1" a="1"/>
  <c r="L695" i="1" s="1"/>
  <c r="Q695" i="1" s="1" a="1"/>
  <c r="Q695" i="1" s="1"/>
  <c r="K695" i="1" a="1"/>
  <c r="K695" i="1" s="1"/>
  <c r="L392" i="1" a="1"/>
  <c r="L392" i="1" s="1"/>
  <c r="K392" i="1" a="1"/>
  <c r="K392" i="1" s="1"/>
  <c r="L339" i="1" a="1"/>
  <c r="L339" i="1" s="1"/>
  <c r="K339" i="1" a="1"/>
  <c r="K339" i="1" s="1"/>
  <c r="L406" i="1" a="1"/>
  <c r="L406" i="1" s="1"/>
  <c r="Q406" i="1" s="1" a="1"/>
  <c r="Q406" i="1" s="1"/>
  <c r="K406" i="1" a="1"/>
  <c r="K406" i="1" s="1"/>
  <c r="L7" i="1" a="1"/>
  <c r="L7" i="1" s="1"/>
  <c r="K7" i="1" a="1"/>
  <c r="K7" i="1" s="1"/>
  <c r="L569" i="1" a="1"/>
  <c r="L569" i="1" s="1"/>
  <c r="K569" i="1" a="1"/>
  <c r="K569" i="1" s="1"/>
  <c r="L791" i="1" a="1"/>
  <c r="L791" i="1" s="1"/>
  <c r="Q791" i="1" s="1" a="1"/>
  <c r="Q791" i="1" s="1"/>
  <c r="K791" i="1" a="1"/>
  <c r="K791" i="1" s="1"/>
  <c r="L770" i="1" a="1"/>
  <c r="L770" i="1" s="1"/>
  <c r="Q770" i="1" s="1" a="1"/>
  <c r="Q770" i="1" s="1"/>
  <c r="K770" i="1" a="1"/>
  <c r="K770" i="1" s="1"/>
  <c r="K438" i="1" a="1"/>
  <c r="K438" i="1" s="1"/>
  <c r="L438" i="1" a="1"/>
  <c r="L438" i="1" s="1"/>
  <c r="Q438" i="1" s="1" a="1"/>
  <c r="Q438" i="1" s="1"/>
  <c r="L278" i="1" a="1"/>
  <c r="L278" i="1" s="1"/>
  <c r="K278" i="1" a="1"/>
  <c r="K278" i="1" s="1"/>
  <c r="L276" i="1" a="1"/>
  <c r="L276" i="1" s="1"/>
  <c r="K276" i="1" a="1"/>
  <c r="K276" i="1" s="1"/>
  <c r="L538" i="1" a="1"/>
  <c r="L538" i="1" s="1"/>
  <c r="Q538" i="1" s="1" a="1"/>
  <c r="Q538" i="1" s="1"/>
  <c r="K538" i="1" a="1"/>
  <c r="K538" i="1" s="1"/>
  <c r="L67" i="1" a="1"/>
  <c r="L67" i="1" s="1"/>
  <c r="K67" i="1" a="1"/>
  <c r="K67" i="1" s="1"/>
  <c r="L352" i="1" a="1"/>
  <c r="L352" i="1" s="1"/>
  <c r="K352" i="1" a="1"/>
  <c r="K352" i="1" s="1"/>
  <c r="Q787" i="1" a="1"/>
  <c r="Q787" i="1" s="1"/>
  <c r="L86" i="1" a="1"/>
  <c r="L86" i="1" s="1"/>
  <c r="K86" i="1" a="1"/>
  <c r="K86" i="1" s="1"/>
  <c r="L209" i="1" a="1"/>
  <c r="L209" i="1" s="1"/>
  <c r="Q209" i="1" s="1" a="1"/>
  <c r="Q209" i="1" s="1"/>
  <c r="K209" i="1" a="1"/>
  <c r="K209" i="1" s="1"/>
  <c r="L793" i="1" a="1"/>
  <c r="L793" i="1" s="1"/>
  <c r="K793" i="1" a="1"/>
  <c r="K793" i="1" s="1"/>
  <c r="K650" i="1" a="1"/>
  <c r="K650" i="1" s="1"/>
  <c r="K644" i="1" a="1"/>
  <c r="K644" i="1" s="1"/>
  <c r="K640" i="1" a="1"/>
  <c r="K640" i="1" s="1"/>
  <c r="T640" i="1" s="1" a="1"/>
  <c r="T640" i="1" s="1"/>
  <c r="K667" i="1" a="1"/>
  <c r="K667" i="1" s="1"/>
  <c r="K9" i="1" a="1"/>
  <c r="K9" i="1" s="1"/>
  <c r="K602" i="1" a="1"/>
  <c r="K602" i="1" s="1"/>
  <c r="K655" i="1" a="1"/>
  <c r="K655" i="1" s="1"/>
  <c r="L252" i="1" a="1"/>
  <c r="L252" i="1" s="1"/>
  <c r="Q252" i="1" s="1" a="1"/>
  <c r="Q252" i="1" s="1"/>
  <c r="L541" i="1" a="1"/>
  <c r="L541" i="1" s="1"/>
  <c r="L38" i="1" a="1"/>
  <c r="L38" i="1" s="1"/>
  <c r="Q38" i="1" s="1" a="1"/>
  <c r="Q38" i="1" s="1"/>
  <c r="K38" i="1" a="1"/>
  <c r="K38" i="1" s="1"/>
  <c r="T103" i="1" a="1"/>
  <c r="T103" i="1" s="1"/>
  <c r="T104" i="1" a="1"/>
  <c r="T104" i="1" s="1"/>
  <c r="L519" i="1" a="1"/>
  <c r="L519" i="1" s="1"/>
  <c r="Q519" i="1" s="1" a="1"/>
  <c r="Q519" i="1" s="1"/>
  <c r="K519" i="1" a="1"/>
  <c r="K519" i="1" s="1"/>
  <c r="L63" i="1" a="1"/>
  <c r="L63" i="1" s="1"/>
  <c r="Q63" i="1" s="1" a="1"/>
  <c r="Q63" i="1" s="1"/>
  <c r="K63" i="1" a="1"/>
  <c r="K63" i="1" s="1"/>
  <c r="L197" i="1" a="1"/>
  <c r="L197" i="1" s="1"/>
  <c r="Q197" i="1" s="1" a="1"/>
  <c r="Q197" i="1" s="1"/>
  <c r="K197" i="1" a="1"/>
  <c r="K197" i="1" s="1"/>
  <c r="L604" i="1" a="1"/>
  <c r="L604" i="1" s="1"/>
  <c r="Q604" i="1" s="1" a="1"/>
  <c r="Q604" i="1" s="1"/>
  <c r="K604" i="1" a="1"/>
  <c r="K604" i="1" s="1"/>
  <c r="Q537" i="1" a="1"/>
  <c r="Q537" i="1" s="1"/>
  <c r="T123" i="1" a="1"/>
  <c r="T123" i="1" s="1"/>
  <c r="Q123" i="1" a="1"/>
  <c r="Q123" i="1" s="1"/>
  <c r="L638" i="1" a="1"/>
  <c r="L638" i="1" s="1"/>
  <c r="K638" i="1" a="1"/>
  <c r="K638" i="1" s="1"/>
  <c r="L460" i="1" a="1"/>
  <c r="L460" i="1" s="1"/>
  <c r="K460" i="1" a="1"/>
  <c r="K460" i="1" s="1"/>
  <c r="L713" i="1" a="1"/>
  <c r="L713" i="1" s="1"/>
  <c r="K713" i="1" a="1"/>
  <c r="K713" i="1" s="1"/>
  <c r="L200" i="1" a="1"/>
  <c r="L200" i="1" s="1"/>
  <c r="K200" i="1" a="1"/>
  <c r="K200" i="1" s="1"/>
  <c r="L764" i="1" a="1"/>
  <c r="L764" i="1" s="1"/>
  <c r="K764" i="1" a="1"/>
  <c r="K764" i="1" s="1"/>
  <c r="K317" i="1" a="1"/>
  <c r="K317" i="1" s="1"/>
  <c r="L317" i="1" a="1"/>
  <c r="L317" i="1" s="1"/>
  <c r="L616" i="1" a="1"/>
  <c r="L616" i="1" s="1"/>
  <c r="K616" i="1" a="1"/>
  <c r="K616" i="1" s="1"/>
  <c r="L415" i="1" a="1"/>
  <c r="L415" i="1" s="1"/>
  <c r="Q415" i="1" s="1" a="1"/>
  <c r="Q415" i="1" s="1"/>
  <c r="K415" i="1" a="1"/>
  <c r="K415" i="1" s="1"/>
  <c r="K180" i="1" a="1"/>
  <c r="K180" i="1" s="1"/>
  <c r="L180" i="1" a="1"/>
  <c r="L180" i="1" s="1"/>
  <c r="L426" i="1" a="1"/>
  <c r="L426" i="1" s="1"/>
  <c r="K426" i="1" a="1"/>
  <c r="K426" i="1" s="1"/>
  <c r="L453" i="1" a="1"/>
  <c r="L453" i="1" s="1"/>
  <c r="K453" i="1" a="1"/>
  <c r="K453" i="1" s="1"/>
  <c r="L550" i="1" a="1"/>
  <c r="L550" i="1" s="1"/>
  <c r="K550" i="1" a="1"/>
  <c r="K550" i="1" s="1"/>
  <c r="K776" i="1" a="1"/>
  <c r="K776" i="1" s="1"/>
  <c r="L776" i="1" a="1"/>
  <c r="L776" i="1" s="1"/>
  <c r="L20" i="1" a="1"/>
  <c r="L20" i="1" s="1"/>
  <c r="K20" i="1" a="1"/>
  <c r="K20" i="1" s="1"/>
  <c r="L474" i="1" a="1"/>
  <c r="L474" i="1" s="1"/>
  <c r="Q474" i="1" s="1" a="1"/>
  <c r="Q474" i="1" s="1"/>
  <c r="K474" i="1" a="1"/>
  <c r="K474" i="1" s="1"/>
  <c r="L150" i="1" a="1"/>
  <c r="L150" i="1" s="1"/>
  <c r="K150" i="1" a="1"/>
  <c r="K150" i="1" s="1"/>
  <c r="L578" i="1" a="1"/>
  <c r="L578" i="1" s="1"/>
  <c r="K578" i="1" a="1"/>
  <c r="K578" i="1" s="1"/>
  <c r="L361" i="1" a="1"/>
  <c r="L361" i="1" s="1"/>
  <c r="K361" i="1" a="1"/>
  <c r="K361" i="1" s="1"/>
  <c r="L729" i="1" a="1"/>
  <c r="L729" i="1" s="1"/>
  <c r="K729" i="1" a="1"/>
  <c r="K729" i="1" s="1"/>
  <c r="K494" i="1" a="1"/>
  <c r="K494" i="1" s="1"/>
  <c r="T494" i="1" s="1" a="1"/>
  <c r="T494" i="1" s="1"/>
  <c r="K186" i="1" a="1"/>
  <c r="K186" i="1" s="1"/>
  <c r="K125" i="1" a="1"/>
  <c r="K125" i="1" s="1"/>
  <c r="T125" i="1" s="1" a="1"/>
  <c r="T125" i="1" s="1"/>
  <c r="K702" i="1" a="1"/>
  <c r="K702" i="1" s="1"/>
  <c r="T702" i="1" s="1" a="1"/>
  <c r="T702" i="1" s="1"/>
  <c r="K621" i="1" a="1"/>
  <c r="K621" i="1" s="1"/>
  <c r="L630" i="1" a="1"/>
  <c r="L630" i="1" s="1"/>
  <c r="T779" i="1" a="1"/>
  <c r="T779" i="1" s="1"/>
  <c r="Q779" i="1" a="1"/>
  <c r="Q779" i="1" s="1"/>
  <c r="Q639" i="1" a="1"/>
  <c r="Q639" i="1" s="1"/>
  <c r="K669" i="1" a="1"/>
  <c r="K669" i="1" s="1"/>
  <c r="L669" i="1" a="1"/>
  <c r="L669" i="1" s="1"/>
  <c r="L242" i="1" a="1"/>
  <c r="L242" i="1" s="1"/>
  <c r="K242" i="1" a="1"/>
  <c r="K242" i="1" s="1"/>
  <c r="K561" i="1" a="1"/>
  <c r="K561" i="1" s="1"/>
  <c r="L561" i="1" a="1"/>
  <c r="L561" i="1" s="1"/>
  <c r="L192" i="1" a="1"/>
  <c r="L192" i="1" s="1"/>
  <c r="K192" i="1" a="1"/>
  <c r="K192" i="1" s="1"/>
  <c r="K247" i="1" a="1"/>
  <c r="K247" i="1" s="1"/>
  <c r="L247" i="1" a="1"/>
  <c r="L247" i="1" s="1"/>
  <c r="Q247" i="1" s="1" a="1"/>
  <c r="Q247" i="1" s="1"/>
  <c r="L565" i="1" a="1"/>
  <c r="L565" i="1" s="1"/>
  <c r="K565" i="1" a="1"/>
  <c r="K565" i="1" s="1"/>
  <c r="L568" i="1" a="1"/>
  <c r="L568" i="1" s="1"/>
  <c r="K568" i="1" a="1"/>
  <c r="K568" i="1" s="1"/>
  <c r="L71" i="1" a="1"/>
  <c r="L71" i="1" s="1"/>
  <c r="K71" i="1" a="1"/>
  <c r="K71" i="1" s="1"/>
  <c r="L605" i="1" a="1"/>
  <c r="L605" i="1" s="1"/>
  <c r="Q605" i="1" s="1" a="1"/>
  <c r="Q605" i="1" s="1"/>
  <c r="K605" i="1" a="1"/>
  <c r="K605" i="1" s="1"/>
  <c r="L344" i="1" a="1"/>
  <c r="L344" i="1" s="1"/>
  <c r="K344" i="1" a="1"/>
  <c r="K344" i="1" s="1"/>
  <c r="L398" i="1" a="1"/>
  <c r="L398" i="1" s="1"/>
  <c r="K398" i="1" a="1"/>
  <c r="K398" i="1" s="1"/>
  <c r="L15" i="1" a="1"/>
  <c r="L15" i="1" s="1"/>
  <c r="K15" i="1" a="1"/>
  <c r="K15" i="1" s="1"/>
  <c r="L85" i="1" a="1"/>
  <c r="L85" i="1" s="1"/>
  <c r="K85" i="1" a="1"/>
  <c r="K85" i="1" s="1"/>
  <c r="L29" i="1" a="1"/>
  <c r="L29" i="1" s="1"/>
  <c r="K29" i="1" a="1"/>
  <c r="K29" i="1" s="1"/>
  <c r="L654" i="1" a="1"/>
  <c r="L654" i="1" s="1"/>
  <c r="K654" i="1" a="1"/>
  <c r="K654" i="1" s="1"/>
  <c r="L659" i="1" a="1"/>
  <c r="L659" i="1" s="1"/>
  <c r="Q659" i="1" s="1" a="1"/>
  <c r="Q659" i="1" s="1"/>
  <c r="K659" i="1" a="1"/>
  <c r="K659" i="1" s="1"/>
  <c r="K730" i="1" a="1"/>
  <c r="K730" i="1" s="1"/>
  <c r="L730" i="1" a="1"/>
  <c r="L730" i="1" s="1"/>
  <c r="Q730" i="1" s="1" a="1"/>
  <c r="Q730" i="1" s="1"/>
  <c r="L696" i="1" a="1"/>
  <c r="L696" i="1" s="1"/>
  <c r="Q696" i="1" s="1" a="1"/>
  <c r="Q696" i="1" s="1"/>
  <c r="K696" i="1" a="1"/>
  <c r="K696" i="1" s="1"/>
  <c r="L96" i="1" a="1"/>
  <c r="L96" i="1" s="1"/>
  <c r="K96" i="1" a="1"/>
  <c r="K96" i="1" s="1"/>
  <c r="K379" i="1" a="1"/>
  <c r="K379" i="1" s="1"/>
  <c r="T379" i="1" s="1" a="1"/>
  <c r="T379" i="1" s="1"/>
  <c r="K574" i="1" a="1"/>
  <c r="K574" i="1" s="1"/>
  <c r="K705" i="1" a="1"/>
  <c r="K705" i="1" s="1"/>
  <c r="T705" i="1" s="1" a="1"/>
  <c r="T705" i="1" s="1"/>
  <c r="K295" i="1" a="1"/>
  <c r="K295" i="1" s="1"/>
  <c r="T295" i="1" s="1" a="1"/>
  <c r="T295" i="1" s="1"/>
  <c r="K523" i="1" a="1"/>
  <c r="K523" i="1" s="1"/>
  <c r="K290" i="1" a="1"/>
  <c r="K290" i="1" s="1"/>
  <c r="T290" i="1" s="1" a="1"/>
  <c r="T290" i="1" s="1"/>
  <c r="K607" i="1" a="1"/>
  <c r="K607" i="1" s="1"/>
  <c r="T607" i="1" s="1" a="1"/>
  <c r="T607" i="1" s="1"/>
  <c r="L499" i="1" a="1"/>
  <c r="L499" i="1" s="1"/>
  <c r="Q499" i="1" s="1" a="1"/>
  <c r="Q499" i="1" s="1"/>
  <c r="Q466" i="1" a="1"/>
  <c r="Q466" i="1" s="1"/>
  <c r="L193" i="1" a="1"/>
  <c r="L193" i="1" s="1"/>
  <c r="K193" i="1" a="1"/>
  <c r="K193" i="1" s="1"/>
  <c r="L790" i="1" a="1"/>
  <c r="L790" i="1" s="1"/>
  <c r="K790" i="1" a="1"/>
  <c r="K790" i="1" s="1"/>
  <c r="L760" i="1" a="1"/>
  <c r="L760" i="1" s="1"/>
  <c r="K760" i="1" a="1"/>
  <c r="K760" i="1" s="1"/>
  <c r="L609" i="1" a="1"/>
  <c r="L609" i="1" s="1"/>
  <c r="Q609" i="1" s="1" a="1"/>
  <c r="Q609" i="1" s="1"/>
  <c r="K609" i="1" a="1"/>
  <c r="K609" i="1" s="1"/>
  <c r="K518" i="1" a="1"/>
  <c r="K518" i="1" s="1"/>
  <c r="L518" i="1" a="1"/>
  <c r="L518" i="1" s="1"/>
  <c r="K399" i="1" a="1"/>
  <c r="K399" i="1" s="1"/>
  <c r="L399" i="1" a="1"/>
  <c r="L399" i="1" s="1"/>
  <c r="K622" i="1" a="1"/>
  <c r="K622" i="1" s="1"/>
  <c r="L622" i="1" a="1"/>
  <c r="L622" i="1" s="1"/>
  <c r="L800" i="1" a="1"/>
  <c r="L800" i="1" s="1"/>
  <c r="K800" i="1" a="1"/>
  <c r="K800" i="1" s="1"/>
  <c r="K686" i="1" a="1"/>
  <c r="K686" i="1" s="1"/>
  <c r="L686" i="1" a="1"/>
  <c r="L686" i="1" s="1"/>
  <c r="Q686" i="1" s="1" a="1"/>
  <c r="Q686" i="1" s="1"/>
  <c r="L744" i="1" a="1"/>
  <c r="L744" i="1" s="1"/>
  <c r="K744" i="1" a="1"/>
  <c r="K744" i="1" s="1"/>
  <c r="L195" i="1" a="1"/>
  <c r="L195" i="1" s="1"/>
  <c r="K195" i="1" a="1"/>
  <c r="K195" i="1" s="1"/>
  <c r="L204" i="1" a="1"/>
  <c r="L204" i="1" s="1"/>
  <c r="K204" i="1" a="1"/>
  <c r="K204" i="1" s="1"/>
  <c r="L143" i="1" a="1"/>
  <c r="L143" i="1" s="1"/>
  <c r="K143" i="1" a="1"/>
  <c r="K143" i="1" s="1"/>
  <c r="L64" i="1" a="1"/>
  <c r="L64" i="1" s="1"/>
  <c r="K64" i="1" a="1"/>
  <c r="K64" i="1" s="1"/>
  <c r="L456" i="1" a="1"/>
  <c r="L456" i="1" s="1"/>
  <c r="K456" i="1" a="1"/>
  <c r="K456" i="1" s="1"/>
  <c r="K119" i="1" a="1"/>
  <c r="K119" i="1" s="1"/>
  <c r="T119" i="1" s="1" a="1"/>
  <c r="T119" i="1" s="1"/>
  <c r="K755" i="1" a="1"/>
  <c r="K755" i="1" s="1"/>
  <c r="K570" i="1" a="1"/>
  <c r="K570" i="1" s="1"/>
  <c r="K532" i="1" a="1"/>
  <c r="K532" i="1" s="1"/>
  <c r="K685" i="1" a="1"/>
  <c r="K685" i="1" s="1"/>
  <c r="K68" i="1" a="1"/>
  <c r="K68" i="1" s="1"/>
  <c r="K35" i="1" a="1"/>
  <c r="K35" i="1" s="1"/>
  <c r="T35" i="1" s="1" a="1"/>
  <c r="T35" i="1" s="1"/>
  <c r="K627" i="1" a="1"/>
  <c r="K627" i="1" s="1"/>
  <c r="T627" i="1" s="1" a="1"/>
  <c r="T627" i="1" s="1"/>
  <c r="K60" i="1" a="1"/>
  <c r="K60" i="1" s="1"/>
  <c r="T60" i="1" s="1" a="1"/>
  <c r="T60" i="1" s="1"/>
  <c r="K328" i="1" a="1"/>
  <c r="K328" i="1" s="1"/>
  <c r="L774" i="1" a="1"/>
  <c r="L774" i="1" s="1"/>
  <c r="Q301" i="1" a="1"/>
  <c r="Q301" i="1" s="1"/>
  <c r="K114" i="1" a="1"/>
  <c r="K114" i="1" s="1"/>
  <c r="L114" i="1" a="1"/>
  <c r="L114" i="1" s="1"/>
  <c r="L707" i="1" a="1"/>
  <c r="L707" i="1" s="1"/>
  <c r="K707" i="1" a="1"/>
  <c r="K707" i="1" s="1"/>
  <c r="L214" i="1" a="1"/>
  <c r="L214" i="1" s="1"/>
  <c r="K214" i="1" a="1"/>
  <c r="K214" i="1" s="1"/>
  <c r="L321" i="1" a="1"/>
  <c r="L321" i="1" s="1"/>
  <c r="K321" i="1" a="1"/>
  <c r="K321" i="1" s="1"/>
  <c r="L512" i="1" a="1"/>
  <c r="L512" i="1" s="1"/>
  <c r="K512" i="1" a="1"/>
  <c r="K512" i="1" s="1"/>
  <c r="K462" i="1" a="1"/>
  <c r="K462" i="1" s="1"/>
  <c r="L462" i="1" a="1"/>
  <c r="L462" i="1" s="1"/>
  <c r="L342" i="1" a="1"/>
  <c r="L342" i="1" s="1"/>
  <c r="K342" i="1" a="1"/>
  <c r="K342" i="1" s="1"/>
  <c r="L201" i="1" a="1"/>
  <c r="L201" i="1" s="1"/>
  <c r="K201" i="1" a="1"/>
  <c r="K201" i="1" s="1"/>
  <c r="L138" i="1" a="1"/>
  <c r="L138" i="1" s="1"/>
  <c r="K138" i="1" a="1"/>
  <c r="K138" i="1" s="1"/>
  <c r="L446" i="1" a="1"/>
  <c r="L446" i="1" s="1"/>
  <c r="Q446" i="1" s="1" a="1"/>
  <c r="Q446" i="1" s="1"/>
  <c r="K446" i="1" a="1"/>
  <c r="K446" i="1" s="1"/>
  <c r="L796" i="1" a="1"/>
  <c r="L796" i="1" s="1"/>
  <c r="K796" i="1" a="1"/>
  <c r="K796" i="1" s="1"/>
  <c r="L719" i="1" a="1"/>
  <c r="L719" i="1" s="1"/>
  <c r="K719" i="1" a="1"/>
  <c r="K719" i="1" s="1"/>
  <c r="L495" i="1" a="1"/>
  <c r="L495" i="1" s="1"/>
  <c r="K495" i="1" a="1"/>
  <c r="K495" i="1" s="1"/>
  <c r="L54" i="1" a="1"/>
  <c r="L54" i="1" s="1"/>
  <c r="K54" i="1" a="1"/>
  <c r="K54" i="1" s="1"/>
  <c r="L341" i="1" a="1"/>
  <c r="L341" i="1" s="1"/>
  <c r="Q341" i="1" s="1" a="1"/>
  <c r="Q341" i="1" s="1"/>
  <c r="K341" i="1" a="1"/>
  <c r="K341" i="1" s="1"/>
  <c r="K531" i="1" a="1"/>
  <c r="K531" i="1" s="1"/>
  <c r="L531" i="1" a="1"/>
  <c r="L531" i="1" s="1"/>
  <c r="K466" i="1" a="1"/>
  <c r="K466" i="1" s="1"/>
  <c r="T466" i="1" s="1" a="1"/>
  <c r="T466" i="1" s="1"/>
  <c r="K11" i="1" a="1"/>
  <c r="K11" i="1" s="1"/>
  <c r="K264" i="1" a="1"/>
  <c r="K264" i="1" s="1"/>
  <c r="K269" i="1" a="1"/>
  <c r="K269" i="1" s="1"/>
  <c r="K779" i="1" a="1"/>
  <c r="K779" i="1" s="1"/>
  <c r="K527" i="1" a="1"/>
  <c r="K527" i="1" s="1"/>
  <c r="K777" i="1" a="1"/>
  <c r="K777" i="1" s="1"/>
  <c r="T777" i="1" s="1" a="1"/>
  <c r="T777" i="1" s="1"/>
  <c r="K579" i="1" a="1"/>
  <c r="K579" i="1" s="1"/>
  <c r="K767" i="1" a="1"/>
  <c r="K767" i="1" s="1"/>
  <c r="T767" i="1" s="1" a="1"/>
  <c r="T767" i="1" s="1"/>
  <c r="K95" i="1" a="1"/>
  <c r="K95" i="1" s="1"/>
  <c r="K190" i="1" a="1"/>
  <c r="K190" i="1" s="1"/>
  <c r="K751" i="1" a="1"/>
  <c r="K751" i="1" s="1"/>
  <c r="T751" i="1" s="1" a="1"/>
  <c r="T751" i="1" s="1"/>
  <c r="K437" i="1" a="1"/>
  <c r="K437" i="1" s="1"/>
  <c r="T437" i="1" s="1" a="1"/>
  <c r="T437" i="1" s="1"/>
  <c r="L45" i="1" a="1"/>
  <c r="L45" i="1" s="1"/>
  <c r="L172" i="1" a="1"/>
  <c r="L172" i="1" s="1"/>
  <c r="L643" i="1" a="1"/>
  <c r="L643" i="1" s="1"/>
  <c r="L154" i="1" a="1"/>
  <c r="L154" i="1" s="1"/>
  <c r="L401" i="1" a="1"/>
  <c r="L401" i="1" s="1"/>
  <c r="T102" i="1" a="1"/>
  <c r="T102" i="1" s="1"/>
  <c r="Q102" i="1" a="1"/>
  <c r="Q102" i="1" s="1"/>
  <c r="L492" i="1" a="1"/>
  <c r="L492" i="1" s="1"/>
  <c r="K492" i="1" a="1"/>
  <c r="K492" i="1" s="1"/>
  <c r="L253" i="1" a="1"/>
  <c r="L253" i="1" s="1"/>
  <c r="K253" i="1" a="1"/>
  <c r="K253" i="1" s="1"/>
  <c r="L382" i="1" a="1"/>
  <c r="L382" i="1" s="1"/>
  <c r="K382" i="1" a="1"/>
  <c r="K382" i="1" s="1"/>
  <c r="L189" i="1" a="1"/>
  <c r="L189" i="1" s="1"/>
  <c r="Q189" i="1" s="1" a="1"/>
  <c r="Q189" i="1" s="1"/>
  <c r="K189" i="1" a="1"/>
  <c r="K189" i="1" s="1"/>
  <c r="L606" i="1" a="1"/>
  <c r="L606" i="1" s="1"/>
  <c r="K606" i="1" a="1"/>
  <c r="K606" i="1" s="1"/>
  <c r="L598" i="1" a="1"/>
  <c r="L598" i="1" s="1"/>
  <c r="K598" i="1" a="1"/>
  <c r="K598" i="1" s="1"/>
  <c r="K111" i="1" a="1"/>
  <c r="K111" i="1" s="1"/>
  <c r="L111" i="1" a="1"/>
  <c r="L111" i="1" s="1"/>
  <c r="Q111" i="1" s="1" a="1"/>
  <c r="Q111" i="1" s="1"/>
  <c r="K479" i="1" a="1"/>
  <c r="K479" i="1" s="1"/>
  <c r="L479" i="1" a="1"/>
  <c r="L479" i="1" s="1"/>
  <c r="K617" i="1" a="1"/>
  <c r="K617" i="1" s="1"/>
  <c r="K736" i="1" a="1"/>
  <c r="K736" i="1" s="1"/>
  <c r="K427" i="1" a="1"/>
  <c r="K427" i="1" s="1"/>
  <c r="K639" i="1" a="1"/>
  <c r="K639" i="1" s="1"/>
  <c r="T639" i="1" s="1" a="1"/>
  <c r="T639" i="1" s="1"/>
  <c r="K383" i="1" a="1"/>
  <c r="K383" i="1" s="1"/>
  <c r="K613" i="1" a="1"/>
  <c r="K613" i="1" s="1"/>
  <c r="K246" i="1" a="1"/>
  <c r="K246" i="1" s="1"/>
  <c r="T246" i="1" s="1" a="1"/>
  <c r="T246" i="1" s="1"/>
  <c r="K28" i="1" a="1"/>
  <c r="K28" i="1" s="1"/>
  <c r="T28" i="1" s="1" a="1"/>
  <c r="T28" i="1" s="1"/>
  <c r="K635" i="1" a="1"/>
  <c r="K635" i="1" s="1"/>
  <c r="K514" i="1" a="1"/>
  <c r="K514" i="1" s="1"/>
  <c r="T514" i="1" s="1" a="1"/>
  <c r="T514" i="1" s="1"/>
  <c r="K610" i="1" a="1"/>
  <c r="K610" i="1" s="1"/>
  <c r="T610" i="1" s="1" a="1"/>
  <c r="T610" i="1" s="1"/>
  <c r="K175" i="1" a="1"/>
  <c r="K175" i="1" s="1"/>
  <c r="K520" i="1" a="1"/>
  <c r="K520" i="1" s="1"/>
  <c r="T520" i="1" s="1" a="1"/>
  <c r="T520" i="1" s="1"/>
  <c r="K615" i="1" a="1"/>
  <c r="K615" i="1" s="1"/>
  <c r="K137" i="1" a="1"/>
  <c r="K137" i="1" s="1"/>
  <c r="K351" i="1" a="1"/>
  <c r="K351" i="1" s="1"/>
  <c r="L188" i="1" a="1"/>
  <c r="L188" i="1" s="1"/>
  <c r="L183" i="1" a="1"/>
  <c r="L183" i="1" s="1"/>
  <c r="L663" i="1" a="1"/>
  <c r="L663" i="1" s="1"/>
  <c r="Q663" i="1" s="1" a="1"/>
  <c r="Q663" i="1" s="1"/>
  <c r="L231" i="1" a="1"/>
  <c r="L231" i="1" s="1"/>
  <c r="L80" i="1" a="1"/>
  <c r="L80" i="1" s="1"/>
  <c r="K80" i="1" a="1"/>
  <c r="K80" i="1" s="1"/>
  <c r="K459" i="1" a="1"/>
  <c r="K459" i="1" s="1"/>
  <c r="L459" i="1" a="1"/>
  <c r="L459" i="1" s="1"/>
  <c r="L572" i="1" a="1"/>
  <c r="L572" i="1" s="1"/>
  <c r="Q572" i="1" s="1" a="1"/>
  <c r="Q572" i="1" s="1"/>
  <c r="K572" i="1" a="1"/>
  <c r="K572" i="1" s="1"/>
  <c r="L727" i="1" a="1"/>
  <c r="L727" i="1" s="1"/>
  <c r="K727" i="1" a="1"/>
  <c r="K727" i="1" s="1"/>
  <c r="K307" i="1" a="1"/>
  <c r="K307" i="1" s="1"/>
  <c r="L307" i="1" a="1"/>
  <c r="L307" i="1" s="1"/>
  <c r="L62" i="1" a="1"/>
  <c r="L62" i="1" s="1"/>
  <c r="Q62" i="1" s="1" a="1"/>
  <c r="Q62" i="1" s="1"/>
  <c r="K62" i="1" a="1"/>
  <c r="K62" i="1" s="1"/>
  <c r="L287" i="1" a="1"/>
  <c r="L287" i="1" s="1"/>
  <c r="K287" i="1" a="1"/>
  <c r="K287" i="1" s="1"/>
  <c r="L608" i="1" a="1"/>
  <c r="L608" i="1" s="1"/>
  <c r="Q608" i="1" s="1" a="1"/>
  <c r="Q608" i="1" s="1"/>
  <c r="K608" i="1" a="1"/>
  <c r="K608" i="1" s="1"/>
  <c r="T445" i="1" a="1"/>
  <c r="T445" i="1" s="1"/>
  <c r="Q445" i="1" a="1"/>
  <c r="Q445" i="1" s="1"/>
  <c r="T360" i="1" a="1"/>
  <c r="T360" i="1" s="1"/>
  <c r="Q360" i="1" a="1"/>
  <c r="Q360" i="1" s="1"/>
  <c r="L157" i="1" a="1"/>
  <c r="L157" i="1" s="1"/>
  <c r="K157" i="1" a="1"/>
  <c r="K157" i="1" s="1"/>
  <c r="K567" i="1" a="1"/>
  <c r="K567" i="1" s="1"/>
  <c r="T567" i="1" s="1" a="1"/>
  <c r="T567" i="1" s="1"/>
  <c r="K224" i="1" a="1"/>
  <c r="K224" i="1" s="1"/>
  <c r="T224" i="1" s="1" a="1"/>
  <c r="T224" i="1" s="1"/>
  <c r="K184" i="1" a="1"/>
  <c r="K184" i="1" s="1"/>
  <c r="T184" i="1" s="1" a="1"/>
  <c r="T184" i="1" s="1"/>
  <c r="K73" i="1" a="1"/>
  <c r="K73" i="1" s="1"/>
  <c r="K780" i="1" a="1"/>
  <c r="K780" i="1" s="1"/>
  <c r="T780" i="1" s="1" a="1"/>
  <c r="T780" i="1" s="1"/>
  <c r="K467" i="1" a="1"/>
  <c r="K467" i="1" s="1"/>
  <c r="T467" i="1" s="1" a="1"/>
  <c r="T467" i="1" s="1"/>
  <c r="K513" i="1" a="1"/>
  <c r="K513" i="1" s="1"/>
  <c r="K320" i="1" a="1"/>
  <c r="K320" i="1" s="1"/>
  <c r="T320" i="1" s="1" a="1"/>
  <c r="T320" i="1" s="1"/>
  <c r="K301" i="1" a="1"/>
  <c r="K301" i="1" s="1"/>
  <c r="T301" i="1" s="1" a="1"/>
  <c r="T301" i="1" s="1"/>
  <c r="K46" i="1" a="1"/>
  <c r="K46" i="1" s="1"/>
  <c r="T46" i="1" s="1" a="1"/>
  <c r="T46" i="1" s="1"/>
  <c r="K57" i="1" a="1"/>
  <c r="K57" i="1" s="1"/>
  <c r="K735" i="1" a="1"/>
  <c r="K735" i="1" s="1"/>
  <c r="K132" i="1" a="1"/>
  <c r="K132" i="1" s="1"/>
  <c r="T132" i="1" s="1" a="1"/>
  <c r="T132" i="1" s="1"/>
  <c r="K742" i="1" a="1"/>
  <c r="K742" i="1" s="1"/>
  <c r="T742" i="1" s="1" a="1"/>
  <c r="T742" i="1" s="1"/>
  <c r="K55" i="1" a="1"/>
  <c r="K55" i="1" s="1"/>
  <c r="T55" i="1" s="1" a="1"/>
  <c r="T55" i="1" s="1"/>
  <c r="K445" i="1" a="1"/>
  <c r="K445" i="1" s="1"/>
  <c r="K131" i="1" a="1"/>
  <c r="K131" i="1" s="1"/>
  <c r="L167" i="1" a="1"/>
  <c r="L167" i="1" s="1"/>
  <c r="T182" i="1" a="1"/>
  <c r="T182" i="1" s="1"/>
  <c r="Q182" i="1" a="1"/>
  <c r="Q182" i="1" s="1"/>
  <c r="K717" i="1" a="1"/>
  <c r="K717" i="1" s="1"/>
  <c r="L717" i="1" a="1"/>
  <c r="L717" i="1" s="1"/>
  <c r="L515" i="1" a="1"/>
  <c r="L515" i="1" s="1"/>
  <c r="K515" i="1" a="1"/>
  <c r="K515" i="1" s="1"/>
  <c r="Q520" i="1" a="1"/>
  <c r="Q520" i="1" s="1"/>
  <c r="L153" i="1" a="1"/>
  <c r="L153" i="1" s="1"/>
  <c r="K153" i="1" a="1"/>
  <c r="K153" i="1" s="1"/>
  <c r="Q752" i="1" a="1"/>
  <c r="Q752" i="1" s="1"/>
  <c r="K311" i="1" a="1"/>
  <c r="K311" i="1" s="1"/>
  <c r="K585" i="1" a="1"/>
  <c r="K585" i="1" s="1"/>
  <c r="T585" i="1" s="1" a="1"/>
  <c r="T585" i="1" s="1"/>
  <c r="K442" i="1" a="1"/>
  <c r="K442" i="1" s="1"/>
  <c r="K668" i="1" a="1"/>
  <c r="K668" i="1" s="1"/>
  <c r="K335" i="1" a="1"/>
  <c r="K335" i="1" s="1"/>
  <c r="T335" i="1" s="1" a="1"/>
  <c r="T335" i="1" s="1"/>
  <c r="K260" i="1" a="1"/>
  <c r="K260" i="1" s="1"/>
  <c r="T260" i="1" s="1" a="1"/>
  <c r="T260" i="1" s="1"/>
  <c r="K280" i="1" a="1"/>
  <c r="K280" i="1" s="1"/>
  <c r="K285" i="1" a="1"/>
  <c r="K285" i="1" s="1"/>
  <c r="K582" i="1" a="1"/>
  <c r="K582" i="1" s="1"/>
  <c r="L279" i="1" a="1"/>
  <c r="L279" i="1" s="1"/>
  <c r="L716" i="1" a="1"/>
  <c r="L716" i="1" s="1"/>
  <c r="K329" i="1" a="1"/>
  <c r="K329" i="1" s="1"/>
  <c r="L329" i="1" a="1"/>
  <c r="L329" i="1" s="1"/>
  <c r="K647" i="1" a="1"/>
  <c r="K647" i="1" s="1"/>
  <c r="L647" i="1" a="1"/>
  <c r="L647" i="1" s="1"/>
  <c r="T285" i="1" a="1"/>
  <c r="T285" i="1" s="1"/>
  <c r="Q285" i="1" a="1"/>
  <c r="Q285" i="1" s="1"/>
  <c r="T357" i="1" a="1"/>
  <c r="T357" i="1" s="1"/>
  <c r="Q357" i="1" a="1"/>
  <c r="Q357" i="1" s="1"/>
  <c r="T137" i="1" a="1"/>
  <c r="T137" i="1" s="1"/>
  <c r="Q137" i="1" a="1"/>
  <c r="Q137" i="1" s="1"/>
  <c r="T377" i="1" a="1"/>
  <c r="T377" i="1" s="1"/>
  <c r="Q377" i="1" a="1"/>
  <c r="Q377" i="1" s="1"/>
  <c r="K395" i="1" a="1"/>
  <c r="K395" i="1" s="1"/>
  <c r="K633" i="1" a="1"/>
  <c r="K633" i="1" s="1"/>
  <c r="T633" i="1" s="1" a="1"/>
  <c r="T633" i="1" s="1"/>
  <c r="K354" i="1" a="1"/>
  <c r="K354" i="1" s="1"/>
  <c r="T354" i="1" s="1" a="1"/>
  <c r="T354" i="1" s="1"/>
  <c r="K517" i="1" a="1"/>
  <c r="K517" i="1" s="1"/>
  <c r="K753" i="1" a="1"/>
  <c r="K753" i="1" s="1"/>
  <c r="K98" i="1" a="1"/>
  <c r="K98" i="1" s="1"/>
  <c r="K17" i="1" a="1"/>
  <c r="K17" i="1" s="1"/>
  <c r="K49" i="1" a="1"/>
  <c r="K49" i="1" s="1"/>
  <c r="K4" i="1" a="1"/>
  <c r="K4" i="1" s="1"/>
  <c r="T4" i="1" s="1" a="1"/>
  <c r="T4" i="1" s="1"/>
  <c r="K207" i="1" a="1"/>
  <c r="K207" i="1" s="1"/>
  <c r="T207" i="1" s="1" a="1"/>
  <c r="T207" i="1" s="1"/>
  <c r="K384" i="1" a="1"/>
  <c r="K384" i="1" s="1"/>
  <c r="K91" i="1" a="1"/>
  <c r="K91" i="1" s="1"/>
  <c r="T91" i="1" s="1" a="1"/>
  <c r="T91" i="1" s="1"/>
  <c r="K309" i="1" a="1"/>
  <c r="K309" i="1" s="1"/>
  <c r="K511" i="1" a="1"/>
  <c r="K511" i="1" s="1"/>
  <c r="T511" i="1" s="1" a="1"/>
  <c r="T511" i="1" s="1"/>
  <c r="L134" i="1" a="1"/>
  <c r="L134" i="1" s="1"/>
  <c r="L747" i="1" a="1"/>
  <c r="L747" i="1" s="1"/>
  <c r="T710" i="1" a="1"/>
  <c r="T710" i="1" s="1"/>
  <c r="Q710" i="1" a="1"/>
  <c r="Q710" i="1" s="1"/>
  <c r="Q379" i="1" a="1"/>
  <c r="Q379" i="1" s="1"/>
  <c r="T457" i="1" a="1"/>
  <c r="T457" i="1" s="1"/>
  <c r="Q457" i="1" a="1"/>
  <c r="Q457" i="1" s="1"/>
  <c r="T574" i="1" a="1"/>
  <c r="T574" i="1" s="1"/>
  <c r="Q574" i="1" a="1"/>
  <c r="Q574" i="1" s="1"/>
  <c r="T593" i="1" a="1"/>
  <c r="T593" i="1" s="1"/>
  <c r="Q593" i="1" a="1"/>
  <c r="Q593" i="1" s="1"/>
  <c r="T579" i="1" a="1"/>
  <c r="T579" i="1" s="1"/>
  <c r="Q579" i="1" a="1"/>
  <c r="Q579" i="1" s="1"/>
  <c r="T57" i="1" a="1"/>
  <c r="T57" i="1" s="1"/>
  <c r="Q57" i="1" a="1"/>
  <c r="Q57" i="1" s="1"/>
  <c r="T648" i="1" a="1"/>
  <c r="T648" i="1" s="1"/>
  <c r="Q648" i="1" a="1"/>
  <c r="Q648" i="1" s="1"/>
  <c r="T174" i="1" a="1"/>
  <c r="T174" i="1" s="1"/>
  <c r="Q174" i="1" a="1"/>
  <c r="Q174" i="1" s="1"/>
  <c r="K430" i="1" a="1"/>
  <c r="K430" i="1" s="1"/>
  <c r="K140" i="1" a="1"/>
  <c r="K140" i="1" s="1"/>
  <c r="K677" i="1" a="1"/>
  <c r="K677" i="1" s="1"/>
  <c r="T677" i="1" s="1" a="1"/>
  <c r="T677" i="1" s="1"/>
  <c r="K673" i="1" a="1"/>
  <c r="K673" i="1" s="1"/>
  <c r="K489" i="1" a="1"/>
  <c r="K489" i="1" s="1"/>
  <c r="T489" i="1" s="1" a="1"/>
  <c r="T489" i="1" s="1"/>
  <c r="K145" i="1" a="1"/>
  <c r="K145" i="1" s="1"/>
  <c r="K752" i="1" a="1"/>
  <c r="K752" i="1" s="1"/>
  <c r="T752" i="1" s="1" a="1"/>
  <c r="T752" i="1" s="1"/>
  <c r="L449" i="1" a="1"/>
  <c r="L449" i="1" s="1"/>
  <c r="T351" i="1" a="1"/>
  <c r="T351" i="1" s="1"/>
  <c r="Q351" i="1" a="1"/>
  <c r="Q351" i="1" s="1"/>
  <c r="K710" i="1" a="1"/>
  <c r="K710" i="1" s="1"/>
  <c r="K348" i="1" a="1"/>
  <c r="K348" i="1" s="1"/>
  <c r="T348" i="1" s="1" a="1"/>
  <c r="T348" i="1" s="1"/>
  <c r="K593" i="1" a="1"/>
  <c r="K593" i="1" s="1"/>
  <c r="K146" i="1" a="1"/>
  <c r="K146" i="1" s="1"/>
  <c r="K756" i="1" a="1"/>
  <c r="K756" i="1" s="1"/>
  <c r="T756" i="1" s="1" a="1"/>
  <c r="T756" i="1" s="1"/>
  <c r="K149" i="1" a="1"/>
  <c r="K149" i="1" s="1"/>
  <c r="K116" i="1" a="1"/>
  <c r="K116" i="1" s="1"/>
  <c r="T116" i="1" s="1" a="1"/>
  <c r="T116" i="1" s="1"/>
  <c r="K23" i="1" a="1"/>
  <c r="K23" i="1" s="1"/>
  <c r="T23" i="1" s="1" a="1"/>
  <c r="T23" i="1" s="1"/>
  <c r="L420" i="1" a="1"/>
  <c r="L420" i="1" s="1"/>
  <c r="T517" i="1" a="1"/>
  <c r="T517" i="1" s="1"/>
  <c r="Q517" i="1" a="1"/>
  <c r="Q517" i="1" s="1"/>
  <c r="K546" i="1" a="1"/>
  <c r="K546" i="1" s="1"/>
  <c r="L546" i="1" a="1"/>
  <c r="L546" i="1" s="1"/>
  <c r="Q8" i="1" a="1"/>
  <c r="Q8" i="1" s="1"/>
  <c r="Q290" i="1" a="1"/>
  <c r="Q290" i="1" s="1"/>
  <c r="T261" i="1" a="1"/>
  <c r="T261" i="1" s="1"/>
  <c r="Q261" i="1" a="1"/>
  <c r="Q261" i="1" s="1"/>
  <c r="L778" i="1" a="1"/>
  <c r="L778" i="1" s="1"/>
  <c r="Q778" i="1" s="1" a="1"/>
  <c r="Q778" i="1" s="1"/>
  <c r="K778" i="1" a="1"/>
  <c r="K778" i="1" s="1"/>
  <c r="Q60" i="1" a="1"/>
  <c r="Q60" i="1" s="1"/>
  <c r="L303" i="1" a="1"/>
  <c r="L303" i="1" s="1"/>
  <c r="K303" i="1" a="1"/>
  <c r="K303" i="1" s="1"/>
  <c r="L580" i="1" a="1"/>
  <c r="L580" i="1" s="1"/>
  <c r="K580" i="1" a="1"/>
  <c r="K580" i="1" s="1"/>
  <c r="K521" i="1" a="1"/>
  <c r="K521" i="1" s="1"/>
  <c r="K238" i="1" a="1"/>
  <c r="K238" i="1" s="1"/>
  <c r="K525" i="1" a="1"/>
  <c r="K525" i="1" s="1"/>
  <c r="K726" i="1" a="1"/>
  <c r="K726" i="1" s="1"/>
  <c r="K368" i="1" a="1"/>
  <c r="K368" i="1" s="1"/>
  <c r="K316" i="1" a="1"/>
  <c r="K316" i="1" s="1"/>
  <c r="T316" i="1" s="1" a="1"/>
  <c r="T316" i="1" s="1"/>
  <c r="K535" i="1" a="1"/>
  <c r="K535" i="1" s="1"/>
  <c r="T535" i="1" s="1" a="1"/>
  <c r="T535" i="1" s="1"/>
  <c r="K289" i="1" a="1"/>
  <c r="K289" i="1" s="1"/>
  <c r="T289" i="1" s="1" a="1"/>
  <c r="T289" i="1" s="1"/>
  <c r="K191" i="1" a="1"/>
  <c r="K191" i="1" s="1"/>
  <c r="T191" i="1" s="1" a="1"/>
  <c r="T191" i="1" s="1"/>
  <c r="K124" i="1" a="1"/>
  <c r="K124" i="1" s="1"/>
  <c r="K232" i="1" a="1"/>
  <c r="K232" i="1" s="1"/>
  <c r="K122" i="1" a="1"/>
  <c r="K122" i="1" s="1"/>
  <c r="K636" i="1" a="1"/>
  <c r="K636" i="1" s="1"/>
  <c r="T636" i="1" s="1" a="1"/>
  <c r="T636" i="1" s="1"/>
  <c r="K221" i="1" a="1"/>
  <c r="K221" i="1" s="1"/>
  <c r="K108" i="1" a="1"/>
  <c r="K108" i="1" s="1"/>
  <c r="T108" i="1" s="1" a="1"/>
  <c r="T108" i="1" s="1"/>
  <c r="K333" i="1" a="1"/>
  <c r="K333" i="1" s="1"/>
  <c r="T333" i="1" s="1" a="1"/>
  <c r="T333" i="1" s="1"/>
  <c r="L720" i="1" a="1"/>
  <c r="L720" i="1" s="1"/>
  <c r="Q720" i="1" s="1" a="1"/>
  <c r="Q720" i="1" s="1"/>
  <c r="L366" i="1" a="1"/>
  <c r="L366" i="1" s="1"/>
  <c r="Q735" i="1" a="1"/>
  <c r="Q735" i="1" s="1"/>
  <c r="T245" i="1" a="1"/>
  <c r="T245" i="1" s="1"/>
  <c r="Q245" i="1" a="1"/>
  <c r="Q245" i="1" s="1"/>
  <c r="T789" i="1" a="1"/>
  <c r="T789" i="1" s="1"/>
  <c r="Q789" i="1" a="1"/>
  <c r="Q789" i="1" s="1"/>
  <c r="L552" i="1" a="1"/>
  <c r="L552" i="1" s="1"/>
  <c r="K552" i="1" a="1"/>
  <c r="K552" i="1" s="1"/>
  <c r="T122" i="1" a="1"/>
  <c r="T122" i="1" s="1"/>
  <c r="Q122" i="1" a="1"/>
  <c r="Q122" i="1" s="1"/>
  <c r="L92" i="1" a="1"/>
  <c r="L92" i="1" s="1"/>
  <c r="K92" i="1" a="1"/>
  <c r="K92" i="1" s="1"/>
  <c r="T221" i="1" a="1"/>
  <c r="T221" i="1" s="1"/>
  <c r="Q221" i="1" a="1"/>
  <c r="Q221" i="1" s="1"/>
  <c r="L658" i="1" a="1"/>
  <c r="L658" i="1" s="1"/>
  <c r="Q658" i="1" s="1" a="1"/>
  <c r="Q658" i="1" s="1"/>
  <c r="K658" i="1" a="1"/>
  <c r="K658" i="1" s="1"/>
  <c r="K362" i="1" a="1"/>
  <c r="K362" i="1" s="1"/>
  <c r="K788" i="1" a="1"/>
  <c r="K788" i="1" s="1"/>
  <c r="K785" i="1" a="1"/>
  <c r="K785" i="1" s="1"/>
  <c r="K389" i="1" a="1"/>
  <c r="K389" i="1" s="1"/>
  <c r="K202" i="1" a="1"/>
  <c r="K202" i="1" s="1"/>
  <c r="K151" i="1" a="1"/>
  <c r="K151" i="1" s="1"/>
  <c r="K249" i="1" a="1"/>
  <c r="K249" i="1" s="1"/>
  <c r="K22" i="1" a="1"/>
  <c r="K22" i="1" s="1"/>
  <c r="K732" i="1" a="1"/>
  <c r="K732" i="1" s="1"/>
  <c r="T732" i="1" s="1" a="1"/>
  <c r="T732" i="1" s="1"/>
  <c r="K664" i="1" a="1"/>
  <c r="K664" i="1" s="1"/>
  <c r="T664" i="1" s="1" a="1"/>
  <c r="T664" i="1" s="1"/>
  <c r="K500" i="1" a="1"/>
  <c r="K500" i="1" s="1"/>
  <c r="T500" i="1" s="1" a="1"/>
  <c r="T500" i="1" s="1"/>
  <c r="K648" i="1" a="1"/>
  <c r="K648" i="1" s="1"/>
  <c r="K498" i="1" a="1"/>
  <c r="K498" i="1" s="1"/>
  <c r="K360" i="1" a="1"/>
  <c r="K360" i="1" s="1"/>
  <c r="K377" i="1" a="1"/>
  <c r="K377" i="1" s="1"/>
  <c r="B2" i="4"/>
  <c r="B3" i="4"/>
  <c r="T73" i="1" a="1"/>
  <c r="T73" i="1" s="1"/>
  <c r="T762" i="1" a="1"/>
  <c r="T762" i="1" s="1"/>
  <c r="T418" i="1" a="1"/>
  <c r="T418" i="1" s="1"/>
  <c r="T543" i="1" a="1"/>
  <c r="T543" i="1" s="1"/>
  <c r="T225" i="1" a="1"/>
  <c r="T225" i="1" s="1"/>
  <c r="T542" i="1" a="1"/>
  <c r="T542" i="1" s="1"/>
  <c r="T566" i="1" a="1"/>
  <c r="T566" i="1" s="1"/>
  <c r="T16" i="1" a="1"/>
  <c r="T16" i="1" s="1"/>
  <c r="T602" i="1" a="1"/>
  <c r="T602" i="1" s="1"/>
  <c r="T384" i="1" a="1"/>
  <c r="T384" i="1" s="1"/>
  <c r="T642" i="1" a="1"/>
  <c r="T642" i="1" s="1"/>
  <c r="T391" i="1" a="1"/>
  <c r="T391" i="1" s="1"/>
  <c r="T405" i="1" a="1"/>
  <c r="T405" i="1" s="1"/>
  <c r="T487" i="1" a="1"/>
  <c r="T487" i="1" s="1"/>
  <c r="T436" i="1" a="1"/>
  <c r="T436" i="1" s="1"/>
  <c r="T451" i="1" a="1"/>
  <c r="T451" i="1" s="1"/>
  <c r="T709" i="1" a="1"/>
  <c r="T709" i="1" s="1"/>
  <c r="T11" i="1" a="1"/>
  <c r="T11" i="1" s="1"/>
  <c r="T26" i="1" a="1"/>
  <c r="T26" i="1" s="1"/>
  <c r="T758" i="1" a="1"/>
  <c r="T758" i="1" s="1"/>
  <c r="T232" i="1" a="1"/>
  <c r="T232" i="1" s="1"/>
  <c r="T208" i="1" a="1"/>
  <c r="T208" i="1" s="1"/>
  <c r="T337" i="1" a="1"/>
  <c r="T337" i="1" s="1"/>
  <c r="T330" i="1" a="1"/>
  <c r="T330" i="1" s="1"/>
  <c r="T215" i="1" a="1"/>
  <c r="T215" i="1" s="1"/>
  <c r="T22" i="1" a="1"/>
  <c r="T22" i="1" s="1"/>
  <c r="T521" i="1" a="1"/>
  <c r="T521" i="1" s="1"/>
  <c r="T644" i="1" a="1"/>
  <c r="T644" i="1" s="1"/>
  <c r="T175" i="1" a="1"/>
  <c r="T175" i="1" s="1"/>
  <c r="T78" i="1" a="1"/>
  <c r="T78" i="1" s="1"/>
  <c r="T599" i="1" a="1"/>
  <c r="T599" i="1" s="1"/>
  <c r="T19" i="1" a="1"/>
  <c r="T19" i="1" s="1"/>
  <c r="T434" i="1" a="1"/>
  <c r="T434" i="1" s="1"/>
  <c r="T362" i="1" a="1"/>
  <c r="T362" i="1" s="1"/>
  <c r="T788" i="1" a="1"/>
  <c r="T788" i="1" s="1"/>
  <c r="T623" i="1" a="1"/>
  <c r="T623" i="1" s="1"/>
  <c r="T66" i="1" a="1"/>
  <c r="T66" i="1" s="1"/>
  <c r="P727" i="8" l="1" a="1"/>
  <c r="P727" i="8" s="1"/>
  <c r="P146" i="8" a="1"/>
  <c r="P146" i="8" s="1"/>
  <c r="P647" i="8" a="1"/>
  <c r="P647" i="8" s="1"/>
  <c r="P511" i="8" a="1"/>
  <c r="P511" i="8" s="1"/>
  <c r="P256" i="8" a="1"/>
  <c r="P256" i="8" s="1"/>
  <c r="P635" i="8" a="1"/>
  <c r="P635" i="8" s="1"/>
  <c r="P140" i="8" a="1"/>
  <c r="P140" i="8" s="1"/>
  <c r="P579" i="8" a="1"/>
  <c r="P579" i="8" s="1"/>
  <c r="P379" i="8" a="1"/>
  <c r="P379" i="8" s="1"/>
  <c r="P322" i="8" a="1"/>
  <c r="P322" i="8" s="1"/>
  <c r="P148" i="8" a="1"/>
  <c r="P148" i="8" s="1"/>
  <c r="P676" i="8" a="1"/>
  <c r="P676" i="8" s="1"/>
  <c r="P532" i="8" a="1"/>
  <c r="P532" i="8" s="1"/>
  <c r="P402" i="8" a="1"/>
  <c r="P402" i="8" s="1"/>
  <c r="P487" i="8" a="1"/>
  <c r="P487" i="8" s="1"/>
  <c r="P682" i="8" a="1"/>
  <c r="P682" i="8" s="1"/>
  <c r="P667" i="8" a="1"/>
  <c r="P667" i="8" s="1"/>
  <c r="P219" i="8" a="1"/>
  <c r="P219" i="8" s="1"/>
  <c r="P426" i="8" a="1"/>
  <c r="P426" i="8" s="1"/>
  <c r="P411" i="8" a="1"/>
  <c r="P411" i="8" s="1"/>
  <c r="P715" i="8" a="1"/>
  <c r="P715" i="8" s="1"/>
  <c r="P602" i="8" a="1"/>
  <c r="P602" i="8" s="1"/>
  <c r="P550" i="8" a="1"/>
  <c r="P550" i="8" s="1"/>
  <c r="P476" i="8" a="1"/>
  <c r="P476" i="8" s="1"/>
  <c r="P344" i="8" a="1"/>
  <c r="P344" i="8" s="1"/>
  <c r="P401" i="8" a="1"/>
  <c r="P401" i="8" s="1"/>
  <c r="P240" i="8" a="1"/>
  <c r="P240" i="8" s="1"/>
  <c r="P88" i="8" a="1"/>
  <c r="P88" i="8" s="1"/>
  <c r="P158" i="8" a="1"/>
  <c r="P158" i="8" s="1"/>
  <c r="P407" i="8" a="1"/>
  <c r="P407" i="8" s="1"/>
  <c r="P688" i="8" a="1"/>
  <c r="P688" i="8" s="1"/>
  <c r="P701" i="8" a="1"/>
  <c r="P701" i="8" s="1"/>
  <c r="P196" i="8" a="1"/>
  <c r="P196" i="8" s="1"/>
  <c r="P443" i="8" a="1"/>
  <c r="P443" i="8" s="1"/>
  <c r="P459" i="8" a="1"/>
  <c r="P459" i="8" s="1"/>
  <c r="P26" i="8" a="1"/>
  <c r="P26" i="8" s="1"/>
  <c r="P44" i="8" a="1"/>
  <c r="P44" i="8" s="1"/>
  <c r="P189" i="8" a="1"/>
  <c r="P189" i="8" s="1"/>
  <c r="P332" i="8" a="1"/>
  <c r="P332" i="8" s="1"/>
  <c r="P452" i="8" a="1"/>
  <c r="P452" i="8" s="1"/>
  <c r="P596" i="8" a="1"/>
  <c r="P596" i="8" s="1"/>
  <c r="P258" i="8" a="1"/>
  <c r="P258" i="8" s="1"/>
  <c r="P214" i="8" a="1"/>
  <c r="P214" i="8" s="1"/>
  <c r="P316" i="8" a="1"/>
  <c r="P316" i="8" s="1"/>
  <c r="P354" i="8" a="1"/>
  <c r="P354" i="8" s="1"/>
  <c r="P425" i="8" a="1"/>
  <c r="P425" i="8" s="1"/>
  <c r="P542" i="8" a="1"/>
  <c r="P542" i="8" s="1"/>
  <c r="P35" i="8" a="1"/>
  <c r="P35" i="8" s="1"/>
  <c r="P706" i="8" a="1"/>
  <c r="P706" i="8" s="1"/>
  <c r="P475" i="8" a="1"/>
  <c r="P475" i="8" s="1"/>
  <c r="P25" i="8" a="1"/>
  <c r="P25" i="8" s="1"/>
  <c r="P395" i="8" a="1"/>
  <c r="P395" i="8" s="1"/>
  <c r="P141" i="8" a="1"/>
  <c r="P141" i="8" s="1"/>
  <c r="P712" i="8" a="1"/>
  <c r="P712" i="8" s="1"/>
  <c r="P473" i="8" a="1"/>
  <c r="P473" i="8" s="1"/>
  <c r="P65" i="8" a="1"/>
  <c r="P65" i="8" s="1"/>
  <c r="P512" i="8" a="1"/>
  <c r="P512" i="8" s="1"/>
  <c r="P267" i="8" a="1"/>
  <c r="P267" i="8" s="1"/>
  <c r="P11" i="8" a="1"/>
  <c r="P11" i="8" s="1"/>
  <c r="P570" i="8" a="1"/>
  <c r="P570" i="8" s="1"/>
  <c r="P309" i="8" a="1"/>
  <c r="P309" i="8" s="1"/>
  <c r="P53" i="8" a="1"/>
  <c r="P53" i="8" s="1"/>
  <c r="P180" i="8" a="1"/>
  <c r="P180" i="8" s="1"/>
  <c r="P10" i="8" a="1"/>
  <c r="P10" i="8" s="1"/>
  <c r="P694" i="8" a="1"/>
  <c r="P694" i="8" s="1"/>
  <c r="P441" i="8" a="1"/>
  <c r="P441" i="8" s="1"/>
  <c r="P41" i="8" a="1"/>
  <c r="P41" i="8" s="1"/>
  <c r="P470" i="8" a="1"/>
  <c r="P470" i="8" s="1"/>
  <c r="P211" i="8" a="1"/>
  <c r="P211" i="8" s="1"/>
  <c r="P741" i="8" a="1"/>
  <c r="P741" i="8" s="1"/>
  <c r="P489" i="8" a="1"/>
  <c r="P489" i="8" s="1"/>
  <c r="P232" i="8" a="1"/>
  <c r="P232" i="8" s="1"/>
  <c r="P422" i="8" a="1"/>
  <c r="P422" i="8" s="1"/>
  <c r="P348" i="8" a="1"/>
  <c r="P348" i="8" s="1"/>
  <c r="P178" i="8" a="1"/>
  <c r="P178" i="8" s="1"/>
  <c r="P6" i="8" a="1"/>
  <c r="P6" i="8" s="1"/>
  <c r="P665" i="8" a="1"/>
  <c r="P665" i="8" s="1"/>
  <c r="P409" i="8" a="1"/>
  <c r="P409" i="8" s="1"/>
  <c r="P5" i="8" a="1"/>
  <c r="P5" i="8" s="1"/>
  <c r="P546" i="8" a="1"/>
  <c r="P546" i="8" s="1"/>
  <c r="P262" i="8" a="1"/>
  <c r="P262" i="8" s="1"/>
  <c r="P739" i="8" a="1"/>
  <c r="P739" i="8" s="1"/>
  <c r="P536" i="8" a="1"/>
  <c r="P536" i="8" s="1"/>
  <c r="P293" i="8" a="1"/>
  <c r="P293" i="8" s="1"/>
  <c r="P37" i="8" a="1"/>
  <c r="P37" i="8" s="1"/>
  <c r="P228" i="8" a="1"/>
  <c r="P228" i="8" s="1"/>
  <c r="P58" i="8" a="1"/>
  <c r="P58" i="8" s="1"/>
  <c r="P673" i="8" a="1"/>
  <c r="P673" i="8" s="1"/>
  <c r="P705" i="8" a="1"/>
  <c r="P705" i="8" s="1"/>
  <c r="P98" i="8" a="1"/>
  <c r="P98" i="8" s="1"/>
  <c r="P110" i="8" a="1"/>
  <c r="P110" i="8" s="1"/>
  <c r="P662" i="8" a="1"/>
  <c r="P662" i="8" s="1"/>
  <c r="P698" i="8" a="1"/>
  <c r="P698" i="8" s="1"/>
  <c r="P632" i="8" a="1"/>
  <c r="P632" i="8" s="1"/>
  <c r="P376" i="8" a="1"/>
  <c r="P376" i="8" s="1"/>
  <c r="P704" i="8" a="1"/>
  <c r="P704" i="8" s="1"/>
  <c r="P463" i="8" a="1"/>
  <c r="P463" i="8" s="1"/>
  <c r="P33" i="8" a="1"/>
  <c r="P33" i="8" s="1"/>
  <c r="P502" i="8" a="1"/>
  <c r="P502" i="8" s="1"/>
  <c r="P246" i="8" a="1"/>
  <c r="P246" i="8" s="1"/>
  <c r="P66" i="8" a="1"/>
  <c r="P66" i="8" s="1"/>
  <c r="P540" i="8" a="1"/>
  <c r="P540" i="8" s="1"/>
  <c r="P288" i="8" a="1"/>
  <c r="P288" i="8" s="1"/>
  <c r="P32" i="8" a="1"/>
  <c r="P32" i="8" s="1"/>
  <c r="P170" i="8" a="1"/>
  <c r="P170" i="8" s="1"/>
  <c r="P589" i="8" a="1"/>
  <c r="P589" i="8" s="1"/>
  <c r="P686" i="8" a="1"/>
  <c r="P686" i="8" s="1"/>
  <c r="P431" i="8" a="1"/>
  <c r="P431" i="8" s="1"/>
  <c r="P9" i="8" a="1"/>
  <c r="P9" i="8" s="1"/>
  <c r="P450" i="8" a="1"/>
  <c r="P450" i="8" s="1"/>
  <c r="P190" i="8" a="1"/>
  <c r="P190" i="8" s="1"/>
  <c r="P717" i="8" a="1"/>
  <c r="P717" i="8" s="1"/>
  <c r="P479" i="8" a="1"/>
  <c r="P479" i="8" s="1"/>
  <c r="P221" i="8" a="1"/>
  <c r="P221" i="8" s="1"/>
  <c r="P733" i="8" a="1"/>
  <c r="P733" i="8" s="1"/>
  <c r="P338" i="8" a="1"/>
  <c r="P338" i="8" s="1"/>
  <c r="P167" i="8" a="1"/>
  <c r="P167" i="8" s="1"/>
  <c r="P560" i="8" a="1"/>
  <c r="P560" i="8" s="1"/>
  <c r="P655" i="8" a="1"/>
  <c r="P655" i="8" s="1"/>
  <c r="P399" i="8" a="1"/>
  <c r="P399" i="8" s="1"/>
  <c r="P609" i="8" a="1"/>
  <c r="P609" i="8" s="1"/>
  <c r="P516" i="8" a="1"/>
  <c r="P516" i="8" s="1"/>
  <c r="P251" i="8" a="1"/>
  <c r="P251" i="8" s="1"/>
  <c r="P731" i="8" a="1"/>
  <c r="P731" i="8" s="1"/>
  <c r="P526" i="8" a="1"/>
  <c r="P526" i="8" s="1"/>
  <c r="P272" i="8" a="1"/>
  <c r="P272" i="8" s="1"/>
  <c r="P16" i="8" a="1"/>
  <c r="P16" i="8" s="1"/>
  <c r="P218" i="8" a="1"/>
  <c r="P218" i="8" s="1"/>
  <c r="P47" i="8" a="1"/>
  <c r="P47" i="8" s="1"/>
  <c r="P162" i="8" a="1"/>
  <c r="P162" i="8" s="1"/>
  <c r="P78" i="8" a="1"/>
  <c r="P78" i="8" s="1"/>
  <c r="P183" i="8" a="1"/>
  <c r="P183" i="8" s="1"/>
  <c r="P195" i="8" a="1"/>
  <c r="P195" i="8" s="1"/>
  <c r="P130" i="8" a="1"/>
  <c r="P130" i="8" s="1"/>
  <c r="P151" i="8" a="1"/>
  <c r="P151" i="8" s="1"/>
  <c r="P456" i="8" a="1"/>
  <c r="P456" i="8" s="1"/>
  <c r="P120" i="8" a="1"/>
  <c r="P120" i="8" s="1"/>
  <c r="P236" i="8" a="1"/>
  <c r="P236" i="8" s="1"/>
  <c r="P690" i="8" a="1"/>
  <c r="P690" i="8" s="1"/>
  <c r="P446" i="8" a="1"/>
  <c r="P446" i="8" s="1"/>
  <c r="P622" i="8" a="1"/>
  <c r="P622" i="8" s="1"/>
  <c r="P365" i="8" a="1"/>
  <c r="P365" i="8" s="1"/>
  <c r="P109" i="8" a="1"/>
  <c r="P109" i="8" s="1"/>
  <c r="P696" i="8" a="1"/>
  <c r="P696" i="8" s="1"/>
  <c r="P453" i="8" a="1"/>
  <c r="P453" i="8" s="1"/>
  <c r="P76" i="8" a="1"/>
  <c r="P76" i="8" s="1"/>
  <c r="P482" i="8" a="1"/>
  <c r="P482" i="8" s="1"/>
  <c r="P235" i="8" a="1"/>
  <c r="P235" i="8" s="1"/>
  <c r="P735" i="8" a="1"/>
  <c r="P735" i="8" s="1"/>
  <c r="P521" i="8" a="1"/>
  <c r="P521" i="8" s="1"/>
  <c r="P277" i="8" a="1"/>
  <c r="P277" i="8" s="1"/>
  <c r="P21" i="8" a="1"/>
  <c r="P21" i="8" s="1"/>
  <c r="P159" i="8" a="1"/>
  <c r="P159" i="8" s="1"/>
  <c r="P481" i="8" a="1"/>
  <c r="P481" i="8" s="1"/>
  <c r="P677" i="8" a="1"/>
  <c r="P677" i="8" s="1"/>
  <c r="P421" i="8" a="1"/>
  <c r="P421" i="8" s="1"/>
  <c r="P658" i="8" a="1"/>
  <c r="P658" i="8" s="1"/>
  <c r="P420" i="8" a="1"/>
  <c r="P420" i="8" s="1"/>
  <c r="P179" i="8" a="1"/>
  <c r="P179" i="8" s="1"/>
  <c r="P709" i="8" a="1"/>
  <c r="P709" i="8" s="1"/>
  <c r="P469" i="8" a="1"/>
  <c r="P469" i="8" s="1"/>
  <c r="P200" i="8" a="1"/>
  <c r="P200" i="8" s="1"/>
  <c r="P646" i="8" a="1"/>
  <c r="P646" i="8" s="1"/>
  <c r="P327" i="8" a="1"/>
  <c r="P327" i="8" s="1"/>
  <c r="P156" i="8" a="1"/>
  <c r="P156" i="8" s="1"/>
  <c r="P451" i="8" a="1"/>
  <c r="P451" i="8" s="1"/>
  <c r="P645" i="8" a="1"/>
  <c r="P645" i="8" s="1"/>
  <c r="P389" i="8" a="1"/>
  <c r="P389" i="8" s="1"/>
  <c r="P500" i="8" a="1"/>
  <c r="P500" i="8" s="1"/>
  <c r="P497" i="8" a="1"/>
  <c r="P497" i="8" s="1"/>
  <c r="P230" i="8" a="1"/>
  <c r="P230" i="8" s="1"/>
  <c r="P723" i="8" a="1"/>
  <c r="P723" i="8" s="1"/>
  <c r="P506" i="8" a="1"/>
  <c r="P506" i="8" s="1"/>
  <c r="P261" i="8" a="1"/>
  <c r="P261" i="8" s="1"/>
  <c r="P436" i="8" a="1"/>
  <c r="P436" i="8" s="1"/>
  <c r="P207" i="8" a="1"/>
  <c r="P207" i="8" s="1"/>
  <c r="P36" i="8" a="1"/>
  <c r="P36" i="8" s="1"/>
  <c r="P247" i="8" a="1"/>
  <c r="P247" i="8" s="1"/>
  <c r="P172" i="8" a="1"/>
  <c r="P172" i="8" s="1"/>
  <c r="P268" i="8" a="1"/>
  <c r="P268" i="8" s="1"/>
  <c r="P366" i="8" a="1"/>
  <c r="P366" i="8" s="1"/>
  <c r="P215" i="8" a="1"/>
  <c r="P215" i="8" s="1"/>
  <c r="P445" i="8" a="1"/>
  <c r="P445" i="8" s="1"/>
  <c r="P300" i="8" a="1"/>
  <c r="P300" i="8" s="1"/>
  <c r="P14" i="8" a="1"/>
  <c r="P14" i="8" s="1"/>
  <c r="P404" i="8" a="1"/>
  <c r="P404" i="8" s="1"/>
  <c r="P652" i="8" a="1"/>
  <c r="P652" i="8" s="1"/>
  <c r="P396" i="8" a="1"/>
  <c r="P396" i="8" s="1"/>
  <c r="P572" i="8" a="1"/>
  <c r="P572" i="8" s="1"/>
  <c r="P333" i="8" a="1"/>
  <c r="P333" i="8" s="1"/>
  <c r="P77" i="8" a="1"/>
  <c r="P77" i="8" s="1"/>
  <c r="P680" i="8" a="1"/>
  <c r="P680" i="8" s="1"/>
  <c r="P424" i="8" a="1"/>
  <c r="P424" i="8" s="1"/>
  <c r="P23" i="8" a="1"/>
  <c r="P23" i="8" s="1"/>
  <c r="P433" i="8" a="1"/>
  <c r="P433" i="8" s="1"/>
  <c r="P203" i="8" a="1"/>
  <c r="P203" i="8" s="1"/>
  <c r="P719" i="8" a="1"/>
  <c r="P719" i="8" s="1"/>
  <c r="P501" i="8" a="1"/>
  <c r="P501" i="8" s="1"/>
  <c r="P245" i="8" a="1"/>
  <c r="P245" i="8" s="1"/>
  <c r="P471" i="8" a="1"/>
  <c r="P471" i="8" s="1"/>
  <c r="P138" i="8" a="1"/>
  <c r="P138" i="8" s="1"/>
  <c r="P362" i="8" a="1"/>
  <c r="P362" i="8" s="1"/>
  <c r="P648" i="8" a="1"/>
  <c r="P648" i="8" s="1"/>
  <c r="P392" i="8" a="1"/>
  <c r="P392" i="8" s="1"/>
  <c r="P432" i="8" a="1"/>
  <c r="P432" i="8" s="1"/>
  <c r="P391" i="8" a="1"/>
  <c r="P391" i="8" s="1"/>
  <c r="P147" i="8" a="1"/>
  <c r="P147" i="8" s="1"/>
  <c r="P693" i="8" a="1"/>
  <c r="P693" i="8" s="1"/>
  <c r="P440" i="8" a="1"/>
  <c r="P440" i="8" s="1"/>
  <c r="P168" i="8" a="1"/>
  <c r="P168" i="8" s="1"/>
  <c r="P557" i="8" a="1"/>
  <c r="P557" i="8" s="1"/>
  <c r="P306" i="8" a="1"/>
  <c r="P306" i="8" s="1"/>
  <c r="P135" i="8" a="1"/>
  <c r="P135" i="8" s="1"/>
  <c r="P675" i="8" a="1"/>
  <c r="P675" i="8" s="1"/>
  <c r="P616" i="8" a="1"/>
  <c r="P616" i="8" s="1"/>
  <c r="P369" i="8" a="1"/>
  <c r="P369" i="8" s="1"/>
  <c r="P725" i="8" a="1"/>
  <c r="P725" i="8" s="1"/>
  <c r="P477" i="8" a="1"/>
  <c r="P477" i="8" s="1"/>
  <c r="P198" i="8" a="1"/>
  <c r="P198" i="8" s="1"/>
  <c r="P707" i="8" a="1"/>
  <c r="P707" i="8" s="1"/>
  <c r="P457" i="8" a="1"/>
  <c r="P457" i="8" s="1"/>
  <c r="P229" i="8" a="1"/>
  <c r="P229" i="8" s="1"/>
  <c r="P387" i="8" a="1"/>
  <c r="P387" i="8" s="1"/>
  <c r="P186" i="8" a="1"/>
  <c r="P186" i="8" s="1"/>
  <c r="P15" i="8" a="1"/>
  <c r="P15" i="8" s="1"/>
  <c r="P484" i="8" a="1"/>
  <c r="P484" i="8" s="1"/>
  <c r="P343" i="8" a="1"/>
  <c r="P343" i="8" s="1"/>
  <c r="P496" i="8" a="1"/>
  <c r="P496" i="8" s="1"/>
  <c r="P562" i="8" a="1"/>
  <c r="P562" i="8" s="1"/>
  <c r="P385" i="8" a="1"/>
  <c r="P385" i="8" s="1"/>
  <c r="P312" i="8" a="1"/>
  <c r="P312" i="8" s="1"/>
  <c r="P56" i="8" a="1"/>
  <c r="P56" i="8" s="1"/>
  <c r="P670" i="8" a="1"/>
  <c r="P670" i="8" s="1"/>
  <c r="P414" i="8" a="1"/>
  <c r="P414" i="8" s="1"/>
  <c r="P679" i="8" a="1"/>
  <c r="P679" i="8" s="1"/>
  <c r="P423" i="8" a="1"/>
  <c r="P423" i="8" s="1"/>
  <c r="P182" i="8" a="1"/>
  <c r="P182" i="8" s="1"/>
  <c r="P711" i="8" a="1"/>
  <c r="P711" i="8" s="1"/>
  <c r="P491" i="8" a="1"/>
  <c r="P491" i="8" s="1"/>
  <c r="P224" i="8" a="1"/>
  <c r="P224" i="8" s="1"/>
  <c r="P372" i="8" a="1"/>
  <c r="P372" i="8" s="1"/>
  <c r="P127" i="8" a="1"/>
  <c r="P127" i="8" s="1"/>
  <c r="P340" i="8" a="1"/>
  <c r="P340" i="8" s="1"/>
  <c r="P638" i="8" a="1"/>
  <c r="P638" i="8" s="1"/>
  <c r="P382" i="8" a="1"/>
  <c r="P382" i="8" s="1"/>
  <c r="P637" i="8" a="1"/>
  <c r="P637" i="8" s="1"/>
  <c r="P381" i="8" a="1"/>
  <c r="P381" i="8" s="1"/>
  <c r="P126" i="8" a="1"/>
  <c r="P126" i="8" s="1"/>
  <c r="P685" i="8" a="1"/>
  <c r="P685" i="8" s="1"/>
  <c r="P430" i="8" a="1"/>
  <c r="P430" i="8" s="1"/>
  <c r="P157" i="8" a="1"/>
  <c r="P157" i="8" s="1"/>
  <c r="P518" i="8" a="1"/>
  <c r="P518" i="8" s="1"/>
  <c r="P295" i="8" a="1"/>
  <c r="P295" i="8" s="1"/>
  <c r="P124" i="8" a="1"/>
  <c r="P124" i="8" s="1"/>
  <c r="P626" i="8" a="1"/>
  <c r="P626" i="8" s="1"/>
  <c r="P606" i="8" a="1"/>
  <c r="P606" i="8" s="1"/>
  <c r="P337" i="8" a="1"/>
  <c r="P337" i="8" s="1"/>
  <c r="P656" i="8" a="1"/>
  <c r="P656" i="8" s="1"/>
  <c r="P467" i="8" a="1"/>
  <c r="P467" i="8" s="1"/>
  <c r="P187" i="8" a="1"/>
  <c r="P187" i="8" s="1"/>
  <c r="P699" i="8" a="1"/>
  <c r="P699" i="8" s="1"/>
  <c r="P447" i="8" a="1"/>
  <c r="P447" i="8" s="1"/>
  <c r="P208" i="8" a="1"/>
  <c r="P208" i="8" s="1"/>
  <c r="P356" i="8" a="1"/>
  <c r="P356" i="8" s="1"/>
  <c r="P175" i="8" a="1"/>
  <c r="P175" i="8" s="1"/>
  <c r="P2" i="8" a="1"/>
  <c r="P2" i="8" s="1"/>
  <c r="P535" i="8" a="1"/>
  <c r="P535" i="8" s="1"/>
  <c r="P493" i="8" a="1"/>
  <c r="P493" i="8" s="1"/>
  <c r="P108" i="8" a="1"/>
  <c r="P108" i="8" s="1"/>
  <c r="P612" i="8" a="1"/>
  <c r="P612" i="8" s="1"/>
  <c r="P464" i="8" a="1"/>
  <c r="P464" i="8" s="1"/>
  <c r="P553" i="8" a="1"/>
  <c r="P553" i="8" s="1"/>
  <c r="P345" i="8" a="1"/>
  <c r="P345" i="8" s="1"/>
  <c r="P45" i="8" a="1"/>
  <c r="P45" i="8" s="1"/>
  <c r="P650" i="8" a="1"/>
  <c r="P650" i="8" s="1"/>
  <c r="P394" i="8" a="1"/>
  <c r="P394" i="8" s="1"/>
  <c r="P669" i="8" a="1"/>
  <c r="P669" i="8" s="1"/>
  <c r="P413" i="8" a="1"/>
  <c r="P413" i="8" s="1"/>
  <c r="P171" i="8" a="1"/>
  <c r="P171" i="8" s="1"/>
  <c r="P703" i="8" a="1"/>
  <c r="P703" i="8" s="1"/>
  <c r="P472" i="8" a="1"/>
  <c r="P472" i="8" s="1"/>
  <c r="P213" i="8" a="1"/>
  <c r="P213" i="8" s="1"/>
  <c r="P351" i="8" a="1"/>
  <c r="P351" i="8" s="1"/>
  <c r="P116" i="8" a="1"/>
  <c r="P116" i="8" s="1"/>
  <c r="P319" i="8" a="1"/>
  <c r="P319" i="8" s="1"/>
  <c r="P618" i="8" a="1"/>
  <c r="P618" i="8" s="1"/>
  <c r="P361" i="8" a="1"/>
  <c r="P361" i="8" s="1"/>
  <c r="P627" i="8" a="1"/>
  <c r="P627" i="8" s="1"/>
  <c r="P371" i="8" a="1"/>
  <c r="P371" i="8" s="1"/>
  <c r="P115" i="8" a="1"/>
  <c r="P115" i="8" s="1"/>
  <c r="P666" i="8" a="1"/>
  <c r="P666" i="8" s="1"/>
  <c r="P410" i="8" a="1"/>
  <c r="P410" i="8" s="1"/>
  <c r="P136" i="8" a="1"/>
  <c r="P136" i="8" s="1"/>
  <c r="P498" i="8" a="1"/>
  <c r="P498" i="8" s="1"/>
  <c r="P284" i="8" a="1"/>
  <c r="P284" i="8" s="1"/>
  <c r="P114" i="8" a="1"/>
  <c r="P114" i="8" s="1"/>
  <c r="P577" i="8" a="1"/>
  <c r="P577" i="8" s="1"/>
  <c r="P586" i="8" a="1"/>
  <c r="P586" i="8" s="1"/>
  <c r="P305" i="8" a="1"/>
  <c r="P305" i="8" s="1"/>
  <c r="P567" i="8" a="1"/>
  <c r="P567" i="8" s="1"/>
  <c r="P448" i="8" a="1"/>
  <c r="P448" i="8" s="1"/>
  <c r="P166" i="8" a="1"/>
  <c r="P166" i="8" s="1"/>
  <c r="P691" i="8" a="1"/>
  <c r="P691" i="8" s="1"/>
  <c r="P437" i="8" a="1"/>
  <c r="P437" i="8" s="1"/>
  <c r="P197" i="8" a="1"/>
  <c r="P197" i="8" s="1"/>
  <c r="P335" i="8" a="1"/>
  <c r="P335" i="8" s="1"/>
  <c r="P164" i="8" a="1"/>
  <c r="P164" i="8" s="1"/>
  <c r="P8" i="8" a="1"/>
  <c r="P8" i="8" s="1"/>
  <c r="P592" i="8" a="1"/>
  <c r="P592" i="8" s="1"/>
  <c r="P544" i="8" a="1"/>
  <c r="P544" i="8" s="1"/>
  <c r="P364" i="8" a="1"/>
  <c r="P364" i="8" s="1"/>
  <c r="P660" i="8" a="1"/>
  <c r="P660" i="8" s="1"/>
  <c r="P515" i="8" a="1"/>
  <c r="P515" i="8" s="1"/>
  <c r="P623" i="8" a="1"/>
  <c r="P623" i="8" s="1"/>
  <c r="P543" i="8" a="1"/>
  <c r="P543" i="8" s="1"/>
  <c r="P311" i="8" a="1"/>
  <c r="P311" i="8" s="1"/>
  <c r="P466" i="8" a="1"/>
  <c r="P466" i="8" s="1"/>
  <c r="P613" i="8" a="1"/>
  <c r="P613" i="8" s="1"/>
  <c r="P313" i="8" a="1"/>
  <c r="P313" i="8" s="1"/>
  <c r="P533" i="8" a="1"/>
  <c r="P533" i="8" s="1"/>
  <c r="P280" i="8" a="1"/>
  <c r="P280" i="8" s="1"/>
  <c r="P24" i="8" a="1"/>
  <c r="P24" i="8" s="1"/>
  <c r="P620" i="8" a="1"/>
  <c r="P620" i="8" s="1"/>
  <c r="P353" i="8" a="1"/>
  <c r="P353" i="8" s="1"/>
  <c r="P659" i="8" a="1"/>
  <c r="P659" i="8" s="1"/>
  <c r="P403" i="8" a="1"/>
  <c r="P403" i="8" s="1"/>
  <c r="P150" i="8" a="1"/>
  <c r="P150" i="8" s="1"/>
  <c r="P695" i="8" a="1"/>
  <c r="P695" i="8" s="1"/>
  <c r="P462" i="8" a="1"/>
  <c r="P462" i="8" s="1"/>
  <c r="P192" i="8" a="1"/>
  <c r="P192" i="8" s="1"/>
  <c r="P330" i="8" a="1"/>
  <c r="P330" i="8" s="1"/>
  <c r="P106" i="8" a="1"/>
  <c r="P106" i="8" s="1"/>
  <c r="P308" i="8" a="1"/>
  <c r="P308" i="8" s="1"/>
  <c r="P588" i="8" a="1"/>
  <c r="P588" i="8" s="1"/>
  <c r="P329" i="8" a="1"/>
  <c r="P329" i="8" s="1"/>
  <c r="P608" i="8" a="1"/>
  <c r="P608" i="8" s="1"/>
  <c r="P350" i="8" a="1"/>
  <c r="P350" i="8" s="1"/>
  <c r="P94" i="8" a="1"/>
  <c r="P94" i="8" s="1"/>
  <c r="P636" i="8" a="1"/>
  <c r="P636" i="8" s="1"/>
  <c r="P380" i="8" a="1"/>
  <c r="P380" i="8" s="1"/>
  <c r="P125" i="8" a="1"/>
  <c r="P125" i="8" s="1"/>
  <c r="P468" i="8" a="1"/>
  <c r="P468" i="8" s="1"/>
  <c r="P274" i="8" a="1"/>
  <c r="P274" i="8" s="1"/>
  <c r="P103" i="8" a="1"/>
  <c r="P103" i="8" s="1"/>
  <c r="P528" i="8" a="1"/>
  <c r="P528" i="8" s="1"/>
  <c r="P556" i="8" a="1"/>
  <c r="P556" i="8" s="1"/>
  <c r="P273" i="8" a="1"/>
  <c r="P273" i="8" s="1"/>
  <c r="P547" i="8" a="1"/>
  <c r="P547" i="8" s="1"/>
  <c r="P438" i="8" a="1"/>
  <c r="P438" i="8" s="1"/>
  <c r="P155" i="8" a="1"/>
  <c r="P155" i="8" s="1"/>
  <c r="P683" i="8" a="1"/>
  <c r="P683" i="8" s="1"/>
  <c r="P427" i="8" a="1"/>
  <c r="P427" i="8" s="1"/>
  <c r="P176" i="8" a="1"/>
  <c r="P176" i="8" s="1"/>
  <c r="P324" i="8" a="1"/>
  <c r="P324" i="8" s="1"/>
  <c r="P154" i="8" a="1"/>
  <c r="P154" i="8" s="1"/>
  <c r="P7" i="8" a="1"/>
  <c r="P7" i="8" s="1"/>
  <c r="P678" i="8" a="1"/>
  <c r="P678" i="8" s="1"/>
  <c r="P594" i="8" a="1"/>
  <c r="P594" i="8" s="1"/>
  <c r="P713" i="8" a="1"/>
  <c r="P713" i="8" s="1"/>
  <c r="P689" i="8" a="1"/>
  <c r="P689" i="8" s="1"/>
  <c r="P663" i="8" a="1"/>
  <c r="P663" i="8" s="1"/>
  <c r="P583" i="8" a="1"/>
  <c r="P583" i="8" s="1"/>
  <c r="P301" i="8" a="1"/>
  <c r="P301" i="8" s="1"/>
  <c r="P631" i="8" a="1"/>
  <c r="P631" i="8" s="1"/>
  <c r="P417" i="8" a="1"/>
  <c r="P417" i="8" s="1"/>
  <c r="P603" i="8" a="1"/>
  <c r="P603" i="8" s="1"/>
  <c r="P281" i="8" a="1"/>
  <c r="P281" i="8" s="1"/>
  <c r="P523" i="8" a="1"/>
  <c r="P523" i="8" s="1"/>
  <c r="P269" i="8" a="1"/>
  <c r="P269" i="8" s="1"/>
  <c r="P13" i="8" a="1"/>
  <c r="P13" i="8" s="1"/>
  <c r="P601" i="8" a="1"/>
  <c r="P601" i="8" s="1"/>
  <c r="P321" i="8" a="1"/>
  <c r="P321" i="8" s="1"/>
  <c r="P640" i="8" a="1"/>
  <c r="P640" i="8" s="1"/>
  <c r="P384" i="8" a="1"/>
  <c r="P384" i="8" s="1"/>
  <c r="P139" i="8" a="1"/>
  <c r="P139" i="8" s="1"/>
  <c r="P687" i="8" a="1"/>
  <c r="P687" i="8" s="1"/>
  <c r="P442" i="8" a="1"/>
  <c r="P442" i="8" s="1"/>
  <c r="P181" i="8" a="1"/>
  <c r="P181" i="8" s="1"/>
  <c r="P298" i="8" a="1"/>
  <c r="P298" i="8" s="1"/>
  <c r="P95" i="8" a="1"/>
  <c r="P95" i="8" s="1"/>
  <c r="P287" i="8" a="1"/>
  <c r="P287" i="8" s="1"/>
  <c r="P569" i="8" a="1"/>
  <c r="P569" i="8" s="1"/>
  <c r="P297" i="8" a="1"/>
  <c r="P297" i="8" s="1"/>
  <c r="P598" i="8" a="1"/>
  <c r="P598" i="8" s="1"/>
  <c r="P339" i="8" a="1"/>
  <c r="P339" i="8" s="1"/>
  <c r="P83" i="8" a="1"/>
  <c r="P83" i="8" s="1"/>
  <c r="P617" i="8" a="1"/>
  <c r="P617" i="8" s="1"/>
  <c r="P360" i="8" a="1"/>
  <c r="P360" i="8" s="1"/>
  <c r="P104" i="8" a="1"/>
  <c r="P104" i="8" s="1"/>
  <c r="P449" i="8" a="1"/>
  <c r="P449" i="8" s="1"/>
  <c r="P263" i="8" a="1"/>
  <c r="P263" i="8" s="1"/>
  <c r="P92" i="8" a="1"/>
  <c r="P92" i="8" s="1"/>
  <c r="P740" i="8" a="1"/>
  <c r="P740" i="8" s="1"/>
  <c r="P537" i="8" a="1"/>
  <c r="P537" i="8" s="1"/>
  <c r="P241" i="8" a="1"/>
  <c r="P241" i="8" s="1"/>
  <c r="P674" i="8" a="1"/>
  <c r="P674" i="8" s="1"/>
  <c r="P418" i="8" a="1"/>
  <c r="P418" i="8" s="1"/>
  <c r="P134" i="8" a="1"/>
  <c r="P134" i="8" s="1"/>
  <c r="P664" i="8" a="1"/>
  <c r="P664" i="8" s="1"/>
  <c r="P408" i="8" a="1"/>
  <c r="P408" i="8" s="1"/>
  <c r="P165" i="8" a="1"/>
  <c r="P165" i="8" s="1"/>
  <c r="P314" i="8" a="1"/>
  <c r="P314" i="8" s="1"/>
  <c r="P143" i="8" a="1"/>
  <c r="P143" i="8" s="1"/>
  <c r="P4" i="8" a="1"/>
  <c r="P4" i="8" s="1"/>
  <c r="P729" i="8" a="1"/>
  <c r="P729" i="8" s="1"/>
  <c r="P643" i="8" a="1"/>
  <c r="P643" i="8" s="1"/>
  <c r="P99" i="8" a="1"/>
  <c r="P99" i="8" s="1"/>
  <c r="P119" i="8" a="1"/>
  <c r="P119" i="8" s="1"/>
  <c r="P131" i="8" a="1"/>
  <c r="P131" i="8" s="1"/>
  <c r="P226" i="8" a="1"/>
  <c r="P226" i="8" s="1"/>
  <c r="P584" i="8" a="1"/>
  <c r="P584" i="8" s="1"/>
  <c r="P248" i="8" a="1"/>
  <c r="P248" i="8" s="1"/>
  <c r="P289" i="8" a="1"/>
  <c r="P289" i="8" s="1"/>
  <c r="P630" i="8" a="1"/>
  <c r="P630" i="8" s="1"/>
  <c r="P374" i="8" a="1"/>
  <c r="P374" i="8" s="1"/>
  <c r="P118" i="8" a="1"/>
  <c r="P118" i="8" s="1"/>
  <c r="P668" i="8" a="1"/>
  <c r="P668" i="8" s="1"/>
  <c r="P412" i="8" a="1"/>
  <c r="P412" i="8" s="1"/>
  <c r="P160" i="8" a="1"/>
  <c r="P160" i="8" s="1"/>
  <c r="P276" i="8" a="1"/>
  <c r="P276" i="8" s="1"/>
  <c r="P84" i="8" a="1"/>
  <c r="P84" i="8" s="1"/>
  <c r="P266" i="8" a="1"/>
  <c r="P266" i="8" s="1"/>
  <c r="P559" i="8" a="1"/>
  <c r="P559" i="8" s="1"/>
  <c r="P265" i="8" a="1"/>
  <c r="P265" i="8" s="1"/>
  <c r="P578" i="8" a="1"/>
  <c r="P578" i="8" s="1"/>
  <c r="P318" i="8" a="1"/>
  <c r="P318" i="8" s="1"/>
  <c r="P62" i="8" a="1"/>
  <c r="P62" i="8" s="1"/>
  <c r="P607" i="8" a="1"/>
  <c r="P607" i="8" s="1"/>
  <c r="P349" i="8" a="1"/>
  <c r="P349" i="8" s="1"/>
  <c r="P93" i="8" a="1"/>
  <c r="P93" i="8" s="1"/>
  <c r="P439" i="8" a="1"/>
  <c r="P439" i="8" s="1"/>
  <c r="P252" i="8" a="1"/>
  <c r="P252" i="8" s="1"/>
  <c r="P82" i="8" a="1"/>
  <c r="P82" i="8" s="1"/>
  <c r="P732" i="8" a="1"/>
  <c r="P732" i="8" s="1"/>
  <c r="P527" i="8" a="1"/>
  <c r="P527" i="8" s="1"/>
  <c r="P209" i="8" a="1"/>
  <c r="P209" i="8" s="1"/>
  <c r="P644" i="8" a="1"/>
  <c r="P644" i="8" s="1"/>
  <c r="P388" i="8" a="1"/>
  <c r="P388" i="8" s="1"/>
  <c r="P123" i="8" a="1"/>
  <c r="P123" i="8" s="1"/>
  <c r="P654" i="8" a="1"/>
  <c r="P654" i="8" s="1"/>
  <c r="P398" i="8" a="1"/>
  <c r="P398" i="8" s="1"/>
  <c r="P144" i="8" a="1"/>
  <c r="P144" i="8" s="1"/>
  <c r="P303" i="8" a="1"/>
  <c r="P303" i="8" s="1"/>
  <c r="P132" i="8" a="1"/>
  <c r="P132" i="8" s="1"/>
  <c r="P3" i="8" a="1"/>
  <c r="P3" i="8" s="1"/>
  <c r="P67" i="8" a="1"/>
  <c r="P67" i="8" s="1"/>
  <c r="P174" i="8" a="1"/>
  <c r="P174" i="8" s="1"/>
  <c r="P270" i="8" a="1"/>
  <c r="P270" i="8" s="1"/>
  <c r="P204" i="8" a="1"/>
  <c r="P204" i="8" s="1"/>
  <c r="P302" i="8" a="1"/>
  <c r="P302" i="8" s="1"/>
  <c r="P377" i="8" a="1"/>
  <c r="P377" i="8" s="1"/>
  <c r="P697" i="8" a="1"/>
  <c r="P697" i="8" s="1"/>
  <c r="P504" i="8" a="1"/>
  <c r="P504" i="8" s="1"/>
  <c r="P591" i="8" a="1"/>
  <c r="P591" i="8" s="1"/>
  <c r="P367" i="8" a="1"/>
  <c r="P367" i="8" s="1"/>
  <c r="P574" i="8" a="1"/>
  <c r="P574" i="8" s="1"/>
  <c r="P217" i="8" a="1"/>
  <c r="P217" i="8" s="1"/>
  <c r="P494" i="8" a="1"/>
  <c r="P494" i="8" s="1"/>
  <c r="P237" i="8" a="1"/>
  <c r="P237" i="8" s="1"/>
  <c r="P55" i="8" a="1"/>
  <c r="P55" i="8" s="1"/>
  <c r="P581" i="8" a="1"/>
  <c r="P581" i="8" s="1"/>
  <c r="P257" i="8" a="1"/>
  <c r="P257" i="8" s="1"/>
  <c r="P610" i="8" a="1"/>
  <c r="P610" i="8" s="1"/>
  <c r="P363" i="8" a="1"/>
  <c r="P363" i="8" s="1"/>
  <c r="P107" i="8" a="1"/>
  <c r="P107" i="8" s="1"/>
  <c r="P649" i="8" a="1"/>
  <c r="P649" i="8" s="1"/>
  <c r="P393" i="8" a="1"/>
  <c r="P393" i="8" s="1"/>
  <c r="P149" i="8" a="1"/>
  <c r="P149" i="8" s="1"/>
  <c r="P255" i="8" a="1"/>
  <c r="P255" i="8" s="1"/>
  <c r="P74" i="8" a="1"/>
  <c r="P74" i="8" s="1"/>
  <c r="P234" i="8" a="1"/>
  <c r="P234" i="8" s="1"/>
  <c r="P549" i="8" a="1"/>
  <c r="P549" i="8" s="1"/>
  <c r="P233" i="8" a="1"/>
  <c r="P233" i="8" s="1"/>
  <c r="P548" i="8" a="1"/>
  <c r="P548" i="8" s="1"/>
  <c r="P307" i="8" a="1"/>
  <c r="P307" i="8" s="1"/>
  <c r="P51" i="8" a="1"/>
  <c r="P51" i="8" s="1"/>
  <c r="P597" i="8" a="1"/>
  <c r="P597" i="8" s="1"/>
  <c r="P328" i="8" a="1"/>
  <c r="P328" i="8" s="1"/>
  <c r="P72" i="8" a="1"/>
  <c r="P72" i="8" s="1"/>
  <c r="P429" i="8" a="1"/>
  <c r="P429" i="8" s="1"/>
  <c r="P242" i="8" a="1"/>
  <c r="P242" i="8" s="1"/>
  <c r="P71" i="8" a="1"/>
  <c r="P71" i="8" s="1"/>
  <c r="P724" i="8" a="1"/>
  <c r="P724" i="8" s="1"/>
  <c r="P517" i="8" a="1"/>
  <c r="P517" i="8" s="1"/>
  <c r="P177" i="8" a="1"/>
  <c r="P177" i="8" s="1"/>
  <c r="P625" i="8" a="1"/>
  <c r="P625" i="8" s="1"/>
  <c r="P358" i="8" a="1"/>
  <c r="P358" i="8" s="1"/>
  <c r="P102" i="8" a="1"/>
  <c r="P102" i="8" s="1"/>
  <c r="P634" i="8" a="1"/>
  <c r="P634" i="8" s="1"/>
  <c r="P378" i="8" a="1"/>
  <c r="P378" i="8" s="1"/>
  <c r="P133" i="8" a="1"/>
  <c r="P133" i="8" s="1"/>
  <c r="P292" i="8" a="1"/>
  <c r="P292" i="8" s="1"/>
  <c r="P122" i="8" a="1"/>
  <c r="P122" i="8" s="1"/>
  <c r="P238" i="8" a="1"/>
  <c r="P238" i="8" s="1"/>
  <c r="P163" i="8" a="1"/>
  <c r="P163" i="8" s="1"/>
  <c r="P259" i="8" a="1"/>
  <c r="P259" i="8" s="1"/>
  <c r="P355" i="8" a="1"/>
  <c r="P355" i="8" s="1"/>
  <c r="P206" i="8" a="1"/>
  <c r="P206" i="8" s="1"/>
  <c r="P633" i="8" a="1"/>
  <c r="P633" i="8" s="1"/>
  <c r="O734" i="8" a="1"/>
  <c r="O734" i="8" s="1"/>
  <c r="P614" i="8" a="1"/>
  <c r="P614" i="8" s="1"/>
  <c r="P563" i="8" a="1"/>
  <c r="P563" i="8" s="1"/>
  <c r="P681" i="8" a="1"/>
  <c r="P681" i="8" s="1"/>
  <c r="P290" i="8" a="1"/>
  <c r="P290" i="8" s="1"/>
  <c r="P454" i="8" a="1"/>
  <c r="P454" i="8" s="1"/>
  <c r="P513" i="8" a="1"/>
  <c r="P513" i="8" s="1"/>
  <c r="P375" i="8" a="1"/>
  <c r="P375" i="8" s="1"/>
  <c r="P661" i="8" a="1"/>
  <c r="P661" i="8" s="1"/>
  <c r="P397" i="8" a="1"/>
  <c r="P397" i="8" s="1"/>
  <c r="P249" i="8" a="1"/>
  <c r="P249" i="8" s="1"/>
  <c r="P87" i="8" a="1"/>
  <c r="P87" i="8" s="1"/>
  <c r="P672" i="8" a="1"/>
  <c r="P672" i="8" s="1"/>
  <c r="P142" i="8" a="1"/>
  <c r="P142" i="8" s="1"/>
  <c r="P346" i="8" a="1"/>
  <c r="P346" i="8" s="1"/>
  <c r="P554" i="8" a="1"/>
  <c r="P554" i="8" s="1"/>
  <c r="P185" i="8" a="1"/>
  <c r="P185" i="8" s="1"/>
  <c r="P474" i="8" a="1"/>
  <c r="P474" i="8" s="1"/>
  <c r="P216" i="8" a="1"/>
  <c r="P216" i="8" s="1"/>
  <c r="P34" i="8" a="1"/>
  <c r="P34" i="8" s="1"/>
  <c r="P571" i="8" a="1"/>
  <c r="P571" i="8" s="1"/>
  <c r="P225" i="8" a="1"/>
  <c r="P225" i="8" s="1"/>
  <c r="P580" i="8" a="1"/>
  <c r="P580" i="8" s="1"/>
  <c r="P342" i="8" a="1"/>
  <c r="P342" i="8" s="1"/>
  <c r="P86" i="8" a="1"/>
  <c r="P86" i="8" s="1"/>
  <c r="P639" i="8" a="1"/>
  <c r="P639" i="8" s="1"/>
  <c r="P383" i="8" a="1"/>
  <c r="P383" i="8" s="1"/>
  <c r="P128" i="8" a="1"/>
  <c r="P128" i="8" s="1"/>
  <c r="P244" i="8" a="1"/>
  <c r="P244" i="8" s="1"/>
  <c r="P63" i="8" a="1"/>
  <c r="P63" i="8" s="1"/>
  <c r="P734" i="8" a="1"/>
  <c r="P734" i="8" s="1"/>
  <c r="P539" i="8" a="1"/>
  <c r="P539" i="8" s="1"/>
  <c r="P201" i="8" a="1"/>
  <c r="P201" i="8" s="1"/>
  <c r="P529" i="8" a="1"/>
  <c r="P529" i="8" s="1"/>
  <c r="P286" i="8" a="1"/>
  <c r="P286" i="8" s="1"/>
  <c r="P30" i="8" a="1"/>
  <c r="P30" i="8" s="1"/>
  <c r="P587" i="8" a="1"/>
  <c r="P587" i="8" s="1"/>
  <c r="P317" i="8" a="1"/>
  <c r="P317" i="8" s="1"/>
  <c r="P61" i="8" a="1"/>
  <c r="P61" i="8" s="1"/>
  <c r="P419" i="8" a="1"/>
  <c r="P419" i="8" s="1"/>
  <c r="P231" i="8" a="1"/>
  <c r="P231" i="8" s="1"/>
  <c r="P60" i="8" a="1"/>
  <c r="P60" i="8" s="1"/>
  <c r="P716" i="8" a="1"/>
  <c r="P716" i="8" s="1"/>
  <c r="P507" i="8" a="1"/>
  <c r="P507" i="8" s="1"/>
  <c r="P145" i="8" a="1"/>
  <c r="P145" i="8" s="1"/>
  <c r="P615" i="8" a="1"/>
  <c r="P615" i="8" s="1"/>
  <c r="P347" i="8" a="1"/>
  <c r="P347" i="8" s="1"/>
  <c r="P91" i="8" a="1"/>
  <c r="P91" i="8" s="1"/>
  <c r="P604" i="8" a="1"/>
  <c r="P604" i="8" s="1"/>
  <c r="P368" i="8" a="1"/>
  <c r="P368" i="8" s="1"/>
  <c r="P112" i="8" a="1"/>
  <c r="P112" i="8" s="1"/>
  <c r="P282" i="8" a="1"/>
  <c r="P282" i="8" s="1"/>
  <c r="P111" i="8" a="1"/>
  <c r="P111" i="8" s="1"/>
  <c r="P323" i="8" a="1"/>
  <c r="P323" i="8" s="1"/>
  <c r="P334" i="8" a="1"/>
  <c r="P334" i="8" s="1"/>
  <c r="P545" i="8" a="1"/>
  <c r="P545" i="8" s="1"/>
  <c r="P435" i="8" a="1"/>
  <c r="P435" i="8" s="1"/>
  <c r="P291" i="8" a="1"/>
  <c r="P291" i="8" s="1"/>
  <c r="P465" i="8" a="1"/>
  <c r="P465" i="8" s="1"/>
  <c r="P227" i="8" a="1"/>
  <c r="P227" i="8" s="1"/>
  <c r="P738" i="8" a="1"/>
  <c r="P738" i="8" s="1"/>
  <c r="P524" i="8" a="1"/>
  <c r="P524" i="8" s="1"/>
  <c r="P153" i="8" a="1"/>
  <c r="P153" i="8" s="1"/>
  <c r="P444" i="8" a="1"/>
  <c r="P444" i="8" s="1"/>
  <c r="P205" i="8" a="1"/>
  <c r="P205" i="8" s="1"/>
  <c r="P12" i="8" a="1"/>
  <c r="P12" i="8" s="1"/>
  <c r="P552" i="8" a="1"/>
  <c r="P552" i="8" s="1"/>
  <c r="P193" i="8" a="1"/>
  <c r="P193" i="8" s="1"/>
  <c r="P561" i="8" a="1"/>
  <c r="P561" i="8" s="1"/>
  <c r="P331" i="8" a="1"/>
  <c r="P331" i="8" s="1"/>
  <c r="P75" i="8" a="1"/>
  <c r="P75" i="8" s="1"/>
  <c r="P629" i="8" a="1"/>
  <c r="P629" i="8" s="1"/>
  <c r="P373" i="8" a="1"/>
  <c r="P373" i="8" s="1"/>
  <c r="P117" i="8" a="1"/>
  <c r="P117" i="8" s="1"/>
  <c r="P223" i="8" a="1"/>
  <c r="P223" i="8" s="1"/>
  <c r="P52" i="8" a="1"/>
  <c r="P52" i="8" s="1"/>
  <c r="P726" i="8" a="1"/>
  <c r="P726" i="8" s="1"/>
  <c r="P520" i="8" a="1"/>
  <c r="P520" i="8" s="1"/>
  <c r="P169" i="8" a="1"/>
  <c r="P169" i="8" s="1"/>
  <c r="P519" i="8" a="1"/>
  <c r="P519" i="8" s="1"/>
  <c r="P275" i="8" a="1"/>
  <c r="P275" i="8" s="1"/>
  <c r="P19" i="8" a="1"/>
  <c r="P19" i="8" s="1"/>
  <c r="P568" i="8" a="1"/>
  <c r="P568" i="8" s="1"/>
  <c r="P296" i="8" a="1"/>
  <c r="P296" i="8" s="1"/>
  <c r="P40" i="8" a="1"/>
  <c r="P40" i="8" s="1"/>
  <c r="P400" i="8" a="1"/>
  <c r="P400" i="8" s="1"/>
  <c r="P220" i="8" a="1"/>
  <c r="P220" i="8" s="1"/>
  <c r="P50" i="8" a="1"/>
  <c r="P50" i="8" s="1"/>
  <c r="P708" i="8" a="1"/>
  <c r="P708" i="8" s="1"/>
  <c r="P488" i="8" a="1"/>
  <c r="P488" i="8" s="1"/>
  <c r="P113" i="8" a="1"/>
  <c r="P113" i="8" s="1"/>
  <c r="P605" i="8" a="1"/>
  <c r="P605" i="8" s="1"/>
  <c r="P326" i="8" a="1"/>
  <c r="P326" i="8" s="1"/>
  <c r="P70" i="8" a="1"/>
  <c r="P70" i="8" s="1"/>
  <c r="P585" i="8" a="1"/>
  <c r="P585" i="8" s="1"/>
  <c r="P357" i="8" a="1"/>
  <c r="P357" i="8" s="1"/>
  <c r="P101" i="8" a="1"/>
  <c r="P101" i="8" s="1"/>
  <c r="P271" i="8" a="1"/>
  <c r="P271" i="8" s="1"/>
  <c r="P100" i="8" a="1"/>
  <c r="P100" i="8" s="1"/>
  <c r="P406" i="8" a="1"/>
  <c r="P406" i="8" s="1"/>
  <c r="P416" i="8" a="1"/>
  <c r="P416" i="8" s="1"/>
  <c r="P434" i="8" a="1"/>
  <c r="P434" i="8" s="1"/>
  <c r="P503" i="8" a="1"/>
  <c r="P503" i="8" s="1"/>
  <c r="P455" i="8" a="1"/>
  <c r="P455" i="8" s="1"/>
  <c r="P573" i="8" a="1"/>
  <c r="P573" i="8" s="1"/>
  <c r="P730" i="8" a="1"/>
  <c r="P730" i="8" s="1"/>
  <c r="P184" i="8" a="1"/>
  <c r="P184" i="8" s="1"/>
  <c r="P551" i="8" a="1"/>
  <c r="P551" i="8" s="1"/>
  <c r="P310" i="8" a="1"/>
  <c r="P310" i="8" s="1"/>
  <c r="P54" i="8" a="1"/>
  <c r="P54" i="8" s="1"/>
  <c r="P619" i="8" a="1"/>
  <c r="P619" i="8" s="1"/>
  <c r="P352" i="8" a="1"/>
  <c r="P352" i="8" s="1"/>
  <c r="P96" i="8" a="1"/>
  <c r="P96" i="8" s="1"/>
  <c r="P212" i="8" a="1"/>
  <c r="P212" i="8" s="1"/>
  <c r="P42" i="8" a="1"/>
  <c r="P42" i="8" s="1"/>
  <c r="P718" i="8" a="1"/>
  <c r="P718" i="8" s="1"/>
  <c r="P510" i="8" a="1"/>
  <c r="P510" i="8" s="1"/>
  <c r="P137" i="8" a="1"/>
  <c r="P137" i="8" s="1"/>
  <c r="P509" i="8" a="1"/>
  <c r="P509" i="8" s="1"/>
  <c r="P254" i="8" a="1"/>
  <c r="P254" i="8" s="1"/>
  <c r="P599" i="8" a="1"/>
  <c r="P599" i="8" s="1"/>
  <c r="P558" i="8" a="1"/>
  <c r="P558" i="8" s="1"/>
  <c r="P285" i="8" a="1"/>
  <c r="P285" i="8" s="1"/>
  <c r="P29" i="8" a="1"/>
  <c r="P29" i="8" s="1"/>
  <c r="P390" i="8" a="1"/>
  <c r="P390" i="8" s="1"/>
  <c r="P210" i="8" a="1"/>
  <c r="P210" i="8" s="1"/>
  <c r="P39" i="8" a="1"/>
  <c r="P39" i="8" s="1"/>
  <c r="P700" i="8" a="1"/>
  <c r="P700" i="8" s="1"/>
  <c r="P478" i="8" a="1"/>
  <c r="P478" i="8" s="1"/>
  <c r="P81" i="8" a="1"/>
  <c r="P81" i="8" s="1"/>
  <c r="P595" i="8" a="1"/>
  <c r="P595" i="8" s="1"/>
  <c r="P315" i="8" a="1"/>
  <c r="P315" i="8" s="1"/>
  <c r="P59" i="8" a="1"/>
  <c r="P59" i="8" s="1"/>
  <c r="P575" i="8" a="1"/>
  <c r="P575" i="8" s="1"/>
  <c r="P336" i="8" a="1"/>
  <c r="P336" i="8" s="1"/>
  <c r="P80" i="8" a="1"/>
  <c r="P80" i="8" s="1"/>
  <c r="P260" i="8" a="1"/>
  <c r="P260" i="8" s="1"/>
  <c r="P90" i="8" a="1"/>
  <c r="P90" i="8" s="1"/>
  <c r="P483" i="8" a="1"/>
  <c r="P483" i="8" s="1"/>
  <c r="P486" i="8" a="1"/>
  <c r="P486" i="8" s="1"/>
  <c r="P651" i="8" a="1"/>
  <c r="P651" i="8" s="1"/>
  <c r="P737" i="8" a="1"/>
  <c r="P737" i="8" s="1"/>
  <c r="P514" i="8" a="1"/>
  <c r="P514" i="8" s="1"/>
  <c r="P624" i="8" a="1"/>
  <c r="P624" i="8" s="1"/>
  <c r="P505" i="8" a="1"/>
  <c r="P505" i="8" s="1"/>
  <c r="P736" i="8" a="1"/>
  <c r="P736" i="8" s="1"/>
  <c r="P582" i="8" a="1"/>
  <c r="P582" i="8" s="1"/>
  <c r="P722" i="8" a="1"/>
  <c r="P722" i="8" s="1"/>
  <c r="P495" i="8" a="1"/>
  <c r="P495" i="8" s="1"/>
  <c r="P89" i="8" a="1"/>
  <c r="P89" i="8" s="1"/>
  <c r="P415" i="8" a="1"/>
  <c r="P415" i="8" s="1"/>
  <c r="P173" i="8" a="1"/>
  <c r="P173" i="8" s="1"/>
  <c r="P728" i="8" a="1"/>
  <c r="P728" i="8" s="1"/>
  <c r="P522" i="8" a="1"/>
  <c r="P522" i="8" s="1"/>
  <c r="P129" i="8" a="1"/>
  <c r="P129" i="8" s="1"/>
  <c r="P541" i="8" a="1"/>
  <c r="P541" i="8" s="1"/>
  <c r="P299" i="8" a="1"/>
  <c r="P299" i="8" s="1"/>
  <c r="P43" i="8" a="1"/>
  <c r="P43" i="8" s="1"/>
  <c r="P600" i="8" a="1"/>
  <c r="P600" i="8" s="1"/>
  <c r="P341" i="8" a="1"/>
  <c r="P341" i="8" s="1"/>
  <c r="P85" i="8" a="1"/>
  <c r="P85" i="8" s="1"/>
  <c r="P202" i="8" a="1"/>
  <c r="P202" i="8" s="1"/>
  <c r="P31" i="8" a="1"/>
  <c r="P31" i="8" s="1"/>
  <c r="P710" i="8" a="1"/>
  <c r="P710" i="8" s="1"/>
  <c r="P490" i="8" a="1"/>
  <c r="P490" i="8" s="1"/>
  <c r="P105" i="8" a="1"/>
  <c r="P105" i="8" s="1"/>
  <c r="P499" i="8" a="1"/>
  <c r="P499" i="8" s="1"/>
  <c r="P243" i="8" a="1"/>
  <c r="P243" i="8" s="1"/>
  <c r="P461" i="8" a="1"/>
  <c r="P461" i="8" s="1"/>
  <c r="P538" i="8" a="1"/>
  <c r="P538" i="8" s="1"/>
  <c r="P264" i="8" a="1"/>
  <c r="P264" i="8" s="1"/>
  <c r="P628" i="8" a="1"/>
  <c r="P628" i="8" s="1"/>
  <c r="P370" i="8" a="1"/>
  <c r="P370" i="8" s="1"/>
  <c r="P199" i="8" a="1"/>
  <c r="P199" i="8" s="1"/>
  <c r="P28" i="8" a="1"/>
  <c r="P28" i="8" s="1"/>
  <c r="P692" i="8" a="1"/>
  <c r="P692" i="8" s="1"/>
  <c r="P458" i="8" a="1"/>
  <c r="P458" i="8" s="1"/>
  <c r="P49" i="8" a="1"/>
  <c r="P49" i="8" s="1"/>
  <c r="P576" i="8" a="1"/>
  <c r="P576" i="8" s="1"/>
  <c r="P294" i="8" a="1"/>
  <c r="P294" i="8" s="1"/>
  <c r="P38" i="8" a="1"/>
  <c r="P38" i="8" s="1"/>
  <c r="P565" i="8" a="1"/>
  <c r="P565" i="8" s="1"/>
  <c r="P325" i="8" a="1"/>
  <c r="P325" i="8" s="1"/>
  <c r="P69" i="8" a="1"/>
  <c r="P69" i="8" s="1"/>
  <c r="P250" i="8" a="1"/>
  <c r="P250" i="8" s="1"/>
  <c r="P79" i="8" a="1"/>
  <c r="P79" i="8" s="1"/>
  <c r="P534" i="8" a="1"/>
  <c r="P534" i="8" s="1"/>
  <c r="P593" i="8" a="1"/>
  <c r="P593" i="8" s="1"/>
  <c r="P194" i="8" a="1"/>
  <c r="P194" i="8" s="1"/>
  <c r="P279" i="8" a="1"/>
  <c r="P279" i="8" s="1"/>
  <c r="P564" i="8" a="1"/>
  <c r="P564" i="8" s="1"/>
  <c r="P721" i="8" a="1"/>
  <c r="P721" i="8" s="1"/>
  <c r="P121" i="8" a="1"/>
  <c r="P121" i="8" s="1"/>
  <c r="P161" i="8" a="1"/>
  <c r="P161" i="8" s="1"/>
  <c r="P671" i="8" a="1"/>
  <c r="P671" i="8" s="1"/>
  <c r="P714" i="8" a="1"/>
  <c r="P714" i="8" s="1"/>
  <c r="P485" i="8" a="1"/>
  <c r="P485" i="8" s="1"/>
  <c r="P57" i="8" a="1"/>
  <c r="P57" i="8" s="1"/>
  <c r="P405" i="8" a="1"/>
  <c r="P405" i="8" s="1"/>
  <c r="P152" i="8" a="1"/>
  <c r="P152" i="8" s="1"/>
  <c r="P720" i="8" a="1"/>
  <c r="P720" i="8" s="1"/>
  <c r="P492" i="8" a="1"/>
  <c r="P492" i="8" s="1"/>
  <c r="P97" i="8" a="1"/>
  <c r="P97" i="8" s="1"/>
  <c r="P531" i="8" a="1"/>
  <c r="P531" i="8" s="1"/>
  <c r="P278" i="8" a="1"/>
  <c r="P278" i="8" s="1"/>
  <c r="P22" i="8" a="1"/>
  <c r="P22" i="8" s="1"/>
  <c r="P590" i="8" a="1"/>
  <c r="P590" i="8" s="1"/>
  <c r="P320" i="8" a="1"/>
  <c r="P320" i="8" s="1"/>
  <c r="P64" i="8" a="1"/>
  <c r="P64" i="8" s="1"/>
  <c r="P191" i="8" a="1"/>
  <c r="P191" i="8" s="1"/>
  <c r="P20" i="8" a="1"/>
  <c r="P20" i="8" s="1"/>
  <c r="P702" i="8" a="1"/>
  <c r="P702" i="8" s="1"/>
  <c r="P460" i="8" a="1"/>
  <c r="P460" i="8" s="1"/>
  <c r="P73" i="8" a="1"/>
  <c r="P73" i="8" s="1"/>
  <c r="P480" i="8" a="1"/>
  <c r="P480" i="8" s="1"/>
  <c r="P222" i="8" a="1"/>
  <c r="P222" i="8" s="1"/>
  <c r="P657" i="8" a="1"/>
  <c r="P657" i="8" s="1"/>
  <c r="P508" i="8" a="1"/>
  <c r="P508" i="8" s="1"/>
  <c r="P253" i="8" a="1"/>
  <c r="P253" i="8" s="1"/>
  <c r="P530" i="8" a="1"/>
  <c r="P530" i="8" s="1"/>
  <c r="P359" i="8" a="1"/>
  <c r="P359" i="8" s="1"/>
  <c r="P188" i="8" a="1"/>
  <c r="P188" i="8" s="1"/>
  <c r="P18" i="8" a="1"/>
  <c r="P18" i="8" s="1"/>
  <c r="P684" i="8" a="1"/>
  <c r="P684" i="8" s="1"/>
  <c r="P428" i="8" a="1"/>
  <c r="P428" i="8" s="1"/>
  <c r="P17" i="8" a="1"/>
  <c r="P17" i="8" s="1"/>
  <c r="P566" i="8" a="1"/>
  <c r="P566" i="8" s="1"/>
  <c r="P283" i="8" a="1"/>
  <c r="P283" i="8" s="1"/>
  <c r="P27" i="8" a="1"/>
  <c r="P27" i="8" s="1"/>
  <c r="P555" i="8" a="1"/>
  <c r="P555" i="8" s="1"/>
  <c r="P304" i="8" a="1"/>
  <c r="P304" i="8" s="1"/>
  <c r="P48" i="8" a="1"/>
  <c r="P48" i="8" s="1"/>
  <c r="P239" i="8" a="1"/>
  <c r="P239" i="8" s="1"/>
  <c r="P68" i="8" a="1"/>
  <c r="P68" i="8" s="1"/>
  <c r="P641" i="8" a="1"/>
  <c r="P641" i="8" s="1"/>
  <c r="P642" i="8" a="1"/>
  <c r="P642" i="8" s="1"/>
  <c r="P611" i="8" a="1"/>
  <c r="P611" i="8" s="1"/>
  <c r="P653" i="8" a="1"/>
  <c r="P653" i="8" s="1"/>
  <c r="P621" i="8" a="1"/>
  <c r="P621" i="8" s="1"/>
  <c r="P46" i="8" a="1"/>
  <c r="P46" i="8" s="1"/>
  <c r="O485" i="8" a="1"/>
  <c r="O485" i="8" s="1"/>
  <c r="O640" i="8" a="1"/>
  <c r="O640" i="8" s="1"/>
  <c r="O631" i="8" a="1"/>
  <c r="O631" i="8" s="1"/>
  <c r="O195" i="8" a="1"/>
  <c r="O195" i="8" s="1"/>
  <c r="O181" i="8" a="1"/>
  <c r="O181" i="8" s="1"/>
  <c r="O60" i="8" a="1"/>
  <c r="O60" i="8" s="1"/>
  <c r="O72" i="8" a="1"/>
  <c r="O72" i="8" s="1"/>
  <c r="O514" i="8" a="1"/>
  <c r="O514" i="8" s="1"/>
  <c r="O176" i="8" a="1"/>
  <c r="O176" i="8" s="1"/>
  <c r="O571" i="8" a="1"/>
  <c r="O571" i="8" s="1"/>
  <c r="O672" i="8" a="1"/>
  <c r="O672" i="8" s="1"/>
  <c r="O621" i="8" a="1"/>
  <c r="O621" i="8" s="1"/>
  <c r="O365" i="8" a="1"/>
  <c r="O365" i="8" s="1"/>
  <c r="O196" i="8" a="1"/>
  <c r="O196" i="8" s="1"/>
  <c r="O511" i="8" a="1"/>
  <c r="O511" i="8" s="1"/>
  <c r="O249" i="8" a="1"/>
  <c r="O249" i="8" s="1"/>
  <c r="O718" i="8" a="1"/>
  <c r="O718" i="8" s="1"/>
  <c r="O490" i="8" a="1"/>
  <c r="O490" i="8" s="1"/>
  <c r="O163" i="8" a="1"/>
  <c r="O163" i="8" s="1"/>
  <c r="O352" i="8" a="1"/>
  <c r="O352" i="8" s="1"/>
  <c r="O184" i="8" a="1"/>
  <c r="O184" i="8" s="1"/>
  <c r="O13" i="8" a="1"/>
  <c r="O13" i="8" s="1"/>
  <c r="O440" i="8" a="1"/>
  <c r="O440" i="8" s="1"/>
  <c r="O183" i="8" a="1"/>
  <c r="O183" i="8" s="1"/>
  <c r="O636" i="8" a="1"/>
  <c r="O636" i="8" s="1"/>
  <c r="O380" i="8" a="1"/>
  <c r="O380" i="8" s="1"/>
  <c r="O150" i="8" a="1"/>
  <c r="O150" i="8" s="1"/>
  <c r="O692" i="8" a="1"/>
  <c r="O692" i="8" s="1"/>
  <c r="O439" i="8" a="1"/>
  <c r="O439" i="8" s="1"/>
  <c r="O43" i="8" a="1"/>
  <c r="O43" i="8" s="1"/>
  <c r="O379" i="8" a="1"/>
  <c r="O379" i="8" s="1"/>
  <c r="O170" i="8" a="1"/>
  <c r="O170" i="8" s="1"/>
  <c r="O655" i="8" a="1"/>
  <c r="O655" i="8" s="1"/>
  <c r="O457" i="8" a="1"/>
  <c r="O457" i="8" s="1"/>
  <c r="O212" i="8" a="1"/>
  <c r="O212" i="8" s="1"/>
  <c r="O715" i="8" a="1"/>
  <c r="O715" i="8" s="1"/>
  <c r="O466" i="8" a="1"/>
  <c r="O466" i="8" s="1"/>
  <c r="O201" i="8" a="1"/>
  <c r="O201" i="8" s="1"/>
  <c r="O664" i="8" a="1"/>
  <c r="O664" i="8" s="1"/>
  <c r="O564" i="8" a="1"/>
  <c r="O564" i="8" s="1"/>
  <c r="O275" i="8" a="1"/>
  <c r="O275" i="8" s="1"/>
  <c r="O563" i="8" a="1"/>
  <c r="O563" i="8" s="1"/>
  <c r="O295" i="8" a="1"/>
  <c r="O295" i="8" s="1"/>
  <c r="O39" i="8" a="1"/>
  <c r="O39" i="8" s="1"/>
  <c r="O523" i="8" a="1"/>
  <c r="O523" i="8" s="1"/>
  <c r="O241" i="8" a="1"/>
  <c r="O241" i="8" s="1"/>
  <c r="O7" i="8" a="1"/>
  <c r="O7" i="8" s="1"/>
  <c r="O37" i="8" a="1"/>
  <c r="O37" i="8" s="1"/>
  <c r="O393" i="8" a="1"/>
  <c r="O393" i="8" s="1"/>
  <c r="O58" i="8" a="1"/>
  <c r="O58" i="8" s="1"/>
  <c r="O453" i="8" a="1"/>
  <c r="O453" i="8" s="1"/>
  <c r="O157" i="8" a="1"/>
  <c r="O157" i="8" s="1"/>
  <c r="O598" i="8" a="1"/>
  <c r="O598" i="8" s="1"/>
  <c r="O253" i="8" a="1"/>
  <c r="O253" i="8" s="1"/>
  <c r="O603" i="8" a="1"/>
  <c r="O603" i="8" s="1"/>
  <c r="O530" i="8" a="1"/>
  <c r="O530" i="8" s="1"/>
  <c r="O75" i="8" a="1"/>
  <c r="O75" i="8" s="1"/>
  <c r="O316" i="8" a="1"/>
  <c r="O316" i="8" s="1"/>
  <c r="O710" i="8" a="1"/>
  <c r="O710" i="8" s="1"/>
  <c r="O131" i="8" a="1"/>
  <c r="O131" i="8" s="1"/>
  <c r="O173" i="8" a="1"/>
  <c r="O173" i="8" s="1"/>
  <c r="O430" i="8" a="1"/>
  <c r="O430" i="8" s="1"/>
  <c r="O626" i="8" a="1"/>
  <c r="O626" i="8" s="1"/>
  <c r="O129" i="8" a="1"/>
  <c r="O129" i="8" s="1"/>
  <c r="O684" i="8" a="1"/>
  <c r="O684" i="8" s="1"/>
  <c r="O429" i="8" a="1"/>
  <c r="O429" i="8" s="1"/>
  <c r="O11" i="8" a="1"/>
  <c r="O11" i="8" s="1"/>
  <c r="O369" i="8" a="1"/>
  <c r="O369" i="8" s="1"/>
  <c r="O160" i="8" a="1"/>
  <c r="O160" i="8" s="1"/>
  <c r="O566" i="8" a="1"/>
  <c r="O566" i="8" s="1"/>
  <c r="O408" i="8" a="1"/>
  <c r="O408" i="8" s="1"/>
  <c r="O191" i="8" a="1"/>
  <c r="O191" i="8" s="1"/>
  <c r="O691" i="8" a="1"/>
  <c r="O691" i="8" s="1"/>
  <c r="O447" i="8" a="1"/>
  <c r="O447" i="8" s="1"/>
  <c r="O190" i="8" a="1"/>
  <c r="O190" i="8" s="1"/>
  <c r="O634" i="8" a="1"/>
  <c r="O634" i="8" s="1"/>
  <c r="O554" i="8" a="1"/>
  <c r="O554" i="8" s="1"/>
  <c r="O243" i="8" a="1"/>
  <c r="O243" i="8" s="1"/>
  <c r="O553" i="8" a="1"/>
  <c r="O553" i="8" s="1"/>
  <c r="O284" i="8" a="1"/>
  <c r="O284" i="8" s="1"/>
  <c r="O28" i="8" a="1"/>
  <c r="O28" i="8" s="1"/>
  <c r="O513" i="8" a="1"/>
  <c r="O513" i="8" s="1"/>
  <c r="O230" i="8" a="1"/>
  <c r="O230" i="8" s="1"/>
  <c r="O6" i="8" a="1"/>
  <c r="O6" i="8" s="1"/>
  <c r="O125" i="8" a="1"/>
  <c r="O125" i="8" s="1"/>
  <c r="O443" i="8" a="1"/>
  <c r="O443" i="8" s="1"/>
  <c r="O144" i="8" a="1"/>
  <c r="O144" i="8" s="1"/>
  <c r="O559" i="8" a="1"/>
  <c r="O559" i="8" s="1"/>
  <c r="O242" i="8" a="1"/>
  <c r="O242" i="8" s="1"/>
  <c r="O629" i="8" a="1"/>
  <c r="O629" i="8" s="1"/>
  <c r="O364" i="8" a="1"/>
  <c r="O364" i="8" s="1"/>
  <c r="O668" i="8" a="1"/>
  <c r="O668" i="8" s="1"/>
  <c r="O14" i="8" a="1"/>
  <c r="O14" i="8" s="1"/>
  <c r="O467" i="8" a="1"/>
  <c r="O467" i="8" s="1"/>
  <c r="O403" i="8" a="1"/>
  <c r="O403" i="8" s="1"/>
  <c r="O471" i="8" a="1"/>
  <c r="O471" i="8" s="1"/>
  <c r="O342" i="8" a="1"/>
  <c r="O342" i="8" s="1"/>
  <c r="O709" i="8" a="1"/>
  <c r="O709" i="8" s="1"/>
  <c r="O172" i="8" a="1"/>
  <c r="O172" i="8" s="1"/>
  <c r="O370" i="8" a="1"/>
  <c r="O370" i="8" s="1"/>
  <c r="O689" i="8" a="1"/>
  <c r="O689" i="8" s="1"/>
  <c r="O601" i="8" a="1"/>
  <c r="O601" i="8" s="1"/>
  <c r="O345" i="8" a="1"/>
  <c r="O345" i="8" s="1"/>
  <c r="O164" i="8" a="1"/>
  <c r="O164" i="8" s="1"/>
  <c r="O491" i="8" a="1"/>
  <c r="O491" i="8" s="1"/>
  <c r="O217" i="8" a="1"/>
  <c r="O217" i="8" s="1"/>
  <c r="O702" i="8" a="1"/>
  <c r="O702" i="8" s="1"/>
  <c r="O461" i="8" a="1"/>
  <c r="O461" i="8" s="1"/>
  <c r="O99" i="8" a="1"/>
  <c r="O99" i="8" s="1"/>
  <c r="O332" i="8" a="1"/>
  <c r="O332" i="8" s="1"/>
  <c r="O162" i="8" a="1"/>
  <c r="O162" i="8" s="1"/>
  <c r="O693" i="8" a="1"/>
  <c r="O693" i="8" s="1"/>
  <c r="O420" i="8" a="1"/>
  <c r="O420" i="8" s="1"/>
  <c r="O151" i="8" a="1"/>
  <c r="O151" i="8" s="1"/>
  <c r="O607" i="8" a="1"/>
  <c r="O607" i="8" s="1"/>
  <c r="O351" i="8" a="1"/>
  <c r="O351" i="8" s="1"/>
  <c r="O118" i="8" a="1"/>
  <c r="O118" i="8" s="1"/>
  <c r="O675" i="8" a="1"/>
  <c r="O675" i="8" s="1"/>
  <c r="O419" i="8" a="1"/>
  <c r="O419" i="8" s="1"/>
  <c r="O645" i="8" a="1"/>
  <c r="O645" i="8" s="1"/>
  <c r="O320" i="8" a="1"/>
  <c r="O320" i="8" s="1"/>
  <c r="O149" i="8" a="1"/>
  <c r="O149" i="8" s="1"/>
  <c r="O731" i="8" a="1"/>
  <c r="O731" i="8" s="1"/>
  <c r="O398" i="8" a="1"/>
  <c r="O398" i="8" s="1"/>
  <c r="O180" i="8" a="1"/>
  <c r="O180" i="8" s="1"/>
  <c r="O654" i="8" a="1"/>
  <c r="O654" i="8" s="1"/>
  <c r="O437" i="8" a="1"/>
  <c r="O437" i="8" s="1"/>
  <c r="O169" i="8" a="1"/>
  <c r="O169" i="8" s="1"/>
  <c r="O738" i="8" a="1"/>
  <c r="O738" i="8" s="1"/>
  <c r="O535" i="8" a="1"/>
  <c r="O535" i="8" s="1"/>
  <c r="O211" i="8" a="1"/>
  <c r="O211" i="8" s="1"/>
  <c r="O504" i="8" a="1"/>
  <c r="O504" i="8" s="1"/>
  <c r="O263" i="8" a="1"/>
  <c r="O263" i="8" s="1"/>
  <c r="O4" i="8" a="1"/>
  <c r="O4" i="8" s="1"/>
  <c r="O464" i="8" a="1"/>
  <c r="O464" i="8" s="1"/>
  <c r="O209" i="8" a="1"/>
  <c r="O209" i="8" s="1"/>
  <c r="O3" i="8" a="1"/>
  <c r="O3" i="8" s="1"/>
  <c r="O210" i="8" a="1"/>
  <c r="O210" i="8" s="1"/>
  <c r="O495" i="8" a="1"/>
  <c r="O495" i="8" s="1"/>
  <c r="O229" i="8" a="1"/>
  <c r="O229" i="8" s="1"/>
  <c r="O590" i="8" a="1"/>
  <c r="O590" i="8" s="1"/>
  <c r="O303" i="8" a="1"/>
  <c r="O303" i="8" s="1"/>
  <c r="O659" i="8" a="1"/>
  <c r="O659" i="8" s="1"/>
  <c r="O416" i="8" a="1"/>
  <c r="O416" i="8" s="1"/>
  <c r="O695" i="8" a="1"/>
  <c r="O695" i="8" s="1"/>
  <c r="O500" i="8" a="1"/>
  <c r="O500" i="8" s="1"/>
  <c r="O10" i="8" a="1"/>
  <c r="O10" i="8" s="1"/>
  <c r="O658" i="8" a="1"/>
  <c r="O658" i="8" s="1"/>
  <c r="O143" i="8" a="1"/>
  <c r="O143" i="8" s="1"/>
  <c r="O481" i="8" a="1"/>
  <c r="O481" i="8" s="1"/>
  <c r="O206" i="8" a="1"/>
  <c r="O206" i="8" s="1"/>
  <c r="O694" i="8" a="1"/>
  <c r="O694" i="8" s="1"/>
  <c r="O451" i="8" a="1"/>
  <c r="O451" i="8" s="1"/>
  <c r="O67" i="8" a="1"/>
  <c r="O67" i="8" s="1"/>
  <c r="O322" i="8" a="1"/>
  <c r="O322" i="8" s="1"/>
  <c r="O152" i="8" a="1"/>
  <c r="O152" i="8" s="1"/>
  <c r="O666" i="8" a="1"/>
  <c r="O666" i="8" s="1"/>
  <c r="O410" i="8" a="1"/>
  <c r="O410" i="8" s="1"/>
  <c r="O140" i="8" a="1"/>
  <c r="O140" i="8" s="1"/>
  <c r="O597" i="8" a="1"/>
  <c r="O597" i="8" s="1"/>
  <c r="O341" i="8" a="1"/>
  <c r="O341" i="8" s="1"/>
  <c r="O97" i="8" a="1"/>
  <c r="O97" i="8" s="1"/>
  <c r="O665" i="8" a="1"/>
  <c r="O665" i="8" s="1"/>
  <c r="O409" i="8" a="1"/>
  <c r="O409" i="8" s="1"/>
  <c r="O625" i="8" a="1"/>
  <c r="O625" i="8" s="1"/>
  <c r="O309" i="8" a="1"/>
  <c r="O309" i="8" s="1"/>
  <c r="O138" i="8" a="1"/>
  <c r="O138" i="8" s="1"/>
  <c r="O707" i="8" a="1"/>
  <c r="O707" i="8" s="1"/>
  <c r="O388" i="8" a="1"/>
  <c r="O388" i="8" s="1"/>
  <c r="O159" i="8" a="1"/>
  <c r="O159" i="8" s="1"/>
  <c r="O615" i="8" a="1"/>
  <c r="O615" i="8" s="1"/>
  <c r="O427" i="8" a="1"/>
  <c r="O427" i="8" s="1"/>
  <c r="O158" i="8" a="1"/>
  <c r="O158" i="8" s="1"/>
  <c r="O730" i="8" a="1"/>
  <c r="O730" i="8" s="1"/>
  <c r="O525" i="8" a="1"/>
  <c r="O525" i="8" s="1"/>
  <c r="O179" i="8" a="1"/>
  <c r="O179" i="8" s="1"/>
  <c r="O494" i="8" a="1"/>
  <c r="O494" i="8" s="1"/>
  <c r="O252" i="8" a="1"/>
  <c r="O252" i="8" s="1"/>
  <c r="O632" i="8" a="1"/>
  <c r="O632" i="8" s="1"/>
  <c r="O454" i="8" a="1"/>
  <c r="O454" i="8" s="1"/>
  <c r="O198" i="8" a="1"/>
  <c r="O198" i="8" s="1"/>
  <c r="O2" i="8" a="1"/>
  <c r="O2" i="8" s="1"/>
  <c r="O335" i="8" a="1"/>
  <c r="O335" i="8" s="1"/>
  <c r="O551" i="8" a="1"/>
  <c r="O551" i="8" s="1"/>
  <c r="O292" i="8" a="1"/>
  <c r="O292" i="8" s="1"/>
  <c r="O652" i="8" a="1"/>
  <c r="O652" i="8" s="1"/>
  <c r="O354" i="8" a="1"/>
  <c r="O354" i="8" s="1"/>
  <c r="O711" i="8" a="1"/>
  <c r="O711" i="8" s="1"/>
  <c r="O472" i="8" a="1"/>
  <c r="O472" i="8" s="1"/>
  <c r="O717" i="8" a="1"/>
  <c r="O717" i="8" s="1"/>
  <c r="O390" i="8" a="1"/>
  <c r="O390" i="8" s="1"/>
  <c r="O307" i="8" a="1"/>
  <c r="O307" i="8" s="1"/>
  <c r="O355" i="8" a="1"/>
  <c r="O355" i="8" s="1"/>
  <c r="O283" i="8" a="1"/>
  <c r="O283" i="8" s="1"/>
  <c r="O432" i="8" a="1"/>
  <c r="O432" i="8" s="1"/>
  <c r="O686" i="8" a="1"/>
  <c r="O686" i="8" s="1"/>
  <c r="O35" i="8" a="1"/>
  <c r="O35" i="8" s="1"/>
  <c r="O312" i="8" a="1"/>
  <c r="O312" i="8" s="1"/>
  <c r="O141" i="8" a="1"/>
  <c r="O141" i="8" s="1"/>
  <c r="O647" i="8" a="1"/>
  <c r="O647" i="8" s="1"/>
  <c r="O391" i="8" a="1"/>
  <c r="O391" i="8" s="1"/>
  <c r="O119" i="8" a="1"/>
  <c r="O119" i="8" s="1"/>
  <c r="O587" i="8" a="1"/>
  <c r="O587" i="8" s="1"/>
  <c r="O331" i="8" a="1"/>
  <c r="O331" i="8" s="1"/>
  <c r="O86" i="8" a="1"/>
  <c r="O86" i="8" s="1"/>
  <c r="O616" i="8" a="1"/>
  <c r="O616" i="8" s="1"/>
  <c r="O360" i="8" a="1"/>
  <c r="O360" i="8" s="1"/>
  <c r="O556" i="8" a="1"/>
  <c r="O556" i="8" s="1"/>
  <c r="O298" i="8" a="1"/>
  <c r="O298" i="8" s="1"/>
  <c r="O128" i="8" a="1"/>
  <c r="O128" i="8" s="1"/>
  <c r="O683" i="8" a="1"/>
  <c r="O683" i="8" s="1"/>
  <c r="O378" i="8" a="1"/>
  <c r="O378" i="8" s="1"/>
  <c r="O148" i="8" a="1"/>
  <c r="O148" i="8" s="1"/>
  <c r="O673" i="8" a="1"/>
  <c r="O673" i="8" s="1"/>
  <c r="O417" i="8" a="1"/>
  <c r="O417" i="8" s="1"/>
  <c r="O137" i="8" a="1"/>
  <c r="O137" i="8" s="1"/>
  <c r="O722" i="8" a="1"/>
  <c r="O722" i="8" s="1"/>
  <c r="O515" i="8" a="1"/>
  <c r="O515" i="8" s="1"/>
  <c r="O147" i="8" a="1"/>
  <c r="O147" i="8" s="1"/>
  <c r="O484" i="8" a="1"/>
  <c r="O484" i="8" s="1"/>
  <c r="O231" i="8" a="1"/>
  <c r="O231" i="8" s="1"/>
  <c r="O602" i="8" a="1"/>
  <c r="O602" i="8" s="1"/>
  <c r="O444" i="8" a="1"/>
  <c r="O444" i="8" s="1"/>
  <c r="O177" i="8" a="1"/>
  <c r="O177" i="8" s="1"/>
  <c r="O386" i="8" a="1"/>
  <c r="O386" i="8" s="1"/>
  <c r="O679" i="8" a="1"/>
  <c r="O679" i="8" s="1"/>
  <c r="O396" i="8" a="1"/>
  <c r="O396" i="8" s="1"/>
  <c r="O727" i="8" a="1"/>
  <c r="O727" i="8" s="1"/>
  <c r="O406" i="8" a="1"/>
  <c r="O406" i="8" s="1"/>
  <c r="O82" i="8" a="1"/>
  <c r="O82" i="8" s="1"/>
  <c r="O600" i="8" a="1"/>
  <c r="O600" i="8" s="1"/>
  <c r="O112" i="8" a="1"/>
  <c r="O112" i="8" s="1"/>
  <c r="O204" i="8" a="1"/>
  <c r="O204" i="8" s="1"/>
  <c r="O222" i="8" a="1"/>
  <c r="O222" i="8" s="1"/>
  <c r="O719" i="8" a="1"/>
  <c r="O719" i="8" s="1"/>
  <c r="O542" i="8" a="1"/>
  <c r="O542" i="8" s="1"/>
  <c r="O132" i="8" a="1"/>
  <c r="O132" i="8" s="1"/>
  <c r="O185" i="8" a="1"/>
  <c r="O185" i="8" s="1"/>
  <c r="O441" i="8" a="1"/>
  <c r="O441" i="8" s="1"/>
  <c r="O728" i="8" a="1"/>
  <c r="O728" i="8" s="1"/>
  <c r="O532" i="8" a="1"/>
  <c r="O532" i="8" s="1"/>
  <c r="O251" i="8" a="1"/>
  <c r="O251" i="8" s="1"/>
  <c r="O111" i="8" a="1"/>
  <c r="O111" i="8" s="1"/>
  <c r="O422" i="8" a="1"/>
  <c r="O422" i="8" s="1"/>
  <c r="O174" i="8" a="1"/>
  <c r="O174" i="8" s="1"/>
  <c r="O648" i="8" a="1"/>
  <c r="O648" i="8" s="1"/>
  <c r="O392" i="8" a="1"/>
  <c r="O392" i="8" s="1"/>
  <c r="O549" i="8" a="1"/>
  <c r="O549" i="8" s="1"/>
  <c r="O301" i="8" a="1"/>
  <c r="O301" i="8" s="1"/>
  <c r="O130" i="8" a="1"/>
  <c r="O130" i="8" s="1"/>
  <c r="O637" i="8" a="1"/>
  <c r="O637" i="8" s="1"/>
  <c r="O381" i="8" a="1"/>
  <c r="O381" i="8" s="1"/>
  <c r="O108" i="8" a="1"/>
  <c r="O108" i="8" s="1"/>
  <c r="O577" i="8" a="1"/>
  <c r="O577" i="8" s="1"/>
  <c r="O321" i="8" a="1"/>
  <c r="O321" i="8" s="1"/>
  <c r="O65" i="8" a="1"/>
  <c r="O65" i="8" s="1"/>
  <c r="O606" i="8" a="1"/>
  <c r="O606" i="8" s="1"/>
  <c r="O350" i="8" a="1"/>
  <c r="O350" i="8" s="1"/>
  <c r="O546" i="8" a="1"/>
  <c r="O546" i="8" s="1"/>
  <c r="O288" i="8" a="1"/>
  <c r="O288" i="8" s="1"/>
  <c r="O117" i="8" a="1"/>
  <c r="O117" i="8" s="1"/>
  <c r="O644" i="8" a="1"/>
  <c r="O644" i="8" s="1"/>
  <c r="O359" i="8" a="1"/>
  <c r="O359" i="8" s="1"/>
  <c r="O127" i="8" a="1"/>
  <c r="O127" i="8" s="1"/>
  <c r="O624" i="8" a="1"/>
  <c r="O624" i="8" s="1"/>
  <c r="O368" i="8" a="1"/>
  <c r="O368" i="8" s="1"/>
  <c r="O126" i="8" a="1"/>
  <c r="O126" i="8" s="1"/>
  <c r="O714" i="8" a="1"/>
  <c r="O714" i="8" s="1"/>
  <c r="O505" i="8" a="1"/>
  <c r="O505" i="8" s="1"/>
  <c r="O115" i="8" a="1"/>
  <c r="O115" i="8" s="1"/>
  <c r="O474" i="8" a="1"/>
  <c r="O474" i="8" s="1"/>
  <c r="O220" i="8" a="1"/>
  <c r="O220" i="8" s="1"/>
  <c r="O573" i="8" a="1"/>
  <c r="O573" i="8" s="1"/>
  <c r="O434" i="8" a="1"/>
  <c r="O434" i="8" s="1"/>
  <c r="O166" i="8" a="1"/>
  <c r="O166" i="8" s="1"/>
  <c r="O735" i="8" a="1"/>
  <c r="O735" i="8" s="1"/>
  <c r="O442" i="8" a="1"/>
  <c r="O442" i="8" s="1"/>
  <c r="O703" i="8" a="1"/>
  <c r="O703" i="8" s="1"/>
  <c r="O452" i="8" a="1"/>
  <c r="O452" i="8" s="1"/>
  <c r="O69" i="8" a="1"/>
  <c r="O69" i="8" s="1"/>
  <c r="O462" i="8" a="1"/>
  <c r="O462" i="8" s="1"/>
  <c r="O168" i="8" a="1"/>
  <c r="O168" i="8" s="1"/>
  <c r="O630" i="8" a="1"/>
  <c r="O630" i="8" s="1"/>
  <c r="O197" i="8" a="1"/>
  <c r="O197" i="8" s="1"/>
  <c r="O207" i="8" a="1"/>
  <c r="O207" i="8" s="1"/>
  <c r="O458" i="8" a="1"/>
  <c r="O458" i="8" s="1"/>
  <c r="O262" i="8" a="1"/>
  <c r="O262" i="8" s="1"/>
  <c r="O552" i="8" a="1"/>
  <c r="O552" i="8" s="1"/>
  <c r="O720" i="8" a="1"/>
  <c r="O720" i="8" s="1"/>
  <c r="O522" i="8" a="1"/>
  <c r="O522" i="8" s="1"/>
  <c r="O219" i="8" a="1"/>
  <c r="O219" i="8" s="1"/>
  <c r="O100" i="8" a="1"/>
  <c r="O100" i="8" s="1"/>
  <c r="O412" i="8" a="1"/>
  <c r="O412" i="8" s="1"/>
  <c r="O153" i="8" a="1"/>
  <c r="O153" i="8" s="1"/>
  <c r="O638" i="8" a="1"/>
  <c r="O638" i="8" s="1"/>
  <c r="O382" i="8" a="1"/>
  <c r="O382" i="8" s="1"/>
  <c r="O539" i="8" a="1"/>
  <c r="O539" i="8" s="1"/>
  <c r="O290" i="8" a="1"/>
  <c r="O290" i="8" s="1"/>
  <c r="O120" i="8" a="1"/>
  <c r="O120" i="8" s="1"/>
  <c r="O627" i="8" a="1"/>
  <c r="O627" i="8" s="1"/>
  <c r="O371" i="8" a="1"/>
  <c r="O371" i="8" s="1"/>
  <c r="O87" i="8" a="1"/>
  <c r="O87" i="8" s="1"/>
  <c r="O528" i="8" a="1"/>
  <c r="O528" i="8" s="1"/>
  <c r="O310" i="8" a="1"/>
  <c r="O310" i="8" s="1"/>
  <c r="O54" i="8" a="1"/>
  <c r="O54" i="8" s="1"/>
  <c r="O596" i="8" a="1"/>
  <c r="O596" i="8" s="1"/>
  <c r="O340" i="8" a="1"/>
  <c r="O340" i="8" s="1"/>
  <c r="O527" i="8" a="1"/>
  <c r="O527" i="8" s="1"/>
  <c r="O277" i="8" a="1"/>
  <c r="O277" i="8" s="1"/>
  <c r="O106" i="8" a="1"/>
  <c r="O106" i="8" s="1"/>
  <c r="O605" i="8" a="1"/>
  <c r="O605" i="8" s="1"/>
  <c r="O349" i="8" a="1"/>
  <c r="O349" i="8" s="1"/>
  <c r="O116" i="8" a="1"/>
  <c r="O116" i="8" s="1"/>
  <c r="O614" i="8" a="1"/>
  <c r="O614" i="8" s="1"/>
  <c r="O358" i="8" a="1"/>
  <c r="O358" i="8" s="1"/>
  <c r="O105" i="8" a="1"/>
  <c r="O105" i="8" s="1"/>
  <c r="O706" i="8" a="1"/>
  <c r="O706" i="8" s="1"/>
  <c r="O456" i="8" a="1"/>
  <c r="O456" i="8" s="1"/>
  <c r="O83" i="8" a="1"/>
  <c r="O83" i="8" s="1"/>
  <c r="O455" i="8" a="1"/>
  <c r="O455" i="8" s="1"/>
  <c r="O199" i="8" a="1"/>
  <c r="O199" i="8" s="1"/>
  <c r="O671" i="8" a="1"/>
  <c r="O671" i="8" s="1"/>
  <c r="O415" i="8" a="1"/>
  <c r="O415" i="8" s="1"/>
  <c r="O145" i="8" a="1"/>
  <c r="O145" i="8" s="1"/>
  <c r="O122" i="8" a="1"/>
  <c r="O122" i="8" s="1"/>
  <c r="O492" i="8" a="1"/>
  <c r="O492" i="8" s="1"/>
  <c r="O50" i="8" a="1"/>
  <c r="O50" i="8" s="1"/>
  <c r="O502" i="8" a="1"/>
  <c r="O502" i="8" s="1"/>
  <c r="O154" i="8" a="1"/>
  <c r="O154" i="8" s="1"/>
  <c r="O512" i="8" a="1"/>
  <c r="O512" i="8" s="1"/>
  <c r="O250" i="8" a="1"/>
  <c r="O250" i="8" s="1"/>
  <c r="O713" i="8" a="1"/>
  <c r="O713" i="8" s="1"/>
  <c r="O271" i="8" a="1"/>
  <c r="O271" i="8" s="1"/>
  <c r="O270" i="8" a="1"/>
  <c r="O270" i="8" s="1"/>
  <c r="O389" i="8" a="1"/>
  <c r="O389" i="8" s="1"/>
  <c r="O8" i="8" a="1"/>
  <c r="O8" i="8" s="1"/>
  <c r="O622" i="8" a="1"/>
  <c r="O622" i="8" s="1"/>
  <c r="O187" i="8" a="1"/>
  <c r="O187" i="8" s="1"/>
  <c r="O372" i="8" a="1"/>
  <c r="O372" i="8" s="1"/>
  <c r="O529" i="8" a="1"/>
  <c r="O529" i="8" s="1"/>
  <c r="O280" i="8" a="1"/>
  <c r="O280" i="8" s="1"/>
  <c r="O109" i="8" a="1"/>
  <c r="O109" i="8" s="1"/>
  <c r="O617" i="8" a="1"/>
  <c r="O617" i="8" s="1"/>
  <c r="O361" i="8" a="1"/>
  <c r="O361" i="8" s="1"/>
  <c r="O76" i="8" a="1"/>
  <c r="O76" i="8" s="1"/>
  <c r="O518" i="8" a="1"/>
  <c r="O518" i="8" s="1"/>
  <c r="O289" i="8" a="1"/>
  <c r="O289" i="8" s="1"/>
  <c r="O33" i="8" a="1"/>
  <c r="O33" i="8" s="1"/>
  <c r="O586" i="8" a="1"/>
  <c r="O586" i="8" s="1"/>
  <c r="O330" i="8" a="1"/>
  <c r="O330" i="8" s="1"/>
  <c r="O517" i="8" a="1"/>
  <c r="O517" i="8" s="1"/>
  <c r="O266" i="8" a="1"/>
  <c r="O266" i="8" s="1"/>
  <c r="O96" i="8" a="1"/>
  <c r="O96" i="8" s="1"/>
  <c r="O595" i="8" a="1"/>
  <c r="O595" i="8" s="1"/>
  <c r="O339" i="8" a="1"/>
  <c r="O339" i="8" s="1"/>
  <c r="O95" i="8" a="1"/>
  <c r="O95" i="8" s="1"/>
  <c r="O604" i="8" a="1"/>
  <c r="O604" i="8" s="1"/>
  <c r="O348" i="8" a="1"/>
  <c r="O348" i="8" s="1"/>
  <c r="O94" i="8" a="1"/>
  <c r="O94" i="8" s="1"/>
  <c r="O698" i="8" a="1"/>
  <c r="O698" i="8" s="1"/>
  <c r="O446" i="8" a="1"/>
  <c r="O446" i="8" s="1"/>
  <c r="O51" i="8" a="1"/>
  <c r="O51" i="8" s="1"/>
  <c r="O445" i="8" a="1"/>
  <c r="O445" i="8" s="1"/>
  <c r="O188" i="8" a="1"/>
  <c r="O188" i="8" s="1"/>
  <c r="O661" i="8" a="1"/>
  <c r="O661" i="8" s="1"/>
  <c r="O405" i="8" a="1"/>
  <c r="O405" i="8" s="1"/>
  <c r="O134" i="8" a="1"/>
  <c r="O134" i="8" s="1"/>
  <c r="O208" i="8" a="1"/>
  <c r="O208" i="8" s="1"/>
  <c r="O544" i="8" a="1"/>
  <c r="O544" i="8" s="1"/>
  <c r="O136" i="8" a="1"/>
  <c r="O136" i="8" s="1"/>
  <c r="O705" i="8" a="1"/>
  <c r="O705" i="8" s="1"/>
  <c r="O240" i="8" a="1"/>
  <c r="O240" i="8" s="1"/>
  <c r="O561" i="8" a="1"/>
  <c r="O561" i="8" s="1"/>
  <c r="O306" i="8" a="1"/>
  <c r="O306" i="8" s="1"/>
  <c r="O93" i="8" a="1"/>
  <c r="O93" i="8" s="1"/>
  <c r="O325" i="8" a="1"/>
  <c r="O325" i="8" s="1"/>
  <c r="O161" i="8" a="1"/>
  <c r="O161" i="8" s="1"/>
  <c r="O583" i="8" a="1"/>
  <c r="O583" i="8" s="1"/>
  <c r="O175" i="8" a="1"/>
  <c r="O175" i="8" s="1"/>
  <c r="O402" i="8" a="1"/>
  <c r="O402" i="8" s="1"/>
  <c r="O16" i="8" a="1"/>
  <c r="O16" i="8" s="1"/>
  <c r="O704" i="8" a="1"/>
  <c r="O704" i="8" s="1"/>
  <c r="O493" i="8" a="1"/>
  <c r="O493" i="8" s="1"/>
  <c r="O155" i="8" a="1"/>
  <c r="O155" i="8" s="1"/>
  <c r="O68" i="8" a="1"/>
  <c r="O68" i="8" s="1"/>
  <c r="O383" i="8" a="1"/>
  <c r="O383" i="8" s="1"/>
  <c r="O121" i="8" a="1"/>
  <c r="O121" i="8" s="1"/>
  <c r="O618" i="8" a="1"/>
  <c r="O618" i="8" s="1"/>
  <c r="O362" i="8" a="1"/>
  <c r="O362" i="8" s="1"/>
  <c r="O480" i="8" a="1"/>
  <c r="O480" i="8" s="1"/>
  <c r="O269" i="8" a="1"/>
  <c r="O269" i="8" s="1"/>
  <c r="O98" i="8" a="1"/>
  <c r="O98" i="8" s="1"/>
  <c r="O568" i="8" a="1"/>
  <c r="O568" i="8" s="1"/>
  <c r="O311" i="8" a="1"/>
  <c r="O311" i="8" s="1"/>
  <c r="O55" i="8" a="1"/>
  <c r="O55" i="8" s="1"/>
  <c r="O508" i="8" a="1"/>
  <c r="O508" i="8" s="1"/>
  <c r="O278" i="8" a="1"/>
  <c r="O278" i="8" s="1"/>
  <c r="O22" i="8" a="1"/>
  <c r="O22" i="8" s="1"/>
  <c r="O567" i="8" a="1"/>
  <c r="O567" i="8" s="1"/>
  <c r="O299" i="8" a="1"/>
  <c r="O299" i="8" s="1"/>
  <c r="O507" i="8" a="1"/>
  <c r="O507" i="8" s="1"/>
  <c r="O256" i="8" a="1"/>
  <c r="O256" i="8" s="1"/>
  <c r="O85" i="8" a="1"/>
  <c r="O85" i="8" s="1"/>
  <c r="O585" i="8" a="1"/>
  <c r="O585" i="8" s="1"/>
  <c r="O329" i="8" a="1"/>
  <c r="O329" i="8" s="1"/>
  <c r="O84" i="8" a="1"/>
  <c r="O84" i="8" s="1"/>
  <c r="O594" i="8" a="1"/>
  <c r="O594" i="8" s="1"/>
  <c r="O338" i="8" a="1"/>
  <c r="O338" i="8" s="1"/>
  <c r="O73" i="8" a="1"/>
  <c r="O73" i="8" s="1"/>
  <c r="O690" i="8" a="1"/>
  <c r="O690" i="8" s="1"/>
  <c r="O436" i="8" a="1"/>
  <c r="O436" i="8" s="1"/>
  <c r="O19" i="8" a="1"/>
  <c r="O19" i="8" s="1"/>
  <c r="O435" i="8" a="1"/>
  <c r="O435" i="8" s="1"/>
  <c r="O167" i="8" a="1"/>
  <c r="O167" i="8" s="1"/>
  <c r="O651" i="8" a="1"/>
  <c r="O651" i="8" s="1"/>
  <c r="O395" i="8" a="1"/>
  <c r="O395" i="8" s="1"/>
  <c r="O113" i="8" a="1"/>
  <c r="O113" i="8" s="1"/>
  <c r="O274" i="8" a="1"/>
  <c r="O274" i="8" s="1"/>
  <c r="O581" i="8" a="1"/>
  <c r="O581" i="8" s="1"/>
  <c r="O221" i="8" a="1"/>
  <c r="O221" i="8" s="1"/>
  <c r="O725" i="8" a="1"/>
  <c r="O725" i="8" s="1"/>
  <c r="O296" i="8" a="1"/>
  <c r="O296" i="8" s="1"/>
  <c r="O593" i="8" a="1"/>
  <c r="O593" i="8" s="1"/>
  <c r="O465" i="8" a="1"/>
  <c r="O465" i="8" s="1"/>
  <c r="O314" i="8" a="1"/>
  <c r="O314" i="8" s="1"/>
  <c r="O482" i="8" a="1"/>
  <c r="O482" i="8" s="1"/>
  <c r="O375" i="8" a="1"/>
  <c r="O375" i="8" s="1"/>
  <c r="O700" i="8" a="1"/>
  <c r="O700" i="8" s="1"/>
  <c r="O533" i="8" a="1"/>
  <c r="O533" i="8" s="1"/>
  <c r="O315" i="8" a="1"/>
  <c r="O315" i="8" s="1"/>
  <c r="O628" i="8" a="1"/>
  <c r="O628" i="8" s="1"/>
  <c r="O696" i="8" a="1"/>
  <c r="O696" i="8" s="1"/>
  <c r="O483" i="8" a="1"/>
  <c r="O483" i="8" s="1"/>
  <c r="O123" i="8" a="1"/>
  <c r="O123" i="8" s="1"/>
  <c r="O47" i="8" a="1"/>
  <c r="O47" i="8" s="1"/>
  <c r="O373" i="8" a="1"/>
  <c r="O373" i="8" s="1"/>
  <c r="O110" i="8" a="1"/>
  <c r="O110" i="8" s="1"/>
  <c r="O599" i="8" a="1"/>
  <c r="O599" i="8" s="1"/>
  <c r="O343" i="8" a="1"/>
  <c r="O343" i="8" s="1"/>
  <c r="O470" i="8" a="1"/>
  <c r="O470" i="8" s="1"/>
  <c r="O258" i="8" a="1"/>
  <c r="O258" i="8" s="1"/>
  <c r="O88" i="8" a="1"/>
  <c r="O88" i="8" s="1"/>
  <c r="O558" i="8" a="1"/>
  <c r="O558" i="8" s="1"/>
  <c r="O300" i="8" a="1"/>
  <c r="O300" i="8" s="1"/>
  <c r="O44" i="8" a="1"/>
  <c r="O44" i="8" s="1"/>
  <c r="O498" i="8" a="1"/>
  <c r="O498" i="8" s="1"/>
  <c r="O257" i="8" a="1"/>
  <c r="O257" i="8" s="1"/>
  <c r="O676" i="8" a="1"/>
  <c r="O676" i="8" s="1"/>
  <c r="O557" i="8" a="1"/>
  <c r="O557" i="8" s="1"/>
  <c r="O267" i="8" a="1"/>
  <c r="O267" i="8" s="1"/>
  <c r="O497" i="8" a="1"/>
  <c r="O497" i="8" s="1"/>
  <c r="O245" i="8" a="1"/>
  <c r="O245" i="8" s="1"/>
  <c r="O74" i="8" a="1"/>
  <c r="O74" i="8" s="1"/>
  <c r="O536" i="8" a="1"/>
  <c r="O536" i="8" s="1"/>
  <c r="O319" i="8" a="1"/>
  <c r="O319" i="8" s="1"/>
  <c r="O63" i="8" a="1"/>
  <c r="O63" i="8" s="1"/>
  <c r="O575" i="8" a="1"/>
  <c r="O575" i="8" s="1"/>
  <c r="O318" i="8" a="1"/>
  <c r="O318" i="8" s="1"/>
  <c r="O62" i="8" a="1"/>
  <c r="O62" i="8" s="1"/>
  <c r="O682" i="8" a="1"/>
  <c r="O682" i="8" s="1"/>
  <c r="O426" i="8" a="1"/>
  <c r="O426" i="8" s="1"/>
  <c r="O40" i="8" a="1"/>
  <c r="O40" i="8" s="1"/>
  <c r="O425" i="8" a="1"/>
  <c r="O425" i="8" s="1"/>
  <c r="O156" i="8" a="1"/>
  <c r="O156" i="8" s="1"/>
  <c r="O641" i="8" a="1"/>
  <c r="O641" i="8" s="1"/>
  <c r="O385" i="8" a="1"/>
  <c r="O385" i="8" s="1"/>
  <c r="O102" i="8" a="1"/>
  <c r="O102" i="8" s="1"/>
  <c r="O334" i="8" a="1"/>
  <c r="O334" i="8" s="1"/>
  <c r="O613" i="8" a="1"/>
  <c r="O613" i="8" s="1"/>
  <c r="O285" i="8" a="1"/>
  <c r="O285" i="8" s="1"/>
  <c r="O620" i="8" a="1"/>
  <c r="O620" i="8" s="1"/>
  <c r="O591" i="8" a="1"/>
  <c r="O591" i="8" s="1"/>
  <c r="O80" i="8" a="1"/>
  <c r="O80" i="8" s="1"/>
  <c r="O521" i="8" a="1"/>
  <c r="O521" i="8" s="1"/>
  <c r="O101" i="8" a="1"/>
  <c r="O101" i="8" s="1"/>
  <c r="O534" i="8" a="1"/>
  <c r="O534" i="8" s="1"/>
  <c r="O489" i="8" a="1"/>
  <c r="O489" i="8" s="1"/>
  <c r="O699" i="8" a="1"/>
  <c r="O699" i="8" s="1"/>
  <c r="O501" i="8" a="1"/>
  <c r="O501" i="8" s="1"/>
  <c r="O142" i="8" a="1"/>
  <c r="O142" i="8" s="1"/>
  <c r="O200" i="8" a="1"/>
  <c r="O200" i="8" s="1"/>
  <c r="O688" i="8" a="1"/>
  <c r="O688" i="8" s="1"/>
  <c r="O473" i="8" a="1"/>
  <c r="O473" i="8" s="1"/>
  <c r="O91" i="8" a="1"/>
  <c r="O91" i="8" s="1"/>
  <c r="O36" i="8" a="1"/>
  <c r="O36" i="8" s="1"/>
  <c r="O363" i="8" a="1"/>
  <c r="O363" i="8" s="1"/>
  <c r="O89" i="8" a="1"/>
  <c r="O89" i="8" s="1"/>
  <c r="O589" i="8" a="1"/>
  <c r="O589" i="8" s="1"/>
  <c r="O333" i="8" a="1"/>
  <c r="O333" i="8" s="1"/>
  <c r="O460" i="8" a="1"/>
  <c r="O460" i="8" s="1"/>
  <c r="O248" i="8" a="1"/>
  <c r="O248" i="8" s="1"/>
  <c r="O77" i="8" a="1"/>
  <c r="O77" i="8" s="1"/>
  <c r="O548" i="8" a="1"/>
  <c r="O548" i="8" s="1"/>
  <c r="O279" i="8" a="1"/>
  <c r="O279" i="8" s="1"/>
  <c r="O23" i="8" a="1"/>
  <c r="O23" i="8" s="1"/>
  <c r="O479" i="8" a="1"/>
  <c r="O479" i="8" s="1"/>
  <c r="O246" i="8" a="1"/>
  <c r="O246" i="8" s="1"/>
  <c r="O740" i="8" a="1"/>
  <c r="O740" i="8" s="1"/>
  <c r="O547" i="8" a="1"/>
  <c r="O547" i="8" s="1"/>
  <c r="O235" i="8" a="1"/>
  <c r="O235" i="8" s="1"/>
  <c r="O448" i="8" a="1"/>
  <c r="O448" i="8" s="1"/>
  <c r="O234" i="8" a="1"/>
  <c r="O234" i="8" s="1"/>
  <c r="O64" i="8" a="1"/>
  <c r="O64" i="8" s="1"/>
  <c r="O526" i="8" a="1"/>
  <c r="O526" i="8" s="1"/>
  <c r="O308" i="8" a="1"/>
  <c r="O308" i="8" s="1"/>
  <c r="O52" i="8" a="1"/>
  <c r="O52" i="8" s="1"/>
  <c r="O565" i="8" a="1"/>
  <c r="O565" i="8" s="1"/>
  <c r="O297" i="8" a="1"/>
  <c r="O297" i="8" s="1"/>
  <c r="O41" i="8" a="1"/>
  <c r="O41" i="8" s="1"/>
  <c r="O663" i="8" a="1"/>
  <c r="O663" i="8" s="1"/>
  <c r="O407" i="8" a="1"/>
  <c r="O407" i="8" s="1"/>
  <c r="O29" i="8" a="1"/>
  <c r="O29" i="8" s="1"/>
  <c r="O376" i="8" a="1"/>
  <c r="O376" i="8" s="1"/>
  <c r="O135" i="8" a="1"/>
  <c r="O135" i="8" s="1"/>
  <c r="O592" i="8" a="1"/>
  <c r="O592" i="8" s="1"/>
  <c r="O336" i="8" a="1"/>
  <c r="O336" i="8" s="1"/>
  <c r="O81" i="8" a="1"/>
  <c r="O81" i="8" s="1"/>
  <c r="O384" i="8" a="1"/>
  <c r="O384" i="8" s="1"/>
  <c r="O678" i="8" a="1"/>
  <c r="O678" i="8" s="1"/>
  <c r="O344" i="8" a="1"/>
  <c r="O344" i="8" s="1"/>
  <c r="O61" i="8" a="1"/>
  <c r="O61" i="8" s="1"/>
  <c r="O623" i="8" a="1"/>
  <c r="O623" i="8" s="1"/>
  <c r="O165" i="8" a="1"/>
  <c r="O165" i="8" s="1"/>
  <c r="O662" i="8" a="1"/>
  <c r="O662" i="8" s="1"/>
  <c r="O186" i="8" a="1"/>
  <c r="O186" i="8" s="1"/>
  <c r="O578" i="8" a="1"/>
  <c r="O578" i="8" s="1"/>
  <c r="O646" i="8" a="1"/>
  <c r="O646" i="8" s="1"/>
  <c r="O574" i="8" a="1"/>
  <c r="O574" i="8" s="1"/>
  <c r="O238" i="8" a="1"/>
  <c r="O238" i="8" s="1"/>
  <c r="O503" i="8" a="1"/>
  <c r="O503" i="8" s="1"/>
  <c r="O114" i="8" a="1"/>
  <c r="O114" i="8" s="1"/>
  <c r="O272" i="8" a="1"/>
  <c r="O272" i="8" s="1"/>
  <c r="O424" i="8" a="1"/>
  <c r="O424" i="8" s="1"/>
  <c r="O59" i="8" a="1"/>
  <c r="O59" i="8" s="1"/>
  <c r="O15" i="8" a="1"/>
  <c r="O15" i="8" s="1"/>
  <c r="O353" i="8" a="1"/>
  <c r="O353" i="8" s="1"/>
  <c r="O78" i="8" a="1"/>
  <c r="O78" i="8" s="1"/>
  <c r="O579" i="8" a="1"/>
  <c r="O579" i="8" s="1"/>
  <c r="O323" i="8" a="1"/>
  <c r="O323" i="8" s="1"/>
  <c r="O450" i="8" a="1"/>
  <c r="O450" i="8" s="1"/>
  <c r="O237" i="8" a="1"/>
  <c r="O237" i="8" s="1"/>
  <c r="O66" i="8" a="1"/>
  <c r="O66" i="8" s="1"/>
  <c r="O538" i="8" a="1"/>
  <c r="O538" i="8" s="1"/>
  <c r="O268" i="8" a="1"/>
  <c r="O268" i="8" s="1"/>
  <c r="O12" i="8" a="1"/>
  <c r="O12" i="8" s="1"/>
  <c r="O469" i="8" a="1"/>
  <c r="O469" i="8" s="1"/>
  <c r="O225" i="8" a="1"/>
  <c r="O225" i="8" s="1"/>
  <c r="O732" i="8" a="1"/>
  <c r="O732" i="8" s="1"/>
  <c r="O537" i="8" a="1"/>
  <c r="O537" i="8" s="1"/>
  <c r="O203" i="8" a="1"/>
  <c r="O203" i="8" s="1"/>
  <c r="O438" i="8" a="1"/>
  <c r="O438" i="8" s="1"/>
  <c r="O224" i="8" a="1"/>
  <c r="O224" i="8" s="1"/>
  <c r="O53" i="8" a="1"/>
  <c r="O53" i="8" s="1"/>
  <c r="O516" i="8" a="1"/>
  <c r="O516" i="8" s="1"/>
  <c r="O287" i="8" a="1"/>
  <c r="O287" i="8" s="1"/>
  <c r="O31" i="8" a="1"/>
  <c r="O31" i="8" s="1"/>
  <c r="O555" i="8" a="1"/>
  <c r="O555" i="8" s="1"/>
  <c r="O286" i="8" a="1"/>
  <c r="O286" i="8" s="1"/>
  <c r="O30" i="8" a="1"/>
  <c r="O30" i="8" s="1"/>
  <c r="O653" i="8" a="1"/>
  <c r="O653" i="8" s="1"/>
  <c r="O397" i="8" a="1"/>
  <c r="O397" i="8" s="1"/>
  <c r="O18" i="8" a="1"/>
  <c r="O18" i="8" s="1"/>
  <c r="O366" i="8" a="1"/>
  <c r="O366" i="8" s="1"/>
  <c r="O124" i="8" a="1"/>
  <c r="O124" i="8" s="1"/>
  <c r="O582" i="8" a="1"/>
  <c r="O582" i="8" s="1"/>
  <c r="O326" i="8" a="1"/>
  <c r="O326" i="8" s="1"/>
  <c r="O70" i="8" a="1"/>
  <c r="O70" i="8" s="1"/>
  <c r="O580" i="8" a="1"/>
  <c r="O580" i="8" s="1"/>
  <c r="O48" i="8" a="1"/>
  <c r="O48" i="8" s="1"/>
  <c r="O588" i="8" a="1"/>
  <c r="O588" i="8" s="1"/>
  <c r="O146" i="8" a="1"/>
  <c r="O146" i="8" s="1"/>
  <c r="O657" i="8" a="1"/>
  <c r="O657" i="8" s="1"/>
  <c r="O304" i="8" a="1"/>
  <c r="O304" i="8" s="1"/>
  <c r="O729" i="8" a="1"/>
  <c r="O729" i="8" s="1"/>
  <c r="O261" i="8" a="1"/>
  <c r="O261" i="8" s="1"/>
  <c r="O609" i="8" a="1"/>
  <c r="O609" i="8" s="1"/>
  <c r="O24" i="8" a="1"/>
  <c r="O24" i="8" s="1"/>
  <c r="O476" i="8" a="1"/>
  <c r="O476" i="8" s="1"/>
  <c r="O611" i="8" a="1"/>
  <c r="O611" i="8" s="1"/>
  <c r="O79" i="8" a="1"/>
  <c r="O79" i="8" s="1"/>
  <c r="O680" i="8" a="1"/>
  <c r="O680" i="8" s="1"/>
  <c r="O433" i="8" a="1"/>
  <c r="O433" i="8" s="1"/>
  <c r="O670" i="8" a="1"/>
  <c r="O670" i="8" s="1"/>
  <c r="O414" i="8" a="1"/>
  <c r="O414" i="8" s="1"/>
  <c r="O27" i="8" a="1"/>
  <c r="O27" i="8" s="1"/>
  <c r="O560" i="8" a="1"/>
  <c r="O560" i="8" s="1"/>
  <c r="O313" i="8" a="1"/>
  <c r="O313" i="8" s="1"/>
  <c r="O57" i="8" a="1"/>
  <c r="O57" i="8" s="1"/>
  <c r="O569" i="8" a="1"/>
  <c r="O569" i="8" s="1"/>
  <c r="O291" i="8" a="1"/>
  <c r="O291" i="8" s="1"/>
  <c r="O431" i="8" a="1"/>
  <c r="O431" i="8" s="1"/>
  <c r="O226" i="8" a="1"/>
  <c r="O226" i="8" s="1"/>
  <c r="O56" i="8" a="1"/>
  <c r="O56" i="8" s="1"/>
  <c r="O519" i="8" a="1"/>
  <c r="O519" i="8" s="1"/>
  <c r="O247" i="8" a="1"/>
  <c r="O247" i="8" s="1"/>
  <c r="O701" i="8" a="1"/>
  <c r="O701" i="8" s="1"/>
  <c r="O459" i="8" a="1"/>
  <c r="O459" i="8" s="1"/>
  <c r="O214" i="8" a="1"/>
  <c r="O214" i="8" s="1"/>
  <c r="O724" i="8" a="1"/>
  <c r="O724" i="8" s="1"/>
  <c r="O488" i="8" a="1"/>
  <c r="O488" i="8" s="1"/>
  <c r="O171" i="8" a="1"/>
  <c r="O171" i="8" s="1"/>
  <c r="O428" i="8" a="1"/>
  <c r="O428" i="8" s="1"/>
  <c r="O213" i="8" a="1"/>
  <c r="O213" i="8" s="1"/>
  <c r="O42" i="8" a="1"/>
  <c r="O42" i="8" s="1"/>
  <c r="O506" i="8" a="1"/>
  <c r="O506" i="8" s="1"/>
  <c r="O276" i="8" a="1"/>
  <c r="O276" i="8" s="1"/>
  <c r="O20" i="8" a="1"/>
  <c r="O20" i="8" s="1"/>
  <c r="O545" i="8" a="1"/>
  <c r="O545" i="8" s="1"/>
  <c r="O265" i="8" a="1"/>
  <c r="O265" i="8" s="1"/>
  <c r="O674" i="8" a="1"/>
  <c r="O674" i="8" s="1"/>
  <c r="O643" i="8" a="1"/>
  <c r="O643" i="8" s="1"/>
  <c r="O387" i="8" a="1"/>
  <c r="O387" i="8" s="1"/>
  <c r="O5" i="8" a="1"/>
  <c r="O5" i="8" s="1"/>
  <c r="O356" i="8" a="1"/>
  <c r="O356" i="8" s="1"/>
  <c r="O103" i="8" a="1"/>
  <c r="O103" i="8" s="1"/>
  <c r="O572" i="8" a="1"/>
  <c r="O572" i="8" s="1"/>
  <c r="O305" i="8" a="1"/>
  <c r="O305" i="8" s="1"/>
  <c r="O49" i="8" a="1"/>
  <c r="O49" i="8" s="1"/>
  <c r="O610" i="8" a="1"/>
  <c r="O610" i="8" s="1"/>
  <c r="O133" i="8" a="1"/>
  <c r="O133" i="8" s="1"/>
  <c r="O619" i="8" a="1"/>
  <c r="O619" i="8" s="1"/>
  <c r="O232" i="8" a="1"/>
  <c r="O232" i="8" s="1"/>
  <c r="O726" i="8" a="1"/>
  <c r="O726" i="8" s="1"/>
  <c r="O357" i="8" a="1"/>
  <c r="O357" i="8" s="1"/>
  <c r="O178" i="8" a="1"/>
  <c r="O178" i="8" s="1"/>
  <c r="O317" i="8" a="1"/>
  <c r="O317" i="8" s="1"/>
  <c r="O697" i="8" a="1"/>
  <c r="O697" i="8" s="1"/>
  <c r="O194" i="8" a="1"/>
  <c r="O194" i="8" s="1"/>
  <c r="O223" i="8" a="1"/>
  <c r="O223" i="8" s="1"/>
  <c r="O337" i="8" a="1"/>
  <c r="O337" i="8" s="1"/>
  <c r="O712" i="8" a="1"/>
  <c r="O712" i="8" s="1"/>
  <c r="O660" i="8" a="1"/>
  <c r="O660" i="8" s="1"/>
  <c r="O404" i="8" a="1"/>
  <c r="O404" i="8" s="1"/>
  <c r="O239" i="8" a="1"/>
  <c r="O239" i="8" s="1"/>
  <c r="O550" i="8" a="1"/>
  <c r="O550" i="8" s="1"/>
  <c r="O302" i="8" a="1"/>
  <c r="O302" i="8" s="1"/>
  <c r="O46" i="8" a="1"/>
  <c r="O46" i="8" s="1"/>
  <c r="O520" i="8" a="1"/>
  <c r="O520" i="8" s="1"/>
  <c r="O259" i="8" a="1"/>
  <c r="O259" i="8" s="1"/>
  <c r="O421" i="8" a="1"/>
  <c r="O421" i="8" s="1"/>
  <c r="O216" i="8" a="1"/>
  <c r="O216" i="8" s="1"/>
  <c r="O45" i="8" a="1"/>
  <c r="O45" i="8" s="1"/>
  <c r="O509" i="8" a="1"/>
  <c r="O509" i="8" s="1"/>
  <c r="O236" i="8" a="1"/>
  <c r="O236" i="8" s="1"/>
  <c r="O685" i="8" a="1"/>
  <c r="O685" i="8" s="1"/>
  <c r="O449" i="8" a="1"/>
  <c r="O449" i="8" s="1"/>
  <c r="O193" i="8" a="1"/>
  <c r="O193" i="8" s="1"/>
  <c r="O716" i="8" a="1"/>
  <c r="O716" i="8" s="1"/>
  <c r="O478" i="8" a="1"/>
  <c r="O478" i="8" s="1"/>
  <c r="O139" i="8" a="1"/>
  <c r="O139" i="8" s="1"/>
  <c r="O418" i="8" a="1"/>
  <c r="O418" i="8" s="1"/>
  <c r="O202" i="8" a="1"/>
  <c r="O202" i="8" s="1"/>
  <c r="O32" i="8" a="1"/>
  <c r="O32" i="8" s="1"/>
  <c r="O487" i="8" a="1"/>
  <c r="O487" i="8" s="1"/>
  <c r="O255" i="8" a="1"/>
  <c r="O255" i="8" s="1"/>
  <c r="O9" i="8" a="1"/>
  <c r="O9" i="8" s="1"/>
  <c r="O496" i="8" a="1"/>
  <c r="O496" i="8" s="1"/>
  <c r="O254" i="8" a="1"/>
  <c r="O254" i="8" s="1"/>
  <c r="O576" i="8" a="1"/>
  <c r="O576" i="8" s="1"/>
  <c r="O633" i="8" a="1"/>
  <c r="O633" i="8" s="1"/>
  <c r="O377" i="8" a="1"/>
  <c r="O377" i="8" s="1"/>
  <c r="O681" i="8" a="1"/>
  <c r="O681" i="8" s="1"/>
  <c r="O346" i="8" a="1"/>
  <c r="O346" i="8" s="1"/>
  <c r="O92" i="8" a="1"/>
  <c r="O92" i="8" s="1"/>
  <c r="O562" i="8" a="1"/>
  <c r="O562" i="8" s="1"/>
  <c r="O294" i="8" a="1"/>
  <c r="O294" i="8" s="1"/>
  <c r="O38" i="8" a="1"/>
  <c r="O38" i="8" s="1"/>
  <c r="O642" i="8" a="1"/>
  <c r="O642" i="8" s="1"/>
  <c r="O218" i="8" a="1"/>
  <c r="O218" i="8" s="1"/>
  <c r="O649" i="8" a="1"/>
  <c r="O649" i="8" s="1"/>
  <c r="O293" i="8" a="1"/>
  <c r="O293" i="8" s="1"/>
  <c r="O741" i="8" a="1"/>
  <c r="O741" i="8" s="1"/>
  <c r="O413" i="8" a="1"/>
  <c r="O413" i="8" s="1"/>
  <c r="O260" i="8" a="1"/>
  <c r="O260" i="8" s="1"/>
  <c r="O475" i="8" a="1"/>
  <c r="O475" i="8" s="1"/>
  <c r="O401" i="8" a="1"/>
  <c r="O401" i="8" s="1"/>
  <c r="O739" i="8" a="1"/>
  <c r="O739" i="8" s="1"/>
  <c r="O721" i="8" a="1"/>
  <c r="O721" i="8" s="1"/>
  <c r="O736" i="8" a="1"/>
  <c r="O736" i="8" s="1"/>
  <c r="O733" i="8" a="1"/>
  <c r="O733" i="8" s="1"/>
  <c r="O374" i="8" a="1"/>
  <c r="O374" i="8" s="1"/>
  <c r="O189" i="8" a="1"/>
  <c r="O189" i="8" s="1"/>
  <c r="O667" i="8" a="1"/>
  <c r="O667" i="8" s="1"/>
  <c r="O524" i="8" a="1"/>
  <c r="O524" i="8" s="1"/>
  <c r="O423" i="8" a="1"/>
  <c r="O423" i="8" s="1"/>
  <c r="O669" i="8" a="1"/>
  <c r="O669" i="8" s="1"/>
  <c r="O570" i="8" a="1"/>
  <c r="O570" i="8" s="1"/>
  <c r="O367" i="8" a="1"/>
  <c r="O367" i="8" s="1"/>
  <c r="O608" i="8" a="1"/>
  <c r="O608" i="8" s="1"/>
  <c r="O264" i="8" a="1"/>
  <c r="O264" i="8" s="1"/>
  <c r="O639" i="8" a="1"/>
  <c r="O639" i="8" s="1"/>
  <c r="O104" i="8" a="1"/>
  <c r="O104" i="8" s="1"/>
  <c r="O324" i="8" a="1"/>
  <c r="O324" i="8" s="1"/>
  <c r="O541" i="8" a="1"/>
  <c r="O541" i="8" s="1"/>
  <c r="O650" i="8" a="1"/>
  <c r="O650" i="8" s="1"/>
  <c r="O394" i="8" a="1"/>
  <c r="O394" i="8" s="1"/>
  <c r="O228" i="8" a="1"/>
  <c r="O228" i="8" s="1"/>
  <c r="O540" i="8" a="1"/>
  <c r="O540" i="8" s="1"/>
  <c r="O281" i="8" a="1"/>
  <c r="O281" i="8" s="1"/>
  <c r="O25" i="8" a="1"/>
  <c r="O25" i="8" s="1"/>
  <c r="O510" i="8" a="1"/>
  <c r="O510" i="8" s="1"/>
  <c r="O227" i="8" a="1"/>
  <c r="O227" i="8" s="1"/>
  <c r="O411" i="8" a="1"/>
  <c r="O411" i="8" s="1"/>
  <c r="O205" i="8" a="1"/>
  <c r="O205" i="8" s="1"/>
  <c r="O34" i="8" a="1"/>
  <c r="O34" i="8" s="1"/>
  <c r="O499" i="8" a="1"/>
  <c r="O499" i="8" s="1"/>
  <c r="O215" i="8" a="1"/>
  <c r="O215" i="8" s="1"/>
  <c r="O656" i="8" a="1"/>
  <c r="O656" i="8" s="1"/>
  <c r="O400" i="8" a="1"/>
  <c r="O400" i="8" s="1"/>
  <c r="O182" i="8" a="1"/>
  <c r="O182" i="8" s="1"/>
  <c r="O708" i="8" a="1"/>
  <c r="O708" i="8" s="1"/>
  <c r="O468" i="8" a="1"/>
  <c r="O468" i="8" s="1"/>
  <c r="O107" i="8" a="1"/>
  <c r="O107" i="8" s="1"/>
  <c r="O399" i="8" a="1"/>
  <c r="O399" i="8" s="1"/>
  <c r="O192" i="8" a="1"/>
  <c r="O192" i="8" s="1"/>
  <c r="O21" i="8" a="1"/>
  <c r="O21" i="8" s="1"/>
  <c r="O477" i="8" a="1"/>
  <c r="O477" i="8" s="1"/>
  <c r="O244" i="8" a="1"/>
  <c r="O244" i="8" s="1"/>
  <c r="O635" i="8" a="1"/>
  <c r="O635" i="8" s="1"/>
  <c r="O486" i="8" a="1"/>
  <c r="O486" i="8" s="1"/>
  <c r="O233" i="8" a="1"/>
  <c r="O233" i="8" s="1"/>
  <c r="O723" i="8" a="1"/>
  <c r="O723" i="8" s="1"/>
  <c r="O584" i="8" a="1"/>
  <c r="O584" i="8" s="1"/>
  <c r="O328" i="8" a="1"/>
  <c r="O328" i="8" s="1"/>
  <c r="O612" i="8" a="1"/>
  <c r="O612" i="8" s="1"/>
  <c r="O327" i="8" a="1"/>
  <c r="O327" i="8" s="1"/>
  <c r="O71" i="8" a="1"/>
  <c r="O71" i="8" s="1"/>
  <c r="O543" i="8" a="1"/>
  <c r="O543" i="8" s="1"/>
  <c r="O273" i="8" a="1"/>
  <c r="O273" i="8" s="1"/>
  <c r="O17" i="8" a="1"/>
  <c r="O17" i="8" s="1"/>
  <c r="O677" i="8" a="1"/>
  <c r="O677" i="8" s="1"/>
  <c r="O282" i="8" a="1"/>
  <c r="O282" i="8" s="1"/>
  <c r="O737" i="8" a="1"/>
  <c r="O737" i="8" s="1"/>
  <c r="O347" i="8" a="1"/>
  <c r="O347" i="8" s="1"/>
  <c r="O687" i="8" a="1"/>
  <c r="O687" i="8" s="1"/>
  <c r="O463" i="8" a="1"/>
  <c r="O463" i="8" s="1"/>
  <c r="O90" i="8" a="1"/>
  <c r="O90" i="8" s="1"/>
  <c r="O531" i="8" a="1"/>
  <c r="O531" i="8" s="1"/>
  <c r="O26" i="8" a="1"/>
  <c r="O26" i="8" s="1"/>
  <c r="B4" i="8" a="1"/>
  <c r="B4" i="8" s="1"/>
  <c r="G4" i="8" s="1" a="1"/>
  <c r="G4" i="8" s="1"/>
  <c r="B3" i="8" a="1"/>
  <c r="B3" i="8" s="1"/>
  <c r="G3" i="8" s="1" a="1"/>
  <c r="G3" i="8" s="1"/>
  <c r="B2" i="8" a="1"/>
  <c r="B2" i="8" s="1"/>
  <c r="T416" i="1" a="1"/>
  <c r="T416" i="1" s="1"/>
  <c r="T596" i="1" a="1"/>
  <c r="T596" i="1" s="1"/>
  <c r="Q205" i="1" a="1"/>
  <c r="Q205" i="1" s="1"/>
  <c r="T547" i="1" a="1"/>
  <c r="T547" i="1" s="1"/>
  <c r="T376" i="1" a="1"/>
  <c r="T376" i="1" s="1"/>
  <c r="T298" i="1" a="1"/>
  <c r="T298" i="1" s="1"/>
  <c r="T27" i="1" a="1"/>
  <c r="T27" i="1" s="1"/>
  <c r="T631" i="1" a="1"/>
  <c r="T631" i="1" s="1"/>
  <c r="T571" i="1" a="1"/>
  <c r="T571" i="1" s="1"/>
  <c r="T469" i="1" a="1"/>
  <c r="T469" i="1" s="1"/>
  <c r="T340" i="1" a="1"/>
  <c r="T340" i="1" s="1"/>
  <c r="T429" i="1" a="1"/>
  <c r="T429" i="1" s="1"/>
  <c r="T236" i="1" a="1"/>
  <c r="T236" i="1" s="1"/>
  <c r="Q646" i="1" a="1"/>
  <c r="Q646" i="1" s="1"/>
  <c r="T33" i="1" a="1"/>
  <c r="T33" i="1" s="1"/>
  <c r="T423" i="1" a="1"/>
  <c r="T423" i="1" s="1"/>
  <c r="T554" i="1" a="1"/>
  <c r="T554" i="1" s="1"/>
  <c r="Q748" i="1" a="1"/>
  <c r="Q748" i="1" s="1"/>
  <c r="T694" i="1" a="1"/>
  <c r="T694" i="1" s="1"/>
  <c r="T70" i="1" a="1"/>
  <c r="T70" i="1" s="1"/>
  <c r="T375" i="1" a="1"/>
  <c r="T375" i="1" s="1"/>
  <c r="T288" i="1" a="1"/>
  <c r="T288" i="1" s="1"/>
  <c r="T739" i="1" a="1"/>
  <c r="T739" i="1" s="1"/>
  <c r="E2" i="8"/>
  <c r="AE704" i="1"/>
  <c r="AE525" i="1"/>
  <c r="AD98" i="1"/>
  <c r="AE98" i="1"/>
  <c r="AD140" i="1"/>
  <c r="AE140" i="1"/>
  <c r="AC525" i="1"/>
  <c r="AD525" i="1"/>
  <c r="AC704" i="1"/>
  <c r="AD704" i="1"/>
  <c r="AB98" i="1"/>
  <c r="AC98" i="1"/>
  <c r="AB140" i="1"/>
  <c r="AC140" i="1"/>
  <c r="AA704" i="1"/>
  <c r="AB704" i="1"/>
  <c r="AA525" i="1"/>
  <c r="AB525" i="1"/>
  <c r="Z140" i="1"/>
  <c r="AA140" i="1"/>
  <c r="Z98" i="1"/>
  <c r="AA98" i="1"/>
  <c r="H3" i="8"/>
  <c r="T203" i="1" a="1"/>
  <c r="T203" i="1" s="1"/>
  <c r="T404" i="1" a="1"/>
  <c r="T404" i="1" s="1"/>
  <c r="T314" i="1" a="1"/>
  <c r="T314" i="1" s="1"/>
  <c r="T252" i="1" a="1"/>
  <c r="T252" i="1" s="1"/>
  <c r="T477" i="1" a="1"/>
  <c r="T477" i="1" s="1"/>
  <c r="T656" i="1" a="1"/>
  <c r="T656" i="1" s="1"/>
  <c r="T415" i="1" a="1"/>
  <c r="T415" i="1" s="1"/>
  <c r="T10" i="1" a="1"/>
  <c r="T10" i="1" s="1"/>
  <c r="T50" i="1" a="1"/>
  <c r="T50" i="1" s="1"/>
  <c r="T38" i="1" a="1"/>
  <c r="T38" i="1" s="1"/>
  <c r="T572" i="1" a="1"/>
  <c r="T572" i="1" s="1"/>
  <c r="T573" i="1" a="1"/>
  <c r="T573" i="1" s="1"/>
  <c r="T189" i="1" a="1"/>
  <c r="T189" i="1" s="1"/>
  <c r="T586" i="1" a="1"/>
  <c r="T586" i="1" s="1"/>
  <c r="T791" i="1" a="1"/>
  <c r="T791" i="1" s="1"/>
  <c r="H2" i="8"/>
  <c r="T609" i="1" a="1"/>
  <c r="T609" i="1" s="1"/>
  <c r="T356" i="1" a="1"/>
  <c r="T356" i="1" s="1"/>
  <c r="T248" i="1" a="1"/>
  <c r="T248" i="1" s="1"/>
  <c r="T199" i="1" a="1"/>
  <c r="T199" i="1" s="1"/>
  <c r="T605" i="1" a="1"/>
  <c r="T605" i="1" s="1"/>
  <c r="T291" i="1" a="1"/>
  <c r="T291" i="1" s="1"/>
  <c r="T100" i="1" a="1"/>
  <c r="T100" i="1" s="1"/>
  <c r="T534" i="1" a="1"/>
  <c r="T534" i="1" s="1"/>
  <c r="T385" i="1" a="1"/>
  <c r="T385" i="1" s="1"/>
  <c r="T444" i="1" a="1"/>
  <c r="T444" i="1" s="1"/>
  <c r="T733" i="1" a="1"/>
  <c r="T733" i="1" s="1"/>
  <c r="T281" i="1" a="1"/>
  <c r="T281" i="1" s="1"/>
  <c r="T111" i="1" a="1"/>
  <c r="T111" i="1" s="1"/>
  <c r="T686" i="1" a="1"/>
  <c r="T686" i="1" s="1"/>
  <c r="T628" i="1" a="1"/>
  <c r="T628" i="1" s="1"/>
  <c r="T557" i="1" a="1"/>
  <c r="T557" i="1" s="1"/>
  <c r="T62" i="1" a="1"/>
  <c r="T62" i="1" s="1"/>
  <c r="T185" i="1" a="1"/>
  <c r="T185" i="1" s="1"/>
  <c r="T30" i="1" a="1"/>
  <c r="T30" i="1" s="1"/>
  <c r="T778" i="1" a="1"/>
  <c r="T778" i="1" s="1"/>
  <c r="T558" i="1" a="1"/>
  <c r="T558" i="1" s="1"/>
  <c r="T658" i="1" a="1"/>
  <c r="T658" i="1" s="1"/>
  <c r="T519" i="1" a="1"/>
  <c r="T519" i="1" s="1"/>
  <c r="T699" i="1" a="1"/>
  <c r="T699" i="1" s="1"/>
  <c r="T608" i="1" a="1"/>
  <c r="T608" i="1" s="1"/>
  <c r="T770" i="1" a="1"/>
  <c r="T770" i="1" s="1"/>
  <c r="T300" i="1" a="1"/>
  <c r="T300" i="1" s="1"/>
  <c r="T438" i="1" a="1"/>
  <c r="T438" i="1" s="1"/>
  <c r="T659" i="1" a="1"/>
  <c r="T659" i="1" s="1"/>
  <c r="T485" i="1" a="1"/>
  <c r="T485" i="1" s="1"/>
  <c r="T620" i="1" a="1"/>
  <c r="T620" i="1" s="1"/>
  <c r="T226" i="1" a="1"/>
  <c r="T226" i="1" s="1"/>
  <c r="T660" i="1" a="1"/>
  <c r="T660" i="1" s="1"/>
  <c r="T243" i="1" a="1"/>
  <c r="T243" i="1" s="1"/>
  <c r="T481" i="1" a="1"/>
  <c r="T481" i="1" s="1"/>
  <c r="T775" i="1" a="1"/>
  <c r="T775" i="1" s="1"/>
  <c r="T407" i="1" a="1"/>
  <c r="T407" i="1" s="1"/>
  <c r="Q450" i="1" a="1"/>
  <c r="Q450" i="1" s="1"/>
  <c r="T695" i="1" a="1"/>
  <c r="T695" i="1" s="1"/>
  <c r="T347" i="1" a="1"/>
  <c r="T347" i="1" s="1"/>
  <c r="Z525" i="1"/>
  <c r="Z704" i="1"/>
  <c r="N2" i="8" a="1"/>
  <c r="N2" i="8" s="1"/>
  <c r="N3" i="8" a="1"/>
  <c r="N3" i="8" s="1"/>
  <c r="N4" i="8" a="1"/>
  <c r="N4" i="8" s="1"/>
  <c r="M2" i="8" a="1"/>
  <c r="M2" i="8" s="1"/>
  <c r="M3" i="8" a="1"/>
  <c r="M3" i="8" s="1"/>
  <c r="M4" i="8" a="1"/>
  <c r="M4" i="8" s="1"/>
  <c r="L2" i="8" a="1"/>
  <c r="L2" i="8" s="1"/>
  <c r="L3" i="8" a="1"/>
  <c r="L3" i="8" s="1"/>
  <c r="L4" i="8" a="1"/>
  <c r="L4" i="8" s="1"/>
  <c r="K2" i="8" a="1"/>
  <c r="K2" i="8" s="1"/>
  <c r="K3" i="8" a="1"/>
  <c r="K3" i="8" s="1"/>
  <c r="K4" i="8" a="1"/>
  <c r="K4" i="8" s="1"/>
  <c r="D4" i="8"/>
  <c r="H4" i="8"/>
  <c r="E3" i="8"/>
  <c r="F3" i="8"/>
  <c r="A5" i="8"/>
  <c r="B5" i="8" s="1" a="1"/>
  <c r="B5" i="8" s="1"/>
  <c r="C4" i="8"/>
  <c r="Q553" i="1" a="1"/>
  <c r="Q553" i="1" s="1"/>
  <c r="T553" i="1" a="1"/>
  <c r="T553" i="1" s="1"/>
  <c r="T341" i="1" a="1"/>
  <c r="T341" i="1" s="1"/>
  <c r="Q363" i="1" a="1"/>
  <c r="Q363" i="1" s="1"/>
  <c r="Q177" i="1" a="1"/>
  <c r="Q177" i="1" s="1"/>
  <c r="T177" i="1" a="1"/>
  <c r="T177" i="1" s="1"/>
  <c r="T604" i="1" a="1"/>
  <c r="T604" i="1" s="1"/>
  <c r="T247" i="1" a="1"/>
  <c r="T247" i="1" s="1"/>
  <c r="T516" i="1" a="1"/>
  <c r="T516" i="1" s="1"/>
  <c r="T422" i="1" a="1"/>
  <c r="T422" i="1" s="1"/>
  <c r="T5" i="1" a="1"/>
  <c r="T5" i="1" s="1"/>
  <c r="T581" i="1" a="1"/>
  <c r="T581" i="1" s="1"/>
  <c r="Q772" i="1" a="1"/>
  <c r="Q772" i="1" s="1"/>
  <c r="T772" i="1" a="1"/>
  <c r="T772" i="1" s="1"/>
  <c r="T25" i="1" a="1"/>
  <c r="T25" i="1" s="1"/>
  <c r="T614" i="1" a="1"/>
  <c r="T614" i="1" s="1"/>
  <c r="T372" i="1" a="1"/>
  <c r="T372" i="1" s="1"/>
  <c r="T730" i="1" a="1"/>
  <c r="T730" i="1" s="1"/>
  <c r="T94" i="1" a="1"/>
  <c r="T94" i="1" s="1"/>
  <c r="Q230" i="1" a="1"/>
  <c r="Q230" i="1" s="1"/>
  <c r="T230" i="1" a="1"/>
  <c r="T230" i="1" s="1"/>
  <c r="T12" i="1" a="1"/>
  <c r="T12" i="1" s="1"/>
  <c r="B4" i="4"/>
  <c r="T725" i="1" a="1"/>
  <c r="T725" i="1" s="1"/>
  <c r="T632" i="1" a="1"/>
  <c r="T632" i="1" s="1"/>
  <c r="T652" i="1" a="1"/>
  <c r="T652" i="1" s="1"/>
  <c r="T256" i="1" a="1"/>
  <c r="T256" i="1" s="1"/>
  <c r="T443" i="1" a="1"/>
  <c r="T443" i="1" s="1"/>
  <c r="T211" i="1" a="1"/>
  <c r="T211" i="1" s="1"/>
  <c r="Q282" i="1" a="1"/>
  <c r="Q282" i="1" s="1"/>
  <c r="T282" i="1" a="1"/>
  <c r="T282" i="1" s="1"/>
  <c r="Q495" i="1" a="1"/>
  <c r="Q495" i="1" s="1"/>
  <c r="T495" i="1" a="1"/>
  <c r="T495" i="1" s="1"/>
  <c r="T339" i="1" a="1"/>
  <c r="T339" i="1" s="1"/>
  <c r="Q339" i="1" a="1"/>
  <c r="Q339" i="1" s="1"/>
  <c r="Q381" i="1" a="1"/>
  <c r="Q381" i="1" s="1"/>
  <c r="T381" i="1" a="1"/>
  <c r="T381" i="1" s="1"/>
  <c r="T689" i="1" a="1"/>
  <c r="T689" i="1" s="1"/>
  <c r="Q689" i="1" a="1"/>
  <c r="Q689" i="1" s="1"/>
  <c r="Q278" i="1" a="1"/>
  <c r="Q278" i="1" s="1"/>
  <c r="T278" i="1" a="1"/>
  <c r="T278" i="1" s="1"/>
  <c r="T92" i="1" a="1"/>
  <c r="T92" i="1" s="1"/>
  <c r="Q92" i="1" a="1"/>
  <c r="Q92" i="1" s="1"/>
  <c r="B5" i="4"/>
  <c r="Q157" i="1" a="1"/>
  <c r="Q157" i="1" s="1"/>
  <c r="T157" i="1" a="1"/>
  <c r="T157" i="1" s="1"/>
  <c r="T606" i="1" a="1"/>
  <c r="T606" i="1" s="1"/>
  <c r="Q606" i="1" a="1"/>
  <c r="Q606" i="1" s="1"/>
  <c r="Q45" i="1" a="1"/>
  <c r="Q45" i="1" s="1"/>
  <c r="T45" i="1" a="1"/>
  <c r="T45" i="1" s="1"/>
  <c r="T774" i="1" a="1"/>
  <c r="T774" i="1" s="1"/>
  <c r="Q774" i="1" a="1"/>
  <c r="Q774" i="1" s="1"/>
  <c r="T143" i="1" a="1"/>
  <c r="T143" i="1" s="1"/>
  <c r="Q143" i="1" a="1"/>
  <c r="Q143" i="1" s="1"/>
  <c r="T518" i="1" a="1"/>
  <c r="T518" i="1" s="1"/>
  <c r="Q518" i="1" a="1"/>
  <c r="Q518" i="1" s="1"/>
  <c r="Q630" i="1" a="1"/>
  <c r="Q630" i="1" s="1"/>
  <c r="T630" i="1" a="1"/>
  <c r="T630" i="1" s="1"/>
  <c r="Q317" i="1" a="1"/>
  <c r="Q317" i="1" s="1"/>
  <c r="T317" i="1" a="1"/>
  <c r="T317" i="1" s="1"/>
  <c r="Q3" i="1" a="1"/>
  <c r="Q3" i="1" s="1"/>
  <c r="T3" i="1" a="1"/>
  <c r="T3" i="1" s="1"/>
  <c r="Q37" i="1" a="1"/>
  <c r="Q37" i="1" s="1"/>
  <c r="T37" i="1" a="1"/>
  <c r="T37" i="1" s="1"/>
  <c r="Q678" i="1" a="1"/>
  <c r="Q678" i="1" s="1"/>
  <c r="T678" i="1" a="1"/>
  <c r="T678" i="1" s="1"/>
  <c r="Q544" i="1" a="1"/>
  <c r="Q544" i="1" s="1"/>
  <c r="T544" i="1" a="1"/>
  <c r="T544" i="1" s="1"/>
  <c r="Q447" i="1" a="1"/>
  <c r="Q447" i="1" s="1"/>
  <c r="T447" i="1" a="1"/>
  <c r="T447" i="1" s="1"/>
  <c r="Q589" i="1" a="1"/>
  <c r="Q589" i="1" s="1"/>
  <c r="T589" i="1" a="1"/>
  <c r="T589" i="1" s="1"/>
  <c r="Q217" i="1" a="1"/>
  <c r="Q217" i="1" s="1"/>
  <c r="T217" i="1" a="1"/>
  <c r="T217" i="1" s="1"/>
  <c r="Q336" i="1" a="1"/>
  <c r="Q336" i="1" s="1"/>
  <c r="T336" i="1" a="1"/>
  <c r="T336" i="1" s="1"/>
  <c r="Q120" i="1" a="1"/>
  <c r="Q120" i="1" s="1"/>
  <c r="T120" i="1" a="1"/>
  <c r="T120" i="1" s="1"/>
  <c r="T43" i="1" a="1"/>
  <c r="T43" i="1" s="1"/>
  <c r="Q43" i="1" a="1"/>
  <c r="Q43" i="1" s="1"/>
  <c r="Q241" i="1" a="1"/>
  <c r="Q241" i="1" s="1"/>
  <c r="T241" i="1" a="1"/>
  <c r="T241" i="1" s="1"/>
  <c r="Q682" i="1" a="1"/>
  <c r="Q682" i="1" s="1"/>
  <c r="T682" i="1" a="1"/>
  <c r="T682" i="1" s="1"/>
  <c r="T763" i="1" a="1"/>
  <c r="T763" i="1" s="1"/>
  <c r="Q763" i="1" a="1"/>
  <c r="Q763" i="1" s="1"/>
  <c r="T681" i="1" a="1"/>
  <c r="T681" i="1" s="1"/>
  <c r="Q681" i="1" a="1"/>
  <c r="Q681" i="1" s="1"/>
  <c r="T461" i="1" a="1"/>
  <c r="T461" i="1" s="1"/>
  <c r="Q461" i="1" a="1"/>
  <c r="Q461" i="1" s="1"/>
  <c r="T458" i="1" a="1"/>
  <c r="T458" i="1" s="1"/>
  <c r="Q458" i="1" a="1"/>
  <c r="Q458" i="1" s="1"/>
  <c r="T637" i="1" a="1"/>
  <c r="T637" i="1" s="1"/>
  <c r="Q637" i="1" a="1"/>
  <c r="Q637" i="1" s="1"/>
  <c r="Q583" i="1" a="1"/>
  <c r="Q583" i="1" s="1"/>
  <c r="T583" i="1" a="1"/>
  <c r="T583" i="1" s="1"/>
  <c r="Q349" i="1" a="1"/>
  <c r="Q349" i="1" s="1"/>
  <c r="T349" i="1" a="1"/>
  <c r="T349" i="1" s="1"/>
  <c r="Q398" i="1" a="1"/>
  <c r="Q398" i="1" s="1"/>
  <c r="T398" i="1" a="1"/>
  <c r="T398" i="1" s="1"/>
  <c r="Q118" i="1" a="1"/>
  <c r="Q118" i="1" s="1"/>
  <c r="T118" i="1" a="1"/>
  <c r="T118" i="1" s="1"/>
  <c r="T392" i="1" a="1"/>
  <c r="T392" i="1" s="1"/>
  <c r="Q392" i="1" a="1"/>
  <c r="Q392" i="1" s="1"/>
  <c r="Q647" i="1" a="1"/>
  <c r="Q647" i="1" s="1"/>
  <c r="T647" i="1" a="1"/>
  <c r="T647" i="1" s="1"/>
  <c r="T259" i="1" a="1"/>
  <c r="T259" i="1" s="1"/>
  <c r="T421" i="1" a="1"/>
  <c r="T421" i="1" s="1"/>
  <c r="T459" i="1" a="1"/>
  <c r="T459" i="1" s="1"/>
  <c r="Q459" i="1" a="1"/>
  <c r="Q459" i="1" s="1"/>
  <c r="T342" i="1" a="1"/>
  <c r="T342" i="1" s="1"/>
  <c r="Q342" i="1" a="1"/>
  <c r="Q342" i="1" s="1"/>
  <c r="Q85" i="1" a="1"/>
  <c r="Q85" i="1" s="1"/>
  <c r="T85" i="1" a="1"/>
  <c r="T85" i="1" s="1"/>
  <c r="Q20" i="1" a="1"/>
  <c r="Q20" i="1" s="1"/>
  <c r="T20" i="1" a="1"/>
  <c r="T20" i="1" s="1"/>
  <c r="Q67" i="1" a="1"/>
  <c r="Q67" i="1" s="1"/>
  <c r="T67" i="1" a="1"/>
  <c r="T67" i="1" s="1"/>
  <c r="Q7" i="1" a="1"/>
  <c r="Q7" i="1" s="1"/>
  <c r="T7" i="1" a="1"/>
  <c r="T7" i="1" s="1"/>
  <c r="Q306" i="1" a="1"/>
  <c r="Q306" i="1" s="1"/>
  <c r="T306" i="1" a="1"/>
  <c r="T306" i="1" s="1"/>
  <c r="T625" i="1" a="1"/>
  <c r="T625" i="1" s="1"/>
  <c r="T18" i="1" a="1"/>
  <c r="T18" i="1" s="1"/>
  <c r="T680" i="1" a="1"/>
  <c r="T680" i="1" s="1"/>
  <c r="Q169" i="1" a="1"/>
  <c r="Q169" i="1" s="1"/>
  <c r="T169" i="1" a="1"/>
  <c r="T169" i="1" s="1"/>
  <c r="Q304" i="1" a="1"/>
  <c r="Q304" i="1" s="1"/>
  <c r="T304" i="1" a="1"/>
  <c r="T304" i="1" s="1"/>
  <c r="Q766" i="1" a="1"/>
  <c r="Q766" i="1" s="1"/>
  <c r="T766" i="1" a="1"/>
  <c r="T766" i="1" s="1"/>
  <c r="T36" i="1" a="1"/>
  <c r="T36" i="1" s="1"/>
  <c r="Q36" i="1" a="1"/>
  <c r="Q36" i="1" s="1"/>
  <c r="T76" i="1" a="1"/>
  <c r="T76" i="1" s="1"/>
  <c r="Q76" i="1" a="1"/>
  <c r="Q76" i="1" s="1"/>
  <c r="T165" i="1" a="1"/>
  <c r="T165" i="1" s="1"/>
  <c r="Q165" i="1" a="1"/>
  <c r="Q165" i="1" s="1"/>
  <c r="T284" i="1" a="1"/>
  <c r="T284" i="1" s="1"/>
  <c r="Q284" i="1" a="1"/>
  <c r="Q284" i="1" s="1"/>
  <c r="Q715" i="1" a="1"/>
  <c r="Q715" i="1" s="1"/>
  <c r="T715" i="1" a="1"/>
  <c r="T715" i="1" s="1"/>
  <c r="Q322" i="1" a="1"/>
  <c r="Q322" i="1" s="1"/>
  <c r="T322" i="1" a="1"/>
  <c r="T322" i="1" s="1"/>
  <c r="T216" i="1" a="1"/>
  <c r="T216" i="1" s="1"/>
  <c r="Q216" i="1" a="1"/>
  <c r="Q216" i="1" s="1"/>
  <c r="T771" i="1" a="1"/>
  <c r="T771" i="1" s="1"/>
  <c r="Q771" i="1" a="1"/>
  <c r="Q771" i="1" s="1"/>
  <c r="T504" i="1" a="1"/>
  <c r="T504" i="1" s="1"/>
  <c r="Q504" i="1" a="1"/>
  <c r="Q504" i="1" s="1"/>
  <c r="T161" i="1" a="1"/>
  <c r="T161" i="1" s="1"/>
  <c r="Q161" i="1" a="1"/>
  <c r="Q161" i="1" s="1"/>
  <c r="T305" i="1" a="1"/>
  <c r="T305" i="1" s="1"/>
  <c r="Q305" i="1" a="1"/>
  <c r="Q305" i="1" s="1"/>
  <c r="Q171" i="1" a="1"/>
  <c r="Q171" i="1" s="1"/>
  <c r="T171" i="1" a="1"/>
  <c r="T171" i="1" s="1"/>
  <c r="T760" i="1" a="1"/>
  <c r="T760" i="1" s="1"/>
  <c r="Q760" i="1" a="1"/>
  <c r="Q760" i="1" s="1"/>
  <c r="Q196" i="1" a="1"/>
  <c r="Q196" i="1" s="1"/>
  <c r="T196" i="1" a="1"/>
  <c r="T196" i="1" s="1"/>
  <c r="T634" i="1" a="1"/>
  <c r="T634" i="1" s="1"/>
  <c r="Q634" i="1" a="1"/>
  <c r="Q634" i="1" s="1"/>
  <c r="Q580" i="1" a="1"/>
  <c r="Q580" i="1" s="1"/>
  <c r="T580" i="1" a="1"/>
  <c r="T580" i="1" s="1"/>
  <c r="T329" i="1" a="1"/>
  <c r="T329" i="1" s="1"/>
  <c r="Q329" i="1" a="1"/>
  <c r="Q329" i="1" s="1"/>
  <c r="T462" i="1" a="1"/>
  <c r="T462" i="1" s="1"/>
  <c r="Q462" i="1" a="1"/>
  <c r="Q462" i="1" s="1"/>
  <c r="Q204" i="1" a="1"/>
  <c r="Q204" i="1" s="1"/>
  <c r="T204" i="1" a="1"/>
  <c r="T204" i="1" s="1"/>
  <c r="Q776" i="1" a="1"/>
  <c r="Q776" i="1" s="1"/>
  <c r="T776" i="1" a="1"/>
  <c r="T776" i="1" s="1"/>
  <c r="T538" i="1" a="1"/>
  <c r="T538" i="1" s="1"/>
  <c r="T597" i="1" a="1"/>
  <c r="T597" i="1" s="1"/>
  <c r="Q597" i="1" a="1"/>
  <c r="Q597" i="1" s="1"/>
  <c r="Q425" i="1" a="1"/>
  <c r="Q425" i="1" s="1"/>
  <c r="T425" i="1" a="1"/>
  <c r="T425" i="1" s="1"/>
  <c r="Q750" i="1" a="1"/>
  <c r="Q750" i="1" s="1"/>
  <c r="T750" i="1" a="1"/>
  <c r="T750" i="1" s="1"/>
  <c r="Q297" i="1" a="1"/>
  <c r="Q297" i="1" s="1"/>
  <c r="T297" i="1" a="1"/>
  <c r="T297" i="1" s="1"/>
  <c r="Q152" i="1" a="1"/>
  <c r="Q152" i="1" s="1"/>
  <c r="T152" i="1" a="1"/>
  <c r="T152" i="1" s="1"/>
  <c r="T714" i="1" a="1"/>
  <c r="T714" i="1" s="1"/>
  <c r="Q714" i="1" a="1"/>
  <c r="Q714" i="1" s="1"/>
  <c r="Q109" i="1" a="1"/>
  <c r="Q109" i="1" s="1"/>
  <c r="T109" i="1" a="1"/>
  <c r="T109" i="1" s="1"/>
  <c r="Q250" i="1" a="1"/>
  <c r="Q250" i="1" s="1"/>
  <c r="T250" i="1" a="1"/>
  <c r="T250" i="1" s="1"/>
  <c r="T433" i="1" a="1"/>
  <c r="T433" i="1" s="1"/>
  <c r="Q433" i="1" a="1"/>
  <c r="Q433" i="1" s="1"/>
  <c r="T355" i="1" a="1"/>
  <c r="T355" i="1" s="1"/>
  <c r="T555" i="1" a="1"/>
  <c r="T555" i="1" s="1"/>
  <c r="Q555" i="1" a="1"/>
  <c r="Q555" i="1" s="1"/>
  <c r="Q670" i="1" a="1"/>
  <c r="Q670" i="1" s="1"/>
  <c r="T670" i="1" a="1"/>
  <c r="T670" i="1" s="1"/>
  <c r="T540" i="1" a="1"/>
  <c r="T540" i="1" s="1"/>
  <c r="Q540" i="1" a="1"/>
  <c r="Q540" i="1" s="1"/>
  <c r="T90" i="1" a="1"/>
  <c r="T90" i="1" s="1"/>
  <c r="Q90" i="1" a="1"/>
  <c r="Q90" i="1" s="1"/>
  <c r="T551" i="1" a="1"/>
  <c r="T551" i="1" s="1"/>
  <c r="Q551" i="1" a="1"/>
  <c r="Q551" i="1" s="1"/>
  <c r="Q794" i="1" a="1"/>
  <c r="Q794" i="1" s="1"/>
  <c r="T794" i="1" a="1"/>
  <c r="T794" i="1" s="1"/>
  <c r="Q227" i="1" a="1"/>
  <c r="Q227" i="1" s="1"/>
  <c r="T227" i="1" a="1"/>
  <c r="T227" i="1" s="1"/>
  <c r="T595" i="1" a="1"/>
  <c r="T595" i="1" s="1"/>
  <c r="Q595" i="1" a="1"/>
  <c r="Q595" i="1" s="1"/>
  <c r="T552" i="1" a="1"/>
  <c r="T552" i="1" s="1"/>
  <c r="Q552" i="1" a="1"/>
  <c r="Q552" i="1" s="1"/>
  <c r="Q303" i="1" a="1"/>
  <c r="Q303" i="1" s="1"/>
  <c r="T303" i="1" a="1"/>
  <c r="T303" i="1" s="1"/>
  <c r="Q716" i="1" a="1"/>
  <c r="Q716" i="1" s="1"/>
  <c r="T716" i="1" a="1"/>
  <c r="T716" i="1" s="1"/>
  <c r="T153" i="1" a="1"/>
  <c r="T153" i="1" s="1"/>
  <c r="Q153" i="1" a="1"/>
  <c r="Q153" i="1" s="1"/>
  <c r="Q80" i="1" a="1"/>
  <c r="Q80" i="1" s="1"/>
  <c r="T80" i="1" a="1"/>
  <c r="T80" i="1" s="1"/>
  <c r="T382" i="1" a="1"/>
  <c r="T382" i="1" s="1"/>
  <c r="Q382" i="1" a="1"/>
  <c r="Q382" i="1" s="1"/>
  <c r="Q195" i="1" a="1"/>
  <c r="Q195" i="1" s="1"/>
  <c r="T195" i="1" a="1"/>
  <c r="T195" i="1" s="1"/>
  <c r="Q561" i="1" a="1"/>
  <c r="Q561" i="1" s="1"/>
  <c r="T561" i="1" a="1"/>
  <c r="T561" i="1" s="1"/>
  <c r="Q110" i="1" a="1"/>
  <c r="Q110" i="1" s="1"/>
  <c r="T110" i="1" a="1"/>
  <c r="T110" i="1" s="1"/>
  <c r="T740" i="1" a="1"/>
  <c r="T740" i="1" s="1"/>
  <c r="Q740" i="1" a="1"/>
  <c r="Q740" i="1" s="1"/>
  <c r="T672" i="1" a="1"/>
  <c r="T672" i="1" s="1"/>
  <c r="Q486" i="1" a="1"/>
  <c r="Q486" i="1" s="1"/>
  <c r="T486" i="1" a="1"/>
  <c r="T486" i="1" s="1"/>
  <c r="T703" i="1" a="1"/>
  <c r="T703" i="1" s="1"/>
  <c r="Q703" i="1" a="1"/>
  <c r="Q703" i="1" s="1"/>
  <c r="T117" i="1" a="1"/>
  <c r="T117" i="1" s="1"/>
  <c r="Q117" i="1" a="1"/>
  <c r="Q117" i="1" s="1"/>
  <c r="Q545" i="1" a="1"/>
  <c r="Q545" i="1" s="1"/>
  <c r="T545" i="1" a="1"/>
  <c r="T545" i="1" s="1"/>
  <c r="Q662" i="1" a="1"/>
  <c r="Q662" i="1" s="1"/>
  <c r="T662" i="1" a="1"/>
  <c r="T662" i="1" s="1"/>
  <c r="T374" i="1" a="1"/>
  <c r="T374" i="1" s="1"/>
  <c r="Q374" i="1" a="1"/>
  <c r="Q374" i="1" s="1"/>
  <c r="Q235" i="1" a="1"/>
  <c r="Q235" i="1" s="1"/>
  <c r="T235" i="1" a="1"/>
  <c r="T235" i="1" s="1"/>
  <c r="Q255" i="1" a="1"/>
  <c r="Q255" i="1" s="1"/>
  <c r="T255" i="1" a="1"/>
  <c r="T255" i="1" s="1"/>
  <c r="Q645" i="1" a="1"/>
  <c r="Q645" i="1" s="1"/>
  <c r="T645" i="1" a="1"/>
  <c r="T645" i="1" s="1"/>
  <c r="Q721" i="1" a="1"/>
  <c r="Q721" i="1" s="1"/>
  <c r="T721" i="1" a="1"/>
  <c r="T721" i="1" s="1"/>
  <c r="T781" i="1" a="1"/>
  <c r="T781" i="1" s="1"/>
  <c r="Q781" i="1" a="1"/>
  <c r="Q781" i="1" s="1"/>
  <c r="T274" i="1" a="1"/>
  <c r="T274" i="1" s="1"/>
  <c r="Q274" i="1" a="1"/>
  <c r="Q274" i="1" s="1"/>
  <c r="Q410" i="1" a="1"/>
  <c r="Q410" i="1" s="1"/>
  <c r="T410" i="1" a="1"/>
  <c r="T410" i="1" s="1"/>
  <c r="Q286" i="1" a="1"/>
  <c r="Q286" i="1" s="1"/>
  <c r="T286" i="1" a="1"/>
  <c r="T286" i="1" s="1"/>
  <c r="Q390" i="1" a="1"/>
  <c r="Q390" i="1" s="1"/>
  <c r="T390" i="1" a="1"/>
  <c r="T390" i="1" s="1"/>
  <c r="Q266" i="1" a="1"/>
  <c r="Q266" i="1" s="1"/>
  <c r="T266" i="1" a="1"/>
  <c r="T266" i="1" s="1"/>
  <c r="Q279" i="1" a="1"/>
  <c r="Q279" i="1" s="1"/>
  <c r="T279" i="1" a="1"/>
  <c r="T279" i="1" s="1"/>
  <c r="Q82" i="1" a="1"/>
  <c r="Q82" i="1" s="1"/>
  <c r="T82" i="1" a="1"/>
  <c r="T82" i="1" s="1"/>
  <c r="Q147" i="1" a="1"/>
  <c r="Q147" i="1" s="1"/>
  <c r="T147" i="1" a="1"/>
  <c r="T147" i="1" s="1"/>
  <c r="Q394" i="1" a="1"/>
  <c r="Q394" i="1" s="1"/>
  <c r="T394" i="1" a="1"/>
  <c r="T394" i="1" s="1"/>
  <c r="Q386" i="1" a="1"/>
  <c r="Q386" i="1" s="1"/>
  <c r="T386" i="1" a="1"/>
  <c r="T386" i="1" s="1"/>
  <c r="T380" i="1" a="1"/>
  <c r="T380" i="1" s="1"/>
  <c r="Q380" i="1" a="1"/>
  <c r="Q380" i="1" s="1"/>
  <c r="T308" i="1" a="1"/>
  <c r="T308" i="1" s="1"/>
  <c r="T253" i="1" a="1"/>
  <c r="T253" i="1" s="1"/>
  <c r="Q253" i="1" a="1"/>
  <c r="Q253" i="1" s="1"/>
  <c r="T696" i="1" a="1"/>
  <c r="T696" i="1" s="1"/>
  <c r="Q283" i="1" a="1"/>
  <c r="Q283" i="1" s="1"/>
  <c r="T283" i="1" a="1"/>
  <c r="T283" i="1" s="1"/>
  <c r="Q156" i="1" a="1"/>
  <c r="Q156" i="1" s="1"/>
  <c r="T156" i="1" a="1"/>
  <c r="T156" i="1" s="1"/>
  <c r="Q745" i="1" a="1"/>
  <c r="Q745" i="1" s="1"/>
  <c r="T745" i="1" a="1"/>
  <c r="T745" i="1" s="1"/>
  <c r="T723" i="1" a="1"/>
  <c r="T723" i="1" s="1"/>
  <c r="Q84" i="1" a="1"/>
  <c r="Q84" i="1" s="1"/>
  <c r="T84" i="1" a="1"/>
  <c r="T84" i="1" s="1"/>
  <c r="Q162" i="1" a="1"/>
  <c r="Q162" i="1" s="1"/>
  <c r="T162" i="1" a="1"/>
  <c r="T162" i="1" s="1"/>
  <c r="Q79" i="1" a="1"/>
  <c r="Q79" i="1" s="1"/>
  <c r="T79" i="1" a="1"/>
  <c r="T79" i="1" s="1"/>
  <c r="Q484" i="1" a="1"/>
  <c r="Q484" i="1" s="1"/>
  <c r="T484" i="1" a="1"/>
  <c r="T484" i="1" s="1"/>
  <c r="T268" i="1" a="1"/>
  <c r="T268" i="1" s="1"/>
  <c r="T603" i="1" a="1"/>
  <c r="T603" i="1" s="1"/>
  <c r="Q603" i="1" a="1"/>
  <c r="Q603" i="1" s="1"/>
  <c r="Q334" i="1" a="1"/>
  <c r="Q334" i="1" s="1"/>
  <c r="T334" i="1" a="1"/>
  <c r="T334" i="1" s="1"/>
  <c r="Q292" i="1" a="1"/>
  <c r="Q292" i="1" s="1"/>
  <c r="T292" i="1" a="1"/>
  <c r="T292" i="1" s="1"/>
  <c r="T34" i="1" a="1"/>
  <c r="T34" i="1" s="1"/>
  <c r="T299" i="1" a="1"/>
  <c r="T299" i="1" s="1"/>
  <c r="Q299" i="1" a="1"/>
  <c r="Q299" i="1" s="1"/>
  <c r="T128" i="1" a="1"/>
  <c r="T128" i="1" s="1"/>
  <c r="Q128" i="1" a="1"/>
  <c r="Q128" i="1" s="1"/>
  <c r="Q54" i="1" a="1"/>
  <c r="Q54" i="1" s="1"/>
  <c r="T54" i="1" a="1"/>
  <c r="T54" i="1" s="1"/>
  <c r="Q200" i="1" a="1"/>
  <c r="Q200" i="1" s="1"/>
  <c r="T200" i="1" a="1"/>
  <c r="T200" i="1" s="1"/>
  <c r="Q213" i="1" a="1"/>
  <c r="Q213" i="1" s="1"/>
  <c r="T213" i="1" a="1"/>
  <c r="T213" i="1" s="1"/>
  <c r="T701" i="1" a="1"/>
  <c r="T701" i="1" s="1"/>
  <c r="Q713" i="1" a="1"/>
  <c r="Q713" i="1" s="1"/>
  <c r="T713" i="1" a="1"/>
  <c r="T713" i="1" s="1"/>
  <c r="Q13" i="1" a="1"/>
  <c r="Q13" i="1" s="1"/>
  <c r="T13" i="1" a="1"/>
  <c r="T13" i="1" s="1"/>
  <c r="T594" i="1" a="1"/>
  <c r="T594" i="1" s="1"/>
  <c r="Q594" i="1" a="1"/>
  <c r="Q594" i="1" s="1"/>
  <c r="T32" i="1" a="1"/>
  <c r="T32" i="1" s="1"/>
  <c r="Q32" i="1" a="1"/>
  <c r="Q32" i="1" s="1"/>
  <c r="Q507" i="1" a="1"/>
  <c r="Q507" i="1" s="1"/>
  <c r="T507" i="1" a="1"/>
  <c r="T507" i="1" s="1"/>
  <c r="T332" i="1" a="1"/>
  <c r="T332" i="1" s="1"/>
  <c r="Q332" i="1" a="1"/>
  <c r="Q332" i="1" s="1"/>
  <c r="Q262" i="1" a="1"/>
  <c r="Q262" i="1" s="1"/>
  <c r="T262" i="1" a="1"/>
  <c r="T262" i="1" s="1"/>
  <c r="T408" i="1" a="1"/>
  <c r="T408" i="1" s="1"/>
  <c r="Q408" i="1" a="1"/>
  <c r="Q408" i="1" s="1"/>
  <c r="Q267" i="1" a="1"/>
  <c r="Q267" i="1" s="1"/>
  <c r="T267" i="1" a="1"/>
  <c r="T267" i="1" s="1"/>
  <c r="T51" i="1" a="1"/>
  <c r="T51" i="1" s="1"/>
  <c r="Q51" i="1" a="1"/>
  <c r="Q51" i="1" s="1"/>
  <c r="T212" i="1" a="1"/>
  <c r="T212" i="1" s="1"/>
  <c r="Q212" i="1" a="1"/>
  <c r="Q212" i="1" s="1"/>
  <c r="Q101" i="1" a="1"/>
  <c r="Q101" i="1" s="1"/>
  <c r="T101" i="1" a="1"/>
  <c r="T101" i="1" s="1"/>
  <c r="T651" i="1" a="1"/>
  <c r="T651" i="1" s="1"/>
  <c r="Q651" i="1" a="1"/>
  <c r="Q651" i="1" s="1"/>
  <c r="Q240" i="1" a="1"/>
  <c r="Q240" i="1" s="1"/>
  <c r="T240" i="1" a="1"/>
  <c r="T240" i="1" s="1"/>
  <c r="T400" i="1" a="1"/>
  <c r="T400" i="1" s="1"/>
  <c r="Q400" i="1" a="1"/>
  <c r="Q400" i="1" s="1"/>
  <c r="T533" i="1" a="1"/>
  <c r="T533" i="1" s="1"/>
  <c r="Q533" i="1" a="1"/>
  <c r="Q533" i="1" s="1"/>
  <c r="Q420" i="1" a="1"/>
  <c r="Q420" i="1" s="1"/>
  <c r="T420" i="1" a="1"/>
  <c r="T420" i="1" s="1"/>
  <c r="Q764" i="1" a="1"/>
  <c r="Q764" i="1" s="1"/>
  <c r="T764" i="1" a="1"/>
  <c r="T764" i="1" s="1"/>
  <c r="Q276" i="1" a="1"/>
  <c r="Q276" i="1" s="1"/>
  <c r="T276" i="1" a="1"/>
  <c r="T276" i="1" s="1"/>
  <c r="Q155" i="1" a="1"/>
  <c r="Q155" i="1" s="1"/>
  <c r="T155" i="1" a="1"/>
  <c r="T155" i="1" s="1"/>
  <c r="Q790" i="1" a="1"/>
  <c r="Q790" i="1" s="1"/>
  <c r="T790" i="1" a="1"/>
  <c r="T790" i="1" s="1"/>
  <c r="Q793" i="1" a="1"/>
  <c r="Q793" i="1" s="1"/>
  <c r="T793" i="1" a="1"/>
  <c r="T793" i="1" s="1"/>
  <c r="Q411" i="1" a="1"/>
  <c r="Q411" i="1" s="1"/>
  <c r="T411" i="1" a="1"/>
  <c r="T411" i="1" s="1"/>
  <c r="T197" i="1" a="1"/>
  <c r="T197" i="1" s="1"/>
  <c r="T671" i="1" a="1"/>
  <c r="T671" i="1" s="1"/>
  <c r="T406" i="1" a="1"/>
  <c r="T406" i="1" s="1"/>
  <c r="T747" i="1" a="1"/>
  <c r="T747" i="1" s="1"/>
  <c r="Q747" i="1" a="1"/>
  <c r="Q747" i="1" s="1"/>
  <c r="Q515" i="1" a="1"/>
  <c r="Q515" i="1" s="1"/>
  <c r="T515" i="1" a="1"/>
  <c r="T515" i="1" s="1"/>
  <c r="T287" i="1" a="1"/>
  <c r="T287" i="1" s="1"/>
  <c r="Q287" i="1" a="1"/>
  <c r="Q287" i="1" s="1"/>
  <c r="Q188" i="1" a="1"/>
  <c r="Q188" i="1" s="1"/>
  <c r="T188" i="1" a="1"/>
  <c r="T188" i="1" s="1"/>
  <c r="T669" i="1" a="1"/>
  <c r="T669" i="1" s="1"/>
  <c r="Q669" i="1" a="1"/>
  <c r="Q669" i="1" s="1"/>
  <c r="T209" i="1" a="1"/>
  <c r="T209" i="1" s="1"/>
  <c r="T528" i="1" a="1"/>
  <c r="T528" i="1" s="1"/>
  <c r="Q528" i="1" a="1"/>
  <c r="Q528" i="1" s="1"/>
  <c r="Q624" i="1" a="1"/>
  <c r="Q624" i="1" s="1"/>
  <c r="T624" i="1" a="1"/>
  <c r="T624" i="1" s="1"/>
  <c r="Q402" i="1" a="1"/>
  <c r="Q402" i="1" s="1"/>
  <c r="T402" i="1" a="1"/>
  <c r="T402" i="1" s="1"/>
  <c r="Q271" i="1" a="1"/>
  <c r="Q271" i="1" s="1"/>
  <c r="T271" i="1" a="1"/>
  <c r="T271" i="1" s="1"/>
  <c r="Q432" i="1" a="1"/>
  <c r="Q432" i="1" s="1"/>
  <c r="T432" i="1" a="1"/>
  <c r="T432" i="1" s="1"/>
  <c r="Q365" i="1" a="1"/>
  <c r="Q365" i="1" s="1"/>
  <c r="T365" i="1" a="1"/>
  <c r="T365" i="1" s="1"/>
  <c r="T139" i="1" a="1"/>
  <c r="T139" i="1" s="1"/>
  <c r="Q139" i="1" a="1"/>
  <c r="Q139" i="1" s="1"/>
  <c r="T746" i="1" a="1"/>
  <c r="T746" i="1" s="1"/>
  <c r="Q746" i="1" a="1"/>
  <c r="Q746" i="1" s="1"/>
  <c r="T99" i="1" a="1"/>
  <c r="T99" i="1" s="1"/>
  <c r="Q99" i="1" a="1"/>
  <c r="Q99" i="1" s="1"/>
  <c r="Q387" i="1" a="1"/>
  <c r="Q387" i="1" s="1"/>
  <c r="T387" i="1" a="1"/>
  <c r="T387" i="1" s="1"/>
  <c r="Q388" i="1" a="1"/>
  <c r="Q388" i="1" s="1"/>
  <c r="T388" i="1" a="1"/>
  <c r="T388" i="1" s="1"/>
  <c r="T505" i="1" a="1"/>
  <c r="T505" i="1" s="1"/>
  <c r="Q505" i="1" a="1"/>
  <c r="Q505" i="1" s="1"/>
  <c r="T369" i="1" a="1"/>
  <c r="T369" i="1" s="1"/>
  <c r="Q369" i="1" a="1"/>
  <c r="Q369" i="1" s="1"/>
  <c r="Q198" i="1" a="1"/>
  <c r="Q198" i="1" s="1"/>
  <c r="T198" i="1" a="1"/>
  <c r="T198" i="1" s="1"/>
  <c r="T178" i="1" a="1"/>
  <c r="T178" i="1" s="1"/>
  <c r="Q178" i="1" a="1"/>
  <c r="Q178" i="1" s="1"/>
  <c r="T737" i="1" a="1"/>
  <c r="T737" i="1" s="1"/>
  <c r="Q737" i="1" a="1"/>
  <c r="Q737" i="1" s="1"/>
  <c r="T265" i="1" a="1"/>
  <c r="T265" i="1" s="1"/>
  <c r="Q265" i="1" a="1"/>
  <c r="Q265" i="1" s="1"/>
  <c r="Q512" i="1" a="1"/>
  <c r="Q512" i="1" s="1"/>
  <c r="T512" i="1" a="1"/>
  <c r="T512" i="1" s="1"/>
  <c r="T524" i="1" a="1"/>
  <c r="T524" i="1" s="1"/>
  <c r="Q524" i="1" a="1"/>
  <c r="Q524" i="1" s="1"/>
  <c r="Q183" i="1" a="1"/>
  <c r="Q183" i="1" s="1"/>
  <c r="T183" i="1" a="1"/>
  <c r="T183" i="1" s="1"/>
  <c r="Q344" i="1" a="1"/>
  <c r="Q344" i="1" s="1"/>
  <c r="T344" i="1" a="1"/>
  <c r="T344" i="1" s="1"/>
  <c r="T587" i="1" a="1"/>
  <c r="T587" i="1" s="1"/>
  <c r="Q587" i="1" a="1"/>
  <c r="Q587" i="1" s="1"/>
  <c r="Q479" i="1" a="1"/>
  <c r="Q479" i="1" s="1"/>
  <c r="T479" i="1" a="1"/>
  <c r="T479" i="1" s="1"/>
  <c r="Q193" i="1" a="1"/>
  <c r="Q193" i="1" s="1"/>
  <c r="T193" i="1" a="1"/>
  <c r="T193" i="1" s="1"/>
  <c r="Q361" i="1" a="1"/>
  <c r="Q361" i="1" s="1"/>
  <c r="T361" i="1" a="1"/>
  <c r="T361" i="1" s="1"/>
  <c r="Q426" i="1" a="1"/>
  <c r="Q426" i="1" s="1"/>
  <c r="T426" i="1" a="1"/>
  <c r="T426" i="1" s="1"/>
  <c r="Q460" i="1" a="1"/>
  <c r="Q460" i="1" s="1"/>
  <c r="T460" i="1" a="1"/>
  <c r="T460" i="1" s="1"/>
  <c r="Q584" i="1" a="1"/>
  <c r="Q584" i="1" s="1"/>
  <c r="T584" i="1" a="1"/>
  <c r="T584" i="1" s="1"/>
  <c r="Q61" i="1" a="1"/>
  <c r="Q61" i="1" s="1"/>
  <c r="T61" i="1" a="1"/>
  <c r="T61" i="1" s="1"/>
  <c r="Q549" i="1" a="1"/>
  <c r="Q549" i="1" s="1"/>
  <c r="T549" i="1" a="1"/>
  <c r="T549" i="1" s="1"/>
  <c r="Q475" i="1" a="1"/>
  <c r="Q475" i="1" s="1"/>
  <c r="T475" i="1" a="1"/>
  <c r="T475" i="1" s="1"/>
  <c r="Q194" i="1" a="1"/>
  <c r="Q194" i="1" s="1"/>
  <c r="T194" i="1" a="1"/>
  <c r="T194" i="1" s="1"/>
  <c r="Q470" i="1" a="1"/>
  <c r="Q470" i="1" s="1"/>
  <c r="T470" i="1" a="1"/>
  <c r="T470" i="1" s="1"/>
  <c r="Q728" i="1" a="1"/>
  <c r="Q728" i="1" s="1"/>
  <c r="T728" i="1" a="1"/>
  <c r="T728" i="1" s="1"/>
  <c r="Q783" i="1" a="1"/>
  <c r="Q783" i="1" s="1"/>
  <c r="T783" i="1" a="1"/>
  <c r="T783" i="1" s="1"/>
  <c r="T293" i="1" a="1"/>
  <c r="T293" i="1" s="1"/>
  <c r="Q293" i="1" a="1"/>
  <c r="Q293" i="1" s="1"/>
  <c r="T173" i="1" a="1"/>
  <c r="T173" i="1" s="1"/>
  <c r="Q173" i="1" a="1"/>
  <c r="Q173" i="1" s="1"/>
  <c r="T218" i="1" a="1"/>
  <c r="T218" i="1" s="1"/>
  <c r="Q218" i="1" a="1"/>
  <c r="Q218" i="1" s="1"/>
  <c r="Q440" i="1" a="1"/>
  <c r="Q440" i="1" s="1"/>
  <c r="T440" i="1" a="1"/>
  <c r="T440" i="1" s="1"/>
  <c r="Q65" i="1" a="1"/>
  <c r="Q65" i="1" s="1"/>
  <c r="T65" i="1" a="1"/>
  <c r="T65" i="1" s="1"/>
  <c r="T358" i="1" a="1"/>
  <c r="T358" i="1" s="1"/>
  <c r="Q48" i="1" a="1"/>
  <c r="Q48" i="1" s="1"/>
  <c r="T48" i="1" a="1"/>
  <c r="T48" i="1" s="1"/>
  <c r="T661" i="1" a="1"/>
  <c r="T661" i="1" s="1"/>
  <c r="Q661" i="1" a="1"/>
  <c r="Q661" i="1" s="1"/>
  <c r="T446" i="1" a="1"/>
  <c r="T446" i="1" s="1"/>
  <c r="T180" i="1" a="1"/>
  <c r="T180" i="1" s="1"/>
  <c r="Q180" i="1" a="1"/>
  <c r="Q180" i="1" s="1"/>
  <c r="Q697" i="1" a="1"/>
  <c r="Q697" i="1" s="1"/>
  <c r="T697" i="1" a="1"/>
  <c r="T697" i="1" s="1"/>
  <c r="Q618" i="1" a="1"/>
  <c r="Q618" i="1" s="1"/>
  <c r="T618" i="1" a="1"/>
  <c r="T618" i="1" s="1"/>
  <c r="T577" i="1" a="1"/>
  <c r="T577" i="1" s="1"/>
  <c r="Q577" i="1" a="1"/>
  <c r="Q577" i="1" s="1"/>
  <c r="Q6" i="1" a="1"/>
  <c r="Q6" i="1" s="1"/>
  <c r="T6" i="1" a="1"/>
  <c r="T6" i="1" s="1"/>
  <c r="Q47" i="1" a="1"/>
  <c r="Q47" i="1" s="1"/>
  <c r="T47" i="1" a="1"/>
  <c r="T47" i="1" s="1"/>
  <c r="Q323" i="1" a="1"/>
  <c r="Q323" i="1" s="1"/>
  <c r="T323" i="1" a="1"/>
  <c r="T323" i="1" s="1"/>
  <c r="Q239" i="1" a="1"/>
  <c r="Q239" i="1" s="1"/>
  <c r="T239" i="1" a="1"/>
  <c r="T239" i="1" s="1"/>
  <c r="T244" i="1" a="1"/>
  <c r="T244" i="1" s="1"/>
  <c r="Q244" i="1" a="1"/>
  <c r="Q244" i="1" s="1"/>
  <c r="T693" i="1" a="1"/>
  <c r="T693" i="1" s="1"/>
  <c r="Q693" i="1" a="1"/>
  <c r="Q693" i="1" s="1"/>
  <c r="T769" i="1" a="1"/>
  <c r="T769" i="1" s="1"/>
  <c r="Q769" i="1" a="1"/>
  <c r="Q769" i="1" s="1"/>
  <c r="Q163" i="1" a="1"/>
  <c r="Q163" i="1" s="1"/>
  <c r="T163" i="1" a="1"/>
  <c r="T163" i="1" s="1"/>
  <c r="Q112" i="1" a="1"/>
  <c r="Q112" i="1" s="1"/>
  <c r="T112" i="1" a="1"/>
  <c r="T112" i="1" s="1"/>
  <c r="Q81" i="1" a="1"/>
  <c r="Q81" i="1" s="1"/>
  <c r="T81" i="1" a="1"/>
  <c r="T81" i="1" s="1"/>
  <c r="T491" i="1" a="1"/>
  <c r="T491" i="1" s="1"/>
  <c r="Q491" i="1" a="1"/>
  <c r="Q491" i="1" s="1"/>
  <c r="Q192" i="1" a="1"/>
  <c r="Q192" i="1" s="1"/>
  <c r="T192" i="1" a="1"/>
  <c r="T192" i="1" s="1"/>
  <c r="T492" i="1" a="1"/>
  <c r="T492" i="1" s="1"/>
  <c r="Q492" i="1" a="1"/>
  <c r="Q492" i="1" s="1"/>
  <c r="T431" i="1" a="1"/>
  <c r="T431" i="1" s="1"/>
  <c r="Q307" i="1" a="1"/>
  <c r="Q307" i="1" s="1"/>
  <c r="T307" i="1" a="1"/>
  <c r="T307" i="1" s="1"/>
  <c r="Q707" i="1" a="1"/>
  <c r="Q707" i="1" s="1"/>
  <c r="T707" i="1" a="1"/>
  <c r="T707" i="1" s="1"/>
  <c r="Q800" i="1" a="1"/>
  <c r="Q800" i="1" s="1"/>
  <c r="T800" i="1" a="1"/>
  <c r="T800" i="1" s="1"/>
  <c r="T71" i="1" a="1"/>
  <c r="T71" i="1" s="1"/>
  <c r="Q71" i="1" a="1"/>
  <c r="Q71" i="1" s="1"/>
  <c r="Q578" i="1" a="1"/>
  <c r="Q578" i="1" s="1"/>
  <c r="T578" i="1" a="1"/>
  <c r="T578" i="1" s="1"/>
  <c r="Q638" i="1" a="1"/>
  <c r="Q638" i="1" s="1"/>
  <c r="T638" i="1" a="1"/>
  <c r="T638" i="1" s="1"/>
  <c r="Q86" i="1" a="1"/>
  <c r="Q86" i="1" s="1"/>
  <c r="T86" i="1" a="1"/>
  <c r="T86" i="1" s="1"/>
  <c r="Q698" i="1" a="1"/>
  <c r="Q698" i="1" s="1"/>
  <c r="T698" i="1" a="1"/>
  <c r="T698" i="1" s="1"/>
  <c r="T59" i="1" a="1"/>
  <c r="T59" i="1" s="1"/>
  <c r="T88" i="1" a="1"/>
  <c r="T88" i="1" s="1"/>
  <c r="T754" i="1" a="1"/>
  <c r="T754" i="1" s="1"/>
  <c r="Q44" i="1" a="1"/>
  <c r="Q44" i="1" s="1"/>
  <c r="T44" i="1" a="1"/>
  <c r="T44" i="1" s="1"/>
  <c r="T452" i="1" a="1"/>
  <c r="T452" i="1" s="1"/>
  <c r="Q452" i="1" a="1"/>
  <c r="Q452" i="1" s="1"/>
  <c r="Q170" i="1" a="1"/>
  <c r="Q170" i="1" s="1"/>
  <c r="T170" i="1" a="1"/>
  <c r="T170" i="1" s="1"/>
  <c r="T413" i="1" a="1"/>
  <c r="T413" i="1" s="1"/>
  <c r="Q413" i="1" a="1"/>
  <c r="Q413" i="1" s="1"/>
  <c r="Q483" i="1" a="1"/>
  <c r="Q483" i="1" s="1"/>
  <c r="T483" i="1" a="1"/>
  <c r="T483" i="1" s="1"/>
  <c r="T502" i="1" a="1"/>
  <c r="T502" i="1" s="1"/>
  <c r="Q502" i="1" a="1"/>
  <c r="Q502" i="1" s="1"/>
  <c r="T228" i="1" a="1"/>
  <c r="T228" i="1" s="1"/>
  <c r="Q228" i="1" a="1"/>
  <c r="Q228" i="1" s="1"/>
  <c r="T591" i="1" a="1"/>
  <c r="T591" i="1" s="1"/>
  <c r="Q591" i="1" a="1"/>
  <c r="Q591" i="1" s="1"/>
  <c r="T179" i="1" a="1"/>
  <c r="T179" i="1" s="1"/>
  <c r="Q179" i="1" a="1"/>
  <c r="Q179" i="1" s="1"/>
  <c r="T371" i="1" a="1"/>
  <c r="T371" i="1" s="1"/>
  <c r="Q371" i="1" a="1"/>
  <c r="Q371" i="1" s="1"/>
  <c r="T798" i="1" a="1"/>
  <c r="T798" i="1" s="1"/>
  <c r="Q798" i="1" a="1"/>
  <c r="Q798" i="1" s="1"/>
  <c r="T649" i="1" a="1"/>
  <c r="T649" i="1" s="1"/>
  <c r="Q649" i="1" a="1"/>
  <c r="Q649" i="1" s="1"/>
  <c r="Q127" i="1" a="1"/>
  <c r="Q127" i="1" s="1"/>
  <c r="T127" i="1" a="1"/>
  <c r="T127" i="1" s="1"/>
  <c r="T653" i="1" a="1"/>
  <c r="T653" i="1" s="1"/>
  <c r="Q653" i="1" a="1"/>
  <c r="Q653" i="1" s="1"/>
  <c r="Q550" i="1" a="1"/>
  <c r="Q550" i="1" s="1"/>
  <c r="T550" i="1" a="1"/>
  <c r="T550" i="1" s="1"/>
  <c r="Q744" i="1" a="1"/>
  <c r="Q744" i="1" s="1"/>
  <c r="T744" i="1" a="1"/>
  <c r="T744" i="1" s="1"/>
  <c r="Q453" i="1" a="1"/>
  <c r="Q453" i="1" s="1"/>
  <c r="T453" i="1" a="1"/>
  <c r="T453" i="1" s="1"/>
  <c r="Q134" i="1" a="1"/>
  <c r="Q134" i="1" s="1"/>
  <c r="T134" i="1" a="1"/>
  <c r="T134" i="1" s="1"/>
  <c r="Q796" i="1" a="1"/>
  <c r="Q796" i="1" s="1"/>
  <c r="T796" i="1" a="1"/>
  <c r="T796" i="1" s="1"/>
  <c r="T74" i="1" a="1"/>
  <c r="T74" i="1" s="1"/>
  <c r="T63" i="1" a="1"/>
  <c r="T63" i="1" s="1"/>
  <c r="T720" i="1" a="1"/>
  <c r="T720" i="1" s="1"/>
  <c r="Q401" i="1" a="1"/>
  <c r="Q401" i="1" s="1"/>
  <c r="T401" i="1" a="1"/>
  <c r="T401" i="1" s="1"/>
  <c r="T114" i="1" a="1"/>
  <c r="T114" i="1" s="1"/>
  <c r="Q114" i="1" a="1"/>
  <c r="Q114" i="1" s="1"/>
  <c r="Q456" i="1" a="1"/>
  <c r="Q456" i="1" s="1"/>
  <c r="T456" i="1" a="1"/>
  <c r="T456" i="1" s="1"/>
  <c r="T622" i="1" a="1"/>
  <c r="T622" i="1" s="1"/>
  <c r="Q622" i="1" a="1"/>
  <c r="Q622" i="1" s="1"/>
  <c r="Q42" i="1" a="1"/>
  <c r="Q42" i="1" s="1"/>
  <c r="T42" i="1" a="1"/>
  <c r="T42" i="1" s="1"/>
  <c r="Q493" i="1" a="1"/>
  <c r="Q493" i="1" s="1"/>
  <c r="T493" i="1" a="1"/>
  <c r="T493" i="1" s="1"/>
  <c r="Q688" i="1" a="1"/>
  <c r="Q688" i="1" s="1"/>
  <c r="T688" i="1" a="1"/>
  <c r="T688" i="1" s="1"/>
  <c r="T588" i="1" a="1"/>
  <c r="T588" i="1" s="1"/>
  <c r="Q588" i="1" a="1"/>
  <c r="Q588" i="1" s="1"/>
  <c r="Q526" i="1" a="1"/>
  <c r="Q526" i="1" s="1"/>
  <c r="T526" i="1" a="1"/>
  <c r="T526" i="1" s="1"/>
  <c r="Q619" i="1" a="1"/>
  <c r="Q619" i="1" s="1"/>
  <c r="T619" i="1" a="1"/>
  <c r="T619" i="1" s="1"/>
  <c r="T313" i="1" a="1"/>
  <c r="T313" i="1" s="1"/>
  <c r="Q313" i="1" a="1"/>
  <c r="Q313" i="1" s="1"/>
  <c r="T359" i="1" a="1"/>
  <c r="T359" i="1" s="1"/>
  <c r="Q359" i="1" a="1"/>
  <c r="Q359" i="1" s="1"/>
  <c r="T476" i="1" a="1"/>
  <c r="T476" i="1" s="1"/>
  <c r="Q476" i="1" a="1"/>
  <c r="Q476" i="1" s="1"/>
  <c r="T612" i="1" a="1"/>
  <c r="T612" i="1" s="1"/>
  <c r="Q612" i="1" a="1"/>
  <c r="Q612" i="1" s="1"/>
  <c r="T738" i="1" a="1"/>
  <c r="T738" i="1" s="1"/>
  <c r="Q738" i="1" a="1"/>
  <c r="Q738" i="1" s="1"/>
  <c r="T441" i="1" a="1"/>
  <c r="T441" i="1" s="1"/>
  <c r="Q441" i="1" a="1"/>
  <c r="Q441" i="1" s="1"/>
  <c r="Q482" i="1" a="1"/>
  <c r="Q482" i="1" s="1"/>
  <c r="T482" i="1" a="1"/>
  <c r="T482" i="1" s="1"/>
  <c r="T663" i="1" a="1"/>
  <c r="T663" i="1" s="1"/>
  <c r="Q97" i="1" a="1"/>
  <c r="Q97" i="1" s="1"/>
  <c r="T97" i="1" a="1"/>
  <c r="T97" i="1" s="1"/>
  <c r="T302" i="1" a="1"/>
  <c r="T302" i="1" s="1"/>
  <c r="Q302" i="1" a="1"/>
  <c r="Q302" i="1" s="1"/>
  <c r="T417" i="1" a="1"/>
  <c r="T417" i="1" s="1"/>
  <c r="Q719" i="1" a="1"/>
  <c r="Q719" i="1" s="1"/>
  <c r="T719" i="1" a="1"/>
  <c r="T719" i="1" s="1"/>
  <c r="T242" i="1" a="1"/>
  <c r="T242" i="1" s="1"/>
  <c r="Q242" i="1" a="1"/>
  <c r="Q242" i="1" s="1"/>
  <c r="T700" i="1" a="1"/>
  <c r="T700" i="1" s="1"/>
  <c r="Q214" i="1" a="1"/>
  <c r="Q214" i="1" s="1"/>
  <c r="T214" i="1" a="1"/>
  <c r="T214" i="1" s="1"/>
  <c r="Q167" i="1" a="1"/>
  <c r="Q167" i="1" s="1"/>
  <c r="T167" i="1" a="1"/>
  <c r="T167" i="1" s="1"/>
  <c r="Q154" i="1" a="1"/>
  <c r="Q154" i="1" s="1"/>
  <c r="T154" i="1" a="1"/>
  <c r="T154" i="1" s="1"/>
  <c r="Q138" i="1" a="1"/>
  <c r="Q138" i="1" s="1"/>
  <c r="T138" i="1" a="1"/>
  <c r="T138" i="1" s="1"/>
  <c r="Q654" i="1" a="1"/>
  <c r="Q654" i="1" s="1"/>
  <c r="T654" i="1" a="1"/>
  <c r="T654" i="1" s="1"/>
  <c r="Q568" i="1" a="1"/>
  <c r="Q568" i="1" s="1"/>
  <c r="T568" i="1" a="1"/>
  <c r="T568" i="1" s="1"/>
  <c r="Q150" i="1" a="1"/>
  <c r="Q150" i="1" s="1"/>
  <c r="T150" i="1" a="1"/>
  <c r="T150" i="1" s="1"/>
  <c r="Q541" i="1" a="1"/>
  <c r="Q541" i="1" s="1"/>
  <c r="T541" i="1" a="1"/>
  <c r="T541" i="1" s="1"/>
  <c r="T237" i="1" a="1"/>
  <c r="T237" i="1" s="1"/>
  <c r="Q792" i="1" a="1"/>
  <c r="Q792" i="1" s="1"/>
  <c r="T792" i="1" a="1"/>
  <c r="T792" i="1" s="1"/>
  <c r="T706" i="1" a="1"/>
  <c r="T706" i="1" s="1"/>
  <c r="Q706" i="1" a="1"/>
  <c r="Q706" i="1" s="1"/>
  <c r="T473" i="1" a="1"/>
  <c r="T473" i="1" s="1"/>
  <c r="Q522" i="1" a="1"/>
  <c r="Q522" i="1" s="1"/>
  <c r="T522" i="1" a="1"/>
  <c r="T522" i="1" s="1"/>
  <c r="Q741" i="1" a="1"/>
  <c r="Q741" i="1" s="1"/>
  <c r="T741" i="1" a="1"/>
  <c r="T741" i="1" s="1"/>
  <c r="Q784" i="1" a="1"/>
  <c r="Q784" i="1" s="1"/>
  <c r="T784" i="1" a="1"/>
  <c r="T784" i="1" s="1"/>
  <c r="T499" i="1" a="1"/>
  <c r="T499" i="1" s="1"/>
  <c r="Q749" i="1" a="1"/>
  <c r="Q749" i="1" s="1"/>
  <c r="T749" i="1" a="1"/>
  <c r="T749" i="1" s="1"/>
  <c r="T126" i="1" a="1"/>
  <c r="T126" i="1" s="1"/>
  <c r="Q126" i="1" a="1"/>
  <c r="Q126" i="1" s="1"/>
  <c r="Q510" i="1" a="1"/>
  <c r="Q510" i="1" s="1"/>
  <c r="T510" i="1" a="1"/>
  <c r="T510" i="1" s="1"/>
  <c r="Q158" i="1" a="1"/>
  <c r="Q158" i="1" s="1"/>
  <c r="T158" i="1" a="1"/>
  <c r="T158" i="1" s="1"/>
  <c r="Q629" i="1" a="1"/>
  <c r="Q629" i="1" s="1"/>
  <c r="T629" i="1" a="1"/>
  <c r="T629" i="1" s="1"/>
  <c r="Q403" i="1" a="1"/>
  <c r="Q403" i="1" s="1"/>
  <c r="T403" i="1" a="1"/>
  <c r="T403" i="1" s="1"/>
  <c r="Q15" i="1" a="1"/>
  <c r="Q15" i="1" s="1"/>
  <c r="T15" i="1" a="1"/>
  <c r="T15" i="1" s="1"/>
  <c r="Q536" i="1" a="1"/>
  <c r="Q536" i="1" s="1"/>
  <c r="T536" i="1" a="1"/>
  <c r="T536" i="1" s="1"/>
  <c r="Q96" i="1" a="1"/>
  <c r="Q96" i="1" s="1"/>
  <c r="T96" i="1" a="1"/>
  <c r="T96" i="1" s="1"/>
  <c r="Q472" i="1" a="1"/>
  <c r="Q472" i="1" s="1"/>
  <c r="T472" i="1" a="1"/>
  <c r="T472" i="1" s="1"/>
  <c r="T490" i="1" a="1"/>
  <c r="T490" i="1" s="1"/>
  <c r="Q490" i="1" a="1"/>
  <c r="Q490" i="1" s="1"/>
  <c r="T687" i="1" a="1"/>
  <c r="T687" i="1" s="1"/>
  <c r="Q687" i="1" a="1"/>
  <c r="Q687" i="1" s="1"/>
  <c r="Q729" i="1" a="1"/>
  <c r="Q729" i="1" s="1"/>
  <c r="T729" i="1" a="1"/>
  <c r="T729" i="1" s="1"/>
  <c r="T717" i="1" a="1"/>
  <c r="T717" i="1" s="1"/>
  <c r="Q717" i="1" a="1"/>
  <c r="Q717" i="1" s="1"/>
  <c r="T449" i="1" a="1"/>
  <c r="T449" i="1" s="1"/>
  <c r="Q449" i="1" a="1"/>
  <c r="Q449" i="1" s="1"/>
  <c r="Q727" i="1" a="1"/>
  <c r="Q727" i="1" s="1"/>
  <c r="T727" i="1" a="1"/>
  <c r="T727" i="1" s="1"/>
  <c r="Q598" i="1" a="1"/>
  <c r="Q598" i="1" s="1"/>
  <c r="T598" i="1" a="1"/>
  <c r="T598" i="1" s="1"/>
  <c r="Q643" i="1" a="1"/>
  <c r="Q643" i="1" s="1"/>
  <c r="T643" i="1" a="1"/>
  <c r="T643" i="1" s="1"/>
  <c r="Q531" i="1" a="1"/>
  <c r="Q531" i="1" s="1"/>
  <c r="T531" i="1" a="1"/>
  <c r="T531" i="1" s="1"/>
  <c r="Q64" i="1" a="1"/>
  <c r="Q64" i="1" s="1"/>
  <c r="T64" i="1" a="1"/>
  <c r="T64" i="1" s="1"/>
  <c r="Q399" i="1" a="1"/>
  <c r="Q399" i="1" s="1"/>
  <c r="T399" i="1" a="1"/>
  <c r="T399" i="1" s="1"/>
  <c r="T474" i="1" a="1"/>
  <c r="T474" i="1" s="1"/>
  <c r="Q564" i="1" a="1"/>
  <c r="Q564" i="1" s="1"/>
  <c r="T564" i="1" a="1"/>
  <c r="T564" i="1" s="1"/>
  <c r="Q718" i="1" a="1"/>
  <c r="Q718" i="1" s="1"/>
  <c r="T718" i="1" a="1"/>
  <c r="T718" i="1" s="1"/>
  <c r="Q424" i="1" a="1"/>
  <c r="Q424" i="1" s="1"/>
  <c r="T424" i="1" a="1"/>
  <c r="T424" i="1" s="1"/>
  <c r="Q24" i="1" a="1"/>
  <c r="Q24" i="1" s="1"/>
  <c r="T24" i="1" a="1"/>
  <c r="T24" i="1" s="1"/>
  <c r="Q506" i="1" a="1"/>
  <c r="Q506" i="1" s="1"/>
  <c r="T506" i="1" a="1"/>
  <c r="T506" i="1" s="1"/>
  <c r="Q592" i="1" a="1"/>
  <c r="Q592" i="1" s="1"/>
  <c r="T592" i="1" a="1"/>
  <c r="T592" i="1" s="1"/>
  <c r="T795" i="1" a="1"/>
  <c r="T795" i="1" s="1"/>
  <c r="T187" i="1" a="1"/>
  <c r="T187" i="1" s="1"/>
  <c r="Q464" i="1" a="1"/>
  <c r="Q464" i="1" s="1"/>
  <c r="T464" i="1" a="1"/>
  <c r="T464" i="1" s="1"/>
  <c r="T251" i="1" a="1"/>
  <c r="T251" i="1" s="1"/>
  <c r="Q251" i="1" a="1"/>
  <c r="Q251" i="1" s="1"/>
  <c r="Q115" i="1" a="1"/>
  <c r="Q115" i="1" s="1"/>
  <c r="T115" i="1" a="1"/>
  <c r="T115" i="1" s="1"/>
  <c r="T559" i="1" a="1"/>
  <c r="T559" i="1" s="1"/>
  <c r="T675" i="1" a="1"/>
  <c r="T675" i="1" s="1"/>
  <c r="Q675" i="1" a="1"/>
  <c r="Q675" i="1" s="1"/>
  <c r="Q414" i="1" a="1"/>
  <c r="Q414" i="1" s="1"/>
  <c r="T414" i="1" a="1"/>
  <c r="T414" i="1" s="1"/>
  <c r="T679" i="1" a="1"/>
  <c r="T679" i="1" s="1"/>
  <c r="Q679" i="1" a="1"/>
  <c r="Q679" i="1" s="1"/>
  <c r="Q166" i="1" a="1"/>
  <c r="Q166" i="1" s="1"/>
  <c r="T166" i="1" a="1"/>
  <c r="T166" i="1" s="1"/>
  <c r="T562" i="1" a="1"/>
  <c r="T562" i="1" s="1"/>
  <c r="Q562" i="1" a="1"/>
  <c r="Q562" i="1" s="1"/>
  <c r="Q419" i="1" a="1"/>
  <c r="Q419" i="1" s="1"/>
  <c r="T419" i="1" a="1"/>
  <c r="T419" i="1" s="1"/>
  <c r="Q296" i="1" a="1"/>
  <c r="Q296" i="1" s="1"/>
  <c r="T296" i="1" a="1"/>
  <c r="T296" i="1" s="1"/>
  <c r="Q40" i="1" a="1"/>
  <c r="Q40" i="1" s="1"/>
  <c r="T40" i="1" a="1"/>
  <c r="T40" i="1" s="1"/>
  <c r="Q231" i="1" a="1"/>
  <c r="Q231" i="1" s="1"/>
  <c r="T231" i="1" a="1"/>
  <c r="T231" i="1" s="1"/>
  <c r="T321" i="1" a="1"/>
  <c r="T321" i="1" s="1"/>
  <c r="Q321" i="1" a="1"/>
  <c r="Q321" i="1" s="1"/>
  <c r="T21" i="1" a="1"/>
  <c r="T21" i="1" s="1"/>
  <c r="T370" i="1" a="1"/>
  <c r="T370" i="1" s="1"/>
  <c r="T768" i="1" a="1"/>
  <c r="T768" i="1" s="1"/>
  <c r="Q366" i="1" a="1"/>
  <c r="Q366" i="1" s="1"/>
  <c r="T366" i="1" a="1"/>
  <c r="T366" i="1" s="1"/>
  <c r="Q546" i="1" a="1"/>
  <c r="Q546" i="1" s="1"/>
  <c r="T546" i="1" a="1"/>
  <c r="T546" i="1" s="1"/>
  <c r="T172" i="1" a="1"/>
  <c r="T172" i="1" s="1"/>
  <c r="Q172" i="1" a="1"/>
  <c r="Q172" i="1" s="1"/>
  <c r="T201" i="1" a="1"/>
  <c r="T201" i="1" s="1"/>
  <c r="Q201" i="1" a="1"/>
  <c r="Q201" i="1" s="1"/>
  <c r="Q29" i="1" a="1"/>
  <c r="Q29" i="1" s="1"/>
  <c r="T29" i="1" a="1"/>
  <c r="T29" i="1" s="1"/>
  <c r="T565" i="1" a="1"/>
  <c r="T565" i="1" s="1"/>
  <c r="Q565" i="1" a="1"/>
  <c r="Q565" i="1" s="1"/>
  <c r="Q616" i="1" a="1"/>
  <c r="Q616" i="1" s="1"/>
  <c r="T616" i="1" a="1"/>
  <c r="T616" i="1" s="1"/>
  <c r="Q352" i="1" a="1"/>
  <c r="Q352" i="1" s="1"/>
  <c r="T352" i="1" a="1"/>
  <c r="T352" i="1" s="1"/>
  <c r="Q569" i="1" a="1"/>
  <c r="Q569" i="1" s="1"/>
  <c r="T569" i="1" a="1"/>
  <c r="T569" i="1" s="1"/>
  <c r="T324" i="1" a="1"/>
  <c r="T324" i="1" s="1"/>
  <c r="Q324" i="1" a="1"/>
  <c r="Q324" i="1" s="1"/>
  <c r="T130" i="1" a="1"/>
  <c r="T130" i="1" s="1"/>
  <c r="Q130" i="1" a="1"/>
  <c r="Q130" i="1" s="1"/>
  <c r="Q782" i="1" a="1"/>
  <c r="Q782" i="1" s="1"/>
  <c r="T782" i="1" a="1"/>
  <c r="T782" i="1" s="1"/>
  <c r="Q220" i="1" a="1"/>
  <c r="Q220" i="1" s="1"/>
  <c r="T220" i="1" a="1"/>
  <c r="T220" i="1" s="1"/>
  <c r="Q722" i="1" a="1"/>
  <c r="Q722" i="1" s="1"/>
  <c r="T722" i="1" a="1"/>
  <c r="T722" i="1" s="1"/>
  <c r="Q223" i="1" a="1"/>
  <c r="Q223" i="1" s="1"/>
  <c r="T223" i="1" a="1"/>
  <c r="T223" i="1" s="1"/>
  <c r="Q496" i="1" a="1"/>
  <c r="Q496" i="1" s="1"/>
  <c r="T496" i="1" a="1"/>
  <c r="T496" i="1" s="1"/>
  <c r="Q206" i="1" a="1"/>
  <c r="Q206" i="1" s="1"/>
  <c r="T206" i="1" a="1"/>
  <c r="T206" i="1" s="1"/>
  <c r="Q676" i="1" a="1"/>
  <c r="Q676" i="1" s="1"/>
  <c r="T676" i="1" a="1"/>
  <c r="T676" i="1" s="1"/>
  <c r="T641" i="1" a="1"/>
  <c r="T641" i="1" s="1"/>
  <c r="Q641" i="1" a="1"/>
  <c r="Q641" i="1" s="1"/>
  <c r="T397" i="1" a="1"/>
  <c r="T397" i="1" s="1"/>
  <c r="Q397" i="1" a="1"/>
  <c r="Q397" i="1" s="1"/>
  <c r="T576" i="1" a="1"/>
  <c r="T576" i="1" s="1"/>
  <c r="Q576" i="1" a="1"/>
  <c r="Q576" i="1" s="1"/>
  <c r="Q712" i="1" a="1"/>
  <c r="Q712" i="1" s="1"/>
  <c r="T712" i="1" a="1"/>
  <c r="T712" i="1" s="1"/>
  <c r="T345" i="1" a="1"/>
  <c r="T345" i="1" s="1"/>
  <c r="Q345" i="1" a="1"/>
  <c r="Q345" i="1" s="1"/>
  <c r="Q56" i="1" a="1"/>
  <c r="Q56" i="1" s="1"/>
  <c r="T56" i="1" a="1"/>
  <c r="T56" i="1" s="1"/>
  <c r="T797" i="1" a="1"/>
  <c r="T797" i="1" s="1"/>
  <c r="Q797" i="1" a="1"/>
  <c r="Q797" i="1" s="1"/>
  <c r="B6" i="4" l="1"/>
  <c r="N5" i="8" a="1"/>
  <c r="N5" i="8" s="1"/>
  <c r="M5" i="8" a="1"/>
  <c r="M5" i="8" s="1"/>
  <c r="L5" i="8" a="1"/>
  <c r="L5" i="8" s="1"/>
  <c r="K5" i="8" a="1"/>
  <c r="K5" i="8" s="1"/>
  <c r="G2" i="8" a="1"/>
  <c r="G2" i="8" s="1"/>
  <c r="H5" i="8"/>
  <c r="I5" i="8"/>
  <c r="E4" i="8"/>
  <c r="F4" i="8"/>
  <c r="D5" i="8"/>
  <c r="G5" i="8" a="1"/>
  <c r="G5" i="8" s="1"/>
  <c r="A6" i="8"/>
  <c r="B6" i="8" s="1" a="1"/>
  <c r="B6" i="8" s="1"/>
  <c r="C5" i="8"/>
  <c r="I6" i="8" l="1"/>
  <c r="N6" i="8" a="1"/>
  <c r="N6" i="8" s="1"/>
  <c r="L6" i="8" a="1"/>
  <c r="L6" i="8" s="1"/>
  <c r="M6" i="8" a="1"/>
  <c r="M6" i="8" s="1"/>
  <c r="K6" i="8" a="1"/>
  <c r="K6" i="8" s="1"/>
  <c r="D6" i="8"/>
  <c r="H6" i="8"/>
  <c r="E5" i="8"/>
  <c r="F5" i="8"/>
  <c r="A7" i="8"/>
  <c r="B7" i="8" s="1" a="1"/>
  <c r="B7" i="8" s="1"/>
  <c r="C6" i="8"/>
  <c r="G6" i="8" a="1"/>
  <c r="G6" i="8" s="1"/>
  <c r="I7" i="8" l="1"/>
  <c r="N7" i="8" a="1"/>
  <c r="N7" i="8" s="1"/>
  <c r="M7" i="8" a="1"/>
  <c r="M7" i="8" s="1"/>
  <c r="L7" i="8" a="1"/>
  <c r="L7" i="8" s="1"/>
  <c r="K7" i="8" a="1"/>
  <c r="K7" i="8" s="1"/>
  <c r="D7" i="8"/>
  <c r="H7" i="8"/>
  <c r="E6" i="8"/>
  <c r="F6" i="8"/>
  <c r="A8" i="8"/>
  <c r="B8" i="8" s="1" a="1"/>
  <c r="B8" i="8" s="1"/>
  <c r="C7" i="8"/>
  <c r="G7" i="8" a="1"/>
  <c r="G7" i="8" s="1"/>
  <c r="I8" i="8" l="1"/>
  <c r="N8" i="8" a="1"/>
  <c r="N8" i="8" s="1"/>
  <c r="M8" i="8" a="1"/>
  <c r="M8" i="8" s="1"/>
  <c r="L8" i="8" a="1"/>
  <c r="L8" i="8" s="1"/>
  <c r="K8" i="8" a="1"/>
  <c r="K8" i="8" s="1"/>
  <c r="D8" i="8"/>
  <c r="H8" i="8"/>
  <c r="E7" i="8"/>
  <c r="F7" i="8"/>
  <c r="A9" i="8"/>
  <c r="B9" i="8" s="1" a="1"/>
  <c r="B9" i="8" s="1"/>
  <c r="C8" i="8"/>
  <c r="G8" i="8" a="1"/>
  <c r="G8" i="8" s="1"/>
  <c r="I9" i="8" l="1"/>
  <c r="N9" i="8" a="1"/>
  <c r="N9" i="8" s="1"/>
  <c r="M9" i="8" a="1"/>
  <c r="M9" i="8" s="1"/>
  <c r="L9" i="8" a="1"/>
  <c r="L9" i="8" s="1"/>
  <c r="K9" i="8" a="1"/>
  <c r="K9" i="8" s="1"/>
  <c r="D9" i="8"/>
  <c r="H9" i="8"/>
  <c r="E8" i="8"/>
  <c r="F8" i="8"/>
  <c r="A10" i="8"/>
  <c r="B10" i="8" s="1" a="1"/>
  <c r="B10" i="8" s="1"/>
  <c r="C9" i="8"/>
  <c r="G9" i="8" a="1"/>
  <c r="G9" i="8" s="1"/>
  <c r="I10" i="8" l="1"/>
  <c r="N10" i="8" a="1"/>
  <c r="N10" i="8" s="1"/>
  <c r="M10" i="8" a="1"/>
  <c r="M10" i="8" s="1"/>
  <c r="L10" i="8" a="1"/>
  <c r="L10" i="8" s="1"/>
  <c r="K10" i="8" a="1"/>
  <c r="K10" i="8" s="1"/>
  <c r="D10" i="8"/>
  <c r="H10" i="8"/>
  <c r="E9" i="8"/>
  <c r="F9" i="8"/>
  <c r="A11" i="8"/>
  <c r="B11" i="8" s="1" a="1"/>
  <c r="B11" i="8" s="1"/>
  <c r="C10" i="8"/>
  <c r="G10" i="8" a="1"/>
  <c r="G10" i="8" s="1"/>
  <c r="I11" i="8" l="1"/>
  <c r="N11" i="8" a="1"/>
  <c r="N11" i="8" s="1"/>
  <c r="M11" i="8" a="1"/>
  <c r="M11" i="8" s="1"/>
  <c r="L11" i="8" a="1"/>
  <c r="L11" i="8" s="1"/>
  <c r="K11" i="8" a="1"/>
  <c r="K11" i="8" s="1"/>
  <c r="D11" i="8"/>
  <c r="H11" i="8"/>
  <c r="E10" i="8"/>
  <c r="F10" i="8"/>
  <c r="A12" i="8"/>
  <c r="B12" i="8" s="1" a="1"/>
  <c r="B12" i="8" s="1"/>
  <c r="C11" i="8"/>
  <c r="G11" i="8" a="1"/>
  <c r="G11" i="8" s="1"/>
  <c r="I12" i="8" l="1"/>
  <c r="N12" i="8" a="1"/>
  <c r="N12" i="8" s="1"/>
  <c r="M12" i="8" a="1"/>
  <c r="M12" i="8" s="1"/>
  <c r="L12" i="8" a="1"/>
  <c r="L12" i="8" s="1"/>
  <c r="K12" i="8" a="1"/>
  <c r="K12" i="8" s="1"/>
  <c r="D12" i="8"/>
  <c r="H12" i="8"/>
  <c r="E11" i="8"/>
  <c r="F11" i="8"/>
  <c r="A13" i="8"/>
  <c r="B13" i="8" s="1" a="1"/>
  <c r="B13" i="8" s="1"/>
  <c r="C12" i="8"/>
  <c r="G12" i="8" a="1"/>
  <c r="G12" i="8" s="1"/>
  <c r="I13" i="8" l="1"/>
  <c r="N13" i="8" a="1"/>
  <c r="N13" i="8" s="1"/>
  <c r="M13" i="8" a="1"/>
  <c r="M13" i="8" s="1"/>
  <c r="L13" i="8" a="1"/>
  <c r="L13" i="8" s="1"/>
  <c r="K13" i="8" a="1"/>
  <c r="K13" i="8" s="1"/>
  <c r="D13" i="8"/>
  <c r="H13" i="8"/>
  <c r="E12" i="8"/>
  <c r="F12" i="8"/>
  <c r="A14" i="8"/>
  <c r="B14" i="8" s="1" a="1"/>
  <c r="B14" i="8" s="1"/>
  <c r="C13" i="8"/>
  <c r="G13" i="8" a="1"/>
  <c r="G13" i="8" s="1"/>
  <c r="I14" i="8" l="1"/>
  <c r="N14" i="8" a="1"/>
  <c r="N14" i="8" s="1"/>
  <c r="M14" i="8" a="1"/>
  <c r="M14" i="8" s="1"/>
  <c r="L14" i="8" a="1"/>
  <c r="L14" i="8" s="1"/>
  <c r="K14" i="8" a="1"/>
  <c r="K14" i="8" s="1"/>
  <c r="D14" i="8"/>
  <c r="H14" i="8"/>
  <c r="E13" i="8"/>
  <c r="F13" i="8"/>
  <c r="A15" i="8"/>
  <c r="B15" i="8" s="1" a="1"/>
  <c r="B15" i="8" s="1"/>
  <c r="C14" i="8"/>
  <c r="G14" i="8" a="1"/>
  <c r="G14" i="8" s="1"/>
  <c r="I15" i="8" l="1"/>
  <c r="N15" i="8" a="1"/>
  <c r="N15" i="8" s="1"/>
  <c r="M15" i="8" a="1"/>
  <c r="M15" i="8" s="1"/>
  <c r="L15" i="8" a="1"/>
  <c r="L15" i="8" s="1"/>
  <c r="K15" i="8" a="1"/>
  <c r="K15" i="8" s="1"/>
  <c r="D15" i="8"/>
  <c r="H15" i="8"/>
  <c r="E14" i="8"/>
  <c r="F14" i="8"/>
  <c r="A16" i="8"/>
  <c r="B16" i="8" s="1" a="1"/>
  <c r="B16" i="8" s="1"/>
  <c r="C15" i="8"/>
  <c r="G15" i="8" a="1"/>
  <c r="G15" i="8" s="1"/>
  <c r="I16" i="8" l="1"/>
  <c r="N16" i="8" a="1"/>
  <c r="N16" i="8" s="1"/>
  <c r="M16" i="8" a="1"/>
  <c r="M16" i="8" s="1"/>
  <c r="L16" i="8" a="1"/>
  <c r="L16" i="8" s="1"/>
  <c r="K16" i="8" a="1"/>
  <c r="K16" i="8" s="1"/>
  <c r="D16" i="8"/>
  <c r="H16" i="8"/>
  <c r="E15" i="8"/>
  <c r="F15" i="8"/>
  <c r="A17" i="8"/>
  <c r="B17" i="8" s="1" a="1"/>
  <c r="B17" i="8" s="1"/>
  <c r="C16" i="8"/>
  <c r="G16" i="8" a="1"/>
  <c r="G16" i="8" s="1"/>
  <c r="I17" i="8" l="1"/>
  <c r="N17" i="8" a="1"/>
  <c r="N17" i="8" s="1"/>
  <c r="M17" i="8" a="1"/>
  <c r="M17" i="8" s="1"/>
  <c r="L17" i="8" a="1"/>
  <c r="L17" i="8" s="1"/>
  <c r="K17" i="8" a="1"/>
  <c r="K17" i="8" s="1"/>
  <c r="D17" i="8"/>
  <c r="H17" i="8"/>
  <c r="E16" i="8"/>
  <c r="F16" i="8"/>
  <c r="A18" i="8"/>
  <c r="B18" i="8" s="1" a="1"/>
  <c r="B18" i="8" s="1"/>
  <c r="C17" i="8"/>
  <c r="G17" i="8" a="1"/>
  <c r="G17" i="8" s="1"/>
  <c r="I18" i="8" l="1"/>
  <c r="N18" i="8" a="1"/>
  <c r="N18" i="8" s="1"/>
  <c r="L18" i="8" a="1"/>
  <c r="L18" i="8" s="1"/>
  <c r="K18" i="8" a="1"/>
  <c r="K18" i="8" s="1"/>
  <c r="M18" i="8" a="1"/>
  <c r="M18" i="8" s="1"/>
  <c r="D18" i="8"/>
  <c r="H18" i="8"/>
  <c r="E17" i="8"/>
  <c r="F17" i="8"/>
  <c r="A19" i="8"/>
  <c r="B19" i="8" s="1" a="1"/>
  <c r="B19" i="8" s="1"/>
  <c r="C18" i="8"/>
  <c r="G18" i="8" a="1"/>
  <c r="G18" i="8" s="1"/>
  <c r="I19" i="8" l="1"/>
  <c r="N19" i="8" a="1"/>
  <c r="N19" i="8" s="1"/>
  <c r="M19" i="8" a="1"/>
  <c r="M19" i="8" s="1"/>
  <c r="L19" i="8" a="1"/>
  <c r="L19" i="8" s="1"/>
  <c r="K19" i="8" a="1"/>
  <c r="K19" i="8" s="1"/>
  <c r="D19" i="8"/>
  <c r="H19" i="8"/>
  <c r="E18" i="8"/>
  <c r="F18" i="8"/>
  <c r="A20" i="8"/>
  <c r="B20" i="8" s="1" a="1"/>
  <c r="B20" i="8" s="1"/>
  <c r="C19" i="8"/>
  <c r="G19" i="8" a="1"/>
  <c r="G19" i="8" s="1"/>
  <c r="I20" i="8" l="1"/>
  <c r="N20" i="8" a="1"/>
  <c r="N20" i="8" s="1"/>
  <c r="M20" i="8" a="1"/>
  <c r="M20" i="8" s="1"/>
  <c r="L20" i="8" a="1"/>
  <c r="L20" i="8" s="1"/>
  <c r="K20" i="8" a="1"/>
  <c r="K20" i="8" s="1"/>
  <c r="D20" i="8"/>
  <c r="H20" i="8"/>
  <c r="E19" i="8"/>
  <c r="F19" i="8"/>
  <c r="A21" i="8"/>
  <c r="B21" i="8" s="1" a="1"/>
  <c r="B21" i="8" s="1"/>
  <c r="C20" i="8"/>
  <c r="G20" i="8" a="1"/>
  <c r="G20" i="8" s="1"/>
  <c r="I21" i="8" l="1"/>
  <c r="N21" i="8" a="1"/>
  <c r="N21" i="8" s="1"/>
  <c r="L21" i="8" a="1"/>
  <c r="L21" i="8" s="1"/>
  <c r="M21" i="8" a="1"/>
  <c r="M21" i="8" s="1"/>
  <c r="K21" i="8" a="1"/>
  <c r="K21" i="8" s="1"/>
  <c r="D21" i="8"/>
  <c r="H21" i="8"/>
  <c r="E20" i="8"/>
  <c r="F20" i="8"/>
  <c r="A22" i="8"/>
  <c r="B22" i="8" s="1" a="1"/>
  <c r="B22" i="8" s="1"/>
  <c r="C21" i="8"/>
  <c r="G21" i="8" a="1"/>
  <c r="G21" i="8" s="1"/>
  <c r="I22" i="8" l="1"/>
  <c r="N22" i="8" a="1"/>
  <c r="N22" i="8" s="1"/>
  <c r="M22" i="8" a="1"/>
  <c r="M22" i="8" s="1"/>
  <c r="L22" i="8" a="1"/>
  <c r="L22" i="8" s="1"/>
  <c r="K22" i="8" a="1"/>
  <c r="K22" i="8" s="1"/>
  <c r="D22" i="8"/>
  <c r="H22" i="8"/>
  <c r="E21" i="8"/>
  <c r="F21" i="8"/>
  <c r="A23" i="8"/>
  <c r="B23" i="8" s="1" a="1"/>
  <c r="B23" i="8" s="1"/>
  <c r="C22" i="8"/>
  <c r="G22" i="8" a="1"/>
  <c r="G22" i="8" s="1"/>
  <c r="I23" i="8" l="1"/>
  <c r="N23" i="8" a="1"/>
  <c r="N23" i="8" s="1"/>
  <c r="M23" i="8" a="1"/>
  <c r="M23" i="8" s="1"/>
  <c r="L23" i="8" a="1"/>
  <c r="L23" i="8" s="1"/>
  <c r="K23" i="8" a="1"/>
  <c r="K23" i="8" s="1"/>
  <c r="D23" i="8"/>
  <c r="H23" i="8"/>
  <c r="E22" i="8"/>
  <c r="F22" i="8"/>
  <c r="A24" i="8"/>
  <c r="B24" i="8" s="1" a="1"/>
  <c r="B24" i="8" s="1"/>
  <c r="C23" i="8"/>
  <c r="G23" i="8" a="1"/>
  <c r="G23" i="8" s="1"/>
  <c r="I24" i="8" l="1"/>
  <c r="N24" i="8" a="1"/>
  <c r="N24" i="8" s="1"/>
  <c r="M24" i="8" a="1"/>
  <c r="M24" i="8" s="1"/>
  <c r="L24" i="8" a="1"/>
  <c r="L24" i="8" s="1"/>
  <c r="K24" i="8" a="1"/>
  <c r="K24" i="8" s="1"/>
  <c r="D24" i="8"/>
  <c r="H24" i="8"/>
  <c r="E23" i="8"/>
  <c r="F23" i="8"/>
  <c r="A25" i="8"/>
  <c r="B25" i="8" s="1" a="1"/>
  <c r="B25" i="8" s="1"/>
  <c r="C24" i="8"/>
  <c r="G24" i="8" a="1"/>
  <c r="G24" i="8" s="1"/>
  <c r="I25" i="8" l="1"/>
  <c r="N25" i="8" a="1"/>
  <c r="N25" i="8" s="1"/>
  <c r="M25" i="8" a="1"/>
  <c r="M25" i="8" s="1"/>
  <c r="L25" i="8" a="1"/>
  <c r="L25" i="8" s="1"/>
  <c r="K25" i="8" a="1"/>
  <c r="K25" i="8" s="1"/>
  <c r="D25" i="8"/>
  <c r="H25" i="8"/>
  <c r="E24" i="8"/>
  <c r="F24" i="8"/>
  <c r="A26" i="8"/>
  <c r="B26" i="8" s="1" a="1"/>
  <c r="B26" i="8" s="1"/>
  <c r="C25" i="8"/>
  <c r="G25" i="8" a="1"/>
  <c r="G25" i="8" s="1"/>
  <c r="I26" i="8" l="1"/>
  <c r="N26" i="8" a="1"/>
  <c r="N26" i="8" s="1"/>
  <c r="M26" i="8" a="1"/>
  <c r="M26" i="8" s="1"/>
  <c r="L26" i="8" a="1"/>
  <c r="L26" i="8" s="1"/>
  <c r="K26" i="8" a="1"/>
  <c r="K26" i="8" s="1"/>
  <c r="D26" i="8"/>
  <c r="H26" i="8"/>
  <c r="E25" i="8"/>
  <c r="F25" i="8"/>
  <c r="A27" i="8"/>
  <c r="B27" i="8" s="1" a="1"/>
  <c r="B27" i="8" s="1"/>
  <c r="C26" i="8"/>
  <c r="G26" i="8" a="1"/>
  <c r="G26" i="8" s="1"/>
  <c r="I27" i="8" l="1"/>
  <c r="N27" i="8" a="1"/>
  <c r="N27" i="8" s="1"/>
  <c r="M27" i="8" a="1"/>
  <c r="M27" i="8" s="1"/>
  <c r="L27" i="8" a="1"/>
  <c r="L27" i="8" s="1"/>
  <c r="K27" i="8" a="1"/>
  <c r="K27" i="8" s="1"/>
  <c r="D27" i="8"/>
  <c r="H27" i="8"/>
  <c r="E26" i="8"/>
  <c r="F26" i="8"/>
  <c r="A28" i="8"/>
  <c r="B28" i="8" s="1" a="1"/>
  <c r="B28" i="8" s="1"/>
  <c r="C27" i="8"/>
  <c r="G27" i="8" a="1"/>
  <c r="G27" i="8" s="1"/>
  <c r="I28" i="8" l="1"/>
  <c r="N28" i="8" a="1"/>
  <c r="N28" i="8" s="1"/>
  <c r="M28" i="8" a="1"/>
  <c r="M28" i="8" s="1"/>
  <c r="L28" i="8" a="1"/>
  <c r="L28" i="8" s="1"/>
  <c r="K28" i="8" a="1"/>
  <c r="K28" i="8" s="1"/>
  <c r="D28" i="8"/>
  <c r="H28" i="8"/>
  <c r="E27" i="8"/>
  <c r="F27" i="8"/>
  <c r="A29" i="8"/>
  <c r="B29" i="8" s="1" a="1"/>
  <c r="B29" i="8" s="1"/>
  <c r="C28" i="8"/>
  <c r="G28" i="8" a="1"/>
  <c r="G28" i="8" s="1"/>
  <c r="I29" i="8" l="1"/>
  <c r="N29" i="8" a="1"/>
  <c r="N29" i="8" s="1"/>
  <c r="M29" i="8" a="1"/>
  <c r="M29" i="8" s="1"/>
  <c r="L29" i="8" a="1"/>
  <c r="L29" i="8" s="1"/>
  <c r="K29" i="8" a="1"/>
  <c r="K29" i="8" s="1"/>
  <c r="D29" i="8"/>
  <c r="H29" i="8"/>
  <c r="E28" i="8"/>
  <c r="F28" i="8"/>
  <c r="A30" i="8"/>
  <c r="B30" i="8" s="1" a="1"/>
  <c r="B30" i="8" s="1"/>
  <c r="C29" i="8"/>
  <c r="G29" i="8" a="1"/>
  <c r="G29" i="8" s="1"/>
  <c r="I30" i="8" l="1"/>
  <c r="M30" i="8" a="1"/>
  <c r="M30" i="8" s="1"/>
  <c r="N30" i="8" a="1"/>
  <c r="N30" i="8" s="1"/>
  <c r="L30" i="8" a="1"/>
  <c r="L30" i="8" s="1"/>
  <c r="K30" i="8" a="1"/>
  <c r="K30" i="8" s="1"/>
  <c r="D30" i="8"/>
  <c r="H30" i="8"/>
  <c r="E29" i="8"/>
  <c r="F29" i="8"/>
  <c r="A31" i="8"/>
  <c r="B31" i="8" s="1" a="1"/>
  <c r="B31" i="8" s="1"/>
  <c r="C30" i="8"/>
  <c r="G30" i="8" a="1"/>
  <c r="G30" i="8" s="1"/>
  <c r="I31" i="8" l="1"/>
  <c r="N31" i="8" a="1"/>
  <c r="N31" i="8" s="1"/>
  <c r="M31" i="8" a="1"/>
  <c r="M31" i="8" s="1"/>
  <c r="L31" i="8" a="1"/>
  <c r="L31" i="8" s="1"/>
  <c r="K31" i="8" a="1"/>
  <c r="K31" i="8" s="1"/>
  <c r="D31" i="8"/>
  <c r="H31" i="8"/>
  <c r="E30" i="8"/>
  <c r="F30" i="8"/>
  <c r="A32" i="8"/>
  <c r="B32" i="8" s="1" a="1"/>
  <c r="B32" i="8" s="1"/>
  <c r="C31" i="8"/>
  <c r="G31" i="8" a="1"/>
  <c r="G31" i="8" s="1"/>
  <c r="I32" i="8" l="1"/>
  <c r="M32" i="8" a="1"/>
  <c r="M32" i="8" s="1"/>
  <c r="N32" i="8" a="1"/>
  <c r="N32" i="8" s="1"/>
  <c r="L32" i="8" a="1"/>
  <c r="L32" i="8" s="1"/>
  <c r="K32" i="8" a="1"/>
  <c r="K32" i="8" s="1"/>
  <c r="D32" i="8"/>
  <c r="H32" i="8"/>
  <c r="E31" i="8"/>
  <c r="F31" i="8"/>
  <c r="A33" i="8"/>
  <c r="B33" i="8" s="1" a="1"/>
  <c r="B33" i="8" s="1"/>
  <c r="C32" i="8"/>
  <c r="G32" i="8" a="1"/>
  <c r="G32" i="8" s="1"/>
  <c r="I33" i="8" l="1"/>
  <c r="N33" i="8" a="1"/>
  <c r="N33" i="8" s="1"/>
  <c r="M33" i="8" a="1"/>
  <c r="M33" i="8" s="1"/>
  <c r="L33" i="8" a="1"/>
  <c r="L33" i="8" s="1"/>
  <c r="K33" i="8" a="1"/>
  <c r="K33" i="8" s="1"/>
  <c r="D33" i="8"/>
  <c r="H33" i="8"/>
  <c r="E32" i="8"/>
  <c r="F32" i="8"/>
  <c r="A34" i="8"/>
  <c r="B34" i="8" s="1" a="1"/>
  <c r="B34" i="8" s="1"/>
  <c r="C33" i="8"/>
  <c r="I34" i="8" l="1"/>
  <c r="N34" i="8" a="1"/>
  <c r="N34" i="8" s="1"/>
  <c r="M34" i="8" a="1"/>
  <c r="M34" i="8" s="1"/>
  <c r="L34" i="8" a="1"/>
  <c r="L34" i="8" s="1"/>
  <c r="K34" i="8" a="1"/>
  <c r="K34" i="8" s="1"/>
  <c r="G33" i="8" a="1"/>
  <c r="G33" i="8" s="1"/>
  <c r="D34" i="8"/>
  <c r="H34" i="8"/>
  <c r="E33" i="8"/>
  <c r="F33" i="8"/>
  <c r="A35" i="8"/>
  <c r="B35" i="8" s="1" a="1"/>
  <c r="B35" i="8" s="1"/>
  <c r="C34" i="8"/>
  <c r="G34" i="8" a="1"/>
  <c r="G34" i="8" s="1"/>
  <c r="I35" i="8" l="1"/>
  <c r="N35" i="8" a="1"/>
  <c r="N35" i="8" s="1"/>
  <c r="M35" i="8" a="1"/>
  <c r="M35" i="8" s="1"/>
  <c r="L35" i="8" a="1"/>
  <c r="L35" i="8" s="1"/>
  <c r="K35" i="8" a="1"/>
  <c r="K35" i="8" s="1"/>
  <c r="D35" i="8"/>
  <c r="H35" i="8"/>
  <c r="E34" i="8"/>
  <c r="F34" i="8"/>
  <c r="A36" i="8"/>
  <c r="B36" i="8" s="1" a="1"/>
  <c r="B36" i="8" s="1"/>
  <c r="C35" i="8"/>
  <c r="G35" i="8" a="1"/>
  <c r="G35" i="8" s="1"/>
  <c r="I36" i="8" l="1"/>
  <c r="N36" i="8" a="1"/>
  <c r="N36" i="8" s="1"/>
  <c r="M36" i="8" a="1"/>
  <c r="M36" i="8" s="1"/>
  <c r="L36" i="8" a="1"/>
  <c r="L36" i="8" s="1"/>
  <c r="K36" i="8" a="1"/>
  <c r="K36" i="8" s="1"/>
  <c r="D36" i="8"/>
  <c r="H36" i="8"/>
  <c r="E35" i="8"/>
  <c r="F35" i="8"/>
  <c r="A37" i="8"/>
  <c r="B37" i="8" s="1" a="1"/>
  <c r="B37" i="8" s="1"/>
  <c r="C36" i="8"/>
  <c r="G36" i="8" a="1"/>
  <c r="G36" i="8" s="1"/>
  <c r="I37" i="8" l="1"/>
  <c r="N37" i="8" a="1"/>
  <c r="N37" i="8" s="1"/>
  <c r="M37" i="8" a="1"/>
  <c r="M37" i="8" s="1"/>
  <c r="L37" i="8" a="1"/>
  <c r="L37" i="8" s="1"/>
  <c r="K37" i="8" a="1"/>
  <c r="K37" i="8" s="1"/>
  <c r="D37" i="8"/>
  <c r="H37" i="8"/>
  <c r="E36" i="8"/>
  <c r="F36" i="8"/>
  <c r="A38" i="8"/>
  <c r="B38" i="8" s="1" a="1"/>
  <c r="B38" i="8" s="1"/>
  <c r="C37" i="8"/>
  <c r="G37" i="8" a="1"/>
  <c r="G37" i="8" s="1"/>
  <c r="I38" i="8" l="1"/>
  <c r="N38" i="8" a="1"/>
  <c r="N38" i="8" s="1"/>
  <c r="M38" i="8" a="1"/>
  <c r="M38" i="8" s="1"/>
  <c r="L38" i="8" a="1"/>
  <c r="L38" i="8" s="1"/>
  <c r="K38" i="8" a="1"/>
  <c r="K38" i="8" s="1"/>
  <c r="D38" i="8"/>
  <c r="H38" i="8"/>
  <c r="E37" i="8"/>
  <c r="F37" i="8"/>
  <c r="A39" i="8"/>
  <c r="B39" i="8" s="1" a="1"/>
  <c r="B39" i="8" s="1"/>
  <c r="C38" i="8"/>
  <c r="G38" i="8" a="1"/>
  <c r="G38" i="8" s="1"/>
  <c r="I39" i="8" l="1"/>
  <c r="N39" i="8" a="1"/>
  <c r="N39" i="8" s="1"/>
  <c r="M39" i="8" a="1"/>
  <c r="M39" i="8" s="1"/>
  <c r="L39" i="8" a="1"/>
  <c r="L39" i="8" s="1"/>
  <c r="K39" i="8" a="1"/>
  <c r="K39" i="8" s="1"/>
  <c r="D39" i="8"/>
  <c r="H39" i="8"/>
  <c r="E38" i="8"/>
  <c r="F38" i="8"/>
  <c r="A40" i="8"/>
  <c r="B40" i="8" s="1" a="1"/>
  <c r="B40" i="8" s="1"/>
  <c r="C39" i="8"/>
  <c r="G39" i="8" a="1"/>
  <c r="G39" i="8" s="1"/>
  <c r="I40" i="8" l="1"/>
  <c r="N40" i="8" a="1"/>
  <c r="N40" i="8" s="1"/>
  <c r="M40" i="8" a="1"/>
  <c r="M40" i="8" s="1"/>
  <c r="L40" i="8" a="1"/>
  <c r="L40" i="8" s="1"/>
  <c r="K40" i="8" a="1"/>
  <c r="K40" i="8" s="1"/>
  <c r="D40" i="8"/>
  <c r="H40" i="8"/>
  <c r="E39" i="8"/>
  <c r="F39" i="8"/>
  <c r="A41" i="8"/>
  <c r="B41" i="8" s="1" a="1"/>
  <c r="B41" i="8" s="1"/>
  <c r="C40" i="8"/>
  <c r="G40" i="8" a="1"/>
  <c r="G40" i="8" s="1"/>
  <c r="I41" i="8" l="1"/>
  <c r="N41" i="8" a="1"/>
  <c r="N41" i="8" s="1"/>
  <c r="M41" i="8" a="1"/>
  <c r="M41" i="8" s="1"/>
  <c r="L41" i="8" a="1"/>
  <c r="L41" i="8" s="1"/>
  <c r="K41" i="8" a="1"/>
  <c r="K41" i="8" s="1"/>
  <c r="D41" i="8"/>
  <c r="H41" i="8"/>
  <c r="E40" i="8"/>
  <c r="F40" i="8"/>
  <c r="A42" i="8"/>
  <c r="B42" i="8" s="1" a="1"/>
  <c r="B42" i="8" s="1"/>
  <c r="C41" i="8"/>
  <c r="G41" i="8" a="1"/>
  <c r="G41" i="8" s="1"/>
  <c r="I42" i="8" l="1"/>
  <c r="N42" i="8" a="1"/>
  <c r="N42" i="8" s="1"/>
  <c r="M42" i="8" a="1"/>
  <c r="M42" i="8" s="1"/>
  <c r="L42" i="8" a="1"/>
  <c r="L42" i="8" s="1"/>
  <c r="K42" i="8" a="1"/>
  <c r="K42" i="8" s="1"/>
  <c r="D42" i="8"/>
  <c r="H42" i="8"/>
  <c r="E41" i="8"/>
  <c r="F41" i="8"/>
  <c r="A43" i="8"/>
  <c r="B43" i="8" s="1" a="1"/>
  <c r="B43" i="8" s="1"/>
  <c r="C42" i="8"/>
  <c r="G42" i="8" a="1"/>
  <c r="G42" i="8" s="1"/>
  <c r="I43" i="8" l="1"/>
  <c r="N43" i="8" a="1"/>
  <c r="N43" i="8" s="1"/>
  <c r="M43" i="8" a="1"/>
  <c r="M43" i="8" s="1"/>
  <c r="L43" i="8" a="1"/>
  <c r="L43" i="8" s="1"/>
  <c r="K43" i="8" a="1"/>
  <c r="K43" i="8" s="1"/>
  <c r="D43" i="8"/>
  <c r="H43" i="8"/>
  <c r="E42" i="8"/>
  <c r="F42" i="8"/>
  <c r="A44" i="8"/>
  <c r="B44" i="8" s="1" a="1"/>
  <c r="B44" i="8" s="1"/>
  <c r="C43" i="8"/>
  <c r="G43" i="8" a="1"/>
  <c r="G43" i="8" s="1"/>
  <c r="I44" i="8" l="1"/>
  <c r="M44" i="8" a="1"/>
  <c r="M44" i="8" s="1"/>
  <c r="N44" i="8" a="1"/>
  <c r="N44" i="8" s="1"/>
  <c r="L44" i="8" a="1"/>
  <c r="L44" i="8" s="1"/>
  <c r="K44" i="8" a="1"/>
  <c r="K44" i="8" s="1"/>
  <c r="D44" i="8"/>
  <c r="H44" i="8"/>
  <c r="E43" i="8"/>
  <c r="F43" i="8"/>
  <c r="A45" i="8"/>
  <c r="B45" i="8" s="1" a="1"/>
  <c r="B45" i="8" s="1"/>
  <c r="C44" i="8"/>
  <c r="G44" i="8" a="1"/>
  <c r="G44" i="8" s="1"/>
  <c r="I45" i="8" l="1"/>
  <c r="N45" i="8" a="1"/>
  <c r="N45" i="8" s="1"/>
  <c r="M45" i="8" a="1"/>
  <c r="M45" i="8" s="1"/>
  <c r="L45" i="8" a="1"/>
  <c r="L45" i="8" s="1"/>
  <c r="K45" i="8" a="1"/>
  <c r="K45" i="8" s="1"/>
  <c r="D45" i="8"/>
  <c r="H45" i="8"/>
  <c r="E44" i="8"/>
  <c r="F44" i="8"/>
  <c r="A46" i="8"/>
  <c r="B46" i="8" s="1" a="1"/>
  <c r="B46" i="8" s="1"/>
  <c r="C45" i="8"/>
  <c r="G45" i="8" a="1"/>
  <c r="G45" i="8" s="1"/>
  <c r="I46" i="8" l="1"/>
  <c r="N46" i="8" a="1"/>
  <c r="N46" i="8" s="1"/>
  <c r="M46" i="8" a="1"/>
  <c r="M46" i="8" s="1"/>
  <c r="L46" i="8" a="1"/>
  <c r="L46" i="8" s="1"/>
  <c r="K46" i="8" a="1"/>
  <c r="K46" i="8" s="1"/>
  <c r="D46" i="8"/>
  <c r="H46" i="8"/>
  <c r="E45" i="8"/>
  <c r="F45" i="8"/>
  <c r="A47" i="8"/>
  <c r="B47" i="8" s="1" a="1"/>
  <c r="B47" i="8" s="1"/>
  <c r="C46" i="8"/>
  <c r="G46" i="8" a="1"/>
  <c r="G46" i="8" s="1"/>
  <c r="I47" i="8" l="1"/>
  <c r="N47" i="8" a="1"/>
  <c r="N47" i="8" s="1"/>
  <c r="M47" i="8" a="1"/>
  <c r="M47" i="8" s="1"/>
  <c r="L47" i="8" a="1"/>
  <c r="L47" i="8" s="1"/>
  <c r="K47" i="8" a="1"/>
  <c r="K47" i="8" s="1"/>
  <c r="D47" i="8"/>
  <c r="H47" i="8"/>
  <c r="E46" i="8"/>
  <c r="F46" i="8"/>
  <c r="A48" i="8"/>
  <c r="B48" i="8" s="1" a="1"/>
  <c r="B48" i="8" s="1"/>
  <c r="C47" i="8"/>
  <c r="G47" i="8" a="1"/>
  <c r="G47" i="8" s="1"/>
  <c r="I48" i="8" l="1"/>
  <c r="N48" i="8" a="1"/>
  <c r="N48" i="8" s="1"/>
  <c r="M48" i="8" a="1"/>
  <c r="M48" i="8" s="1"/>
  <c r="L48" i="8" a="1"/>
  <c r="L48" i="8" s="1"/>
  <c r="K48" i="8" a="1"/>
  <c r="K48" i="8" s="1"/>
  <c r="D48" i="8"/>
  <c r="H48" i="8"/>
  <c r="E47" i="8"/>
  <c r="F47" i="8"/>
  <c r="A49" i="8"/>
  <c r="B49" i="8" s="1" a="1"/>
  <c r="B49" i="8" s="1"/>
  <c r="C48" i="8"/>
  <c r="G48" i="8" a="1"/>
  <c r="G48" i="8" s="1"/>
  <c r="I49" i="8" l="1"/>
  <c r="N49" i="8" a="1"/>
  <c r="N49" i="8" s="1"/>
  <c r="M49" i="8" a="1"/>
  <c r="M49" i="8" s="1"/>
  <c r="L49" i="8" a="1"/>
  <c r="L49" i="8" s="1"/>
  <c r="K49" i="8" a="1"/>
  <c r="K49" i="8" s="1"/>
  <c r="D49" i="8"/>
  <c r="H49" i="8"/>
  <c r="E48" i="8"/>
  <c r="F48" i="8"/>
  <c r="A50" i="8"/>
  <c r="B50" i="8" s="1" a="1"/>
  <c r="B50" i="8" s="1"/>
  <c r="C49" i="8"/>
  <c r="G49" i="8" a="1"/>
  <c r="G49" i="8" s="1"/>
  <c r="I50" i="8" l="1"/>
  <c r="N50" i="8" a="1"/>
  <c r="N50" i="8" s="1"/>
  <c r="M50" i="8" a="1"/>
  <c r="M50" i="8" s="1"/>
  <c r="L50" i="8" a="1"/>
  <c r="L50" i="8" s="1"/>
  <c r="K50" i="8" a="1"/>
  <c r="K50" i="8" s="1"/>
  <c r="D50" i="8"/>
  <c r="H50" i="8"/>
  <c r="E49" i="8"/>
  <c r="F49" i="8"/>
  <c r="A51" i="8"/>
  <c r="B51" i="8" s="1" a="1"/>
  <c r="B51" i="8" s="1"/>
  <c r="C50" i="8"/>
  <c r="G50" i="8" a="1"/>
  <c r="G50" i="8" s="1"/>
  <c r="I51" i="8" l="1"/>
  <c r="N51" i="8" a="1"/>
  <c r="N51" i="8" s="1"/>
  <c r="M51" i="8" a="1"/>
  <c r="M51" i="8" s="1"/>
  <c r="L51" i="8" a="1"/>
  <c r="L51" i="8" s="1"/>
  <c r="K51" i="8" a="1"/>
  <c r="K51" i="8" s="1"/>
  <c r="D51" i="8"/>
  <c r="H51" i="8"/>
  <c r="E50" i="8"/>
  <c r="F50" i="8"/>
  <c r="A52" i="8"/>
  <c r="B52" i="8" s="1" a="1"/>
  <c r="B52" i="8" s="1"/>
  <c r="C51" i="8"/>
  <c r="G51" i="8" a="1"/>
  <c r="G51" i="8" s="1"/>
  <c r="I52" i="8" l="1"/>
  <c r="N52" i="8" a="1"/>
  <c r="N52" i="8" s="1"/>
  <c r="M52" i="8" a="1"/>
  <c r="M52" i="8" s="1"/>
  <c r="L52" i="8" a="1"/>
  <c r="L52" i="8" s="1"/>
  <c r="K52" i="8" a="1"/>
  <c r="K52" i="8" s="1"/>
  <c r="D52" i="8"/>
  <c r="H52" i="8"/>
  <c r="E51" i="8"/>
  <c r="F51" i="8"/>
  <c r="A53" i="8"/>
  <c r="B53" i="8" s="1" a="1"/>
  <c r="B53" i="8" s="1"/>
  <c r="C52" i="8"/>
  <c r="G52" i="8" a="1"/>
  <c r="G52" i="8" s="1"/>
  <c r="I53" i="8" l="1"/>
  <c r="N53" i="8" a="1"/>
  <c r="N53" i="8" s="1"/>
  <c r="M53" i="8" a="1"/>
  <c r="M53" i="8" s="1"/>
  <c r="L53" i="8" a="1"/>
  <c r="L53" i="8" s="1"/>
  <c r="K53" i="8" a="1"/>
  <c r="K53" i="8" s="1"/>
  <c r="D53" i="8"/>
  <c r="H53" i="8"/>
  <c r="E52" i="8"/>
  <c r="F52" i="8"/>
  <c r="A54" i="8"/>
  <c r="B54" i="8" s="1" a="1"/>
  <c r="B54" i="8" s="1"/>
  <c r="C53" i="8"/>
  <c r="G53" i="8" a="1"/>
  <c r="G53" i="8" s="1"/>
  <c r="I54" i="8" l="1"/>
  <c r="N54" i="8" a="1"/>
  <c r="N54" i="8" s="1"/>
  <c r="M54" i="8" a="1"/>
  <c r="M54" i="8" s="1"/>
  <c r="L54" i="8" a="1"/>
  <c r="L54" i="8" s="1"/>
  <c r="K54" i="8" a="1"/>
  <c r="K54" i="8" s="1"/>
  <c r="D54" i="8"/>
  <c r="H54" i="8"/>
  <c r="E53" i="8"/>
  <c r="F53" i="8"/>
  <c r="A55" i="8"/>
  <c r="B55" i="8" s="1" a="1"/>
  <c r="B55" i="8" s="1"/>
  <c r="C54" i="8"/>
  <c r="G54" i="8" a="1"/>
  <c r="G54" i="8" s="1"/>
  <c r="I55" i="8" l="1"/>
  <c r="N55" i="8" a="1"/>
  <c r="N55" i="8" s="1"/>
  <c r="M55" i="8" a="1"/>
  <c r="M55" i="8" s="1"/>
  <c r="L55" i="8" a="1"/>
  <c r="L55" i="8" s="1"/>
  <c r="K55" i="8" a="1"/>
  <c r="K55" i="8" s="1"/>
  <c r="D55" i="8"/>
  <c r="H55" i="8"/>
  <c r="E54" i="8"/>
  <c r="F54" i="8"/>
  <c r="A56" i="8"/>
  <c r="B56" i="8" s="1" a="1"/>
  <c r="B56" i="8" s="1"/>
  <c r="C55" i="8"/>
  <c r="G55" i="8" a="1"/>
  <c r="G55" i="8" s="1"/>
  <c r="I56" i="8" l="1"/>
  <c r="N56" i="8" a="1"/>
  <c r="N56" i="8" s="1"/>
  <c r="M56" i="8" a="1"/>
  <c r="M56" i="8" s="1"/>
  <c r="L56" i="8" a="1"/>
  <c r="L56" i="8" s="1"/>
  <c r="K56" i="8" a="1"/>
  <c r="K56" i="8" s="1"/>
  <c r="D56" i="8"/>
  <c r="H56" i="8"/>
  <c r="E55" i="8"/>
  <c r="F55" i="8"/>
  <c r="A57" i="8"/>
  <c r="B57" i="8" s="1" a="1"/>
  <c r="B57" i="8" s="1"/>
  <c r="C56" i="8"/>
  <c r="G56" i="8" a="1"/>
  <c r="G56" i="8" s="1"/>
  <c r="I57" i="8" l="1"/>
  <c r="N57" i="8" a="1"/>
  <c r="N57" i="8" s="1"/>
  <c r="M57" i="8" a="1"/>
  <c r="M57" i="8" s="1"/>
  <c r="L57" i="8" a="1"/>
  <c r="L57" i="8" s="1"/>
  <c r="K57" i="8" a="1"/>
  <c r="K57" i="8" s="1"/>
  <c r="D57" i="8"/>
  <c r="H57" i="8"/>
  <c r="E56" i="8"/>
  <c r="F56" i="8"/>
  <c r="A58" i="8"/>
  <c r="B58" i="8" s="1" a="1"/>
  <c r="B58" i="8" s="1"/>
  <c r="C57" i="8"/>
  <c r="G57" i="8" a="1"/>
  <c r="G57" i="8" s="1"/>
  <c r="I58" i="8" l="1"/>
  <c r="N58" i="8" a="1"/>
  <c r="N58" i="8" s="1"/>
  <c r="M58" i="8" a="1"/>
  <c r="M58" i="8" s="1"/>
  <c r="L58" i="8" a="1"/>
  <c r="L58" i="8" s="1"/>
  <c r="K58" i="8" a="1"/>
  <c r="K58" i="8" s="1"/>
  <c r="D58" i="8"/>
  <c r="H58" i="8"/>
  <c r="E57" i="8"/>
  <c r="F57" i="8"/>
  <c r="A59" i="8"/>
  <c r="B59" i="8" s="1" a="1"/>
  <c r="B59" i="8" s="1"/>
  <c r="C58" i="8"/>
  <c r="G58" i="8" a="1"/>
  <c r="G58" i="8" s="1"/>
  <c r="I59" i="8" l="1"/>
  <c r="N59" i="8" a="1"/>
  <c r="N59" i="8" s="1"/>
  <c r="M59" i="8" a="1"/>
  <c r="M59" i="8" s="1"/>
  <c r="L59" i="8" a="1"/>
  <c r="L59" i="8" s="1"/>
  <c r="K59" i="8" a="1"/>
  <c r="K59" i="8" s="1"/>
  <c r="D59" i="8"/>
  <c r="H59" i="8"/>
  <c r="E58" i="8"/>
  <c r="F58" i="8"/>
  <c r="A60" i="8"/>
  <c r="B60" i="8" s="1" a="1"/>
  <c r="B60" i="8" s="1"/>
  <c r="C59" i="8"/>
  <c r="G59" i="8" a="1"/>
  <c r="G59" i="8" s="1"/>
  <c r="I60" i="8" l="1"/>
  <c r="N60" i="8" a="1"/>
  <c r="N60" i="8" s="1"/>
  <c r="M60" i="8" a="1"/>
  <c r="M60" i="8" s="1"/>
  <c r="L60" i="8" a="1"/>
  <c r="L60" i="8" s="1"/>
  <c r="K60" i="8" a="1"/>
  <c r="K60" i="8" s="1"/>
  <c r="D60" i="8"/>
  <c r="H60" i="8"/>
  <c r="E59" i="8"/>
  <c r="F59" i="8"/>
  <c r="A61" i="8"/>
  <c r="B61" i="8" s="1" a="1"/>
  <c r="B61" i="8" s="1"/>
  <c r="C60" i="8"/>
  <c r="G60" i="8" a="1"/>
  <c r="G60" i="8" s="1"/>
  <c r="I61" i="8" l="1"/>
  <c r="N61" i="8" a="1"/>
  <c r="N61" i="8" s="1"/>
  <c r="M61" i="8" a="1"/>
  <c r="M61" i="8" s="1"/>
  <c r="L61" i="8" a="1"/>
  <c r="L61" i="8" s="1"/>
  <c r="K61" i="8" a="1"/>
  <c r="K61" i="8" s="1"/>
  <c r="D61" i="8"/>
  <c r="H61" i="8"/>
  <c r="E60" i="8"/>
  <c r="F60" i="8"/>
  <c r="A62" i="8"/>
  <c r="B62" i="8" s="1" a="1"/>
  <c r="B62" i="8" s="1"/>
  <c r="C61" i="8"/>
  <c r="I62" i="8" l="1"/>
  <c r="N62" i="8" a="1"/>
  <c r="N62" i="8" s="1"/>
  <c r="M62" i="8" a="1"/>
  <c r="M62" i="8" s="1"/>
  <c r="L62" i="8" a="1"/>
  <c r="L62" i="8" s="1"/>
  <c r="K62" i="8" a="1"/>
  <c r="K62" i="8" s="1"/>
  <c r="G61" i="8" a="1"/>
  <c r="G61" i="8" s="1"/>
  <c r="D62" i="8"/>
  <c r="H62" i="8"/>
  <c r="E61" i="8"/>
  <c r="F61" i="8"/>
  <c r="A63" i="8"/>
  <c r="B63" i="8" s="1" a="1"/>
  <c r="B63" i="8" s="1"/>
  <c r="C62" i="8"/>
  <c r="G62" i="8" a="1"/>
  <c r="G62" i="8" s="1"/>
  <c r="I63" i="8" l="1"/>
  <c r="N63" i="8" a="1"/>
  <c r="N63" i="8" s="1"/>
  <c r="M63" i="8" a="1"/>
  <c r="M63" i="8" s="1"/>
  <c r="L63" i="8" a="1"/>
  <c r="L63" i="8" s="1"/>
  <c r="K63" i="8" a="1"/>
  <c r="K63" i="8" s="1"/>
  <c r="D63" i="8"/>
  <c r="H63" i="8"/>
  <c r="E62" i="8"/>
  <c r="F62" i="8"/>
  <c r="A64" i="8"/>
  <c r="B64" i="8" s="1" a="1"/>
  <c r="B64" i="8" s="1"/>
  <c r="C63" i="8"/>
  <c r="G63" i="8" a="1"/>
  <c r="G63" i="8" s="1"/>
  <c r="I64" i="8" l="1"/>
  <c r="N64" i="8" a="1"/>
  <c r="N64" i="8" s="1"/>
  <c r="M64" i="8" a="1"/>
  <c r="M64" i="8" s="1"/>
  <c r="L64" i="8" a="1"/>
  <c r="L64" i="8" s="1"/>
  <c r="K64" i="8" a="1"/>
  <c r="K64" i="8" s="1"/>
  <c r="D64" i="8"/>
  <c r="H64" i="8"/>
  <c r="E63" i="8"/>
  <c r="F63" i="8"/>
  <c r="A65" i="8"/>
  <c r="B65" i="8" s="1" a="1"/>
  <c r="B65" i="8" s="1"/>
  <c r="C64" i="8"/>
  <c r="G64" i="8" a="1"/>
  <c r="G64" i="8" s="1"/>
  <c r="I65" i="8" l="1"/>
  <c r="N65" i="8" a="1"/>
  <c r="N65" i="8" s="1"/>
  <c r="M65" i="8" a="1"/>
  <c r="M65" i="8" s="1"/>
  <c r="L65" i="8" a="1"/>
  <c r="L65" i="8" s="1"/>
  <c r="K65" i="8" a="1"/>
  <c r="K65" i="8" s="1"/>
  <c r="D65" i="8"/>
  <c r="H65" i="8"/>
  <c r="E64" i="8"/>
  <c r="F64" i="8"/>
  <c r="A66" i="8"/>
  <c r="B66" i="8" s="1" a="1"/>
  <c r="B66" i="8" s="1"/>
  <c r="C65" i="8"/>
  <c r="G65" i="8" a="1"/>
  <c r="G65" i="8" s="1"/>
  <c r="I66" i="8" l="1"/>
  <c r="N66" i="8" a="1"/>
  <c r="N66" i="8" s="1"/>
  <c r="M66" i="8" a="1"/>
  <c r="M66" i="8" s="1"/>
  <c r="L66" i="8" a="1"/>
  <c r="L66" i="8" s="1"/>
  <c r="K66" i="8" a="1"/>
  <c r="K66" i="8" s="1"/>
  <c r="D66" i="8"/>
  <c r="H66" i="8"/>
  <c r="E65" i="8"/>
  <c r="F65" i="8"/>
  <c r="A67" i="8"/>
  <c r="B67" i="8" s="1" a="1"/>
  <c r="B67" i="8" s="1"/>
  <c r="C66" i="8"/>
  <c r="G66" i="8" a="1"/>
  <c r="G66" i="8" s="1"/>
  <c r="I67" i="8" l="1"/>
  <c r="N67" i="8" a="1"/>
  <c r="N67" i="8" s="1"/>
  <c r="M67" i="8" a="1"/>
  <c r="M67" i="8" s="1"/>
  <c r="L67" i="8" a="1"/>
  <c r="L67" i="8" s="1"/>
  <c r="K67" i="8" a="1"/>
  <c r="K67" i="8" s="1"/>
  <c r="D67" i="8"/>
  <c r="H67" i="8"/>
  <c r="E66" i="8"/>
  <c r="F66" i="8"/>
  <c r="A68" i="8"/>
  <c r="B68" i="8" s="1" a="1"/>
  <c r="B68" i="8" s="1"/>
  <c r="C67" i="8"/>
  <c r="G67" i="8" a="1"/>
  <c r="G67" i="8" s="1"/>
  <c r="I68" i="8" l="1"/>
  <c r="N68" i="8" a="1"/>
  <c r="N68" i="8" s="1"/>
  <c r="M68" i="8" a="1"/>
  <c r="M68" i="8" s="1"/>
  <c r="L68" i="8" a="1"/>
  <c r="L68" i="8" s="1"/>
  <c r="K68" i="8" a="1"/>
  <c r="K68" i="8" s="1"/>
  <c r="D68" i="8"/>
  <c r="H68" i="8"/>
  <c r="E67" i="8"/>
  <c r="F67" i="8"/>
  <c r="A69" i="8"/>
  <c r="B69" i="8" s="1" a="1"/>
  <c r="B69" i="8" s="1"/>
  <c r="C68" i="8"/>
  <c r="G68" i="8" a="1"/>
  <c r="G68" i="8" s="1"/>
  <c r="I69" i="8" l="1"/>
  <c r="N69" i="8" a="1"/>
  <c r="N69" i="8" s="1"/>
  <c r="M69" i="8" a="1"/>
  <c r="M69" i="8" s="1"/>
  <c r="L69" i="8" a="1"/>
  <c r="L69" i="8" s="1"/>
  <c r="K69" i="8" a="1"/>
  <c r="K69" i="8" s="1"/>
  <c r="D69" i="8"/>
  <c r="H69" i="8"/>
  <c r="E68" i="8"/>
  <c r="F68" i="8"/>
  <c r="A70" i="8"/>
  <c r="B70" i="8" s="1" a="1"/>
  <c r="B70" i="8" s="1"/>
  <c r="C69" i="8"/>
  <c r="G69" i="8" a="1"/>
  <c r="G69" i="8" s="1"/>
  <c r="I70" i="8" l="1"/>
  <c r="N70" i="8" a="1"/>
  <c r="N70" i="8" s="1"/>
  <c r="M70" i="8" a="1"/>
  <c r="M70" i="8" s="1"/>
  <c r="L70" i="8" a="1"/>
  <c r="L70" i="8" s="1"/>
  <c r="K70" i="8" a="1"/>
  <c r="K70" i="8" s="1"/>
  <c r="D70" i="8"/>
  <c r="H70" i="8"/>
  <c r="E69" i="8"/>
  <c r="F69" i="8"/>
  <c r="A71" i="8"/>
  <c r="B71" i="8" s="1" a="1"/>
  <c r="B71" i="8" s="1"/>
  <c r="C70" i="8"/>
  <c r="G70" i="8" a="1"/>
  <c r="G70" i="8" s="1"/>
  <c r="I71" i="8" l="1"/>
  <c r="N71" i="8" a="1"/>
  <c r="N71" i="8" s="1"/>
  <c r="M71" i="8" a="1"/>
  <c r="M71" i="8" s="1"/>
  <c r="L71" i="8" a="1"/>
  <c r="L71" i="8" s="1"/>
  <c r="K71" i="8" a="1"/>
  <c r="K71" i="8" s="1"/>
  <c r="D71" i="8"/>
  <c r="H71" i="8"/>
  <c r="E70" i="8"/>
  <c r="F70" i="8"/>
  <c r="A72" i="8"/>
  <c r="B72" i="8" s="1" a="1"/>
  <c r="B72" i="8" s="1"/>
  <c r="C71" i="8"/>
  <c r="G71" i="8" a="1"/>
  <c r="G71" i="8" s="1"/>
  <c r="I72" i="8" l="1"/>
  <c r="N72" i="8" a="1"/>
  <c r="N72" i="8" s="1"/>
  <c r="M72" i="8" a="1"/>
  <c r="M72" i="8" s="1"/>
  <c r="L72" i="8" a="1"/>
  <c r="L72" i="8" s="1"/>
  <c r="K72" i="8" a="1"/>
  <c r="K72" i="8" s="1"/>
  <c r="D72" i="8"/>
  <c r="H72" i="8"/>
  <c r="E71" i="8"/>
  <c r="F71" i="8"/>
  <c r="A73" i="8"/>
  <c r="B73" i="8" s="1" a="1"/>
  <c r="B73" i="8" s="1"/>
  <c r="C72" i="8"/>
  <c r="G72" i="8" a="1"/>
  <c r="G72" i="8" s="1"/>
  <c r="I73" i="8" l="1"/>
  <c r="N73" i="8" a="1"/>
  <c r="N73" i="8" s="1"/>
  <c r="M73" i="8" a="1"/>
  <c r="M73" i="8" s="1"/>
  <c r="L73" i="8" a="1"/>
  <c r="L73" i="8" s="1"/>
  <c r="K73" i="8" a="1"/>
  <c r="K73" i="8" s="1"/>
  <c r="D73" i="8"/>
  <c r="H73" i="8"/>
  <c r="E72" i="8"/>
  <c r="F72" i="8"/>
  <c r="A74" i="8"/>
  <c r="B74" i="8" s="1" a="1"/>
  <c r="B74" i="8" s="1"/>
  <c r="C73" i="8"/>
  <c r="G73" i="8" a="1"/>
  <c r="G73" i="8" s="1"/>
  <c r="I74" i="8" l="1"/>
  <c r="N74" i="8" a="1"/>
  <c r="N74" i="8" s="1"/>
  <c r="M74" i="8" a="1"/>
  <c r="M74" i="8" s="1"/>
  <c r="L74" i="8" a="1"/>
  <c r="L74" i="8" s="1"/>
  <c r="K74" i="8" a="1"/>
  <c r="K74" i="8" s="1"/>
  <c r="D74" i="8"/>
  <c r="H74" i="8"/>
  <c r="E73" i="8"/>
  <c r="F73" i="8"/>
  <c r="A75" i="8"/>
  <c r="B75" i="8" s="1" a="1"/>
  <c r="B75" i="8" s="1"/>
  <c r="C74" i="8"/>
  <c r="G74" i="8" a="1"/>
  <c r="G74" i="8" s="1"/>
  <c r="I75" i="8" l="1"/>
  <c r="N75" i="8" a="1"/>
  <c r="N75" i="8" s="1"/>
  <c r="M75" i="8" a="1"/>
  <c r="M75" i="8" s="1"/>
  <c r="L75" i="8" a="1"/>
  <c r="L75" i="8" s="1"/>
  <c r="K75" i="8" a="1"/>
  <c r="K75" i="8" s="1"/>
  <c r="D75" i="8"/>
  <c r="H75" i="8"/>
  <c r="E74" i="8"/>
  <c r="F74" i="8"/>
  <c r="A76" i="8"/>
  <c r="B76" i="8" s="1" a="1"/>
  <c r="B76" i="8" s="1"/>
  <c r="C75" i="8"/>
  <c r="G75" i="8" a="1"/>
  <c r="G75" i="8" s="1"/>
  <c r="I76" i="8" l="1"/>
  <c r="N76" i="8" a="1"/>
  <c r="N76" i="8" s="1"/>
  <c r="M76" i="8" a="1"/>
  <c r="M76" i="8" s="1"/>
  <c r="L76" i="8" a="1"/>
  <c r="L76" i="8" s="1"/>
  <c r="K76" i="8" a="1"/>
  <c r="K76" i="8" s="1"/>
  <c r="D76" i="8"/>
  <c r="H76" i="8"/>
  <c r="E75" i="8"/>
  <c r="F75" i="8"/>
  <c r="A77" i="8"/>
  <c r="B77" i="8" s="1" a="1"/>
  <c r="B77" i="8" s="1"/>
  <c r="C76" i="8"/>
  <c r="G76" i="8" a="1"/>
  <c r="G76" i="8" s="1"/>
  <c r="I77" i="8" l="1"/>
  <c r="N77" i="8" a="1"/>
  <c r="N77" i="8" s="1"/>
  <c r="L77" i="8" a="1"/>
  <c r="L77" i="8" s="1"/>
  <c r="M77" i="8" a="1"/>
  <c r="M77" i="8" s="1"/>
  <c r="K77" i="8" a="1"/>
  <c r="K77" i="8" s="1"/>
  <c r="D77" i="8"/>
  <c r="H77" i="8"/>
  <c r="E76" i="8"/>
  <c r="F76" i="8"/>
  <c r="A78" i="8"/>
  <c r="B78" i="8" s="1" a="1"/>
  <c r="B78" i="8" s="1"/>
  <c r="C77" i="8"/>
  <c r="G77" i="8" a="1"/>
  <c r="G77" i="8" s="1"/>
  <c r="I78" i="8" l="1"/>
  <c r="N78" i="8" a="1"/>
  <c r="N78" i="8" s="1"/>
  <c r="M78" i="8" a="1"/>
  <c r="M78" i="8" s="1"/>
  <c r="K78" i="8" a="1"/>
  <c r="K78" i="8" s="1"/>
  <c r="L78" i="8" a="1"/>
  <c r="L78" i="8" s="1"/>
  <c r="D78" i="8"/>
  <c r="H78" i="8"/>
  <c r="E77" i="8"/>
  <c r="F77" i="8"/>
  <c r="A79" i="8"/>
  <c r="B79" i="8" s="1" a="1"/>
  <c r="B79" i="8" s="1"/>
  <c r="C78" i="8"/>
  <c r="G78" i="8" a="1"/>
  <c r="G78" i="8" s="1"/>
  <c r="I79" i="8" l="1"/>
  <c r="N79" i="8" a="1"/>
  <c r="N79" i="8" s="1"/>
  <c r="M79" i="8" a="1"/>
  <c r="M79" i="8" s="1"/>
  <c r="L79" i="8" a="1"/>
  <c r="L79" i="8" s="1"/>
  <c r="K79" i="8" a="1"/>
  <c r="K79" i="8" s="1"/>
  <c r="D79" i="8"/>
  <c r="H79" i="8"/>
  <c r="E78" i="8"/>
  <c r="F78" i="8"/>
  <c r="A80" i="8"/>
  <c r="B80" i="8" s="1" a="1"/>
  <c r="B80" i="8" s="1"/>
  <c r="C79" i="8"/>
  <c r="G79" i="8" a="1"/>
  <c r="G79" i="8" s="1"/>
  <c r="I80" i="8" l="1"/>
  <c r="N80" i="8" a="1"/>
  <c r="N80" i="8" s="1"/>
  <c r="M80" i="8" a="1"/>
  <c r="M80" i="8" s="1"/>
  <c r="L80" i="8" a="1"/>
  <c r="L80" i="8" s="1"/>
  <c r="K80" i="8" a="1"/>
  <c r="K80" i="8" s="1"/>
  <c r="D80" i="8"/>
  <c r="H80" i="8"/>
  <c r="E79" i="8"/>
  <c r="F79" i="8"/>
  <c r="A81" i="8"/>
  <c r="B81" i="8" s="1" a="1"/>
  <c r="B81" i="8" s="1"/>
  <c r="C80" i="8"/>
  <c r="G80" i="8" a="1"/>
  <c r="G80" i="8" s="1"/>
  <c r="I81" i="8" l="1"/>
  <c r="N81" i="8" a="1"/>
  <c r="N81" i="8" s="1"/>
  <c r="M81" i="8" a="1"/>
  <c r="M81" i="8" s="1"/>
  <c r="L81" i="8" a="1"/>
  <c r="L81" i="8" s="1"/>
  <c r="K81" i="8" a="1"/>
  <c r="K81" i="8" s="1"/>
  <c r="D81" i="8"/>
  <c r="H81" i="8"/>
  <c r="E80" i="8"/>
  <c r="F80" i="8"/>
  <c r="A82" i="8"/>
  <c r="B82" i="8" s="1" a="1"/>
  <c r="B82" i="8" s="1"/>
  <c r="C81" i="8"/>
  <c r="G81" i="8" a="1"/>
  <c r="G81" i="8" s="1"/>
  <c r="I82" i="8" l="1"/>
  <c r="N82" i="8" a="1"/>
  <c r="N82" i="8" s="1"/>
  <c r="M82" i="8" a="1"/>
  <c r="M82" i="8" s="1"/>
  <c r="L82" i="8" a="1"/>
  <c r="L82" i="8" s="1"/>
  <c r="K82" i="8" a="1"/>
  <c r="K82" i="8" s="1"/>
  <c r="D82" i="8"/>
  <c r="H82" i="8"/>
  <c r="E81" i="8"/>
  <c r="F81" i="8"/>
  <c r="A83" i="8"/>
  <c r="B83" i="8" s="1" a="1"/>
  <c r="B83" i="8" s="1"/>
  <c r="C82" i="8"/>
  <c r="G82" i="8" a="1"/>
  <c r="G82" i="8" s="1"/>
  <c r="I83" i="8" l="1"/>
  <c r="N83" i="8" a="1"/>
  <c r="N83" i="8" s="1"/>
  <c r="M83" i="8" a="1"/>
  <c r="M83" i="8" s="1"/>
  <c r="L83" i="8" a="1"/>
  <c r="L83" i="8" s="1"/>
  <c r="K83" i="8" a="1"/>
  <c r="K83" i="8" s="1"/>
  <c r="D83" i="8"/>
  <c r="H83" i="8"/>
  <c r="E82" i="8"/>
  <c r="F82" i="8"/>
  <c r="A84" i="8"/>
  <c r="B84" i="8" s="1" a="1"/>
  <c r="B84" i="8" s="1"/>
  <c r="C83" i="8"/>
  <c r="G83" i="8" a="1"/>
  <c r="G83" i="8" s="1"/>
  <c r="I84" i="8" l="1"/>
  <c r="N84" i="8" a="1"/>
  <c r="N84" i="8" s="1"/>
  <c r="M84" i="8" a="1"/>
  <c r="M84" i="8" s="1"/>
  <c r="L84" i="8" a="1"/>
  <c r="L84" i="8" s="1"/>
  <c r="K84" i="8" a="1"/>
  <c r="K84" i="8" s="1"/>
  <c r="D84" i="8"/>
  <c r="H84" i="8"/>
  <c r="E83" i="8"/>
  <c r="F83" i="8"/>
  <c r="A85" i="8"/>
  <c r="B85" i="8" s="1" a="1"/>
  <c r="B85" i="8" s="1"/>
  <c r="C84" i="8"/>
  <c r="G84" i="8" a="1"/>
  <c r="G84" i="8" s="1"/>
  <c r="I85" i="8" l="1"/>
  <c r="N85" i="8" a="1"/>
  <c r="N85" i="8" s="1"/>
  <c r="M85" i="8" a="1"/>
  <c r="M85" i="8" s="1"/>
  <c r="L85" i="8" a="1"/>
  <c r="L85" i="8" s="1"/>
  <c r="K85" i="8" a="1"/>
  <c r="K85" i="8" s="1"/>
  <c r="D85" i="8"/>
  <c r="H85" i="8"/>
  <c r="E84" i="8"/>
  <c r="F84" i="8"/>
  <c r="A86" i="8"/>
  <c r="B86" i="8" s="1" a="1"/>
  <c r="B86" i="8" s="1"/>
  <c r="C85" i="8"/>
  <c r="G85" i="8" a="1"/>
  <c r="G85" i="8" s="1"/>
  <c r="I86" i="8" l="1"/>
  <c r="N86" i="8" a="1"/>
  <c r="N86" i="8" s="1"/>
  <c r="M86" i="8" a="1"/>
  <c r="M86" i="8" s="1"/>
  <c r="L86" i="8" a="1"/>
  <c r="L86" i="8" s="1"/>
  <c r="K86" i="8" a="1"/>
  <c r="K86" i="8" s="1"/>
  <c r="D86" i="8"/>
  <c r="H86" i="8"/>
  <c r="E85" i="8"/>
  <c r="F85" i="8"/>
  <c r="A87" i="8"/>
  <c r="B87" i="8" s="1" a="1"/>
  <c r="B87" i="8" s="1"/>
  <c r="C86" i="8"/>
  <c r="G86" i="8" a="1"/>
  <c r="G86" i="8" s="1"/>
  <c r="I87" i="8" l="1"/>
  <c r="N87" i="8" a="1"/>
  <c r="N87" i="8" s="1"/>
  <c r="M87" i="8" a="1"/>
  <c r="M87" i="8" s="1"/>
  <c r="L87" i="8" a="1"/>
  <c r="L87" i="8" s="1"/>
  <c r="K87" i="8" a="1"/>
  <c r="K87" i="8" s="1"/>
  <c r="D87" i="8"/>
  <c r="H87" i="8"/>
  <c r="E86" i="8"/>
  <c r="F86" i="8"/>
  <c r="A88" i="8"/>
  <c r="B88" i="8" s="1" a="1"/>
  <c r="B88" i="8" s="1"/>
  <c r="C87" i="8"/>
  <c r="G87" i="8" a="1"/>
  <c r="G87" i="8" s="1"/>
  <c r="I88" i="8" l="1"/>
  <c r="N88" i="8" a="1"/>
  <c r="N88" i="8" s="1"/>
  <c r="M88" i="8" a="1"/>
  <c r="M88" i="8" s="1"/>
  <c r="L88" i="8" a="1"/>
  <c r="L88" i="8" s="1"/>
  <c r="K88" i="8" a="1"/>
  <c r="K88" i="8" s="1"/>
  <c r="D88" i="8"/>
  <c r="H88" i="8"/>
  <c r="E87" i="8"/>
  <c r="F87" i="8"/>
  <c r="A89" i="8"/>
  <c r="B89" i="8" s="1" a="1"/>
  <c r="B89" i="8" s="1"/>
  <c r="C88" i="8"/>
  <c r="G88" i="8" a="1"/>
  <c r="G88" i="8" s="1"/>
  <c r="I89" i="8" l="1"/>
  <c r="N89" i="8" a="1"/>
  <c r="N89" i="8" s="1"/>
  <c r="M89" i="8" a="1"/>
  <c r="M89" i="8" s="1"/>
  <c r="L89" i="8" a="1"/>
  <c r="L89" i="8" s="1"/>
  <c r="K89" i="8" a="1"/>
  <c r="K89" i="8" s="1"/>
  <c r="D89" i="8"/>
  <c r="H89" i="8"/>
  <c r="E88" i="8"/>
  <c r="F88" i="8"/>
  <c r="A90" i="8"/>
  <c r="B90" i="8" s="1" a="1"/>
  <c r="B90" i="8" s="1"/>
  <c r="C89" i="8"/>
  <c r="G89" i="8" a="1"/>
  <c r="G89" i="8" s="1"/>
  <c r="I90" i="8" l="1"/>
  <c r="N90" i="8" a="1"/>
  <c r="N90" i="8" s="1"/>
  <c r="M90" i="8" a="1"/>
  <c r="M90" i="8" s="1"/>
  <c r="K90" i="8" a="1"/>
  <c r="K90" i="8" s="1"/>
  <c r="L90" i="8" a="1"/>
  <c r="L90" i="8" s="1"/>
  <c r="D90" i="8"/>
  <c r="H90" i="8"/>
  <c r="E89" i="8"/>
  <c r="F89" i="8"/>
  <c r="A91" i="8"/>
  <c r="B91" i="8" s="1" a="1"/>
  <c r="B91" i="8" s="1"/>
  <c r="C90" i="8"/>
  <c r="G90" i="8" a="1"/>
  <c r="G90" i="8" s="1"/>
  <c r="I91" i="8" l="1"/>
  <c r="N91" i="8" a="1"/>
  <c r="N91" i="8" s="1"/>
  <c r="M91" i="8" a="1"/>
  <c r="M91" i="8" s="1"/>
  <c r="L91" i="8" a="1"/>
  <c r="L91" i="8" s="1"/>
  <c r="K91" i="8" a="1"/>
  <c r="K91" i="8" s="1"/>
  <c r="D91" i="8"/>
  <c r="H91" i="8"/>
  <c r="E90" i="8"/>
  <c r="F90" i="8"/>
  <c r="A92" i="8"/>
  <c r="B92" i="8" s="1" a="1"/>
  <c r="B92" i="8" s="1"/>
  <c r="C91" i="8"/>
  <c r="G91" i="8" a="1"/>
  <c r="G91" i="8" s="1"/>
  <c r="I92" i="8" l="1"/>
  <c r="N92" i="8" a="1"/>
  <c r="N92" i="8" s="1"/>
  <c r="M92" i="8" a="1"/>
  <c r="M92" i="8" s="1"/>
  <c r="L92" i="8" a="1"/>
  <c r="L92" i="8" s="1"/>
  <c r="K92" i="8" a="1"/>
  <c r="K92" i="8" s="1"/>
  <c r="D92" i="8"/>
  <c r="H92" i="8"/>
  <c r="E91" i="8"/>
  <c r="F91" i="8"/>
  <c r="A93" i="8"/>
  <c r="B93" i="8" s="1" a="1"/>
  <c r="B93" i="8" s="1"/>
  <c r="C92" i="8"/>
  <c r="I93" i="8" l="1"/>
  <c r="N93" i="8" a="1"/>
  <c r="N93" i="8" s="1"/>
  <c r="M93" i="8" a="1"/>
  <c r="M93" i="8" s="1"/>
  <c r="L93" i="8" a="1"/>
  <c r="L93" i="8" s="1"/>
  <c r="K93" i="8" a="1"/>
  <c r="K93" i="8" s="1"/>
  <c r="G92" i="8" a="1"/>
  <c r="G92" i="8" s="1"/>
  <c r="D93" i="8"/>
  <c r="H93" i="8"/>
  <c r="E92" i="8"/>
  <c r="F92" i="8"/>
  <c r="A94" i="8"/>
  <c r="B94" i="8" s="1" a="1"/>
  <c r="B94" i="8" s="1"/>
  <c r="C93" i="8"/>
  <c r="G93" i="8" a="1"/>
  <c r="G93" i="8" s="1"/>
  <c r="I94" i="8" l="1"/>
  <c r="N94" i="8" a="1"/>
  <c r="N94" i="8" s="1"/>
  <c r="M94" i="8" a="1"/>
  <c r="M94" i="8" s="1"/>
  <c r="L94" i="8" a="1"/>
  <c r="L94" i="8" s="1"/>
  <c r="K94" i="8" a="1"/>
  <c r="K94" i="8" s="1"/>
  <c r="D94" i="8"/>
  <c r="H94" i="8"/>
  <c r="E93" i="8"/>
  <c r="F93" i="8"/>
  <c r="A95" i="8"/>
  <c r="B95" i="8" s="1" a="1"/>
  <c r="B95" i="8" s="1"/>
  <c r="C94" i="8"/>
  <c r="G94" i="8" a="1"/>
  <c r="G94" i="8" s="1"/>
  <c r="I95" i="8" l="1"/>
  <c r="N95" i="8" a="1"/>
  <c r="N95" i="8" s="1"/>
  <c r="L95" i="8" a="1"/>
  <c r="L95" i="8" s="1"/>
  <c r="K95" i="8" a="1"/>
  <c r="K95" i="8" s="1"/>
  <c r="M95" i="8" a="1"/>
  <c r="M95" i="8" s="1"/>
  <c r="D95" i="8"/>
  <c r="H95" i="8"/>
  <c r="E94" i="8"/>
  <c r="F94" i="8"/>
  <c r="A96" i="8"/>
  <c r="B96" i="8" s="1" a="1"/>
  <c r="B96" i="8" s="1"/>
  <c r="C95" i="8"/>
  <c r="G95" i="8" a="1"/>
  <c r="G95" i="8" s="1"/>
  <c r="I96" i="8" l="1"/>
  <c r="N96" i="8" a="1"/>
  <c r="N96" i="8" s="1"/>
  <c r="M96" i="8" a="1"/>
  <c r="M96" i="8" s="1"/>
  <c r="L96" i="8" a="1"/>
  <c r="L96" i="8" s="1"/>
  <c r="K96" i="8" a="1"/>
  <c r="K96" i="8" s="1"/>
  <c r="D96" i="8"/>
  <c r="H96" i="8"/>
  <c r="E95" i="8"/>
  <c r="F95" i="8"/>
  <c r="A97" i="8"/>
  <c r="B97" i="8" s="1" a="1"/>
  <c r="B97" i="8" s="1"/>
  <c r="C96" i="8"/>
  <c r="G96" i="8" a="1"/>
  <c r="G96" i="8" s="1"/>
  <c r="I97" i="8" l="1"/>
  <c r="N97" i="8" a="1"/>
  <c r="N97" i="8" s="1"/>
  <c r="M97" i="8" a="1"/>
  <c r="M97" i="8" s="1"/>
  <c r="L97" i="8" a="1"/>
  <c r="L97" i="8" s="1"/>
  <c r="K97" i="8" a="1"/>
  <c r="K97" i="8" s="1"/>
  <c r="D97" i="8"/>
  <c r="H97" i="8"/>
  <c r="E96" i="8"/>
  <c r="F96" i="8"/>
  <c r="A98" i="8"/>
  <c r="B98" i="8" s="1" a="1"/>
  <c r="B98" i="8" s="1"/>
  <c r="C97" i="8"/>
  <c r="G97" i="8" a="1"/>
  <c r="G97" i="8" s="1"/>
  <c r="I98" i="8" l="1"/>
  <c r="N98" i="8" a="1"/>
  <c r="N98" i="8" s="1"/>
  <c r="M98" i="8" a="1"/>
  <c r="M98" i="8" s="1"/>
  <c r="L98" i="8" a="1"/>
  <c r="L98" i="8" s="1"/>
  <c r="K98" i="8" a="1"/>
  <c r="K98" i="8" s="1"/>
  <c r="D98" i="8"/>
  <c r="H98" i="8"/>
  <c r="E97" i="8"/>
  <c r="F97" i="8"/>
  <c r="A99" i="8"/>
  <c r="B99" i="8" s="1" a="1"/>
  <c r="B99" i="8" s="1"/>
  <c r="C98" i="8"/>
  <c r="G98" i="8" a="1"/>
  <c r="G98" i="8" s="1"/>
  <c r="I99" i="8" l="1"/>
  <c r="N99" i="8" a="1"/>
  <c r="N99" i="8" s="1"/>
  <c r="M99" i="8" a="1"/>
  <c r="M99" i="8" s="1"/>
  <c r="L99" i="8" a="1"/>
  <c r="L99" i="8" s="1"/>
  <c r="K99" i="8" a="1"/>
  <c r="K99" i="8" s="1"/>
  <c r="D99" i="8"/>
  <c r="H99" i="8"/>
  <c r="E98" i="8"/>
  <c r="F98" i="8"/>
  <c r="A100" i="8"/>
  <c r="B100" i="8" s="1" a="1"/>
  <c r="B100" i="8" s="1"/>
  <c r="C99" i="8"/>
  <c r="G99" i="8" a="1"/>
  <c r="G99" i="8" s="1"/>
  <c r="I100" i="8" l="1"/>
  <c r="N100" i="8" a="1"/>
  <c r="N100" i="8" s="1"/>
  <c r="M100" i="8" a="1"/>
  <c r="M100" i="8" s="1"/>
  <c r="L100" i="8" a="1"/>
  <c r="L100" i="8" s="1"/>
  <c r="K100" i="8" a="1"/>
  <c r="K100" i="8" s="1"/>
  <c r="D100" i="8"/>
  <c r="H100" i="8"/>
  <c r="E99" i="8"/>
  <c r="F99" i="8"/>
  <c r="A101" i="8"/>
  <c r="B101" i="8" s="1" a="1"/>
  <c r="B101" i="8" s="1"/>
  <c r="C100" i="8"/>
  <c r="G100" i="8" a="1"/>
  <c r="G100" i="8" s="1"/>
  <c r="I101" i="8" l="1"/>
  <c r="N101" i="8" a="1"/>
  <c r="N101" i="8" s="1"/>
  <c r="M101" i="8" a="1"/>
  <c r="M101" i="8" s="1"/>
  <c r="L101" i="8" a="1"/>
  <c r="L101" i="8" s="1"/>
  <c r="K101" i="8" a="1"/>
  <c r="K101" i="8" s="1"/>
  <c r="D101" i="8"/>
  <c r="H101" i="8"/>
  <c r="E100" i="8"/>
  <c r="F100" i="8"/>
  <c r="A102" i="8"/>
  <c r="B102" i="8" s="1" a="1"/>
  <c r="B102" i="8" s="1"/>
  <c r="C101" i="8"/>
  <c r="G101" i="8" a="1"/>
  <c r="G101" i="8" s="1"/>
  <c r="I102" i="8" l="1"/>
  <c r="N102" i="8" a="1"/>
  <c r="N102" i="8" s="1"/>
  <c r="M102" i="8" a="1"/>
  <c r="M102" i="8" s="1"/>
  <c r="L102" i="8" a="1"/>
  <c r="L102" i="8" s="1"/>
  <c r="K102" i="8" a="1"/>
  <c r="K102" i="8" s="1"/>
  <c r="D102" i="8"/>
  <c r="H102" i="8"/>
  <c r="E101" i="8"/>
  <c r="F101" i="8"/>
  <c r="A103" i="8"/>
  <c r="B103" i="8" s="1" a="1"/>
  <c r="B103" i="8" s="1"/>
  <c r="C102" i="8"/>
  <c r="G102" i="8" a="1"/>
  <c r="G102" i="8" s="1"/>
  <c r="I103" i="8" l="1"/>
  <c r="N103" i="8" a="1"/>
  <c r="N103" i="8" s="1"/>
  <c r="M103" i="8" a="1"/>
  <c r="M103" i="8" s="1"/>
  <c r="K103" i="8" a="1"/>
  <c r="K103" i="8" s="1"/>
  <c r="L103" i="8" a="1"/>
  <c r="L103" i="8" s="1"/>
  <c r="D103" i="8"/>
  <c r="H103" i="8"/>
  <c r="E102" i="8"/>
  <c r="F102" i="8"/>
  <c r="A104" i="8"/>
  <c r="B104" i="8" s="1" a="1"/>
  <c r="B104" i="8" s="1"/>
  <c r="C103" i="8"/>
  <c r="G103" i="8" a="1"/>
  <c r="G103" i="8" s="1"/>
  <c r="I104" i="8" l="1"/>
  <c r="N104" i="8" a="1"/>
  <c r="N104" i="8" s="1"/>
  <c r="M104" i="8" a="1"/>
  <c r="M104" i="8" s="1"/>
  <c r="L104" i="8" a="1"/>
  <c r="L104" i="8" s="1"/>
  <c r="K104" i="8" a="1"/>
  <c r="K104" i="8" s="1"/>
  <c r="D104" i="8"/>
  <c r="H104" i="8"/>
  <c r="E103" i="8"/>
  <c r="F103" i="8"/>
  <c r="A105" i="8"/>
  <c r="B105" i="8" s="1" a="1"/>
  <c r="B105" i="8" s="1"/>
  <c r="C104" i="8"/>
  <c r="G104" i="8" a="1"/>
  <c r="G104" i="8" s="1"/>
  <c r="I105" i="8" l="1"/>
  <c r="N105" i="8" a="1"/>
  <c r="N105" i="8" s="1"/>
  <c r="M105" i="8" a="1"/>
  <c r="M105" i="8" s="1"/>
  <c r="L105" i="8" a="1"/>
  <c r="L105" i="8" s="1"/>
  <c r="K105" i="8" a="1"/>
  <c r="K105" i="8" s="1"/>
  <c r="D105" i="8"/>
  <c r="H105" i="8"/>
  <c r="E104" i="8"/>
  <c r="F104" i="8"/>
  <c r="A106" i="8"/>
  <c r="B106" i="8" s="1" a="1"/>
  <c r="B106" i="8" s="1"/>
  <c r="C105" i="8"/>
  <c r="G105" i="8" a="1"/>
  <c r="G105" i="8" s="1"/>
  <c r="I106" i="8" l="1"/>
  <c r="N106" i="8" a="1"/>
  <c r="N106" i="8" s="1"/>
  <c r="M106" i="8" a="1"/>
  <c r="M106" i="8" s="1"/>
  <c r="L106" i="8" a="1"/>
  <c r="L106" i="8" s="1"/>
  <c r="K106" i="8" a="1"/>
  <c r="K106" i="8" s="1"/>
  <c r="D106" i="8"/>
  <c r="H106" i="8"/>
  <c r="E105" i="8"/>
  <c r="F105" i="8"/>
  <c r="A107" i="8"/>
  <c r="B107" i="8" s="1" a="1"/>
  <c r="B107" i="8" s="1"/>
  <c r="C106" i="8"/>
  <c r="G106" i="8" a="1"/>
  <c r="G106" i="8" s="1"/>
  <c r="I107" i="8" l="1"/>
  <c r="N107" i="8" a="1"/>
  <c r="N107" i="8" s="1"/>
  <c r="M107" i="8" a="1"/>
  <c r="M107" i="8" s="1"/>
  <c r="L107" i="8" a="1"/>
  <c r="L107" i="8" s="1"/>
  <c r="K107" i="8" a="1"/>
  <c r="K107" i="8" s="1"/>
  <c r="D107" i="8"/>
  <c r="H107" i="8"/>
  <c r="E106" i="8"/>
  <c r="F106" i="8"/>
  <c r="A108" i="8"/>
  <c r="B108" i="8" s="1" a="1"/>
  <c r="B108" i="8" s="1"/>
  <c r="C107" i="8"/>
  <c r="G107" i="8" a="1"/>
  <c r="G107" i="8" s="1"/>
  <c r="I108" i="8" l="1"/>
  <c r="N108" i="8" a="1"/>
  <c r="N108" i="8" s="1"/>
  <c r="M108" i="8" a="1"/>
  <c r="M108" i="8" s="1"/>
  <c r="L108" i="8" a="1"/>
  <c r="L108" i="8" s="1"/>
  <c r="K108" i="8" a="1"/>
  <c r="K108" i="8" s="1"/>
  <c r="D108" i="8"/>
  <c r="H108" i="8"/>
  <c r="E107" i="8"/>
  <c r="F107" i="8"/>
  <c r="A109" i="8"/>
  <c r="B109" i="8" s="1" a="1"/>
  <c r="B109" i="8" s="1"/>
  <c r="C108" i="8"/>
  <c r="G108" i="8" a="1"/>
  <c r="G108" i="8" s="1"/>
  <c r="I109" i="8" l="1"/>
  <c r="N109" i="8" a="1"/>
  <c r="N109" i="8" s="1"/>
  <c r="M109" i="8" a="1"/>
  <c r="M109" i="8" s="1"/>
  <c r="L109" i="8" a="1"/>
  <c r="L109" i="8" s="1"/>
  <c r="K109" i="8" a="1"/>
  <c r="K109" i="8" s="1"/>
  <c r="D109" i="8"/>
  <c r="H109" i="8"/>
  <c r="E108" i="8"/>
  <c r="F108" i="8"/>
  <c r="A110" i="8"/>
  <c r="B110" i="8" s="1" a="1"/>
  <c r="B110" i="8" s="1"/>
  <c r="C109" i="8"/>
  <c r="G109" i="8" a="1"/>
  <c r="G109" i="8" s="1"/>
  <c r="I110" i="8" l="1"/>
  <c r="M110" i="8" a="1"/>
  <c r="M110" i="8" s="1"/>
  <c r="N110" i="8" a="1"/>
  <c r="N110" i="8" s="1"/>
  <c r="L110" i="8" a="1"/>
  <c r="L110" i="8" s="1"/>
  <c r="K110" i="8" a="1"/>
  <c r="K110" i="8" s="1"/>
  <c r="D110" i="8"/>
  <c r="H110" i="8"/>
  <c r="E109" i="8"/>
  <c r="F109" i="8"/>
  <c r="A111" i="8"/>
  <c r="B111" i="8" s="1" a="1"/>
  <c r="B111" i="8" s="1"/>
  <c r="C110" i="8"/>
  <c r="G110" i="8" a="1"/>
  <c r="G110" i="8" s="1"/>
  <c r="I111" i="8" l="1"/>
  <c r="M111" i="8" a="1"/>
  <c r="M111" i="8" s="1"/>
  <c r="N111" i="8" a="1"/>
  <c r="N111" i="8" s="1"/>
  <c r="K111" i="8" a="1"/>
  <c r="K111" i="8" s="1"/>
  <c r="L111" i="8" a="1"/>
  <c r="L111" i="8" s="1"/>
  <c r="D111" i="8"/>
  <c r="H111" i="8"/>
  <c r="E110" i="8"/>
  <c r="F110" i="8"/>
  <c r="A112" i="8"/>
  <c r="B112" i="8" s="1" a="1"/>
  <c r="B112" i="8" s="1"/>
  <c r="C111" i="8"/>
  <c r="G111" i="8" a="1"/>
  <c r="G111" i="8" s="1"/>
  <c r="I112" i="8" l="1"/>
  <c r="N112" i="8" a="1"/>
  <c r="N112" i="8" s="1"/>
  <c r="M112" i="8" a="1"/>
  <c r="M112" i="8" s="1"/>
  <c r="L112" i="8" a="1"/>
  <c r="L112" i="8" s="1"/>
  <c r="K112" i="8" a="1"/>
  <c r="K112" i="8" s="1"/>
  <c r="D112" i="8"/>
  <c r="H112" i="8"/>
  <c r="E111" i="8"/>
  <c r="F111" i="8"/>
  <c r="A113" i="8"/>
  <c r="B113" i="8" s="1" a="1"/>
  <c r="B113" i="8" s="1"/>
  <c r="C112" i="8"/>
  <c r="G112" i="8" a="1"/>
  <c r="G112" i="8" s="1"/>
  <c r="I113" i="8" l="1"/>
  <c r="N113" i="8" a="1"/>
  <c r="N113" i="8" s="1"/>
  <c r="M113" i="8" a="1"/>
  <c r="M113" i="8" s="1"/>
  <c r="L113" i="8" a="1"/>
  <c r="L113" i="8" s="1"/>
  <c r="K113" i="8" a="1"/>
  <c r="K113" i="8" s="1"/>
  <c r="D113" i="8"/>
  <c r="H113" i="8"/>
  <c r="E112" i="8"/>
  <c r="F112" i="8"/>
  <c r="A114" i="8"/>
  <c r="B114" i="8" s="1" a="1"/>
  <c r="B114" i="8" s="1"/>
  <c r="C113" i="8"/>
  <c r="G113" i="8" a="1"/>
  <c r="G113" i="8" s="1"/>
  <c r="I114" i="8" l="1"/>
  <c r="N114" i="8" a="1"/>
  <c r="N114" i="8" s="1"/>
  <c r="M114" i="8" a="1"/>
  <c r="M114" i="8" s="1"/>
  <c r="L114" i="8" a="1"/>
  <c r="L114" i="8" s="1"/>
  <c r="K114" i="8" a="1"/>
  <c r="K114" i="8" s="1"/>
  <c r="D114" i="8"/>
  <c r="H114" i="8"/>
  <c r="E113" i="8"/>
  <c r="F113" i="8"/>
  <c r="A115" i="8"/>
  <c r="B115" i="8" s="1" a="1"/>
  <c r="B115" i="8" s="1"/>
  <c r="C114" i="8"/>
  <c r="G114" i="8" a="1"/>
  <c r="G114" i="8" s="1"/>
  <c r="I115" i="8" l="1"/>
  <c r="N115" i="8" a="1"/>
  <c r="N115" i="8" s="1"/>
  <c r="M115" i="8" a="1"/>
  <c r="M115" i="8" s="1"/>
  <c r="L115" i="8" a="1"/>
  <c r="L115" i="8" s="1"/>
  <c r="K115" i="8" a="1"/>
  <c r="K115" i="8" s="1"/>
  <c r="D115" i="8"/>
  <c r="H115" i="8"/>
  <c r="E114" i="8"/>
  <c r="F114" i="8"/>
  <c r="A116" i="8"/>
  <c r="B116" i="8" s="1" a="1"/>
  <c r="B116" i="8" s="1"/>
  <c r="C115" i="8"/>
  <c r="G115" i="8" a="1"/>
  <c r="G115" i="8" s="1"/>
  <c r="I116" i="8" l="1"/>
  <c r="M116" i="8" a="1"/>
  <c r="M116" i="8" s="1"/>
  <c r="N116" i="8" a="1"/>
  <c r="N116" i="8" s="1"/>
  <c r="L116" i="8" a="1"/>
  <c r="L116" i="8" s="1"/>
  <c r="K116" i="8" a="1"/>
  <c r="K116" i="8" s="1"/>
  <c r="D116" i="8"/>
  <c r="H116" i="8"/>
  <c r="E115" i="8"/>
  <c r="F115" i="8"/>
  <c r="A117" i="8"/>
  <c r="B117" i="8" s="1" a="1"/>
  <c r="B117" i="8" s="1"/>
  <c r="C116" i="8"/>
  <c r="G116" i="8" a="1"/>
  <c r="G116" i="8" s="1"/>
  <c r="I117" i="8" l="1"/>
  <c r="N117" i="8" a="1"/>
  <c r="N117" i="8" s="1"/>
  <c r="M117" i="8" a="1"/>
  <c r="M117" i="8" s="1"/>
  <c r="L117" i="8" a="1"/>
  <c r="L117" i="8" s="1"/>
  <c r="K117" i="8" a="1"/>
  <c r="K117" i="8" s="1"/>
  <c r="D117" i="8"/>
  <c r="H117" i="8"/>
  <c r="E116" i="8"/>
  <c r="F116" i="8"/>
  <c r="A118" i="8"/>
  <c r="B118" i="8" s="1" a="1"/>
  <c r="B118" i="8" s="1"/>
  <c r="C117" i="8"/>
  <c r="G117" i="8" a="1"/>
  <c r="G117" i="8" s="1"/>
  <c r="I118" i="8" l="1"/>
  <c r="M118" i="8" a="1"/>
  <c r="M118" i="8" s="1"/>
  <c r="N118" i="8" a="1"/>
  <c r="N118" i="8" s="1"/>
  <c r="L118" i="8" a="1"/>
  <c r="L118" i="8" s="1"/>
  <c r="K118" i="8" a="1"/>
  <c r="K118" i="8" s="1"/>
  <c r="D118" i="8"/>
  <c r="H118" i="8"/>
  <c r="E117" i="8"/>
  <c r="F117" i="8"/>
  <c r="A119" i="8"/>
  <c r="B119" i="8" s="1" a="1"/>
  <c r="B119" i="8" s="1"/>
  <c r="C118" i="8"/>
  <c r="G118" i="8" a="1"/>
  <c r="G118" i="8" s="1"/>
  <c r="I119" i="8" l="1"/>
  <c r="N119" i="8" a="1"/>
  <c r="N119" i="8" s="1"/>
  <c r="M119" i="8" a="1"/>
  <c r="M119" i="8" s="1"/>
  <c r="L119" i="8" a="1"/>
  <c r="L119" i="8" s="1"/>
  <c r="K119" i="8" a="1"/>
  <c r="K119" i="8" s="1"/>
  <c r="D119" i="8"/>
  <c r="H119" i="8"/>
  <c r="E118" i="8"/>
  <c r="F118" i="8"/>
  <c r="A120" i="8"/>
  <c r="B120" i="8" s="1" a="1"/>
  <c r="B120" i="8" s="1"/>
  <c r="C119" i="8"/>
  <c r="G119" i="8" a="1"/>
  <c r="G119" i="8" s="1"/>
  <c r="I120" i="8" l="1"/>
  <c r="N120" i="8" a="1"/>
  <c r="N120" i="8" s="1"/>
  <c r="M120" i="8" a="1"/>
  <c r="M120" i="8" s="1"/>
  <c r="L120" i="8" a="1"/>
  <c r="L120" i="8" s="1"/>
  <c r="K120" i="8" a="1"/>
  <c r="K120" i="8" s="1"/>
  <c r="D120" i="8"/>
  <c r="H120" i="8"/>
  <c r="E119" i="8"/>
  <c r="F119" i="8"/>
  <c r="A121" i="8"/>
  <c r="B121" i="8" s="1" a="1"/>
  <c r="B121" i="8" s="1"/>
  <c r="C120" i="8"/>
  <c r="G120" i="8" a="1"/>
  <c r="G120" i="8" s="1"/>
  <c r="I121" i="8" l="1"/>
  <c r="N121" i="8" a="1"/>
  <c r="N121" i="8" s="1"/>
  <c r="M121" i="8" a="1"/>
  <c r="M121" i="8" s="1"/>
  <c r="L121" i="8" a="1"/>
  <c r="L121" i="8" s="1"/>
  <c r="K121" i="8" a="1"/>
  <c r="K121" i="8" s="1"/>
  <c r="D121" i="8"/>
  <c r="H121" i="8"/>
  <c r="E120" i="8"/>
  <c r="F120" i="8"/>
  <c r="A122" i="8"/>
  <c r="B122" i="8" s="1" a="1"/>
  <c r="B122" i="8" s="1"/>
  <c r="C121" i="8"/>
  <c r="G121" i="8" a="1"/>
  <c r="G121" i="8" s="1"/>
  <c r="I122" i="8" l="1"/>
  <c r="N122" i="8" a="1"/>
  <c r="N122" i="8" s="1"/>
  <c r="L122" i="8" a="1"/>
  <c r="L122" i="8" s="1"/>
  <c r="M122" i="8" a="1"/>
  <c r="M122" i="8" s="1"/>
  <c r="K122" i="8" a="1"/>
  <c r="K122" i="8" s="1"/>
  <c r="D122" i="8"/>
  <c r="H122" i="8"/>
  <c r="E121" i="8"/>
  <c r="F121" i="8"/>
  <c r="A123" i="8"/>
  <c r="B123" i="8" s="1" a="1"/>
  <c r="B123" i="8" s="1"/>
  <c r="C122" i="8"/>
  <c r="I123" i="8" l="1"/>
  <c r="N123" i="8" a="1"/>
  <c r="N123" i="8" s="1"/>
  <c r="M123" i="8" a="1"/>
  <c r="M123" i="8" s="1"/>
  <c r="L123" i="8" a="1"/>
  <c r="L123" i="8" s="1"/>
  <c r="K123" i="8" a="1"/>
  <c r="K123" i="8" s="1"/>
  <c r="G122" i="8" a="1"/>
  <c r="G122" i="8" s="1"/>
  <c r="D123" i="8"/>
  <c r="H123" i="8"/>
  <c r="E122" i="8"/>
  <c r="F122" i="8"/>
  <c r="A124" i="8"/>
  <c r="B124" i="8" s="1" a="1"/>
  <c r="B124" i="8" s="1"/>
  <c r="C123" i="8"/>
  <c r="G123" i="8" a="1"/>
  <c r="G123" i="8" s="1"/>
  <c r="I124" i="8" l="1"/>
  <c r="N124" i="8" a="1"/>
  <c r="N124" i="8" s="1"/>
  <c r="M124" i="8" a="1"/>
  <c r="M124" i="8" s="1"/>
  <c r="L124" i="8" a="1"/>
  <c r="L124" i="8" s="1"/>
  <c r="K124" i="8" a="1"/>
  <c r="K124" i="8" s="1"/>
  <c r="D124" i="8"/>
  <c r="H124" i="8"/>
  <c r="E123" i="8"/>
  <c r="F123" i="8"/>
  <c r="A125" i="8"/>
  <c r="B125" i="8" s="1" a="1"/>
  <c r="B125" i="8" s="1"/>
  <c r="C124" i="8"/>
  <c r="G124" i="8" a="1"/>
  <c r="G124" i="8" s="1"/>
  <c r="I125" i="8" l="1"/>
  <c r="N125" i="8" a="1"/>
  <c r="N125" i="8" s="1"/>
  <c r="M125" i="8" a="1"/>
  <c r="M125" i="8" s="1"/>
  <c r="L125" i="8" a="1"/>
  <c r="L125" i="8" s="1"/>
  <c r="K125" i="8" a="1"/>
  <c r="K125" i="8" s="1"/>
  <c r="D125" i="8"/>
  <c r="H125" i="8"/>
  <c r="E124" i="8"/>
  <c r="F124" i="8"/>
  <c r="A126" i="8"/>
  <c r="B126" i="8" s="1" a="1"/>
  <c r="B126" i="8" s="1"/>
  <c r="C125" i="8"/>
  <c r="G125" i="8" a="1"/>
  <c r="G125" i="8" s="1"/>
  <c r="I126" i="8" l="1"/>
  <c r="N126" i="8" a="1"/>
  <c r="N126" i="8" s="1"/>
  <c r="M126" i="8" a="1"/>
  <c r="M126" i="8" s="1"/>
  <c r="L126" i="8" a="1"/>
  <c r="L126" i="8" s="1"/>
  <c r="K126" i="8" a="1"/>
  <c r="K126" i="8" s="1"/>
  <c r="D126" i="8"/>
  <c r="H126" i="8"/>
  <c r="E125" i="8"/>
  <c r="F125" i="8"/>
  <c r="A127" i="8"/>
  <c r="B127" i="8" s="1" a="1"/>
  <c r="B127" i="8" s="1"/>
  <c r="C126" i="8"/>
  <c r="G126" i="8" a="1"/>
  <c r="G126" i="8" s="1"/>
  <c r="I127" i="8" l="1"/>
  <c r="N127" i="8" a="1"/>
  <c r="N127" i="8" s="1"/>
  <c r="M127" i="8" a="1"/>
  <c r="M127" i="8" s="1"/>
  <c r="L127" i="8" a="1"/>
  <c r="L127" i="8" s="1"/>
  <c r="K127" i="8" a="1"/>
  <c r="K127" i="8" s="1"/>
  <c r="D127" i="8"/>
  <c r="H127" i="8"/>
  <c r="E126" i="8"/>
  <c r="F126" i="8"/>
  <c r="A128" i="8"/>
  <c r="B128" i="8" s="1" a="1"/>
  <c r="B128" i="8" s="1"/>
  <c r="C127" i="8"/>
  <c r="G127" i="8" a="1"/>
  <c r="G127" i="8" s="1"/>
  <c r="I128" i="8" l="1"/>
  <c r="M128" i="8" a="1"/>
  <c r="M128" i="8" s="1"/>
  <c r="N128" i="8" a="1"/>
  <c r="N128" i="8" s="1"/>
  <c r="L128" i="8" a="1"/>
  <c r="L128" i="8" s="1"/>
  <c r="K128" i="8" a="1"/>
  <c r="K128" i="8" s="1"/>
  <c r="D128" i="8"/>
  <c r="H128" i="8"/>
  <c r="E127" i="8"/>
  <c r="F127" i="8"/>
  <c r="A129" i="8"/>
  <c r="B129" i="8" s="1" a="1"/>
  <c r="B129" i="8" s="1"/>
  <c r="C128" i="8"/>
  <c r="G128" i="8" a="1"/>
  <c r="G128" i="8" s="1"/>
  <c r="I129" i="8" l="1"/>
  <c r="N129" i="8" a="1"/>
  <c r="N129" i="8" s="1"/>
  <c r="M129" i="8" a="1"/>
  <c r="M129" i="8" s="1"/>
  <c r="L129" i="8" a="1"/>
  <c r="L129" i="8" s="1"/>
  <c r="K129" i="8" a="1"/>
  <c r="K129" i="8" s="1"/>
  <c r="D129" i="8"/>
  <c r="H129" i="8"/>
  <c r="E128" i="8"/>
  <c r="F128" i="8"/>
  <c r="A130" i="8"/>
  <c r="B130" i="8" s="1" a="1"/>
  <c r="B130" i="8" s="1"/>
  <c r="C129" i="8"/>
  <c r="G129" i="8" a="1"/>
  <c r="G129" i="8" s="1"/>
  <c r="I130" i="8" l="1"/>
  <c r="N130" i="8" a="1"/>
  <c r="N130" i="8" s="1"/>
  <c r="M130" i="8" a="1"/>
  <c r="M130" i="8" s="1"/>
  <c r="L130" i="8" a="1"/>
  <c r="L130" i="8" s="1"/>
  <c r="K130" i="8" a="1"/>
  <c r="K130" i="8" s="1"/>
  <c r="D130" i="8"/>
  <c r="H130" i="8"/>
  <c r="E129" i="8"/>
  <c r="F129" i="8"/>
  <c r="A131" i="8"/>
  <c r="B131" i="8" s="1" a="1"/>
  <c r="B131" i="8" s="1"/>
  <c r="C130" i="8"/>
  <c r="G130" i="8" a="1"/>
  <c r="G130" i="8" s="1"/>
  <c r="I131" i="8" l="1"/>
  <c r="N131" i="8" a="1"/>
  <c r="N131" i="8" s="1"/>
  <c r="M131" i="8" a="1"/>
  <c r="M131" i="8" s="1"/>
  <c r="L131" i="8" a="1"/>
  <c r="L131" i="8" s="1"/>
  <c r="K131" i="8" a="1"/>
  <c r="K131" i="8" s="1"/>
  <c r="D131" i="8"/>
  <c r="H131" i="8"/>
  <c r="E130" i="8"/>
  <c r="F130" i="8"/>
  <c r="A132" i="8"/>
  <c r="B132" i="8" s="1" a="1"/>
  <c r="B132" i="8" s="1"/>
  <c r="C131" i="8"/>
  <c r="G131" i="8" a="1"/>
  <c r="G131" i="8" s="1"/>
  <c r="I132" i="8" l="1"/>
  <c r="N132" i="8" a="1"/>
  <c r="N132" i="8" s="1"/>
  <c r="M132" i="8" a="1"/>
  <c r="M132" i="8" s="1"/>
  <c r="L132" i="8" a="1"/>
  <c r="L132" i="8" s="1"/>
  <c r="K132" i="8" a="1"/>
  <c r="K132" i="8" s="1"/>
  <c r="D132" i="8"/>
  <c r="H132" i="8"/>
  <c r="E131" i="8"/>
  <c r="F131" i="8"/>
  <c r="A133" i="8"/>
  <c r="B133" i="8" s="1" a="1"/>
  <c r="B133" i="8" s="1"/>
  <c r="C132" i="8"/>
  <c r="G132" i="8" a="1"/>
  <c r="G132" i="8" s="1"/>
  <c r="I133" i="8" l="1"/>
  <c r="N133" i="8" a="1"/>
  <c r="N133" i="8" s="1"/>
  <c r="M133" i="8" a="1"/>
  <c r="M133" i="8" s="1"/>
  <c r="L133" i="8" a="1"/>
  <c r="L133" i="8" s="1"/>
  <c r="K133" i="8" a="1"/>
  <c r="K133" i="8" s="1"/>
  <c r="D133" i="8"/>
  <c r="H133" i="8"/>
  <c r="E132" i="8"/>
  <c r="F132" i="8"/>
  <c r="A134" i="8"/>
  <c r="B134" i="8" s="1" a="1"/>
  <c r="B134" i="8" s="1"/>
  <c r="C133" i="8"/>
  <c r="G133" i="8" a="1"/>
  <c r="G133" i="8" s="1"/>
  <c r="I134" i="8" l="1"/>
  <c r="N134" i="8" a="1"/>
  <c r="N134" i="8" s="1"/>
  <c r="M134" i="8" a="1"/>
  <c r="M134" i="8" s="1"/>
  <c r="L134" i="8" a="1"/>
  <c r="L134" i="8" s="1"/>
  <c r="K134" i="8" a="1"/>
  <c r="K134" i="8" s="1"/>
  <c r="D134" i="8"/>
  <c r="H134" i="8"/>
  <c r="E133" i="8"/>
  <c r="F133" i="8"/>
  <c r="A135" i="8"/>
  <c r="B135" i="8" s="1" a="1"/>
  <c r="B135" i="8" s="1"/>
  <c r="C134" i="8"/>
  <c r="G134" i="8" a="1"/>
  <c r="G134" i="8" s="1"/>
  <c r="I135" i="8" l="1"/>
  <c r="N135" i="8" a="1"/>
  <c r="N135" i="8" s="1"/>
  <c r="M135" i="8" a="1"/>
  <c r="M135" i="8" s="1"/>
  <c r="L135" i="8" a="1"/>
  <c r="L135" i="8" s="1"/>
  <c r="K135" i="8" a="1"/>
  <c r="K135" i="8" s="1"/>
  <c r="D135" i="8"/>
  <c r="H135" i="8"/>
  <c r="E134" i="8"/>
  <c r="F134" i="8"/>
  <c r="A136" i="8"/>
  <c r="B136" i="8" s="1" a="1"/>
  <c r="B136" i="8" s="1"/>
  <c r="C135" i="8"/>
  <c r="G135" i="8" a="1"/>
  <c r="G135" i="8" s="1"/>
  <c r="I136" i="8" l="1"/>
  <c r="N136" i="8" a="1"/>
  <c r="N136" i="8" s="1"/>
  <c r="M136" i="8" a="1"/>
  <c r="M136" i="8" s="1"/>
  <c r="L136" i="8" a="1"/>
  <c r="L136" i="8" s="1"/>
  <c r="K136" i="8" a="1"/>
  <c r="K136" i="8" s="1"/>
  <c r="D136" i="8"/>
  <c r="H136" i="8"/>
  <c r="E135" i="8"/>
  <c r="F135" i="8"/>
  <c r="A137" i="8"/>
  <c r="B137" i="8" s="1" a="1"/>
  <c r="B137" i="8" s="1"/>
  <c r="C136" i="8"/>
  <c r="G136" i="8" a="1"/>
  <c r="G136" i="8" s="1"/>
  <c r="I137" i="8" l="1"/>
  <c r="N137" i="8" a="1"/>
  <c r="N137" i="8" s="1"/>
  <c r="M137" i="8" a="1"/>
  <c r="M137" i="8" s="1"/>
  <c r="L137" i="8" a="1"/>
  <c r="L137" i="8" s="1"/>
  <c r="K137" i="8" a="1"/>
  <c r="K137" i="8" s="1"/>
  <c r="D137" i="8"/>
  <c r="H137" i="8"/>
  <c r="E136" i="8"/>
  <c r="F136" i="8"/>
  <c r="A138" i="8"/>
  <c r="B138" i="8" s="1" a="1"/>
  <c r="B138" i="8" s="1"/>
  <c r="C137" i="8"/>
  <c r="G137" i="8" a="1"/>
  <c r="G137" i="8" s="1"/>
  <c r="I138" i="8" l="1"/>
  <c r="N138" i="8" a="1"/>
  <c r="N138" i="8" s="1"/>
  <c r="M138" i="8" a="1"/>
  <c r="M138" i="8" s="1"/>
  <c r="L138" i="8" a="1"/>
  <c r="L138" i="8" s="1"/>
  <c r="K138" i="8" a="1"/>
  <c r="K138" i="8" s="1"/>
  <c r="D138" i="8"/>
  <c r="H138" i="8"/>
  <c r="E137" i="8"/>
  <c r="F137" i="8"/>
  <c r="A139" i="8"/>
  <c r="B139" i="8" s="1" a="1"/>
  <c r="B139" i="8" s="1"/>
  <c r="C138" i="8"/>
  <c r="G138" i="8" a="1"/>
  <c r="G138" i="8" s="1"/>
  <c r="I139" i="8" l="1"/>
  <c r="M139" i="8" a="1"/>
  <c r="M139" i="8" s="1"/>
  <c r="N139" i="8" a="1"/>
  <c r="N139" i="8" s="1"/>
  <c r="L139" i="8" a="1"/>
  <c r="L139" i="8" s="1"/>
  <c r="K139" i="8" a="1"/>
  <c r="K139" i="8" s="1"/>
  <c r="D139" i="8"/>
  <c r="H139" i="8"/>
  <c r="E138" i="8"/>
  <c r="F138" i="8"/>
  <c r="A140" i="8"/>
  <c r="B140" i="8" s="1" a="1"/>
  <c r="B140" i="8" s="1"/>
  <c r="C139" i="8"/>
  <c r="G139" i="8" a="1"/>
  <c r="G139" i="8" s="1"/>
  <c r="I140" i="8" l="1"/>
  <c r="N140" i="8" a="1"/>
  <c r="N140" i="8" s="1"/>
  <c r="M140" i="8" a="1"/>
  <c r="M140" i="8" s="1"/>
  <c r="L140" i="8" a="1"/>
  <c r="L140" i="8" s="1"/>
  <c r="K140" i="8" a="1"/>
  <c r="K140" i="8" s="1"/>
  <c r="D140" i="8"/>
  <c r="H140" i="8"/>
  <c r="E139" i="8"/>
  <c r="F139" i="8"/>
  <c r="A141" i="8"/>
  <c r="B141" i="8" s="1" a="1"/>
  <c r="B141" i="8" s="1"/>
  <c r="C140" i="8"/>
  <c r="G140" i="8" a="1"/>
  <c r="G140" i="8" s="1"/>
  <c r="I141" i="8" l="1"/>
  <c r="N141" i="8" a="1"/>
  <c r="N141" i="8" s="1"/>
  <c r="M141" i="8" a="1"/>
  <c r="M141" i="8" s="1"/>
  <c r="L141" i="8" a="1"/>
  <c r="L141" i="8" s="1"/>
  <c r="K141" i="8" a="1"/>
  <c r="K141" i="8" s="1"/>
  <c r="D141" i="8"/>
  <c r="H141" i="8"/>
  <c r="E140" i="8"/>
  <c r="F140" i="8"/>
  <c r="A142" i="8"/>
  <c r="B142" i="8" s="1" a="1"/>
  <c r="B142" i="8" s="1"/>
  <c r="C141" i="8"/>
  <c r="G141" i="8" a="1"/>
  <c r="G141" i="8" s="1"/>
  <c r="I142" i="8" l="1"/>
  <c r="N142" i="8" a="1"/>
  <c r="N142" i="8" s="1"/>
  <c r="M142" i="8" a="1"/>
  <c r="M142" i="8" s="1"/>
  <c r="L142" i="8" a="1"/>
  <c r="L142" i="8" s="1"/>
  <c r="K142" i="8" a="1"/>
  <c r="K142" i="8" s="1"/>
  <c r="D142" i="8"/>
  <c r="H142" i="8"/>
  <c r="E141" i="8"/>
  <c r="F141" i="8"/>
  <c r="A143" i="8"/>
  <c r="B143" i="8" s="1" a="1"/>
  <c r="B143" i="8" s="1"/>
  <c r="C142" i="8"/>
  <c r="G142" i="8" a="1"/>
  <c r="G142" i="8" s="1"/>
  <c r="I143" i="8" l="1"/>
  <c r="N143" i="8" a="1"/>
  <c r="N143" i="8" s="1"/>
  <c r="M143" i="8" a="1"/>
  <c r="M143" i="8" s="1"/>
  <c r="L143" i="8" a="1"/>
  <c r="L143" i="8" s="1"/>
  <c r="K143" i="8" a="1"/>
  <c r="K143" i="8" s="1"/>
  <c r="D143" i="8"/>
  <c r="H143" i="8"/>
  <c r="E142" i="8"/>
  <c r="F142" i="8"/>
  <c r="A144" i="8"/>
  <c r="B144" i="8" s="1" a="1"/>
  <c r="B144" i="8" s="1"/>
  <c r="C143" i="8"/>
  <c r="G143" i="8" a="1"/>
  <c r="G143" i="8" s="1"/>
  <c r="I144" i="8" l="1"/>
  <c r="N144" i="8" a="1"/>
  <c r="N144" i="8" s="1"/>
  <c r="M144" i="8" a="1"/>
  <c r="M144" i="8" s="1"/>
  <c r="L144" i="8" a="1"/>
  <c r="L144" i="8" s="1"/>
  <c r="K144" i="8" a="1"/>
  <c r="K144" i="8" s="1"/>
  <c r="D144" i="8"/>
  <c r="H144" i="8"/>
  <c r="E143" i="8"/>
  <c r="F143" i="8"/>
  <c r="A145" i="8"/>
  <c r="B145" i="8" s="1" a="1"/>
  <c r="B145" i="8" s="1"/>
  <c r="C144" i="8"/>
  <c r="G144" i="8" a="1"/>
  <c r="G144" i="8" s="1"/>
  <c r="I145" i="8" l="1"/>
  <c r="N145" i="8" a="1"/>
  <c r="N145" i="8" s="1"/>
  <c r="M145" i="8" a="1"/>
  <c r="M145" i="8" s="1"/>
  <c r="L145" i="8" a="1"/>
  <c r="L145" i="8" s="1"/>
  <c r="K145" i="8" a="1"/>
  <c r="K145" i="8" s="1"/>
  <c r="D145" i="8"/>
  <c r="H145" i="8"/>
  <c r="E144" i="8"/>
  <c r="F144" i="8"/>
  <c r="A146" i="8"/>
  <c r="B146" i="8" s="1" a="1"/>
  <c r="B146" i="8" s="1"/>
  <c r="C145" i="8"/>
  <c r="G145" i="8" a="1"/>
  <c r="G145" i="8" s="1"/>
  <c r="I146" i="8" l="1"/>
  <c r="N146" i="8" a="1"/>
  <c r="N146" i="8" s="1"/>
  <c r="M146" i="8" a="1"/>
  <c r="M146" i="8" s="1"/>
  <c r="L146" i="8" a="1"/>
  <c r="L146" i="8" s="1"/>
  <c r="K146" i="8" a="1"/>
  <c r="K146" i="8" s="1"/>
  <c r="D146" i="8"/>
  <c r="H146" i="8"/>
  <c r="E145" i="8"/>
  <c r="F145" i="8"/>
  <c r="A147" i="8"/>
  <c r="B147" i="8" s="1" a="1"/>
  <c r="B147" i="8" s="1"/>
  <c r="C146" i="8"/>
  <c r="G146" i="8" a="1"/>
  <c r="G146" i="8" s="1"/>
  <c r="I147" i="8" l="1"/>
  <c r="N147" i="8" a="1"/>
  <c r="N147" i="8" s="1"/>
  <c r="M147" i="8" a="1"/>
  <c r="M147" i="8" s="1"/>
  <c r="L147" i="8" a="1"/>
  <c r="L147" i="8" s="1"/>
  <c r="K147" i="8" a="1"/>
  <c r="K147" i="8" s="1"/>
  <c r="D147" i="8"/>
  <c r="H147" i="8"/>
  <c r="E146" i="8"/>
  <c r="F146" i="8"/>
  <c r="A148" i="8"/>
  <c r="B148" i="8" s="1" a="1"/>
  <c r="B148" i="8" s="1"/>
  <c r="C147" i="8"/>
  <c r="G147" i="8" a="1"/>
  <c r="G147" i="8" s="1"/>
  <c r="I148" i="8" l="1"/>
  <c r="N148" i="8" a="1"/>
  <c r="N148" i="8" s="1"/>
  <c r="M148" i="8" a="1"/>
  <c r="M148" i="8" s="1"/>
  <c r="L148" i="8" a="1"/>
  <c r="L148" i="8" s="1"/>
  <c r="K148" i="8" a="1"/>
  <c r="K148" i="8" s="1"/>
  <c r="D148" i="8"/>
  <c r="H148" i="8"/>
  <c r="E147" i="8"/>
  <c r="F147" i="8"/>
  <c r="A149" i="8"/>
  <c r="B149" i="8" s="1" a="1"/>
  <c r="B149" i="8" s="1"/>
  <c r="C148" i="8"/>
  <c r="G148" i="8" a="1"/>
  <c r="G148" i="8" s="1"/>
  <c r="I149" i="8" l="1"/>
  <c r="N149" i="8" a="1"/>
  <c r="N149" i="8" s="1"/>
  <c r="M149" i="8" a="1"/>
  <c r="M149" i="8" s="1"/>
  <c r="L149" i="8" a="1"/>
  <c r="L149" i="8" s="1"/>
  <c r="K149" i="8" a="1"/>
  <c r="K149" i="8" s="1"/>
  <c r="D149" i="8"/>
  <c r="H149" i="8"/>
  <c r="E148" i="8"/>
  <c r="F148" i="8"/>
  <c r="A150" i="8"/>
  <c r="B150" i="8" s="1" a="1"/>
  <c r="B150" i="8" s="1"/>
  <c r="C149" i="8"/>
  <c r="G149" i="8" a="1"/>
  <c r="G149" i="8" s="1"/>
  <c r="I150" i="8" l="1"/>
  <c r="N150" i="8" a="1"/>
  <c r="N150" i="8" s="1"/>
  <c r="M150" i="8" a="1"/>
  <c r="M150" i="8" s="1"/>
  <c r="L150" i="8" a="1"/>
  <c r="L150" i="8" s="1"/>
  <c r="K150" i="8" a="1"/>
  <c r="K150" i="8" s="1"/>
  <c r="D150" i="8"/>
  <c r="H150" i="8"/>
  <c r="E149" i="8"/>
  <c r="F149" i="8"/>
  <c r="A151" i="8"/>
  <c r="B151" i="8" s="1" a="1"/>
  <c r="B151" i="8" s="1"/>
  <c r="C150" i="8"/>
  <c r="G150" i="8" a="1"/>
  <c r="G150" i="8" s="1"/>
  <c r="I151" i="8" l="1"/>
  <c r="N151" i="8" a="1"/>
  <c r="N151" i="8" s="1"/>
  <c r="L151" i="8" a="1"/>
  <c r="L151" i="8" s="1"/>
  <c r="M151" i="8" a="1"/>
  <c r="M151" i="8" s="1"/>
  <c r="K151" i="8" a="1"/>
  <c r="K151" i="8" s="1"/>
  <c r="D151" i="8"/>
  <c r="H151" i="8"/>
  <c r="E150" i="8"/>
  <c r="F150" i="8"/>
  <c r="A152" i="8"/>
  <c r="B152" i="8" s="1" a="1"/>
  <c r="B152" i="8" s="1"/>
  <c r="C151" i="8"/>
  <c r="G151" i="8" a="1"/>
  <c r="G151" i="8" s="1"/>
  <c r="I152" i="8" l="1"/>
  <c r="L152" i="8" a="1"/>
  <c r="L152" i="8" s="1"/>
  <c r="N152" i="8" a="1"/>
  <c r="N152" i="8" s="1"/>
  <c r="M152" i="8" a="1"/>
  <c r="M152" i="8" s="1"/>
  <c r="K152" i="8" a="1"/>
  <c r="K152" i="8" s="1"/>
  <c r="D152" i="8"/>
  <c r="H152" i="8"/>
  <c r="E151" i="8"/>
  <c r="F151" i="8"/>
  <c r="A153" i="8"/>
  <c r="B153" i="8" s="1" a="1"/>
  <c r="B153" i="8" s="1"/>
  <c r="C152" i="8"/>
  <c r="G152" i="8" a="1"/>
  <c r="G152" i="8" s="1"/>
  <c r="I153" i="8" l="1"/>
  <c r="N153" i="8" a="1"/>
  <c r="N153" i="8" s="1"/>
  <c r="M153" i="8" a="1"/>
  <c r="M153" i="8" s="1"/>
  <c r="L153" i="8" a="1"/>
  <c r="L153" i="8" s="1"/>
  <c r="K153" i="8" a="1"/>
  <c r="K153" i="8" s="1"/>
  <c r="D153" i="8"/>
  <c r="H153" i="8"/>
  <c r="E152" i="8"/>
  <c r="F152" i="8"/>
  <c r="A154" i="8"/>
  <c r="B154" i="8" s="1" a="1"/>
  <c r="B154" i="8" s="1"/>
  <c r="C153" i="8"/>
  <c r="I154" i="8" l="1"/>
  <c r="N154" i="8" a="1"/>
  <c r="N154" i="8" s="1"/>
  <c r="M154" i="8" a="1"/>
  <c r="M154" i="8" s="1"/>
  <c r="L154" i="8" a="1"/>
  <c r="L154" i="8" s="1"/>
  <c r="K154" i="8" a="1"/>
  <c r="K154" i="8" s="1"/>
  <c r="G153" i="8" a="1"/>
  <c r="G153" i="8" s="1"/>
  <c r="D154" i="8"/>
  <c r="H154" i="8"/>
  <c r="E153" i="8"/>
  <c r="F153" i="8"/>
  <c r="A155" i="8"/>
  <c r="B155" i="8" s="1" a="1"/>
  <c r="B155" i="8" s="1"/>
  <c r="C154" i="8"/>
  <c r="G154" i="8" a="1"/>
  <c r="G154" i="8" s="1"/>
  <c r="I155" i="8" l="1"/>
  <c r="N155" i="8" a="1"/>
  <c r="N155" i="8" s="1"/>
  <c r="M155" i="8" a="1"/>
  <c r="M155" i="8" s="1"/>
  <c r="L155" i="8" a="1"/>
  <c r="L155" i="8" s="1"/>
  <c r="K155" i="8" a="1"/>
  <c r="K155" i="8" s="1"/>
  <c r="D155" i="8"/>
  <c r="H155" i="8"/>
  <c r="E154" i="8"/>
  <c r="F154" i="8"/>
  <c r="A156" i="8"/>
  <c r="B156" i="8" s="1" a="1"/>
  <c r="B156" i="8" s="1"/>
  <c r="C155" i="8"/>
  <c r="G155" i="8" a="1"/>
  <c r="G155" i="8" s="1"/>
  <c r="I156" i="8" l="1"/>
  <c r="N156" i="8" a="1"/>
  <c r="N156" i="8" s="1"/>
  <c r="M156" i="8" a="1"/>
  <c r="M156" i="8" s="1"/>
  <c r="L156" i="8" a="1"/>
  <c r="L156" i="8" s="1"/>
  <c r="K156" i="8" a="1"/>
  <c r="K156" i="8" s="1"/>
  <c r="D156" i="8"/>
  <c r="H156" i="8"/>
  <c r="E155" i="8"/>
  <c r="F155" i="8"/>
  <c r="A157" i="8"/>
  <c r="B157" i="8" s="1" a="1"/>
  <c r="B157" i="8" s="1"/>
  <c r="C156" i="8"/>
  <c r="G156" i="8" a="1"/>
  <c r="G156" i="8" s="1"/>
  <c r="I157" i="8" l="1"/>
  <c r="N157" i="8" a="1"/>
  <c r="N157" i="8" s="1"/>
  <c r="L157" i="8" a="1"/>
  <c r="L157" i="8" s="1"/>
  <c r="M157" i="8" a="1"/>
  <c r="M157" i="8" s="1"/>
  <c r="K157" i="8" a="1"/>
  <c r="K157" i="8" s="1"/>
  <c r="D157" i="8"/>
  <c r="H157" i="8"/>
  <c r="E156" i="8"/>
  <c r="F156" i="8"/>
  <c r="A158" i="8"/>
  <c r="B158" i="8" s="1" a="1"/>
  <c r="B158" i="8" s="1"/>
  <c r="C157" i="8"/>
  <c r="G157" i="8" a="1"/>
  <c r="G157" i="8" s="1"/>
  <c r="I158" i="8" l="1"/>
  <c r="N158" i="8" a="1"/>
  <c r="N158" i="8" s="1"/>
  <c r="M158" i="8" a="1"/>
  <c r="M158" i="8" s="1"/>
  <c r="L158" i="8" a="1"/>
  <c r="L158" i="8" s="1"/>
  <c r="K158" i="8" a="1"/>
  <c r="K158" i="8" s="1"/>
  <c r="D158" i="8"/>
  <c r="H158" i="8"/>
  <c r="E157" i="8"/>
  <c r="F157" i="8"/>
  <c r="A159" i="8"/>
  <c r="B159" i="8" s="1" a="1"/>
  <c r="B159" i="8" s="1"/>
  <c r="C158" i="8"/>
  <c r="G158" i="8" a="1"/>
  <c r="G158" i="8" s="1"/>
  <c r="I159" i="8" l="1"/>
  <c r="N159" i="8" a="1"/>
  <c r="N159" i="8" s="1"/>
  <c r="M159" i="8" a="1"/>
  <c r="M159" i="8" s="1"/>
  <c r="K159" i="8" a="1"/>
  <c r="K159" i="8" s="1"/>
  <c r="L159" i="8" a="1"/>
  <c r="L159" i="8" s="1"/>
  <c r="D159" i="8"/>
  <c r="H159" i="8"/>
  <c r="E158" i="8"/>
  <c r="F158" i="8"/>
  <c r="A160" i="8"/>
  <c r="B160" i="8" s="1" a="1"/>
  <c r="B160" i="8" s="1"/>
  <c r="C159" i="8"/>
  <c r="G159" i="8" a="1"/>
  <c r="G159" i="8" s="1"/>
  <c r="I160" i="8" l="1"/>
  <c r="N160" i="8" a="1"/>
  <c r="N160" i="8" s="1"/>
  <c r="M160" i="8" a="1"/>
  <c r="M160" i="8" s="1"/>
  <c r="L160" i="8" a="1"/>
  <c r="L160" i="8" s="1"/>
  <c r="K160" i="8" a="1"/>
  <c r="K160" i="8" s="1"/>
  <c r="D160" i="8"/>
  <c r="H160" i="8"/>
  <c r="E159" i="8"/>
  <c r="F159" i="8"/>
  <c r="A161" i="8"/>
  <c r="B161" i="8" s="1" a="1"/>
  <c r="B161" i="8" s="1"/>
  <c r="C160" i="8"/>
  <c r="G160" i="8" a="1"/>
  <c r="G160" i="8" s="1"/>
  <c r="I161" i="8" l="1"/>
  <c r="N161" i="8" a="1"/>
  <c r="N161" i="8" s="1"/>
  <c r="M161" i="8" a="1"/>
  <c r="M161" i="8" s="1"/>
  <c r="L161" i="8" a="1"/>
  <c r="L161" i="8" s="1"/>
  <c r="K161" i="8" a="1"/>
  <c r="K161" i="8" s="1"/>
  <c r="D161" i="8"/>
  <c r="H161" i="8"/>
  <c r="E160" i="8"/>
  <c r="F160" i="8"/>
  <c r="A162" i="8"/>
  <c r="B162" i="8" s="1" a="1"/>
  <c r="B162" i="8" s="1"/>
  <c r="C161" i="8"/>
  <c r="G161" i="8" a="1"/>
  <c r="G161" i="8" s="1"/>
  <c r="I162" i="8" l="1"/>
  <c r="N162" i="8" a="1"/>
  <c r="N162" i="8" s="1"/>
  <c r="M162" i="8" a="1"/>
  <c r="M162" i="8" s="1"/>
  <c r="K162" i="8" a="1"/>
  <c r="K162" i="8" s="1"/>
  <c r="L162" i="8" a="1"/>
  <c r="L162" i="8" s="1"/>
  <c r="D162" i="8"/>
  <c r="H162" i="8"/>
  <c r="E161" i="8"/>
  <c r="F161" i="8"/>
  <c r="A163" i="8"/>
  <c r="B163" i="8" s="1" a="1"/>
  <c r="B163" i="8" s="1"/>
  <c r="C162" i="8"/>
  <c r="G162" i="8" a="1"/>
  <c r="G162" i="8" s="1"/>
  <c r="I163" i="8" l="1"/>
  <c r="N163" i="8" a="1"/>
  <c r="N163" i="8" s="1"/>
  <c r="M163" i="8" a="1"/>
  <c r="M163" i="8" s="1"/>
  <c r="L163" i="8" a="1"/>
  <c r="L163" i="8" s="1"/>
  <c r="K163" i="8" a="1"/>
  <c r="K163" i="8" s="1"/>
  <c r="D163" i="8"/>
  <c r="H163" i="8"/>
  <c r="E162" i="8"/>
  <c r="F162" i="8"/>
  <c r="A164" i="8"/>
  <c r="B164" i="8" s="1" a="1"/>
  <c r="B164" i="8" s="1"/>
  <c r="C163" i="8"/>
  <c r="G163" i="8" a="1"/>
  <c r="G163" i="8" s="1"/>
  <c r="I164" i="8" l="1"/>
  <c r="N164" i="8" a="1"/>
  <c r="N164" i="8" s="1"/>
  <c r="L164" i="8" a="1"/>
  <c r="L164" i="8" s="1"/>
  <c r="M164" i="8" a="1"/>
  <c r="M164" i="8" s="1"/>
  <c r="K164" i="8" a="1"/>
  <c r="K164" i="8" s="1"/>
  <c r="D164" i="8"/>
  <c r="H164" i="8"/>
  <c r="E163" i="8"/>
  <c r="F163" i="8"/>
  <c r="A165" i="8"/>
  <c r="B165" i="8" s="1" a="1"/>
  <c r="B165" i="8" s="1"/>
  <c r="C164" i="8"/>
  <c r="G164" i="8" a="1"/>
  <c r="G164" i="8" s="1"/>
  <c r="I165" i="8" l="1"/>
  <c r="N165" i="8" a="1"/>
  <c r="N165" i="8" s="1"/>
  <c r="M165" i="8" a="1"/>
  <c r="M165" i="8" s="1"/>
  <c r="L165" i="8" a="1"/>
  <c r="L165" i="8" s="1"/>
  <c r="K165" i="8" a="1"/>
  <c r="K165" i="8" s="1"/>
  <c r="D165" i="8"/>
  <c r="H165" i="8"/>
  <c r="E164" i="8"/>
  <c r="F164" i="8"/>
  <c r="A166" i="8"/>
  <c r="B166" i="8" s="1" a="1"/>
  <c r="B166" i="8" s="1"/>
  <c r="C165" i="8"/>
  <c r="G165" i="8" a="1"/>
  <c r="G165" i="8" s="1"/>
  <c r="I166" i="8" l="1"/>
  <c r="N166" i="8" a="1"/>
  <c r="N166" i="8" s="1"/>
  <c r="M166" i="8" a="1"/>
  <c r="M166" i="8" s="1"/>
  <c r="L166" i="8" a="1"/>
  <c r="L166" i="8" s="1"/>
  <c r="K166" i="8" a="1"/>
  <c r="K166" i="8" s="1"/>
  <c r="D166" i="8"/>
  <c r="H166" i="8"/>
  <c r="E165" i="8"/>
  <c r="F165" i="8"/>
  <c r="A167" i="8"/>
  <c r="B167" i="8" s="1" a="1"/>
  <c r="B167" i="8" s="1"/>
  <c r="C166" i="8"/>
  <c r="G166" i="8" a="1"/>
  <c r="G166" i="8" s="1"/>
  <c r="I167" i="8" l="1"/>
  <c r="N167" i="8" a="1"/>
  <c r="N167" i="8" s="1"/>
  <c r="M167" i="8" a="1"/>
  <c r="M167" i="8" s="1"/>
  <c r="L167" i="8" a="1"/>
  <c r="L167" i="8" s="1"/>
  <c r="K167" i="8" a="1"/>
  <c r="K167" i="8" s="1"/>
  <c r="D167" i="8"/>
  <c r="H167" i="8"/>
  <c r="E166" i="8"/>
  <c r="F166" i="8"/>
  <c r="A168" i="8"/>
  <c r="B168" i="8" s="1" a="1"/>
  <c r="B168" i="8" s="1"/>
  <c r="C167" i="8"/>
  <c r="G167" i="8" a="1"/>
  <c r="G167" i="8" s="1"/>
  <c r="I168" i="8" l="1"/>
  <c r="N168" i="8" a="1"/>
  <c r="N168" i="8" s="1"/>
  <c r="M168" i="8" a="1"/>
  <c r="M168" i="8" s="1"/>
  <c r="L168" i="8" a="1"/>
  <c r="L168" i="8" s="1"/>
  <c r="K168" i="8" a="1"/>
  <c r="K168" i="8" s="1"/>
  <c r="D168" i="8"/>
  <c r="H168" i="8"/>
  <c r="E167" i="8"/>
  <c r="F167" i="8"/>
  <c r="A169" i="8"/>
  <c r="B169" i="8" s="1" a="1"/>
  <c r="B169" i="8" s="1"/>
  <c r="C168" i="8"/>
  <c r="G168" i="8" a="1"/>
  <c r="G168" i="8" s="1"/>
  <c r="I169" i="8" l="1"/>
  <c r="N169" i="8" a="1"/>
  <c r="N169" i="8" s="1"/>
  <c r="M169" i="8" a="1"/>
  <c r="M169" i="8" s="1"/>
  <c r="L169" i="8" a="1"/>
  <c r="L169" i="8" s="1"/>
  <c r="K169" i="8" a="1"/>
  <c r="K169" i="8" s="1"/>
  <c r="D169" i="8"/>
  <c r="H169" i="8"/>
  <c r="E168" i="8"/>
  <c r="F168" i="8"/>
  <c r="A170" i="8"/>
  <c r="B170" i="8" s="1" a="1"/>
  <c r="B170" i="8" s="1"/>
  <c r="C169" i="8"/>
  <c r="G169" i="8" a="1"/>
  <c r="G169" i="8" s="1"/>
  <c r="I170" i="8" l="1"/>
  <c r="N170" i="8" a="1"/>
  <c r="N170" i="8" s="1"/>
  <c r="L170" i="8" a="1"/>
  <c r="L170" i="8" s="1"/>
  <c r="M170" i="8" a="1"/>
  <c r="M170" i="8" s="1"/>
  <c r="K170" i="8" a="1"/>
  <c r="K170" i="8" s="1"/>
  <c r="D170" i="8"/>
  <c r="H170" i="8"/>
  <c r="E169" i="8"/>
  <c r="F169" i="8"/>
  <c r="A171" i="8"/>
  <c r="B171" i="8" s="1" a="1"/>
  <c r="B171" i="8" s="1"/>
  <c r="C170" i="8"/>
  <c r="G170" i="8" a="1"/>
  <c r="G170" i="8" s="1"/>
  <c r="I171" i="8" l="1"/>
  <c r="N171" i="8" a="1"/>
  <c r="N171" i="8" s="1"/>
  <c r="M171" i="8" a="1"/>
  <c r="M171" i="8" s="1"/>
  <c r="L171" i="8" a="1"/>
  <c r="L171" i="8" s="1"/>
  <c r="K171" i="8" a="1"/>
  <c r="K171" i="8" s="1"/>
  <c r="D171" i="8"/>
  <c r="H171" i="8"/>
  <c r="E170" i="8"/>
  <c r="F170" i="8"/>
  <c r="A172" i="8"/>
  <c r="B172" i="8" s="1" a="1"/>
  <c r="B172" i="8" s="1"/>
  <c r="C171" i="8"/>
  <c r="G171" i="8" a="1"/>
  <c r="G171" i="8" s="1"/>
  <c r="I172" i="8" l="1"/>
  <c r="M172" i="8" a="1"/>
  <c r="M172" i="8" s="1"/>
  <c r="N172" i="8" a="1"/>
  <c r="N172" i="8" s="1"/>
  <c r="L172" i="8" a="1"/>
  <c r="L172" i="8" s="1"/>
  <c r="K172" i="8" a="1"/>
  <c r="K172" i="8" s="1"/>
  <c r="D172" i="8"/>
  <c r="H172" i="8"/>
  <c r="E171" i="8"/>
  <c r="F171" i="8"/>
  <c r="A173" i="8"/>
  <c r="B173" i="8" s="1" a="1"/>
  <c r="B173" i="8" s="1"/>
  <c r="C172" i="8"/>
  <c r="G172" i="8" a="1"/>
  <c r="G172" i="8" s="1"/>
  <c r="I173" i="8" l="1"/>
  <c r="N173" i="8" a="1"/>
  <c r="N173" i="8" s="1"/>
  <c r="M173" i="8" a="1"/>
  <c r="M173" i="8" s="1"/>
  <c r="L173" i="8" a="1"/>
  <c r="L173" i="8" s="1"/>
  <c r="K173" i="8" a="1"/>
  <c r="K173" i="8" s="1"/>
  <c r="D173" i="8"/>
  <c r="H173" i="8"/>
  <c r="E172" i="8"/>
  <c r="F172" i="8"/>
  <c r="A174" i="8"/>
  <c r="B174" i="8" s="1" a="1"/>
  <c r="B174" i="8" s="1"/>
  <c r="C173" i="8"/>
  <c r="G173" i="8" a="1"/>
  <c r="G173" i="8" s="1"/>
  <c r="I174" i="8" l="1"/>
  <c r="N174" i="8" a="1"/>
  <c r="N174" i="8" s="1"/>
  <c r="L174" i="8" a="1"/>
  <c r="L174" i="8" s="1"/>
  <c r="M174" i="8" a="1"/>
  <c r="M174" i="8" s="1"/>
  <c r="K174" i="8" a="1"/>
  <c r="K174" i="8" s="1"/>
  <c r="D174" i="8"/>
  <c r="H174" i="8"/>
  <c r="E173" i="8"/>
  <c r="F173" i="8"/>
  <c r="A175" i="8"/>
  <c r="B175" i="8" s="1" a="1"/>
  <c r="B175" i="8" s="1"/>
  <c r="C174" i="8"/>
  <c r="G174" i="8" a="1"/>
  <c r="G174" i="8" s="1"/>
  <c r="I175" i="8" l="1"/>
  <c r="N175" i="8" a="1"/>
  <c r="N175" i="8" s="1"/>
  <c r="M175" i="8" a="1"/>
  <c r="M175" i="8" s="1"/>
  <c r="L175" i="8" a="1"/>
  <c r="L175" i="8" s="1"/>
  <c r="K175" i="8" a="1"/>
  <c r="K175" i="8" s="1"/>
  <c r="D175" i="8"/>
  <c r="H175" i="8"/>
  <c r="E174" i="8"/>
  <c r="F174" i="8"/>
  <c r="A176" i="8"/>
  <c r="B176" i="8" s="1" a="1"/>
  <c r="B176" i="8" s="1"/>
  <c r="C175" i="8"/>
  <c r="G175" i="8" a="1"/>
  <c r="G175" i="8" s="1"/>
  <c r="I176" i="8" l="1"/>
  <c r="N176" i="8" a="1"/>
  <c r="N176" i="8" s="1"/>
  <c r="M176" i="8" a="1"/>
  <c r="M176" i="8" s="1"/>
  <c r="L176" i="8" a="1"/>
  <c r="L176" i="8" s="1"/>
  <c r="K176" i="8" a="1"/>
  <c r="K176" i="8" s="1"/>
  <c r="D176" i="8"/>
  <c r="H176" i="8"/>
  <c r="E175" i="8"/>
  <c r="F175" i="8"/>
  <c r="A177" i="8"/>
  <c r="B177" i="8" s="1" a="1"/>
  <c r="B177" i="8" s="1"/>
  <c r="C176" i="8"/>
  <c r="G176" i="8" a="1"/>
  <c r="G176" i="8" s="1"/>
  <c r="I177" i="8" l="1"/>
  <c r="N177" i="8" a="1"/>
  <c r="N177" i="8" s="1"/>
  <c r="L177" i="8" a="1"/>
  <c r="L177" i="8" s="1"/>
  <c r="M177" i="8" a="1"/>
  <c r="M177" i="8" s="1"/>
  <c r="K177" i="8" a="1"/>
  <c r="K177" i="8" s="1"/>
  <c r="D177" i="8"/>
  <c r="H177" i="8"/>
  <c r="E176" i="8"/>
  <c r="F176" i="8"/>
  <c r="A178" i="8"/>
  <c r="B178" i="8" s="1" a="1"/>
  <c r="B178" i="8" s="1"/>
  <c r="C177" i="8"/>
  <c r="G177" i="8" a="1"/>
  <c r="G177" i="8" s="1"/>
  <c r="I178" i="8" l="1"/>
  <c r="N178" i="8" a="1"/>
  <c r="N178" i="8" s="1"/>
  <c r="M178" i="8" a="1"/>
  <c r="M178" i="8" s="1"/>
  <c r="L178" i="8" a="1"/>
  <c r="L178" i="8" s="1"/>
  <c r="K178" i="8" a="1"/>
  <c r="K178" i="8" s="1"/>
  <c r="D178" i="8"/>
  <c r="H178" i="8"/>
  <c r="E177" i="8"/>
  <c r="F177" i="8"/>
  <c r="A179" i="8"/>
  <c r="B179" i="8" s="1" a="1"/>
  <c r="B179" i="8" s="1"/>
  <c r="C178" i="8"/>
  <c r="G178" i="8" a="1"/>
  <c r="G178" i="8" s="1"/>
  <c r="I179" i="8" l="1"/>
  <c r="N179" i="8" a="1"/>
  <c r="N179" i="8" s="1"/>
  <c r="M179" i="8" a="1"/>
  <c r="M179" i="8" s="1"/>
  <c r="L179" i="8" a="1"/>
  <c r="L179" i="8" s="1"/>
  <c r="K179" i="8" a="1"/>
  <c r="K179" i="8" s="1"/>
  <c r="D179" i="8"/>
  <c r="H179" i="8"/>
  <c r="E178" i="8"/>
  <c r="F178" i="8"/>
  <c r="A180" i="8"/>
  <c r="B180" i="8" s="1" a="1"/>
  <c r="B180" i="8" s="1"/>
  <c r="C179" i="8"/>
  <c r="G179" i="8" a="1"/>
  <c r="G179" i="8" s="1"/>
  <c r="I180" i="8" l="1"/>
  <c r="N180" i="8" a="1"/>
  <c r="N180" i="8" s="1"/>
  <c r="M180" i="8" a="1"/>
  <c r="M180" i="8" s="1"/>
  <c r="L180" i="8" a="1"/>
  <c r="L180" i="8" s="1"/>
  <c r="K180" i="8" a="1"/>
  <c r="K180" i="8" s="1"/>
  <c r="D180" i="8"/>
  <c r="H180" i="8"/>
  <c r="E179" i="8"/>
  <c r="F179" i="8"/>
  <c r="A181" i="8"/>
  <c r="B181" i="8" s="1" a="1"/>
  <c r="B181" i="8" s="1"/>
  <c r="C180" i="8"/>
  <c r="G180" i="8" a="1"/>
  <c r="G180" i="8" s="1"/>
  <c r="I181" i="8" l="1"/>
  <c r="N181" i="8" a="1"/>
  <c r="N181" i="8" s="1"/>
  <c r="M181" i="8" a="1"/>
  <c r="M181" i="8" s="1"/>
  <c r="L181" i="8" a="1"/>
  <c r="L181" i="8" s="1"/>
  <c r="K181" i="8" a="1"/>
  <c r="K181" i="8" s="1"/>
  <c r="D181" i="8"/>
  <c r="H181" i="8"/>
  <c r="E180" i="8"/>
  <c r="F180" i="8"/>
  <c r="A182" i="8"/>
  <c r="B182" i="8" s="1" a="1"/>
  <c r="B182" i="8" s="1"/>
  <c r="C181" i="8"/>
  <c r="G181" i="8" a="1"/>
  <c r="G181" i="8" s="1"/>
  <c r="I182" i="8" l="1"/>
  <c r="N182" i="8" a="1"/>
  <c r="N182" i="8" s="1"/>
  <c r="M182" i="8" a="1"/>
  <c r="M182" i="8" s="1"/>
  <c r="L182" i="8" a="1"/>
  <c r="L182" i="8" s="1"/>
  <c r="K182" i="8" a="1"/>
  <c r="K182" i="8" s="1"/>
  <c r="D182" i="8"/>
  <c r="H182" i="8"/>
  <c r="E181" i="8"/>
  <c r="F181" i="8"/>
  <c r="A183" i="8"/>
  <c r="B183" i="8" s="1" a="1"/>
  <c r="B183" i="8" s="1"/>
  <c r="C182" i="8"/>
  <c r="G182" i="8" a="1"/>
  <c r="G182" i="8" s="1"/>
  <c r="I183" i="8" l="1"/>
  <c r="N183" i="8" a="1"/>
  <c r="N183" i="8" s="1"/>
  <c r="M183" i="8" a="1"/>
  <c r="M183" i="8" s="1"/>
  <c r="L183" i="8" a="1"/>
  <c r="L183" i="8" s="1"/>
  <c r="K183" i="8" a="1"/>
  <c r="K183" i="8" s="1"/>
  <c r="D183" i="8"/>
  <c r="H183" i="8"/>
  <c r="E182" i="8"/>
  <c r="F182" i="8"/>
  <c r="A184" i="8"/>
  <c r="B184" i="8" s="1" a="1"/>
  <c r="B184" i="8" s="1"/>
  <c r="C183" i="8"/>
  <c r="I184" i="8" l="1"/>
  <c r="N184" i="8" a="1"/>
  <c r="N184" i="8" s="1"/>
  <c r="L184" i="8" a="1"/>
  <c r="L184" i="8" s="1"/>
  <c r="M184" i="8" a="1"/>
  <c r="M184" i="8" s="1"/>
  <c r="K184" i="8" a="1"/>
  <c r="K184" i="8" s="1"/>
  <c r="G183" i="8" a="1"/>
  <c r="G183" i="8" s="1"/>
  <c r="D184" i="8"/>
  <c r="H184" i="8"/>
  <c r="E183" i="8"/>
  <c r="F183" i="8"/>
  <c r="A185" i="8"/>
  <c r="B185" i="8" s="1" a="1"/>
  <c r="B185" i="8" s="1"/>
  <c r="C184" i="8"/>
  <c r="G184" i="8" a="1"/>
  <c r="G184" i="8" s="1"/>
  <c r="I185" i="8" l="1"/>
  <c r="N185" i="8" a="1"/>
  <c r="N185" i="8" s="1"/>
  <c r="M185" i="8" a="1"/>
  <c r="M185" i="8" s="1"/>
  <c r="L185" i="8" a="1"/>
  <c r="L185" i="8" s="1"/>
  <c r="K185" i="8" a="1"/>
  <c r="K185" i="8" s="1"/>
  <c r="D185" i="8"/>
  <c r="H185" i="8"/>
  <c r="E184" i="8"/>
  <c r="F184" i="8"/>
  <c r="A186" i="8"/>
  <c r="B186" i="8" s="1" a="1"/>
  <c r="B186" i="8" s="1"/>
  <c r="C185" i="8"/>
  <c r="G185" i="8" a="1"/>
  <c r="G185" i="8" s="1"/>
  <c r="I186" i="8" l="1"/>
  <c r="M186" i="8" a="1"/>
  <c r="M186" i="8" s="1"/>
  <c r="N186" i="8" a="1"/>
  <c r="N186" i="8" s="1"/>
  <c r="L186" i="8" a="1"/>
  <c r="L186" i="8" s="1"/>
  <c r="K186" i="8" a="1"/>
  <c r="K186" i="8" s="1"/>
  <c r="D186" i="8"/>
  <c r="H186" i="8"/>
  <c r="E185" i="8"/>
  <c r="F185" i="8"/>
  <c r="A187" i="8"/>
  <c r="B187" i="8" s="1" a="1"/>
  <c r="B187" i="8" s="1"/>
  <c r="C186" i="8"/>
  <c r="G186" i="8" a="1"/>
  <c r="G186" i="8" s="1"/>
  <c r="I187" i="8" l="1"/>
  <c r="N187" i="8" a="1"/>
  <c r="N187" i="8" s="1"/>
  <c r="M187" i="8" a="1"/>
  <c r="M187" i="8" s="1"/>
  <c r="L187" i="8" a="1"/>
  <c r="L187" i="8" s="1"/>
  <c r="K187" i="8" a="1"/>
  <c r="K187" i="8" s="1"/>
  <c r="D187" i="8"/>
  <c r="H187" i="8"/>
  <c r="E186" i="8"/>
  <c r="F186" i="8"/>
  <c r="A188" i="8"/>
  <c r="B188" i="8" s="1" a="1"/>
  <c r="B188" i="8" s="1"/>
  <c r="C187" i="8"/>
  <c r="G187" i="8" a="1"/>
  <c r="G187" i="8" s="1"/>
  <c r="I188" i="8" l="1"/>
  <c r="N188" i="8" a="1"/>
  <c r="N188" i="8" s="1"/>
  <c r="M188" i="8" a="1"/>
  <c r="M188" i="8" s="1"/>
  <c r="L188" i="8" a="1"/>
  <c r="L188" i="8" s="1"/>
  <c r="K188" i="8" a="1"/>
  <c r="K188" i="8" s="1"/>
  <c r="D188" i="8"/>
  <c r="H188" i="8"/>
  <c r="E187" i="8"/>
  <c r="F187" i="8"/>
  <c r="A189" i="8"/>
  <c r="B189" i="8" s="1" a="1"/>
  <c r="B189" i="8" s="1"/>
  <c r="C188" i="8"/>
  <c r="G188" i="8" a="1"/>
  <c r="G188" i="8" s="1"/>
  <c r="I189" i="8" l="1"/>
  <c r="N189" i="8" a="1"/>
  <c r="N189" i="8" s="1"/>
  <c r="M189" i="8" a="1"/>
  <c r="M189" i="8" s="1"/>
  <c r="L189" i="8" a="1"/>
  <c r="L189" i="8" s="1"/>
  <c r="K189" i="8" a="1"/>
  <c r="K189" i="8" s="1"/>
  <c r="D189" i="8"/>
  <c r="H189" i="8"/>
  <c r="E188" i="8"/>
  <c r="F188" i="8"/>
  <c r="A190" i="8"/>
  <c r="B190" i="8" s="1" a="1"/>
  <c r="B190" i="8" s="1"/>
  <c r="C189" i="8"/>
  <c r="G189" i="8" a="1"/>
  <c r="G189" i="8" s="1"/>
  <c r="I190" i="8" l="1"/>
  <c r="N190" i="8" a="1"/>
  <c r="N190" i="8" s="1"/>
  <c r="M190" i="8" a="1"/>
  <c r="M190" i="8" s="1"/>
  <c r="L190" i="8" a="1"/>
  <c r="L190" i="8" s="1"/>
  <c r="K190" i="8" a="1"/>
  <c r="K190" i="8" s="1"/>
  <c r="D190" i="8"/>
  <c r="H190" i="8"/>
  <c r="E189" i="8"/>
  <c r="F189" i="8"/>
  <c r="A191" i="8"/>
  <c r="B191" i="8" s="1" a="1"/>
  <c r="B191" i="8" s="1"/>
  <c r="C190" i="8"/>
  <c r="G190" i="8" a="1"/>
  <c r="G190" i="8" s="1"/>
  <c r="I191" i="8" l="1"/>
  <c r="N191" i="8" a="1"/>
  <c r="N191" i="8" s="1"/>
  <c r="M191" i="8" a="1"/>
  <c r="M191" i="8" s="1"/>
  <c r="K191" i="8" a="1"/>
  <c r="K191" i="8" s="1"/>
  <c r="L191" i="8" a="1"/>
  <c r="L191" i="8" s="1"/>
  <c r="D191" i="8"/>
  <c r="H191" i="8"/>
  <c r="E190" i="8"/>
  <c r="F190" i="8"/>
  <c r="A192" i="8"/>
  <c r="B192" i="8" s="1" a="1"/>
  <c r="B192" i="8" s="1"/>
  <c r="C191" i="8"/>
  <c r="G191" i="8" a="1"/>
  <c r="G191" i="8" s="1"/>
  <c r="I192" i="8" l="1"/>
  <c r="N192" i="8" a="1"/>
  <c r="N192" i="8" s="1"/>
  <c r="M192" i="8" a="1"/>
  <c r="M192" i="8" s="1"/>
  <c r="L192" i="8" a="1"/>
  <c r="L192" i="8" s="1"/>
  <c r="K192" i="8" a="1"/>
  <c r="K192" i="8" s="1"/>
  <c r="D192" i="8"/>
  <c r="H192" i="8"/>
  <c r="E191" i="8"/>
  <c r="F191" i="8"/>
  <c r="A193" i="8"/>
  <c r="B193" i="8" s="1" a="1"/>
  <c r="B193" i="8" s="1"/>
  <c r="C192" i="8"/>
  <c r="G192" i="8" a="1"/>
  <c r="G192" i="8" s="1"/>
  <c r="I193" i="8" l="1"/>
  <c r="N193" i="8" a="1"/>
  <c r="N193" i="8" s="1"/>
  <c r="M193" i="8" a="1"/>
  <c r="M193" i="8" s="1"/>
  <c r="L193" i="8" a="1"/>
  <c r="L193" i="8" s="1"/>
  <c r="K193" i="8" a="1"/>
  <c r="K193" i="8" s="1"/>
  <c r="D193" i="8"/>
  <c r="H193" i="8"/>
  <c r="E192" i="8"/>
  <c r="F192" i="8"/>
  <c r="A194" i="8"/>
  <c r="B194" i="8" s="1" a="1"/>
  <c r="B194" i="8" s="1"/>
  <c r="C193" i="8"/>
  <c r="G193" i="8" a="1"/>
  <c r="G193" i="8" s="1"/>
  <c r="I194" i="8" l="1"/>
  <c r="N194" i="8" a="1"/>
  <c r="N194" i="8" s="1"/>
  <c r="M194" i="8" a="1"/>
  <c r="M194" i="8" s="1"/>
  <c r="L194" i="8" a="1"/>
  <c r="L194" i="8" s="1"/>
  <c r="K194" i="8" a="1"/>
  <c r="K194" i="8" s="1"/>
  <c r="D194" i="8"/>
  <c r="H194" i="8"/>
  <c r="E193" i="8"/>
  <c r="F193" i="8"/>
  <c r="A195" i="8"/>
  <c r="B195" i="8" s="1" a="1"/>
  <c r="B195" i="8" s="1"/>
  <c r="C194" i="8"/>
  <c r="G194" i="8" a="1"/>
  <c r="G194" i="8" s="1"/>
  <c r="I195" i="8" l="1"/>
  <c r="N195" i="8" a="1"/>
  <c r="N195" i="8" s="1"/>
  <c r="M195" i="8" a="1"/>
  <c r="M195" i="8" s="1"/>
  <c r="L195" i="8" a="1"/>
  <c r="L195" i="8" s="1"/>
  <c r="K195" i="8" a="1"/>
  <c r="K195" i="8" s="1"/>
  <c r="D195" i="8"/>
  <c r="H195" i="8"/>
  <c r="E194" i="8"/>
  <c r="F194" i="8"/>
  <c r="A196" i="8"/>
  <c r="B196" i="8" s="1" a="1"/>
  <c r="B196" i="8" s="1"/>
  <c r="C195" i="8"/>
  <c r="G195" i="8" a="1"/>
  <c r="G195" i="8" s="1"/>
  <c r="I196" i="8" l="1"/>
  <c r="N196" i="8" a="1"/>
  <c r="N196" i="8" s="1"/>
  <c r="M196" i="8" a="1"/>
  <c r="M196" i="8" s="1"/>
  <c r="L196" i="8" a="1"/>
  <c r="L196" i="8" s="1"/>
  <c r="K196" i="8" a="1"/>
  <c r="K196" i="8" s="1"/>
  <c r="D196" i="8"/>
  <c r="H196" i="8"/>
  <c r="E195" i="8"/>
  <c r="F195" i="8"/>
  <c r="A197" i="8"/>
  <c r="B197" i="8" s="1" a="1"/>
  <c r="B197" i="8" s="1"/>
  <c r="C196" i="8"/>
  <c r="G196" i="8" a="1"/>
  <c r="G196" i="8" s="1"/>
  <c r="I197" i="8" l="1"/>
  <c r="N197" i="8" a="1"/>
  <c r="N197" i="8" s="1"/>
  <c r="L197" i="8" a="1"/>
  <c r="L197" i="8" s="1"/>
  <c r="M197" i="8" a="1"/>
  <c r="M197" i="8" s="1"/>
  <c r="K197" i="8" a="1"/>
  <c r="K197" i="8" s="1"/>
  <c r="D197" i="8"/>
  <c r="H197" i="8"/>
  <c r="E196" i="8"/>
  <c r="F196" i="8"/>
  <c r="A198" i="8"/>
  <c r="B198" i="8" s="1" a="1"/>
  <c r="B198" i="8" s="1"/>
  <c r="C197" i="8"/>
  <c r="G197" i="8" a="1"/>
  <c r="G197" i="8" s="1"/>
  <c r="I198" i="8" l="1"/>
  <c r="N198" i="8" a="1"/>
  <c r="N198" i="8" s="1"/>
  <c r="M198" i="8" a="1"/>
  <c r="M198" i="8" s="1"/>
  <c r="L198" i="8" a="1"/>
  <c r="L198" i="8" s="1"/>
  <c r="K198" i="8" a="1"/>
  <c r="K198" i="8" s="1"/>
  <c r="D198" i="8"/>
  <c r="H198" i="8"/>
  <c r="E197" i="8"/>
  <c r="F197" i="8"/>
  <c r="A199" i="8"/>
  <c r="B199" i="8" s="1" a="1"/>
  <c r="B199" i="8" s="1"/>
  <c r="C198" i="8"/>
  <c r="G198" i="8" a="1"/>
  <c r="G198" i="8" s="1"/>
  <c r="I199" i="8" l="1"/>
  <c r="N199" i="8" a="1"/>
  <c r="N199" i="8" s="1"/>
  <c r="M199" i="8" a="1"/>
  <c r="M199" i="8" s="1"/>
  <c r="L199" i="8" a="1"/>
  <c r="L199" i="8" s="1"/>
  <c r="K199" i="8" a="1"/>
  <c r="K199" i="8" s="1"/>
  <c r="D199" i="8"/>
  <c r="H199" i="8"/>
  <c r="E198" i="8"/>
  <c r="F198" i="8"/>
  <c r="A200" i="8"/>
  <c r="B200" i="8" s="1" a="1"/>
  <c r="B200" i="8" s="1"/>
  <c r="C199" i="8"/>
  <c r="G199" i="8" a="1"/>
  <c r="G199" i="8" s="1"/>
  <c r="I200" i="8" l="1"/>
  <c r="N200" i="8" a="1"/>
  <c r="N200" i="8" s="1"/>
  <c r="L200" i="8" a="1"/>
  <c r="L200" i="8" s="1"/>
  <c r="M200" i="8" a="1"/>
  <c r="M200" i="8" s="1"/>
  <c r="K200" i="8" a="1"/>
  <c r="K200" i="8" s="1"/>
  <c r="D200" i="8"/>
  <c r="H200" i="8"/>
  <c r="E199" i="8"/>
  <c r="F199" i="8"/>
  <c r="A201" i="8"/>
  <c r="B201" i="8" s="1" a="1"/>
  <c r="B201" i="8" s="1"/>
  <c r="C200" i="8"/>
  <c r="G200" i="8" a="1"/>
  <c r="G200" i="8" s="1"/>
  <c r="I201" i="8" l="1"/>
  <c r="N201" i="8" a="1"/>
  <c r="N201" i="8" s="1"/>
  <c r="M201" i="8" a="1"/>
  <c r="M201" i="8" s="1"/>
  <c r="L201" i="8" a="1"/>
  <c r="L201" i="8" s="1"/>
  <c r="K201" i="8" a="1"/>
  <c r="K201" i="8" s="1"/>
  <c r="D201" i="8"/>
  <c r="H201" i="8"/>
  <c r="E200" i="8"/>
  <c r="F200" i="8"/>
  <c r="A202" i="8"/>
  <c r="B202" i="8" s="1" a="1"/>
  <c r="B202" i="8" s="1"/>
  <c r="C201" i="8"/>
  <c r="G201" i="8" a="1"/>
  <c r="G201" i="8" s="1"/>
  <c r="I202" i="8" l="1"/>
  <c r="N202" i="8" a="1"/>
  <c r="N202" i="8" s="1"/>
  <c r="M202" i="8" a="1"/>
  <c r="M202" i="8" s="1"/>
  <c r="L202" i="8" a="1"/>
  <c r="L202" i="8" s="1"/>
  <c r="K202" i="8" a="1"/>
  <c r="K202" i="8" s="1"/>
  <c r="D202" i="8"/>
  <c r="H202" i="8"/>
  <c r="E201" i="8"/>
  <c r="F201" i="8"/>
  <c r="A203" i="8"/>
  <c r="B203" i="8" s="1" a="1"/>
  <c r="B203" i="8" s="1"/>
  <c r="C202" i="8"/>
  <c r="G202" i="8" a="1"/>
  <c r="G202" i="8" s="1"/>
  <c r="I203" i="8" l="1"/>
  <c r="N203" i="8" a="1"/>
  <c r="N203" i="8" s="1"/>
  <c r="M203" i="8" a="1"/>
  <c r="M203" i="8" s="1"/>
  <c r="L203" i="8" a="1"/>
  <c r="L203" i="8" s="1"/>
  <c r="K203" i="8" a="1"/>
  <c r="K203" i="8" s="1"/>
  <c r="D203" i="8"/>
  <c r="H203" i="8"/>
  <c r="E202" i="8"/>
  <c r="F202" i="8"/>
  <c r="A204" i="8"/>
  <c r="B204" i="8" s="1" a="1"/>
  <c r="B204" i="8" s="1"/>
  <c r="C203" i="8"/>
  <c r="G203" i="8" a="1"/>
  <c r="G203" i="8" s="1"/>
  <c r="I204" i="8" l="1"/>
  <c r="N204" i="8" a="1"/>
  <c r="N204" i="8" s="1"/>
  <c r="M204" i="8" a="1"/>
  <c r="M204" i="8" s="1"/>
  <c r="L204" i="8" a="1"/>
  <c r="L204" i="8" s="1"/>
  <c r="K204" i="8" a="1"/>
  <c r="K204" i="8" s="1"/>
  <c r="D204" i="8"/>
  <c r="H204" i="8"/>
  <c r="E203" i="8"/>
  <c r="F203" i="8"/>
  <c r="A205" i="8"/>
  <c r="B205" i="8" s="1" a="1"/>
  <c r="B205" i="8" s="1"/>
  <c r="C204" i="8"/>
  <c r="G204" i="8" a="1"/>
  <c r="G204" i="8" s="1"/>
  <c r="I205" i="8" l="1"/>
  <c r="M205" i="8" a="1"/>
  <c r="M205" i="8" s="1"/>
  <c r="N205" i="8" a="1"/>
  <c r="N205" i="8" s="1"/>
  <c r="L205" i="8" a="1"/>
  <c r="L205" i="8" s="1"/>
  <c r="K205" i="8" a="1"/>
  <c r="K205" i="8" s="1"/>
  <c r="D205" i="8"/>
  <c r="H205" i="8"/>
  <c r="E204" i="8"/>
  <c r="F204" i="8"/>
  <c r="A206" i="8"/>
  <c r="B206" i="8" s="1" a="1"/>
  <c r="B206" i="8" s="1"/>
  <c r="C205" i="8"/>
  <c r="G205" i="8" a="1"/>
  <c r="G205" i="8" s="1"/>
  <c r="I206" i="8" l="1"/>
  <c r="N206" i="8" a="1"/>
  <c r="N206" i="8" s="1"/>
  <c r="M206" i="8" a="1"/>
  <c r="M206" i="8" s="1"/>
  <c r="L206" i="8" a="1"/>
  <c r="L206" i="8" s="1"/>
  <c r="K206" i="8" a="1"/>
  <c r="K206" i="8" s="1"/>
  <c r="D206" i="8"/>
  <c r="H206" i="8"/>
  <c r="E205" i="8"/>
  <c r="F205" i="8"/>
  <c r="A207" i="8"/>
  <c r="B207" i="8" s="1" a="1"/>
  <c r="B207" i="8" s="1"/>
  <c r="C206" i="8"/>
  <c r="G206" i="8" a="1"/>
  <c r="G206" i="8" s="1"/>
  <c r="I207" i="8" l="1"/>
  <c r="N207" i="8" a="1"/>
  <c r="N207" i="8" s="1"/>
  <c r="M207" i="8" a="1"/>
  <c r="M207" i="8" s="1"/>
  <c r="L207" i="8" a="1"/>
  <c r="L207" i="8" s="1"/>
  <c r="K207" i="8" a="1"/>
  <c r="K207" i="8" s="1"/>
  <c r="D207" i="8"/>
  <c r="H207" i="8"/>
  <c r="E206" i="8"/>
  <c r="F206" i="8"/>
  <c r="A208" i="8"/>
  <c r="B208" i="8" s="1" a="1"/>
  <c r="B208" i="8" s="1"/>
  <c r="C207" i="8"/>
  <c r="G207" i="8" a="1"/>
  <c r="G207" i="8" s="1"/>
  <c r="I208" i="8" l="1"/>
  <c r="N208" i="8" a="1"/>
  <c r="N208" i="8" s="1"/>
  <c r="M208" i="8" a="1"/>
  <c r="M208" i="8" s="1"/>
  <c r="L208" i="8" a="1"/>
  <c r="L208" i="8" s="1"/>
  <c r="K208" i="8" a="1"/>
  <c r="K208" i="8" s="1"/>
  <c r="D208" i="8"/>
  <c r="H208" i="8"/>
  <c r="E207" i="8"/>
  <c r="F207" i="8"/>
  <c r="A209" i="8"/>
  <c r="B209" i="8" s="1" a="1"/>
  <c r="B209" i="8" s="1"/>
  <c r="C208" i="8"/>
  <c r="G208" i="8" a="1"/>
  <c r="G208" i="8" s="1"/>
  <c r="I209" i="8" l="1"/>
  <c r="N209" i="8" a="1"/>
  <c r="N209" i="8" s="1"/>
  <c r="M209" i="8" a="1"/>
  <c r="M209" i="8" s="1"/>
  <c r="L209" i="8" a="1"/>
  <c r="L209" i="8" s="1"/>
  <c r="K209" i="8" a="1"/>
  <c r="K209" i="8" s="1"/>
  <c r="D209" i="8"/>
  <c r="H209" i="8"/>
  <c r="E208" i="8"/>
  <c r="F208" i="8"/>
  <c r="A210" i="8"/>
  <c r="B210" i="8" s="1" a="1"/>
  <c r="B210" i="8" s="1"/>
  <c r="C209" i="8"/>
  <c r="G209" i="8" a="1"/>
  <c r="G209" i="8" s="1"/>
  <c r="I210" i="8" l="1"/>
  <c r="N210" i="8" a="1"/>
  <c r="N210" i="8" s="1"/>
  <c r="M210" i="8" a="1"/>
  <c r="M210" i="8" s="1"/>
  <c r="L210" i="8" a="1"/>
  <c r="L210" i="8" s="1"/>
  <c r="K210" i="8" a="1"/>
  <c r="K210" i="8" s="1"/>
  <c r="D210" i="8"/>
  <c r="H210" i="8"/>
  <c r="E209" i="8"/>
  <c r="F209" i="8"/>
  <c r="A211" i="8"/>
  <c r="B211" i="8" s="1" a="1"/>
  <c r="B211" i="8" s="1"/>
  <c r="C210" i="8"/>
  <c r="G210" i="8" a="1"/>
  <c r="G210" i="8" s="1"/>
  <c r="I211" i="8" l="1"/>
  <c r="N211" i="8" a="1"/>
  <c r="N211" i="8" s="1"/>
  <c r="M211" i="8" a="1"/>
  <c r="M211" i="8" s="1"/>
  <c r="L211" i="8" a="1"/>
  <c r="L211" i="8" s="1"/>
  <c r="K211" i="8" a="1"/>
  <c r="K211" i="8" s="1"/>
  <c r="D211" i="8"/>
  <c r="H211" i="8"/>
  <c r="E210" i="8"/>
  <c r="F210" i="8"/>
  <c r="A212" i="8"/>
  <c r="B212" i="8" s="1" a="1"/>
  <c r="B212" i="8" s="1"/>
  <c r="C211" i="8"/>
  <c r="G211" i="8" a="1"/>
  <c r="G211" i="8" s="1"/>
  <c r="I212" i="8" l="1"/>
  <c r="N212" i="8" a="1"/>
  <c r="N212" i="8" s="1"/>
  <c r="L212" i="8" a="1"/>
  <c r="L212" i="8" s="1"/>
  <c r="M212" i="8" a="1"/>
  <c r="M212" i="8" s="1"/>
  <c r="K212" i="8" a="1"/>
  <c r="K212" i="8" s="1"/>
  <c r="D212" i="8"/>
  <c r="H212" i="8"/>
  <c r="E211" i="8"/>
  <c r="F211" i="8"/>
  <c r="A213" i="8"/>
  <c r="B213" i="8" s="1" a="1"/>
  <c r="B213" i="8" s="1"/>
  <c r="C212" i="8"/>
  <c r="G212" i="8" a="1"/>
  <c r="G212" i="8" s="1"/>
  <c r="I213" i="8" l="1"/>
  <c r="N213" i="8" a="1"/>
  <c r="N213" i="8" s="1"/>
  <c r="M213" i="8" a="1"/>
  <c r="M213" i="8" s="1"/>
  <c r="L213" i="8" a="1"/>
  <c r="L213" i="8" s="1"/>
  <c r="K213" i="8" a="1"/>
  <c r="K213" i="8" s="1"/>
  <c r="D213" i="8"/>
  <c r="H213" i="8"/>
  <c r="E212" i="8"/>
  <c r="F212" i="8"/>
  <c r="A214" i="8"/>
  <c r="B214" i="8" s="1" a="1"/>
  <c r="B214" i="8" s="1"/>
  <c r="C213" i="8"/>
  <c r="G213" i="8" a="1"/>
  <c r="G213" i="8" s="1"/>
  <c r="I214" i="8" l="1"/>
  <c r="N214" i="8" a="1"/>
  <c r="N214" i="8" s="1"/>
  <c r="L214" i="8" a="1"/>
  <c r="L214" i="8" s="1"/>
  <c r="K214" i="8" a="1"/>
  <c r="K214" i="8" s="1"/>
  <c r="M214" i="8" a="1"/>
  <c r="M214" i="8" s="1"/>
  <c r="D214" i="8"/>
  <c r="H214" i="8"/>
  <c r="E213" i="8"/>
  <c r="F213" i="8"/>
  <c r="A215" i="8"/>
  <c r="B215" i="8" s="1" a="1"/>
  <c r="B215" i="8" s="1"/>
  <c r="C214" i="8"/>
  <c r="I215" i="8" l="1"/>
  <c r="N215" i="8" a="1"/>
  <c r="N215" i="8" s="1"/>
  <c r="M215" i="8" a="1"/>
  <c r="M215" i="8" s="1"/>
  <c r="L215" i="8" a="1"/>
  <c r="L215" i="8" s="1"/>
  <c r="K215" i="8" a="1"/>
  <c r="K215" i="8" s="1"/>
  <c r="G214" i="8" a="1"/>
  <c r="G214" i="8" s="1"/>
  <c r="D215" i="8"/>
  <c r="H215" i="8"/>
  <c r="E214" i="8"/>
  <c r="F214" i="8"/>
  <c r="A216" i="8"/>
  <c r="B216" i="8" s="1" a="1"/>
  <c r="B216" i="8" s="1"/>
  <c r="C215" i="8"/>
  <c r="G215" i="8" a="1"/>
  <c r="G215" i="8" s="1"/>
  <c r="I216" i="8" l="1"/>
  <c r="N216" i="8" a="1"/>
  <c r="N216" i="8" s="1"/>
  <c r="M216" i="8" a="1"/>
  <c r="M216" i="8" s="1"/>
  <c r="L216" i="8" a="1"/>
  <c r="L216" i="8" s="1"/>
  <c r="K216" i="8" a="1"/>
  <c r="K216" i="8" s="1"/>
  <c r="D216" i="8"/>
  <c r="H216" i="8"/>
  <c r="E215" i="8"/>
  <c r="F215" i="8"/>
  <c r="A217" i="8"/>
  <c r="B217" i="8" s="1" a="1"/>
  <c r="B217" i="8" s="1"/>
  <c r="C216" i="8"/>
  <c r="G216" i="8" a="1"/>
  <c r="G216" i="8" s="1"/>
  <c r="I217" i="8" l="1"/>
  <c r="N217" i="8" a="1"/>
  <c r="N217" i="8" s="1"/>
  <c r="M217" i="8" a="1"/>
  <c r="M217" i="8" s="1"/>
  <c r="L217" i="8" a="1"/>
  <c r="L217" i="8" s="1"/>
  <c r="K217" i="8" a="1"/>
  <c r="K217" i="8" s="1"/>
  <c r="D217" i="8"/>
  <c r="H217" i="8"/>
  <c r="E216" i="8"/>
  <c r="F216" i="8"/>
  <c r="A218" i="8"/>
  <c r="B218" i="8" s="1" a="1"/>
  <c r="B218" i="8" s="1"/>
  <c r="C217" i="8"/>
  <c r="G217" i="8" a="1"/>
  <c r="G217" i="8" s="1"/>
  <c r="I218" i="8" l="1"/>
  <c r="N218" i="8" a="1"/>
  <c r="N218" i="8" s="1"/>
  <c r="M218" i="8" a="1"/>
  <c r="M218" i="8" s="1"/>
  <c r="L218" i="8" a="1"/>
  <c r="L218" i="8" s="1"/>
  <c r="K218" i="8" a="1"/>
  <c r="K218" i="8" s="1"/>
  <c r="D218" i="8"/>
  <c r="H218" i="8"/>
  <c r="E217" i="8"/>
  <c r="F217" i="8"/>
  <c r="A219" i="8"/>
  <c r="B219" i="8" s="1" a="1"/>
  <c r="B219" i="8" s="1"/>
  <c r="C218" i="8"/>
  <c r="G218" i="8" a="1"/>
  <c r="G218" i="8" s="1"/>
  <c r="I219" i="8" l="1"/>
  <c r="N219" i="8" a="1"/>
  <c r="N219" i="8" s="1"/>
  <c r="M219" i="8" a="1"/>
  <c r="M219" i="8" s="1"/>
  <c r="L219" i="8" a="1"/>
  <c r="L219" i="8" s="1"/>
  <c r="K219" i="8" a="1"/>
  <c r="K219" i="8" s="1"/>
  <c r="D219" i="8"/>
  <c r="H219" i="8"/>
  <c r="E218" i="8"/>
  <c r="F218" i="8"/>
  <c r="A220" i="8"/>
  <c r="B220" i="8" s="1" a="1"/>
  <c r="B220" i="8" s="1"/>
  <c r="C219" i="8"/>
  <c r="G219" i="8" a="1"/>
  <c r="G219" i="8" s="1"/>
  <c r="I220" i="8" l="1"/>
  <c r="N220" i="8" a="1"/>
  <c r="N220" i="8" s="1"/>
  <c r="M220" i="8" a="1"/>
  <c r="M220" i="8" s="1"/>
  <c r="L220" i="8" a="1"/>
  <c r="L220" i="8" s="1"/>
  <c r="K220" i="8" a="1"/>
  <c r="K220" i="8" s="1"/>
  <c r="D220" i="8"/>
  <c r="H220" i="8"/>
  <c r="E219" i="8"/>
  <c r="F219" i="8"/>
  <c r="A221" i="8"/>
  <c r="B221" i="8" s="1" a="1"/>
  <c r="B221" i="8" s="1"/>
  <c r="C220" i="8"/>
  <c r="G220" i="8" a="1"/>
  <c r="G220" i="8" s="1"/>
  <c r="I221" i="8" l="1"/>
  <c r="M221" i="8" a="1"/>
  <c r="M221" i="8" s="1"/>
  <c r="N221" i="8" a="1"/>
  <c r="N221" i="8" s="1"/>
  <c r="L221" i="8" a="1"/>
  <c r="L221" i="8" s="1"/>
  <c r="K221" i="8" a="1"/>
  <c r="K221" i="8" s="1"/>
  <c r="D221" i="8"/>
  <c r="H221" i="8"/>
  <c r="E220" i="8"/>
  <c r="F220" i="8"/>
  <c r="A222" i="8"/>
  <c r="B222" i="8" s="1" a="1"/>
  <c r="B222" i="8" s="1"/>
  <c r="C221" i="8"/>
  <c r="G221" i="8" a="1"/>
  <c r="G221" i="8" s="1"/>
  <c r="I222" i="8" l="1"/>
  <c r="N222" i="8" a="1"/>
  <c r="N222" i="8" s="1"/>
  <c r="M222" i="8" a="1"/>
  <c r="M222" i="8" s="1"/>
  <c r="L222" i="8" a="1"/>
  <c r="L222" i="8" s="1"/>
  <c r="K222" i="8" a="1"/>
  <c r="K222" i="8" s="1"/>
  <c r="D222" i="8"/>
  <c r="H222" i="8"/>
  <c r="E221" i="8"/>
  <c r="F221" i="8"/>
  <c r="A223" i="8"/>
  <c r="B223" i="8" s="1" a="1"/>
  <c r="B223" i="8" s="1"/>
  <c r="C222" i="8"/>
  <c r="G222" i="8" a="1"/>
  <c r="G222" i="8" s="1"/>
  <c r="I223" i="8" l="1"/>
  <c r="N223" i="8" a="1"/>
  <c r="N223" i="8" s="1"/>
  <c r="M223" i="8" a="1"/>
  <c r="M223" i="8" s="1"/>
  <c r="L223" i="8" a="1"/>
  <c r="L223" i="8" s="1"/>
  <c r="K223" i="8" a="1"/>
  <c r="K223" i="8" s="1"/>
  <c r="D223" i="8"/>
  <c r="H223" i="8"/>
  <c r="E222" i="8"/>
  <c r="F222" i="8"/>
  <c r="A224" i="8"/>
  <c r="B224" i="8" s="1" a="1"/>
  <c r="B224" i="8" s="1"/>
  <c r="C223" i="8"/>
  <c r="G223" i="8" a="1"/>
  <c r="G223" i="8" s="1"/>
  <c r="I224" i="8" l="1"/>
  <c r="N224" i="8" a="1"/>
  <c r="N224" i="8" s="1"/>
  <c r="L224" i="8" a="1"/>
  <c r="L224" i="8" s="1"/>
  <c r="M224" i="8" a="1"/>
  <c r="M224" i="8" s="1"/>
  <c r="K224" i="8" a="1"/>
  <c r="K224" i="8" s="1"/>
  <c r="D224" i="8"/>
  <c r="H224" i="8"/>
  <c r="E223" i="8"/>
  <c r="F223" i="8"/>
  <c r="A225" i="8"/>
  <c r="B225" i="8" s="1" a="1"/>
  <c r="B225" i="8" s="1"/>
  <c r="C224" i="8"/>
  <c r="G224" i="8" a="1"/>
  <c r="G224" i="8" s="1"/>
  <c r="I225" i="8" l="1"/>
  <c r="N225" i="8" a="1"/>
  <c r="N225" i="8" s="1"/>
  <c r="M225" i="8" a="1"/>
  <c r="M225" i="8" s="1"/>
  <c r="L225" i="8" a="1"/>
  <c r="L225" i="8" s="1"/>
  <c r="K225" i="8" a="1"/>
  <c r="K225" i="8" s="1"/>
  <c r="D225" i="8"/>
  <c r="H225" i="8"/>
  <c r="E224" i="8"/>
  <c r="F224" i="8"/>
  <c r="A226" i="8"/>
  <c r="B226" i="8" s="1" a="1"/>
  <c r="B226" i="8" s="1"/>
  <c r="C225" i="8"/>
  <c r="G225" i="8" a="1"/>
  <c r="G225" i="8" s="1"/>
  <c r="I226" i="8" l="1"/>
  <c r="N226" i="8" a="1"/>
  <c r="N226" i="8" s="1"/>
  <c r="M226" i="8" a="1"/>
  <c r="M226" i="8" s="1"/>
  <c r="L226" i="8" a="1"/>
  <c r="L226" i="8" s="1"/>
  <c r="K226" i="8" a="1"/>
  <c r="K226" i="8" s="1"/>
  <c r="D226" i="8"/>
  <c r="H226" i="8"/>
  <c r="E225" i="8"/>
  <c r="F225" i="8"/>
  <c r="A227" i="8"/>
  <c r="B227" i="8" s="1" a="1"/>
  <c r="B227" i="8" s="1"/>
  <c r="C226" i="8"/>
  <c r="G226" i="8" a="1"/>
  <c r="G226" i="8" s="1"/>
  <c r="I227" i="8" l="1"/>
  <c r="N227" i="8" a="1"/>
  <c r="N227" i="8" s="1"/>
  <c r="L227" i="8" a="1"/>
  <c r="L227" i="8" s="1"/>
  <c r="M227" i="8" a="1"/>
  <c r="M227" i="8" s="1"/>
  <c r="K227" i="8" a="1"/>
  <c r="K227" i="8" s="1"/>
  <c r="D227" i="8"/>
  <c r="H227" i="8"/>
  <c r="E226" i="8"/>
  <c r="F226" i="8"/>
  <c r="A228" i="8"/>
  <c r="B228" i="8" s="1" a="1"/>
  <c r="B228" i="8" s="1"/>
  <c r="C227" i="8"/>
  <c r="G227" i="8" a="1"/>
  <c r="G227" i="8" s="1"/>
  <c r="I228" i="8" l="1"/>
  <c r="N228" i="8" a="1"/>
  <c r="N228" i="8" s="1"/>
  <c r="M228" i="8" a="1"/>
  <c r="M228" i="8" s="1"/>
  <c r="L228" i="8" a="1"/>
  <c r="L228" i="8" s="1"/>
  <c r="K228" i="8" a="1"/>
  <c r="K228" i="8" s="1"/>
  <c r="D228" i="8"/>
  <c r="H228" i="8"/>
  <c r="E227" i="8"/>
  <c r="F227" i="8"/>
  <c r="A229" i="8"/>
  <c r="B229" i="8" s="1" a="1"/>
  <c r="B229" i="8" s="1"/>
  <c r="C228" i="8"/>
  <c r="G228" i="8" a="1"/>
  <c r="G228" i="8" s="1"/>
  <c r="I229" i="8" l="1"/>
  <c r="N229" i="8" a="1"/>
  <c r="N229" i="8" s="1"/>
  <c r="M229" i="8" a="1"/>
  <c r="M229" i="8" s="1"/>
  <c r="L229" i="8" a="1"/>
  <c r="L229" i="8" s="1"/>
  <c r="K229" i="8" a="1"/>
  <c r="K229" i="8" s="1"/>
  <c r="D229" i="8"/>
  <c r="H229" i="8"/>
  <c r="E228" i="8"/>
  <c r="F228" i="8"/>
  <c r="A230" i="8"/>
  <c r="B230" i="8" s="1" a="1"/>
  <c r="B230" i="8" s="1"/>
  <c r="C229" i="8"/>
  <c r="G229" i="8" a="1"/>
  <c r="G229" i="8" s="1"/>
  <c r="I230" i="8" l="1"/>
  <c r="N230" i="8" a="1"/>
  <c r="N230" i="8" s="1"/>
  <c r="M230" i="8" a="1"/>
  <c r="M230" i="8" s="1"/>
  <c r="L230" i="8" a="1"/>
  <c r="L230" i="8" s="1"/>
  <c r="K230" i="8" a="1"/>
  <c r="K230" i="8" s="1"/>
  <c r="D230" i="8"/>
  <c r="H230" i="8"/>
  <c r="E229" i="8"/>
  <c r="F229" i="8"/>
  <c r="A231" i="8"/>
  <c r="B231" i="8" s="1" a="1"/>
  <c r="B231" i="8" s="1"/>
  <c r="C230" i="8"/>
  <c r="G230" i="8" a="1"/>
  <c r="G230" i="8" s="1"/>
  <c r="I231" i="8" l="1"/>
  <c r="N231" i="8" a="1"/>
  <c r="N231" i="8" s="1"/>
  <c r="M231" i="8" a="1"/>
  <c r="M231" i="8" s="1"/>
  <c r="L231" i="8" a="1"/>
  <c r="L231" i="8" s="1"/>
  <c r="K231" i="8" a="1"/>
  <c r="K231" i="8" s="1"/>
  <c r="D231" i="8"/>
  <c r="H231" i="8"/>
  <c r="E230" i="8"/>
  <c r="F230" i="8"/>
  <c r="A232" i="8"/>
  <c r="B232" i="8" s="1" a="1"/>
  <c r="B232" i="8" s="1"/>
  <c r="C231" i="8"/>
  <c r="G231" i="8" a="1"/>
  <c r="G231" i="8" s="1"/>
  <c r="I232" i="8" l="1"/>
  <c r="N232" i="8" a="1"/>
  <c r="N232" i="8" s="1"/>
  <c r="M232" i="8" a="1"/>
  <c r="M232" i="8" s="1"/>
  <c r="L232" i="8" a="1"/>
  <c r="L232" i="8" s="1"/>
  <c r="K232" i="8" a="1"/>
  <c r="K232" i="8" s="1"/>
  <c r="D232" i="8"/>
  <c r="H232" i="8"/>
  <c r="E231" i="8"/>
  <c r="F231" i="8"/>
  <c r="A233" i="8"/>
  <c r="B233" i="8" s="1" a="1"/>
  <c r="B233" i="8" s="1"/>
  <c r="C232" i="8"/>
  <c r="G232" i="8" a="1"/>
  <c r="G232" i="8" s="1"/>
  <c r="I233" i="8" l="1"/>
  <c r="M233" i="8" a="1"/>
  <c r="M233" i="8" s="1"/>
  <c r="N233" i="8" a="1"/>
  <c r="N233" i="8" s="1"/>
  <c r="L233" i="8" a="1"/>
  <c r="L233" i="8" s="1"/>
  <c r="K233" i="8" a="1"/>
  <c r="K233" i="8" s="1"/>
  <c r="D233" i="8"/>
  <c r="H233" i="8"/>
  <c r="E232" i="8"/>
  <c r="F232" i="8"/>
  <c r="A234" i="8"/>
  <c r="B234" i="8" s="1" a="1"/>
  <c r="B234" i="8" s="1"/>
  <c r="C233" i="8"/>
  <c r="G233" i="8" a="1"/>
  <c r="G233" i="8" s="1"/>
  <c r="I234" i="8" l="1"/>
  <c r="N234" i="8" a="1"/>
  <c r="N234" i="8" s="1"/>
  <c r="M234" i="8" a="1"/>
  <c r="M234" i="8" s="1"/>
  <c r="L234" i="8" a="1"/>
  <c r="L234" i="8" s="1"/>
  <c r="K234" i="8" a="1"/>
  <c r="K234" i="8" s="1"/>
  <c r="D234" i="8"/>
  <c r="H234" i="8"/>
  <c r="E233" i="8"/>
  <c r="F233" i="8"/>
  <c r="A235" i="8"/>
  <c r="B235" i="8" s="1" a="1"/>
  <c r="B235" i="8" s="1"/>
  <c r="C234" i="8"/>
  <c r="G234" i="8" a="1"/>
  <c r="G234" i="8" s="1"/>
  <c r="I235" i="8" l="1"/>
  <c r="N235" i="8" a="1"/>
  <c r="N235" i="8" s="1"/>
  <c r="M235" i="8" a="1"/>
  <c r="M235" i="8" s="1"/>
  <c r="L235" i="8" a="1"/>
  <c r="L235" i="8" s="1"/>
  <c r="K235" i="8" a="1"/>
  <c r="K235" i="8" s="1"/>
  <c r="D235" i="8"/>
  <c r="H235" i="8"/>
  <c r="E234" i="8"/>
  <c r="F234" i="8"/>
  <c r="A236" i="8"/>
  <c r="B236" i="8" s="1" a="1"/>
  <c r="B236" i="8" s="1"/>
  <c r="C235" i="8"/>
  <c r="G235" i="8" a="1"/>
  <c r="G235" i="8" s="1"/>
  <c r="I236" i="8" l="1"/>
  <c r="N236" i="8" a="1"/>
  <c r="N236" i="8" s="1"/>
  <c r="M236" i="8" a="1"/>
  <c r="M236" i="8" s="1"/>
  <c r="K236" i="8" a="1"/>
  <c r="K236" i="8" s="1"/>
  <c r="L236" i="8" a="1"/>
  <c r="L236" i="8" s="1"/>
  <c r="D236" i="8"/>
  <c r="H236" i="8"/>
  <c r="E235" i="8"/>
  <c r="F235" i="8"/>
  <c r="A237" i="8"/>
  <c r="B237" i="8" s="1" a="1"/>
  <c r="B237" i="8" s="1"/>
  <c r="C236" i="8"/>
  <c r="G236" i="8" a="1"/>
  <c r="G236" i="8" s="1"/>
  <c r="I237" i="8" l="1"/>
  <c r="N237" i="8" a="1"/>
  <c r="N237" i="8" s="1"/>
  <c r="M237" i="8" a="1"/>
  <c r="M237" i="8" s="1"/>
  <c r="L237" i="8" a="1"/>
  <c r="L237" i="8" s="1"/>
  <c r="K237" i="8" a="1"/>
  <c r="K237" i="8" s="1"/>
  <c r="D237" i="8"/>
  <c r="H237" i="8"/>
  <c r="E236" i="8"/>
  <c r="F236" i="8"/>
  <c r="A238" i="8"/>
  <c r="B238" i="8" s="1" a="1"/>
  <c r="B238" i="8" s="1"/>
  <c r="C237" i="8"/>
  <c r="G237" i="8" a="1"/>
  <c r="G237" i="8" s="1"/>
  <c r="I238" i="8" l="1"/>
  <c r="M238" i="8" a="1"/>
  <c r="M238" i="8" s="1"/>
  <c r="N238" i="8" a="1"/>
  <c r="N238" i="8" s="1"/>
  <c r="L238" i="8" a="1"/>
  <c r="L238" i="8" s="1"/>
  <c r="K238" i="8" a="1"/>
  <c r="K238" i="8" s="1"/>
  <c r="D238" i="8"/>
  <c r="H238" i="8"/>
  <c r="E237" i="8"/>
  <c r="F237" i="8"/>
  <c r="A239" i="8"/>
  <c r="B239" i="8" s="1" a="1"/>
  <c r="B239" i="8" s="1"/>
  <c r="C238" i="8"/>
  <c r="G238" i="8" a="1"/>
  <c r="G238" i="8" s="1"/>
  <c r="I239" i="8" l="1"/>
  <c r="N239" i="8" a="1"/>
  <c r="N239" i="8" s="1"/>
  <c r="M239" i="8" a="1"/>
  <c r="M239" i="8" s="1"/>
  <c r="K239" i="8" a="1"/>
  <c r="K239" i="8" s="1"/>
  <c r="L239" i="8" a="1"/>
  <c r="L239" i="8" s="1"/>
  <c r="D239" i="8"/>
  <c r="H239" i="8"/>
  <c r="E238" i="8"/>
  <c r="F238" i="8"/>
  <c r="A240" i="8"/>
  <c r="B240" i="8" s="1" a="1"/>
  <c r="B240" i="8" s="1"/>
  <c r="C239" i="8"/>
  <c r="G239" i="8" a="1"/>
  <c r="G239" i="8" s="1"/>
  <c r="I240" i="8" l="1"/>
  <c r="N240" i="8" a="1"/>
  <c r="N240" i="8" s="1"/>
  <c r="M240" i="8" a="1"/>
  <c r="M240" i="8" s="1"/>
  <c r="L240" i="8" a="1"/>
  <c r="L240" i="8" s="1"/>
  <c r="K240" i="8" a="1"/>
  <c r="K240" i="8" s="1"/>
  <c r="D240" i="8"/>
  <c r="H240" i="8"/>
  <c r="E239" i="8"/>
  <c r="F239" i="8"/>
  <c r="A241" i="8"/>
  <c r="B241" i="8" s="1" a="1"/>
  <c r="B241" i="8" s="1"/>
  <c r="C240" i="8"/>
  <c r="G240" i="8" a="1"/>
  <c r="G240" i="8" s="1"/>
  <c r="I241" i="8" l="1"/>
  <c r="N241" i="8" a="1"/>
  <c r="N241" i="8" s="1"/>
  <c r="M241" i="8" a="1"/>
  <c r="M241" i="8" s="1"/>
  <c r="L241" i="8" a="1"/>
  <c r="L241" i="8" s="1"/>
  <c r="K241" i="8" a="1"/>
  <c r="K241" i="8" s="1"/>
  <c r="D241" i="8"/>
  <c r="H241" i="8"/>
  <c r="E240" i="8"/>
  <c r="F240" i="8"/>
  <c r="A242" i="8"/>
  <c r="B242" i="8" s="1" a="1"/>
  <c r="B242" i="8" s="1"/>
  <c r="C241" i="8"/>
  <c r="G241" i="8" a="1"/>
  <c r="G241" i="8" s="1"/>
  <c r="I242" i="8" l="1"/>
  <c r="N242" i="8" a="1"/>
  <c r="N242" i="8" s="1"/>
  <c r="M242" i="8" a="1"/>
  <c r="M242" i="8" s="1"/>
  <c r="K242" i="8" a="1"/>
  <c r="K242" i="8" s="1"/>
  <c r="L242" i="8" a="1"/>
  <c r="L242" i="8" s="1"/>
  <c r="D242" i="8"/>
  <c r="H242" i="8"/>
  <c r="E241" i="8"/>
  <c r="F241" i="8"/>
  <c r="A243" i="8"/>
  <c r="B243" i="8" s="1" a="1"/>
  <c r="B243" i="8" s="1"/>
  <c r="C242" i="8"/>
  <c r="G242" i="8" a="1"/>
  <c r="G242" i="8" s="1"/>
  <c r="I243" i="8" l="1"/>
  <c r="N243" i="8" a="1"/>
  <c r="N243" i="8" s="1"/>
  <c r="M243" i="8" a="1"/>
  <c r="M243" i="8" s="1"/>
  <c r="L243" i="8" a="1"/>
  <c r="L243" i="8" s="1"/>
  <c r="K243" i="8" a="1"/>
  <c r="K243" i="8" s="1"/>
  <c r="D243" i="8"/>
  <c r="H243" i="8"/>
  <c r="E242" i="8"/>
  <c r="F242" i="8"/>
  <c r="A244" i="8"/>
  <c r="B244" i="8" s="1" a="1"/>
  <c r="B244" i="8" s="1"/>
  <c r="C243" i="8"/>
  <c r="G243" i="8" a="1"/>
  <c r="G243" i="8" s="1"/>
  <c r="I244" i="8" l="1"/>
  <c r="N244" i="8" a="1"/>
  <c r="N244" i="8" s="1"/>
  <c r="L244" i="8" a="1"/>
  <c r="L244" i="8" s="1"/>
  <c r="M244" i="8" a="1"/>
  <c r="M244" i="8" s="1"/>
  <c r="K244" i="8" a="1"/>
  <c r="K244" i="8" s="1"/>
  <c r="D244" i="8"/>
  <c r="H244" i="8"/>
  <c r="E243" i="8"/>
  <c r="F243" i="8"/>
  <c r="A245" i="8"/>
  <c r="B245" i="8" s="1" a="1"/>
  <c r="B245" i="8" s="1"/>
  <c r="C244" i="8"/>
  <c r="G244" i="8" a="1"/>
  <c r="G244" i="8" s="1"/>
  <c r="I245" i="8" l="1"/>
  <c r="N245" i="8" a="1"/>
  <c r="N245" i="8" s="1"/>
  <c r="M245" i="8" a="1"/>
  <c r="M245" i="8" s="1"/>
  <c r="L245" i="8" a="1"/>
  <c r="L245" i="8" s="1"/>
  <c r="K245" i="8" a="1"/>
  <c r="K245" i="8" s="1"/>
  <c r="D245" i="8"/>
  <c r="H245" i="8"/>
  <c r="E244" i="8"/>
  <c r="F244" i="8"/>
  <c r="A246" i="8"/>
  <c r="B246" i="8" s="1" a="1"/>
  <c r="B246" i="8" s="1"/>
  <c r="C245" i="8"/>
  <c r="I246" i="8" l="1"/>
  <c r="N246" i="8" a="1"/>
  <c r="N246" i="8" s="1"/>
  <c r="M246" i="8" a="1"/>
  <c r="M246" i="8" s="1"/>
  <c r="L246" i="8" a="1"/>
  <c r="L246" i="8" s="1"/>
  <c r="K246" i="8" a="1"/>
  <c r="K246" i="8" s="1"/>
  <c r="G245" i="8" a="1"/>
  <c r="G245" i="8" s="1"/>
  <c r="D246" i="8"/>
  <c r="H246" i="8"/>
  <c r="E245" i="8"/>
  <c r="F245" i="8"/>
  <c r="A247" i="8"/>
  <c r="B247" i="8" s="1" a="1"/>
  <c r="B247" i="8" s="1"/>
  <c r="C246" i="8"/>
  <c r="G246" i="8" a="1"/>
  <c r="G246" i="8" s="1"/>
  <c r="I247" i="8" l="1"/>
  <c r="N247" i="8" a="1"/>
  <c r="N247" i="8" s="1"/>
  <c r="M247" i="8" a="1"/>
  <c r="M247" i="8" s="1"/>
  <c r="L247" i="8" a="1"/>
  <c r="L247" i="8" s="1"/>
  <c r="K247" i="8" a="1"/>
  <c r="K247" i="8" s="1"/>
  <c r="D247" i="8"/>
  <c r="H247" i="8"/>
  <c r="E246" i="8"/>
  <c r="F246" i="8"/>
  <c r="A248" i="8"/>
  <c r="B248" i="8" s="1" a="1"/>
  <c r="B248" i="8" s="1"/>
  <c r="C247" i="8"/>
  <c r="G247" i="8" a="1"/>
  <c r="G247" i="8" s="1"/>
  <c r="I248" i="8" l="1"/>
  <c r="N248" i="8" a="1"/>
  <c r="N248" i="8" s="1"/>
  <c r="M248" i="8" a="1"/>
  <c r="M248" i="8" s="1"/>
  <c r="L248" i="8" a="1"/>
  <c r="L248" i="8" s="1"/>
  <c r="K248" i="8" a="1"/>
  <c r="K248" i="8" s="1"/>
  <c r="D248" i="8"/>
  <c r="H248" i="8"/>
  <c r="E247" i="8"/>
  <c r="F247" i="8"/>
  <c r="A249" i="8"/>
  <c r="B249" i="8" s="1" a="1"/>
  <c r="B249" i="8" s="1"/>
  <c r="C248" i="8"/>
  <c r="G248" i="8" a="1"/>
  <c r="G248" i="8" s="1"/>
  <c r="I249" i="8" l="1"/>
  <c r="N249" i="8" a="1"/>
  <c r="N249" i="8" s="1"/>
  <c r="M249" i="8" a="1"/>
  <c r="M249" i="8" s="1"/>
  <c r="L249" i="8" a="1"/>
  <c r="L249" i="8" s="1"/>
  <c r="K249" i="8" a="1"/>
  <c r="K249" i="8" s="1"/>
  <c r="D249" i="8"/>
  <c r="H249" i="8"/>
  <c r="E248" i="8"/>
  <c r="F248" i="8"/>
  <c r="A250" i="8"/>
  <c r="B250" i="8" s="1" a="1"/>
  <c r="B250" i="8" s="1"/>
  <c r="C249" i="8"/>
  <c r="G249" i="8" a="1"/>
  <c r="G249" i="8" s="1"/>
  <c r="I250" i="8" l="1"/>
  <c r="N250" i="8" a="1"/>
  <c r="N250" i="8" s="1"/>
  <c r="M250" i="8" a="1"/>
  <c r="M250" i="8" s="1"/>
  <c r="L250" i="8" a="1"/>
  <c r="L250" i="8" s="1"/>
  <c r="K250" i="8" a="1"/>
  <c r="K250" i="8" s="1"/>
  <c r="D250" i="8"/>
  <c r="H250" i="8"/>
  <c r="E249" i="8"/>
  <c r="F249" i="8"/>
  <c r="A251" i="8"/>
  <c r="B251" i="8" s="1" a="1"/>
  <c r="B251" i="8" s="1"/>
  <c r="C250" i="8"/>
  <c r="G250" i="8" a="1"/>
  <c r="G250" i="8" s="1"/>
  <c r="I251" i="8" l="1"/>
  <c r="N251" i="8" a="1"/>
  <c r="N251" i="8" s="1"/>
  <c r="M251" i="8" a="1"/>
  <c r="M251" i="8" s="1"/>
  <c r="L251" i="8" a="1"/>
  <c r="L251" i="8" s="1"/>
  <c r="K251" i="8" a="1"/>
  <c r="K251" i="8" s="1"/>
  <c r="D251" i="8"/>
  <c r="H251" i="8"/>
  <c r="E250" i="8"/>
  <c r="F250" i="8"/>
  <c r="A252" i="8"/>
  <c r="B252" i="8" s="1" a="1"/>
  <c r="B252" i="8" s="1"/>
  <c r="C251" i="8"/>
  <c r="G251" i="8" a="1"/>
  <c r="G251" i="8" s="1"/>
  <c r="I252" i="8" l="1"/>
  <c r="N252" i="8" a="1"/>
  <c r="N252" i="8" s="1"/>
  <c r="M252" i="8" a="1"/>
  <c r="M252" i="8" s="1"/>
  <c r="L252" i="8" a="1"/>
  <c r="L252" i="8" s="1"/>
  <c r="K252" i="8" a="1"/>
  <c r="K252" i="8" s="1"/>
  <c r="D252" i="8"/>
  <c r="H252" i="8"/>
  <c r="E251" i="8"/>
  <c r="F251" i="8"/>
  <c r="A253" i="8"/>
  <c r="B253" i="8" s="1" a="1"/>
  <c r="B253" i="8" s="1"/>
  <c r="C252" i="8"/>
  <c r="G252" i="8" a="1"/>
  <c r="G252" i="8" s="1"/>
  <c r="I253" i="8" l="1"/>
  <c r="N253" i="8" a="1"/>
  <c r="N253" i="8" s="1"/>
  <c r="M253" i="8" a="1"/>
  <c r="M253" i="8" s="1"/>
  <c r="L253" i="8" a="1"/>
  <c r="L253" i="8" s="1"/>
  <c r="K253" i="8" a="1"/>
  <c r="K253" i="8" s="1"/>
  <c r="D253" i="8"/>
  <c r="H253" i="8"/>
  <c r="E252" i="8"/>
  <c r="F252" i="8"/>
  <c r="A254" i="8"/>
  <c r="B254" i="8" s="1" a="1"/>
  <c r="B254" i="8" s="1"/>
  <c r="C253" i="8"/>
  <c r="G253" i="8" a="1"/>
  <c r="G253" i="8" s="1"/>
  <c r="I254" i="8" l="1"/>
  <c r="N254" i="8" a="1"/>
  <c r="N254" i="8" s="1"/>
  <c r="M254" i="8" a="1"/>
  <c r="M254" i="8" s="1"/>
  <c r="L254" i="8" a="1"/>
  <c r="L254" i="8" s="1"/>
  <c r="K254" i="8" a="1"/>
  <c r="K254" i="8" s="1"/>
  <c r="D254" i="8"/>
  <c r="H254" i="8"/>
  <c r="E253" i="8"/>
  <c r="F253" i="8"/>
  <c r="A255" i="8"/>
  <c r="B255" i="8" s="1" a="1"/>
  <c r="B255" i="8" s="1"/>
  <c r="C254" i="8"/>
  <c r="G254" i="8" a="1"/>
  <c r="G254" i="8" s="1"/>
  <c r="I255" i="8" l="1"/>
  <c r="N255" i="8" a="1"/>
  <c r="N255" i="8" s="1"/>
  <c r="M255" i="8" a="1"/>
  <c r="M255" i="8" s="1"/>
  <c r="L255" i="8" a="1"/>
  <c r="L255" i="8" s="1"/>
  <c r="K255" i="8" a="1"/>
  <c r="K255" i="8" s="1"/>
  <c r="D255" i="8"/>
  <c r="H255" i="8"/>
  <c r="E254" i="8"/>
  <c r="F254" i="8"/>
  <c r="A256" i="8"/>
  <c r="B256" i="8" s="1" a="1"/>
  <c r="B256" i="8" s="1"/>
  <c r="C255" i="8"/>
  <c r="G255" i="8" a="1"/>
  <c r="G255" i="8" s="1"/>
  <c r="I256" i="8" l="1"/>
  <c r="N256" i="8" a="1"/>
  <c r="N256" i="8" s="1"/>
  <c r="M256" i="8" a="1"/>
  <c r="M256" i="8" s="1"/>
  <c r="L256" i="8" a="1"/>
  <c r="L256" i="8" s="1"/>
  <c r="K256" i="8" a="1"/>
  <c r="K256" i="8" s="1"/>
  <c r="D256" i="8"/>
  <c r="H256" i="8"/>
  <c r="E255" i="8"/>
  <c r="F255" i="8"/>
  <c r="A257" i="8"/>
  <c r="B257" i="8" s="1" a="1"/>
  <c r="B257" i="8" s="1"/>
  <c r="C256" i="8"/>
  <c r="G256" i="8" a="1"/>
  <c r="G256" i="8" s="1"/>
  <c r="I257" i="8" l="1"/>
  <c r="N257" i="8" a="1"/>
  <c r="N257" i="8" s="1"/>
  <c r="M257" i="8" a="1"/>
  <c r="M257" i="8" s="1"/>
  <c r="L257" i="8" a="1"/>
  <c r="L257" i="8" s="1"/>
  <c r="K257" i="8" a="1"/>
  <c r="K257" i="8" s="1"/>
  <c r="D257" i="8"/>
  <c r="H257" i="8"/>
  <c r="E256" i="8"/>
  <c r="F256" i="8"/>
  <c r="A258" i="8"/>
  <c r="B258" i="8" s="1" a="1"/>
  <c r="B258" i="8" s="1"/>
  <c r="C257" i="8"/>
  <c r="G257" i="8" a="1"/>
  <c r="G257" i="8" s="1"/>
  <c r="I258" i="8" l="1"/>
  <c r="N258" i="8" a="1"/>
  <c r="N258" i="8" s="1"/>
  <c r="M258" i="8" a="1"/>
  <c r="M258" i="8" s="1"/>
  <c r="L258" i="8" a="1"/>
  <c r="L258" i="8" s="1"/>
  <c r="K258" i="8" a="1"/>
  <c r="K258" i="8" s="1"/>
  <c r="D258" i="8"/>
  <c r="H258" i="8"/>
  <c r="E257" i="8"/>
  <c r="F257" i="8"/>
  <c r="A259" i="8"/>
  <c r="B259" i="8" s="1" a="1"/>
  <c r="B259" i="8" s="1"/>
  <c r="C258" i="8"/>
  <c r="G258" i="8" a="1"/>
  <c r="G258" i="8" s="1"/>
  <c r="I259" i="8" l="1"/>
  <c r="N259" i="8" a="1"/>
  <c r="N259" i="8" s="1"/>
  <c r="M259" i="8" a="1"/>
  <c r="M259" i="8" s="1"/>
  <c r="L259" i="8" a="1"/>
  <c r="L259" i="8" s="1"/>
  <c r="K259" i="8" a="1"/>
  <c r="K259" i="8" s="1"/>
  <c r="D259" i="8"/>
  <c r="H259" i="8"/>
  <c r="E258" i="8"/>
  <c r="F258" i="8"/>
  <c r="A260" i="8"/>
  <c r="B260" i="8" s="1" a="1"/>
  <c r="B260" i="8" s="1"/>
  <c r="C259" i="8"/>
  <c r="G259" i="8" a="1"/>
  <c r="G259" i="8" s="1"/>
  <c r="I260" i="8" l="1"/>
  <c r="N260" i="8" a="1"/>
  <c r="N260" i="8" s="1"/>
  <c r="M260" i="8" a="1"/>
  <c r="M260" i="8" s="1"/>
  <c r="L260" i="8" a="1"/>
  <c r="L260" i="8" s="1"/>
  <c r="K260" i="8" a="1"/>
  <c r="K260" i="8" s="1"/>
  <c r="D260" i="8"/>
  <c r="H260" i="8"/>
  <c r="E259" i="8"/>
  <c r="F259" i="8"/>
  <c r="A261" i="8"/>
  <c r="B261" i="8" s="1" a="1"/>
  <c r="B261" i="8" s="1"/>
  <c r="C260" i="8"/>
  <c r="G260" i="8" a="1"/>
  <c r="G260" i="8" s="1"/>
  <c r="I261" i="8" l="1"/>
  <c r="N261" i="8" a="1"/>
  <c r="N261" i="8" s="1"/>
  <c r="M261" i="8" a="1"/>
  <c r="M261" i="8" s="1"/>
  <c r="L261" i="8" a="1"/>
  <c r="L261" i="8" s="1"/>
  <c r="K261" i="8" a="1"/>
  <c r="K261" i="8" s="1"/>
  <c r="D261" i="8"/>
  <c r="H261" i="8"/>
  <c r="E260" i="8"/>
  <c r="F260" i="8"/>
  <c r="A262" i="8"/>
  <c r="B262" i="8" s="1" a="1"/>
  <c r="B262" i="8" s="1"/>
  <c r="C261" i="8"/>
  <c r="G261" i="8" a="1"/>
  <c r="G261" i="8" s="1"/>
  <c r="I262" i="8" l="1"/>
  <c r="N262" i="8" a="1"/>
  <c r="N262" i="8" s="1"/>
  <c r="M262" i="8" a="1"/>
  <c r="M262" i="8" s="1"/>
  <c r="L262" i="8" a="1"/>
  <c r="L262" i="8" s="1"/>
  <c r="K262" i="8" a="1"/>
  <c r="K262" i="8" s="1"/>
  <c r="D262" i="8"/>
  <c r="H262" i="8"/>
  <c r="E261" i="8"/>
  <c r="F261" i="8"/>
  <c r="A263" i="8"/>
  <c r="B263" i="8" s="1" a="1"/>
  <c r="B263" i="8" s="1"/>
  <c r="C262" i="8"/>
  <c r="G262" i="8" a="1"/>
  <c r="G262" i="8" s="1"/>
  <c r="I263" i="8" l="1"/>
  <c r="N263" i="8" a="1"/>
  <c r="N263" i="8" s="1"/>
  <c r="M263" i="8" a="1"/>
  <c r="M263" i="8" s="1"/>
  <c r="L263" i="8" a="1"/>
  <c r="L263" i="8" s="1"/>
  <c r="K263" i="8" a="1"/>
  <c r="K263" i="8" s="1"/>
  <c r="D263" i="8"/>
  <c r="H263" i="8"/>
  <c r="E262" i="8"/>
  <c r="F262" i="8"/>
  <c r="A264" i="8"/>
  <c r="B264" i="8" s="1" a="1"/>
  <c r="B264" i="8" s="1"/>
  <c r="C263" i="8"/>
  <c r="G263" i="8" a="1"/>
  <c r="G263" i="8" s="1"/>
  <c r="I264" i="8" l="1"/>
  <c r="N264" i="8" a="1"/>
  <c r="N264" i="8" s="1"/>
  <c r="M264" i="8" a="1"/>
  <c r="M264" i="8" s="1"/>
  <c r="L264" i="8" a="1"/>
  <c r="L264" i="8" s="1"/>
  <c r="K264" i="8" a="1"/>
  <c r="K264" i="8" s="1"/>
  <c r="D264" i="8"/>
  <c r="H264" i="8"/>
  <c r="E263" i="8"/>
  <c r="F263" i="8"/>
  <c r="A265" i="8"/>
  <c r="B265" i="8" s="1" a="1"/>
  <c r="B265" i="8" s="1"/>
  <c r="C264" i="8"/>
  <c r="G264" i="8" a="1"/>
  <c r="G264" i="8" s="1"/>
  <c r="I265" i="8" l="1"/>
  <c r="N265" i="8" a="1"/>
  <c r="N265" i="8" s="1"/>
  <c r="M265" i="8" a="1"/>
  <c r="M265" i="8" s="1"/>
  <c r="L265" i="8" a="1"/>
  <c r="L265" i="8" s="1"/>
  <c r="K265" i="8" a="1"/>
  <c r="K265" i="8" s="1"/>
  <c r="D265" i="8"/>
  <c r="H265" i="8"/>
  <c r="E264" i="8"/>
  <c r="F264" i="8"/>
  <c r="A266" i="8"/>
  <c r="B266" i="8" s="1" a="1"/>
  <c r="B266" i="8" s="1"/>
  <c r="C265" i="8"/>
  <c r="G265" i="8" a="1"/>
  <c r="G265" i="8" s="1"/>
  <c r="I266" i="8" l="1"/>
  <c r="N266" i="8" a="1"/>
  <c r="N266" i="8" s="1"/>
  <c r="M266" i="8" a="1"/>
  <c r="M266" i="8" s="1"/>
  <c r="L266" i="8" a="1"/>
  <c r="L266" i="8" s="1"/>
  <c r="K266" i="8" a="1"/>
  <c r="K266" i="8" s="1"/>
  <c r="D266" i="8"/>
  <c r="H266" i="8"/>
  <c r="E265" i="8"/>
  <c r="F265" i="8"/>
  <c r="A267" i="8"/>
  <c r="B267" i="8" s="1" a="1"/>
  <c r="B267" i="8" s="1"/>
  <c r="C266" i="8"/>
  <c r="G266" i="8" a="1"/>
  <c r="G266" i="8" s="1"/>
  <c r="I267" i="8" l="1"/>
  <c r="N267" i="8" a="1"/>
  <c r="N267" i="8" s="1"/>
  <c r="M267" i="8" a="1"/>
  <c r="M267" i="8" s="1"/>
  <c r="L267" i="8" a="1"/>
  <c r="L267" i="8" s="1"/>
  <c r="K267" i="8" a="1"/>
  <c r="K267" i="8" s="1"/>
  <c r="D267" i="8"/>
  <c r="H267" i="8"/>
  <c r="E266" i="8"/>
  <c r="F266" i="8"/>
  <c r="A268" i="8"/>
  <c r="B268" i="8" s="1" a="1"/>
  <c r="B268" i="8" s="1"/>
  <c r="C267" i="8"/>
  <c r="G267" i="8" a="1"/>
  <c r="G267" i="8" s="1"/>
  <c r="I268" i="8" l="1"/>
  <c r="N268" i="8" a="1"/>
  <c r="N268" i="8" s="1"/>
  <c r="M268" i="8" a="1"/>
  <c r="M268" i="8" s="1"/>
  <c r="L268" i="8" a="1"/>
  <c r="L268" i="8" s="1"/>
  <c r="K268" i="8" a="1"/>
  <c r="K268" i="8" s="1"/>
  <c r="D268" i="8"/>
  <c r="H268" i="8"/>
  <c r="E267" i="8"/>
  <c r="F267" i="8"/>
  <c r="A269" i="8"/>
  <c r="B269" i="8" s="1" a="1"/>
  <c r="B269" i="8" s="1"/>
  <c r="C268" i="8"/>
  <c r="G268" i="8" a="1"/>
  <c r="G268" i="8" s="1"/>
  <c r="I269" i="8" l="1"/>
  <c r="N269" i="8" a="1"/>
  <c r="N269" i="8" s="1"/>
  <c r="M269" i="8" a="1"/>
  <c r="M269" i="8" s="1"/>
  <c r="L269" i="8" a="1"/>
  <c r="L269" i="8" s="1"/>
  <c r="K269" i="8" a="1"/>
  <c r="K269" i="8" s="1"/>
  <c r="D269" i="8"/>
  <c r="H269" i="8"/>
  <c r="E268" i="8"/>
  <c r="F268" i="8"/>
  <c r="A270" i="8"/>
  <c r="B270" i="8" s="1" a="1"/>
  <c r="B270" i="8" s="1"/>
  <c r="C269" i="8"/>
  <c r="G269" i="8" a="1"/>
  <c r="G269" i="8" s="1"/>
  <c r="I270" i="8" l="1"/>
  <c r="N270" i="8" a="1"/>
  <c r="N270" i="8" s="1"/>
  <c r="M270" i="8" a="1"/>
  <c r="M270" i="8" s="1"/>
  <c r="L270" i="8" a="1"/>
  <c r="L270" i="8" s="1"/>
  <c r="K270" i="8" a="1"/>
  <c r="K270" i="8" s="1"/>
  <c r="D270" i="8"/>
  <c r="H270" i="8"/>
  <c r="E269" i="8"/>
  <c r="F269" i="8"/>
  <c r="A271" i="8"/>
  <c r="B271" i="8" s="1" a="1"/>
  <c r="B271" i="8" s="1"/>
  <c r="C270" i="8"/>
  <c r="G270" i="8" a="1"/>
  <c r="G270" i="8" s="1"/>
  <c r="I271" i="8" l="1"/>
  <c r="N271" i="8" a="1"/>
  <c r="N271" i="8" s="1"/>
  <c r="M271" i="8" a="1"/>
  <c r="M271" i="8" s="1"/>
  <c r="L271" i="8" a="1"/>
  <c r="L271" i="8" s="1"/>
  <c r="K271" i="8" a="1"/>
  <c r="K271" i="8" s="1"/>
  <c r="D271" i="8"/>
  <c r="H271" i="8"/>
  <c r="E270" i="8"/>
  <c r="F270" i="8"/>
  <c r="A272" i="8"/>
  <c r="B272" i="8" s="1" a="1"/>
  <c r="B272" i="8" s="1"/>
  <c r="C271" i="8"/>
  <c r="G271" i="8" a="1"/>
  <c r="G271" i="8" s="1"/>
  <c r="I272" i="8" l="1"/>
  <c r="M272" i="8" a="1"/>
  <c r="M272" i="8" s="1"/>
  <c r="N272" i="8" a="1"/>
  <c r="N272" i="8" s="1"/>
  <c r="L272" i="8" a="1"/>
  <c r="L272" i="8" s="1"/>
  <c r="K272" i="8" a="1"/>
  <c r="K272" i="8" s="1"/>
  <c r="D272" i="8"/>
  <c r="H272" i="8"/>
  <c r="E271" i="8"/>
  <c r="F271" i="8"/>
  <c r="A273" i="8"/>
  <c r="B273" i="8" s="1" a="1"/>
  <c r="B273" i="8" s="1"/>
  <c r="C272" i="8"/>
  <c r="G272" i="8" a="1"/>
  <c r="G272" i="8" s="1"/>
  <c r="I273" i="8" l="1"/>
  <c r="N273" i="8" a="1"/>
  <c r="N273" i="8" s="1"/>
  <c r="M273" i="8" a="1"/>
  <c r="M273" i="8" s="1"/>
  <c r="L273" i="8" a="1"/>
  <c r="L273" i="8" s="1"/>
  <c r="K273" i="8" a="1"/>
  <c r="K273" i="8" s="1"/>
  <c r="D273" i="8"/>
  <c r="H273" i="8"/>
  <c r="E272" i="8"/>
  <c r="F272" i="8"/>
  <c r="A274" i="8"/>
  <c r="B274" i="8" s="1" a="1"/>
  <c r="B274" i="8" s="1"/>
  <c r="C273" i="8"/>
  <c r="G273" i="8" a="1"/>
  <c r="G273" i="8" s="1"/>
  <c r="I274" i="8" l="1"/>
  <c r="N274" i="8" a="1"/>
  <c r="N274" i="8" s="1"/>
  <c r="M274" i="8" a="1"/>
  <c r="M274" i="8" s="1"/>
  <c r="L274" i="8" a="1"/>
  <c r="L274" i="8" s="1"/>
  <c r="K274" i="8" a="1"/>
  <c r="K274" i="8" s="1"/>
  <c r="D274" i="8"/>
  <c r="H274" i="8"/>
  <c r="E273" i="8"/>
  <c r="F273" i="8"/>
  <c r="A275" i="8"/>
  <c r="B275" i="8" s="1" a="1"/>
  <c r="B275" i="8" s="1"/>
  <c r="C274" i="8"/>
  <c r="G274" i="8" a="1"/>
  <c r="G274" i="8" s="1"/>
  <c r="I275" i="8" l="1"/>
  <c r="N275" i="8" a="1"/>
  <c r="N275" i="8" s="1"/>
  <c r="M275" i="8" a="1"/>
  <c r="M275" i="8" s="1"/>
  <c r="L275" i="8" a="1"/>
  <c r="L275" i="8" s="1"/>
  <c r="K275" i="8" a="1"/>
  <c r="K275" i="8" s="1"/>
  <c r="D275" i="8"/>
  <c r="H275" i="8"/>
  <c r="E274" i="8"/>
  <c r="F274" i="8"/>
  <c r="A276" i="8"/>
  <c r="B276" i="8" s="1" a="1"/>
  <c r="B276" i="8" s="1"/>
  <c r="C275" i="8"/>
  <c r="I276" i="8" l="1"/>
  <c r="N276" i="8" a="1"/>
  <c r="N276" i="8" s="1"/>
  <c r="L276" i="8" a="1"/>
  <c r="L276" i="8" s="1"/>
  <c r="M276" i="8" a="1"/>
  <c r="M276" i="8" s="1"/>
  <c r="K276" i="8" a="1"/>
  <c r="K276" i="8" s="1"/>
  <c r="G275" i="8" a="1"/>
  <c r="G275" i="8" s="1"/>
  <c r="D276" i="8"/>
  <c r="H276" i="8"/>
  <c r="E275" i="8"/>
  <c r="F275" i="8"/>
  <c r="A277" i="8"/>
  <c r="B277" i="8" s="1" a="1"/>
  <c r="B277" i="8" s="1"/>
  <c r="C276" i="8"/>
  <c r="G276" i="8" a="1"/>
  <c r="G276" i="8" s="1"/>
  <c r="I277" i="8" l="1"/>
  <c r="N277" i="8" a="1"/>
  <c r="N277" i="8" s="1"/>
  <c r="M277" i="8" a="1"/>
  <c r="M277" i="8" s="1"/>
  <c r="L277" i="8" a="1"/>
  <c r="L277" i="8" s="1"/>
  <c r="K277" i="8" a="1"/>
  <c r="K277" i="8" s="1"/>
  <c r="D277" i="8"/>
  <c r="H277" i="8"/>
  <c r="E276" i="8"/>
  <c r="F276" i="8"/>
  <c r="A278" i="8"/>
  <c r="B278" i="8" s="1" a="1"/>
  <c r="B278" i="8" s="1"/>
  <c r="C277" i="8"/>
  <c r="G277" i="8" a="1"/>
  <c r="G277" i="8" s="1"/>
  <c r="I278" i="8" l="1"/>
  <c r="N278" i="8" a="1"/>
  <c r="N278" i="8" s="1"/>
  <c r="L278" i="8" a="1"/>
  <c r="L278" i="8" s="1"/>
  <c r="M278" i="8" a="1"/>
  <c r="M278" i="8" s="1"/>
  <c r="K278" i="8" a="1"/>
  <c r="K278" i="8" s="1"/>
  <c r="D278" i="8"/>
  <c r="H278" i="8"/>
  <c r="E277" i="8"/>
  <c r="F277" i="8"/>
  <c r="A279" i="8"/>
  <c r="B279" i="8" s="1" a="1"/>
  <c r="B279" i="8" s="1"/>
  <c r="C278" i="8"/>
  <c r="G278" i="8" a="1"/>
  <c r="G278" i="8" s="1"/>
  <c r="I279" i="8" l="1"/>
  <c r="N279" i="8" a="1"/>
  <c r="N279" i="8" s="1"/>
  <c r="L279" i="8" a="1"/>
  <c r="L279" i="8" s="1"/>
  <c r="M279" i="8" a="1"/>
  <c r="M279" i="8" s="1"/>
  <c r="K279" i="8" a="1"/>
  <c r="K279" i="8" s="1"/>
  <c r="D279" i="8"/>
  <c r="H279" i="8"/>
  <c r="E278" i="8"/>
  <c r="F278" i="8"/>
  <c r="A280" i="8"/>
  <c r="B280" i="8" s="1" a="1"/>
  <c r="B280" i="8" s="1"/>
  <c r="C279" i="8"/>
  <c r="G279" i="8" a="1"/>
  <c r="G279" i="8" s="1"/>
  <c r="I280" i="8" l="1"/>
  <c r="N280" i="8" a="1"/>
  <c r="N280" i="8" s="1"/>
  <c r="M280" i="8" a="1"/>
  <c r="M280" i="8" s="1"/>
  <c r="L280" i="8" a="1"/>
  <c r="L280" i="8" s="1"/>
  <c r="K280" i="8" a="1"/>
  <c r="K280" i="8" s="1"/>
  <c r="D280" i="8"/>
  <c r="H280" i="8"/>
  <c r="E279" i="8"/>
  <c r="F279" i="8"/>
  <c r="A281" i="8"/>
  <c r="B281" i="8" s="1" a="1"/>
  <c r="B281" i="8" s="1"/>
  <c r="C280" i="8"/>
  <c r="G280" i="8" a="1"/>
  <c r="G280" i="8" s="1"/>
  <c r="I281" i="8" l="1"/>
  <c r="N281" i="8" a="1"/>
  <c r="N281" i="8" s="1"/>
  <c r="M281" i="8" a="1"/>
  <c r="M281" i="8" s="1"/>
  <c r="L281" i="8" a="1"/>
  <c r="L281" i="8" s="1"/>
  <c r="K281" i="8" a="1"/>
  <c r="K281" i="8" s="1"/>
  <c r="D281" i="8"/>
  <c r="H281" i="8"/>
  <c r="E280" i="8"/>
  <c r="F280" i="8"/>
  <c r="A282" i="8"/>
  <c r="B282" i="8" s="1" a="1"/>
  <c r="B282" i="8" s="1"/>
  <c r="C281" i="8"/>
  <c r="G281" i="8" a="1"/>
  <c r="G281" i="8" s="1"/>
  <c r="I282" i="8" l="1"/>
  <c r="N282" i="8" a="1"/>
  <c r="N282" i="8" s="1"/>
  <c r="M282" i="8" a="1"/>
  <c r="M282" i="8" s="1"/>
  <c r="L282" i="8" a="1"/>
  <c r="L282" i="8" s="1"/>
  <c r="K282" i="8" a="1"/>
  <c r="K282" i="8" s="1"/>
  <c r="D282" i="8"/>
  <c r="H282" i="8"/>
  <c r="E281" i="8"/>
  <c r="F281" i="8"/>
  <c r="A283" i="8"/>
  <c r="B283" i="8" s="1" a="1"/>
  <c r="B283" i="8" s="1"/>
  <c r="C282" i="8"/>
  <c r="G282" i="8" a="1"/>
  <c r="G282" i="8" s="1"/>
  <c r="I283" i="8" l="1"/>
  <c r="N283" i="8" a="1"/>
  <c r="N283" i="8" s="1"/>
  <c r="L283" i="8" a="1"/>
  <c r="L283" i="8" s="1"/>
  <c r="M283" i="8" a="1"/>
  <c r="M283" i="8" s="1"/>
  <c r="K283" i="8" a="1"/>
  <c r="K283" i="8" s="1"/>
  <c r="D283" i="8"/>
  <c r="H283" i="8"/>
  <c r="E282" i="8"/>
  <c r="F282" i="8"/>
  <c r="A284" i="8"/>
  <c r="B284" i="8" s="1" a="1"/>
  <c r="B284" i="8" s="1"/>
  <c r="C283" i="8"/>
  <c r="G283" i="8" a="1"/>
  <c r="G283" i="8" s="1"/>
  <c r="I284" i="8" l="1"/>
  <c r="N284" i="8" a="1"/>
  <c r="N284" i="8" s="1"/>
  <c r="M284" i="8" a="1"/>
  <c r="M284" i="8" s="1"/>
  <c r="L284" i="8" a="1"/>
  <c r="L284" i="8" s="1"/>
  <c r="K284" i="8" a="1"/>
  <c r="K284" i="8" s="1"/>
  <c r="D284" i="8"/>
  <c r="H284" i="8"/>
  <c r="E283" i="8"/>
  <c r="F283" i="8"/>
  <c r="A285" i="8"/>
  <c r="B285" i="8" s="1" a="1"/>
  <c r="B285" i="8" s="1"/>
  <c r="C284" i="8"/>
  <c r="G284" i="8" a="1"/>
  <c r="G284" i="8" s="1"/>
  <c r="I285" i="8" l="1"/>
  <c r="M285" i="8" a="1"/>
  <c r="M285" i="8" s="1"/>
  <c r="N285" i="8" a="1"/>
  <c r="N285" i="8" s="1"/>
  <c r="L285" i="8" a="1"/>
  <c r="L285" i="8" s="1"/>
  <c r="K285" i="8" a="1"/>
  <c r="K285" i="8" s="1"/>
  <c r="D285" i="8"/>
  <c r="H285" i="8"/>
  <c r="E284" i="8"/>
  <c r="F284" i="8"/>
  <c r="A286" i="8"/>
  <c r="B286" i="8" s="1" a="1"/>
  <c r="B286" i="8" s="1"/>
  <c r="C285" i="8"/>
  <c r="G285" i="8" a="1"/>
  <c r="G285" i="8" s="1"/>
  <c r="I286" i="8" l="1"/>
  <c r="N286" i="8" a="1"/>
  <c r="N286" i="8" s="1"/>
  <c r="M286" i="8" a="1"/>
  <c r="M286" i="8" s="1"/>
  <c r="L286" i="8" a="1"/>
  <c r="L286" i="8" s="1"/>
  <c r="K286" i="8" a="1"/>
  <c r="K286" i="8" s="1"/>
  <c r="D286" i="8"/>
  <c r="H286" i="8"/>
  <c r="E285" i="8"/>
  <c r="F285" i="8"/>
  <c r="A287" i="8"/>
  <c r="B287" i="8" s="1" a="1"/>
  <c r="B287" i="8" s="1"/>
  <c r="C286" i="8"/>
  <c r="G286" i="8" a="1"/>
  <c r="G286" i="8" s="1"/>
  <c r="I287" i="8" l="1"/>
  <c r="N287" i="8" a="1"/>
  <c r="N287" i="8" s="1"/>
  <c r="L287" i="8" a="1"/>
  <c r="L287" i="8" s="1"/>
  <c r="M287" i="8" a="1"/>
  <c r="M287" i="8" s="1"/>
  <c r="K287" i="8" a="1"/>
  <c r="K287" i="8" s="1"/>
  <c r="D287" i="8"/>
  <c r="H287" i="8"/>
  <c r="E286" i="8"/>
  <c r="F286" i="8"/>
  <c r="A288" i="8"/>
  <c r="B288" i="8" s="1" a="1"/>
  <c r="B288" i="8" s="1"/>
  <c r="C287" i="8"/>
  <c r="G287" i="8" a="1"/>
  <c r="G287" i="8" s="1"/>
  <c r="I288" i="8" l="1"/>
  <c r="N288" i="8" a="1"/>
  <c r="N288" i="8" s="1"/>
  <c r="M288" i="8" a="1"/>
  <c r="M288" i="8" s="1"/>
  <c r="L288" i="8" a="1"/>
  <c r="L288" i="8" s="1"/>
  <c r="K288" i="8" a="1"/>
  <c r="K288" i="8" s="1"/>
  <c r="D288" i="8"/>
  <c r="H288" i="8"/>
  <c r="E287" i="8"/>
  <c r="F287" i="8"/>
  <c r="A289" i="8"/>
  <c r="B289" i="8" s="1" a="1"/>
  <c r="B289" i="8" s="1"/>
  <c r="C288" i="8"/>
  <c r="G288" i="8" a="1"/>
  <c r="G288" i="8" s="1"/>
  <c r="I289" i="8" l="1"/>
  <c r="N289" i="8" a="1"/>
  <c r="N289" i="8" s="1"/>
  <c r="M289" i="8" a="1"/>
  <c r="M289" i="8" s="1"/>
  <c r="L289" i="8" a="1"/>
  <c r="L289" i="8" s="1"/>
  <c r="K289" i="8" a="1"/>
  <c r="K289" i="8" s="1"/>
  <c r="D289" i="8"/>
  <c r="H289" i="8"/>
  <c r="E288" i="8"/>
  <c r="F288" i="8"/>
  <c r="A290" i="8"/>
  <c r="B290" i="8" s="1" a="1"/>
  <c r="B290" i="8" s="1"/>
  <c r="C289" i="8"/>
  <c r="G289" i="8" a="1"/>
  <c r="G289" i="8" s="1"/>
  <c r="I290" i="8" l="1"/>
  <c r="N290" i="8" a="1"/>
  <c r="N290" i="8" s="1"/>
  <c r="M290" i="8" a="1"/>
  <c r="M290" i="8" s="1"/>
  <c r="L290" i="8" a="1"/>
  <c r="L290" i="8" s="1"/>
  <c r="K290" i="8" a="1"/>
  <c r="K290" i="8" s="1"/>
  <c r="D290" i="8"/>
  <c r="H290" i="8"/>
  <c r="E289" i="8"/>
  <c r="F289" i="8"/>
  <c r="A291" i="8"/>
  <c r="B291" i="8" s="1" a="1"/>
  <c r="B291" i="8" s="1"/>
  <c r="C290" i="8"/>
  <c r="G290" i="8" a="1"/>
  <c r="G290" i="8" s="1"/>
  <c r="I291" i="8" l="1"/>
  <c r="N291" i="8" a="1"/>
  <c r="N291" i="8" s="1"/>
  <c r="M291" i="8" a="1"/>
  <c r="M291" i="8" s="1"/>
  <c r="L291" i="8" a="1"/>
  <c r="L291" i="8" s="1"/>
  <c r="K291" i="8" a="1"/>
  <c r="K291" i="8" s="1"/>
  <c r="D291" i="8"/>
  <c r="H291" i="8"/>
  <c r="E290" i="8"/>
  <c r="F290" i="8"/>
  <c r="A292" i="8"/>
  <c r="B292" i="8" s="1" a="1"/>
  <c r="B292" i="8" s="1"/>
  <c r="C291" i="8"/>
  <c r="G291" i="8" a="1"/>
  <c r="G291" i="8" s="1"/>
  <c r="I292" i="8" l="1"/>
  <c r="N292" i="8" a="1"/>
  <c r="N292" i="8" s="1"/>
  <c r="M292" i="8" a="1"/>
  <c r="M292" i="8" s="1"/>
  <c r="L292" i="8" a="1"/>
  <c r="L292" i="8" s="1"/>
  <c r="K292" i="8" a="1"/>
  <c r="K292" i="8" s="1"/>
  <c r="D292" i="8"/>
  <c r="H292" i="8"/>
  <c r="E291" i="8"/>
  <c r="F291" i="8"/>
  <c r="A293" i="8"/>
  <c r="B293" i="8" s="1" a="1"/>
  <c r="B293" i="8" s="1"/>
  <c r="C292" i="8"/>
  <c r="G292" i="8" a="1"/>
  <c r="G292" i="8" s="1"/>
  <c r="I293" i="8" l="1"/>
  <c r="N293" i="8" a="1"/>
  <c r="N293" i="8" s="1"/>
  <c r="M293" i="8" a="1"/>
  <c r="M293" i="8" s="1"/>
  <c r="L293" i="8" a="1"/>
  <c r="L293" i="8" s="1"/>
  <c r="K293" i="8" a="1"/>
  <c r="K293" i="8" s="1"/>
  <c r="D293" i="8"/>
  <c r="H293" i="8"/>
  <c r="E292" i="8"/>
  <c r="F292" i="8"/>
  <c r="A294" i="8"/>
  <c r="B294" i="8" s="1" a="1"/>
  <c r="B294" i="8" s="1"/>
  <c r="C293" i="8"/>
  <c r="G293" i="8" a="1"/>
  <c r="G293" i="8" s="1"/>
  <c r="I294" i="8" l="1"/>
  <c r="N294" i="8" a="1"/>
  <c r="N294" i="8" s="1"/>
  <c r="M294" i="8" a="1"/>
  <c r="M294" i="8" s="1"/>
  <c r="L294" i="8" a="1"/>
  <c r="L294" i="8" s="1"/>
  <c r="K294" i="8" a="1"/>
  <c r="K294" i="8" s="1"/>
  <c r="D294" i="8"/>
  <c r="H294" i="8"/>
  <c r="E293" i="8"/>
  <c r="F293" i="8"/>
  <c r="A295" i="8"/>
  <c r="B295" i="8" s="1" a="1"/>
  <c r="B295" i="8" s="1"/>
  <c r="C294" i="8"/>
  <c r="G294" i="8" a="1"/>
  <c r="G294" i="8" s="1"/>
  <c r="I295" i="8" l="1"/>
  <c r="N295" i="8" a="1"/>
  <c r="N295" i="8" s="1"/>
  <c r="M295" i="8" a="1"/>
  <c r="M295" i="8" s="1"/>
  <c r="L295" i="8" a="1"/>
  <c r="L295" i="8" s="1"/>
  <c r="K295" i="8" a="1"/>
  <c r="K295" i="8" s="1"/>
  <c r="D295" i="8"/>
  <c r="H295" i="8"/>
  <c r="E294" i="8"/>
  <c r="F294" i="8"/>
  <c r="A296" i="8"/>
  <c r="B296" i="8" s="1" a="1"/>
  <c r="B296" i="8" s="1"/>
  <c r="C295" i="8"/>
  <c r="G295" i="8" a="1"/>
  <c r="G295" i="8" s="1"/>
  <c r="I296" i="8" l="1"/>
  <c r="N296" i="8" a="1"/>
  <c r="N296" i="8" s="1"/>
  <c r="M296" i="8" a="1"/>
  <c r="M296" i="8" s="1"/>
  <c r="L296" i="8" a="1"/>
  <c r="L296" i="8" s="1"/>
  <c r="K296" i="8" a="1"/>
  <c r="K296" i="8" s="1"/>
  <c r="D296" i="8"/>
  <c r="H296" i="8"/>
  <c r="E295" i="8"/>
  <c r="F295" i="8"/>
  <c r="A297" i="8"/>
  <c r="B297" i="8" s="1" a="1"/>
  <c r="B297" i="8" s="1"/>
  <c r="C296" i="8"/>
  <c r="G296" i="8" a="1"/>
  <c r="G296" i="8" s="1"/>
  <c r="I297" i="8" l="1"/>
  <c r="N297" i="8" a="1"/>
  <c r="N297" i="8" s="1"/>
  <c r="M297" i="8" a="1"/>
  <c r="M297" i="8" s="1"/>
  <c r="L297" i="8" a="1"/>
  <c r="L297" i="8" s="1"/>
  <c r="K297" i="8" a="1"/>
  <c r="K297" i="8" s="1"/>
  <c r="D297" i="8"/>
  <c r="H297" i="8"/>
  <c r="E296" i="8"/>
  <c r="F296" i="8"/>
  <c r="A298" i="8"/>
  <c r="B298" i="8" s="1" a="1"/>
  <c r="B298" i="8" s="1"/>
  <c r="C297" i="8"/>
  <c r="G297" i="8" a="1"/>
  <c r="G297" i="8" s="1"/>
  <c r="I298" i="8" l="1"/>
  <c r="N298" i="8" a="1"/>
  <c r="N298" i="8" s="1"/>
  <c r="M298" i="8" a="1"/>
  <c r="M298" i="8" s="1"/>
  <c r="L298" i="8" a="1"/>
  <c r="L298" i="8" s="1"/>
  <c r="K298" i="8" a="1"/>
  <c r="K298" i="8" s="1"/>
  <c r="D298" i="8"/>
  <c r="H298" i="8"/>
  <c r="E297" i="8"/>
  <c r="F297" i="8"/>
  <c r="A299" i="8"/>
  <c r="B299" i="8" s="1" a="1"/>
  <c r="B299" i="8" s="1"/>
  <c r="C298" i="8"/>
  <c r="G298" i="8" a="1"/>
  <c r="G298" i="8" s="1"/>
  <c r="I299" i="8" l="1"/>
  <c r="N299" i="8" a="1"/>
  <c r="N299" i="8" s="1"/>
  <c r="L299" i="8" a="1"/>
  <c r="L299" i="8" s="1"/>
  <c r="M299" i="8" a="1"/>
  <c r="M299" i="8" s="1"/>
  <c r="K299" i="8" a="1"/>
  <c r="K299" i="8" s="1"/>
  <c r="D299" i="8"/>
  <c r="H299" i="8"/>
  <c r="E298" i="8"/>
  <c r="F298" i="8"/>
  <c r="A300" i="8"/>
  <c r="B300" i="8" s="1" a="1"/>
  <c r="B300" i="8" s="1"/>
  <c r="C299" i="8"/>
  <c r="G299" i="8" a="1"/>
  <c r="G299" i="8" s="1"/>
  <c r="I300" i="8" l="1"/>
  <c r="N300" i="8" a="1"/>
  <c r="N300" i="8" s="1"/>
  <c r="M300" i="8" a="1"/>
  <c r="M300" i="8" s="1"/>
  <c r="L300" i="8" a="1"/>
  <c r="L300" i="8" s="1"/>
  <c r="K300" i="8" a="1"/>
  <c r="K300" i="8" s="1"/>
  <c r="D300" i="8"/>
  <c r="H300" i="8"/>
  <c r="E299" i="8"/>
  <c r="F299" i="8"/>
  <c r="A301" i="8"/>
  <c r="B301" i="8" s="1" a="1"/>
  <c r="B301" i="8" s="1"/>
  <c r="C300" i="8"/>
  <c r="G300" i="8" a="1"/>
  <c r="G300" i="8" s="1"/>
  <c r="I301" i="8" l="1"/>
  <c r="N301" i="8" a="1"/>
  <c r="N301" i="8" s="1"/>
  <c r="M301" i="8" a="1"/>
  <c r="M301" i="8" s="1"/>
  <c r="L301" i="8" a="1"/>
  <c r="L301" i="8" s="1"/>
  <c r="K301" i="8" a="1"/>
  <c r="K301" i="8" s="1"/>
  <c r="D301" i="8"/>
  <c r="H301" i="8"/>
  <c r="E300" i="8"/>
  <c r="F300" i="8"/>
  <c r="A302" i="8"/>
  <c r="B302" i="8" s="1" a="1"/>
  <c r="B302" i="8" s="1"/>
  <c r="C301" i="8"/>
  <c r="G301" i="8" a="1"/>
  <c r="G301" i="8" s="1"/>
  <c r="I302" i="8" l="1"/>
  <c r="N302" i="8" a="1"/>
  <c r="N302" i="8" s="1"/>
  <c r="L302" i="8" a="1"/>
  <c r="L302" i="8" s="1"/>
  <c r="M302" i="8" a="1"/>
  <c r="M302" i="8" s="1"/>
  <c r="K302" i="8" a="1"/>
  <c r="K302" i="8" s="1"/>
  <c r="D302" i="8"/>
  <c r="H302" i="8"/>
  <c r="E301" i="8"/>
  <c r="F301" i="8"/>
  <c r="A303" i="8"/>
  <c r="B303" i="8" s="1" a="1"/>
  <c r="B303" i="8" s="1"/>
  <c r="C302" i="8"/>
  <c r="G302" i="8" a="1"/>
  <c r="G302" i="8" s="1"/>
  <c r="I303" i="8" l="1"/>
  <c r="N303" i="8" a="1"/>
  <c r="N303" i="8" s="1"/>
  <c r="M303" i="8" a="1"/>
  <c r="M303" i="8" s="1"/>
  <c r="L303" i="8" a="1"/>
  <c r="L303" i="8" s="1"/>
  <c r="K303" i="8" a="1"/>
  <c r="K303" i="8" s="1"/>
  <c r="D303" i="8"/>
  <c r="H303" i="8"/>
  <c r="E302" i="8"/>
  <c r="F302" i="8"/>
  <c r="A304" i="8"/>
  <c r="B304" i="8" s="1" a="1"/>
  <c r="B304" i="8" s="1"/>
  <c r="C303" i="8"/>
  <c r="G303" i="8" a="1"/>
  <c r="G303" i="8" s="1"/>
  <c r="I304" i="8" l="1"/>
  <c r="N304" i="8" a="1"/>
  <c r="N304" i="8" s="1"/>
  <c r="M304" i="8" a="1"/>
  <c r="M304" i="8" s="1"/>
  <c r="K304" i="8" a="1"/>
  <c r="K304" i="8" s="1"/>
  <c r="L304" i="8" a="1"/>
  <c r="L304" i="8" s="1"/>
  <c r="D304" i="8"/>
  <c r="H304" i="8"/>
  <c r="E303" i="8"/>
  <c r="F303" i="8"/>
  <c r="A305" i="8"/>
  <c r="B305" i="8" s="1" a="1"/>
  <c r="B305" i="8" s="1"/>
  <c r="C304" i="8"/>
  <c r="G304" i="8" a="1"/>
  <c r="G304" i="8" s="1"/>
  <c r="I305" i="8" l="1"/>
  <c r="N305" i="8" a="1"/>
  <c r="N305" i="8" s="1"/>
  <c r="M305" i="8" a="1"/>
  <c r="M305" i="8" s="1"/>
  <c r="L305" i="8" a="1"/>
  <c r="L305" i="8" s="1"/>
  <c r="K305" i="8" a="1"/>
  <c r="K305" i="8" s="1"/>
  <c r="D305" i="8"/>
  <c r="H305" i="8"/>
  <c r="E304" i="8"/>
  <c r="F304" i="8"/>
  <c r="A306" i="8"/>
  <c r="B306" i="8" s="1" a="1"/>
  <c r="B306" i="8" s="1"/>
  <c r="C305" i="8"/>
  <c r="G305" i="8" a="1"/>
  <c r="G305" i="8" s="1"/>
  <c r="I306" i="8" l="1"/>
  <c r="N306" i="8" a="1"/>
  <c r="N306" i="8" s="1"/>
  <c r="M306" i="8" a="1"/>
  <c r="M306" i="8" s="1"/>
  <c r="L306" i="8" a="1"/>
  <c r="L306" i="8" s="1"/>
  <c r="K306" i="8" a="1"/>
  <c r="K306" i="8" s="1"/>
  <c r="D306" i="8"/>
  <c r="H306" i="8"/>
  <c r="E305" i="8"/>
  <c r="F305" i="8"/>
  <c r="A307" i="8"/>
  <c r="B307" i="8" s="1" a="1"/>
  <c r="B307" i="8" s="1"/>
  <c r="C306" i="8"/>
  <c r="I307" i="8" l="1"/>
  <c r="N307" i="8" a="1"/>
  <c r="N307" i="8" s="1"/>
  <c r="M307" i="8" a="1"/>
  <c r="M307" i="8" s="1"/>
  <c r="L307" i="8" a="1"/>
  <c r="L307" i="8" s="1"/>
  <c r="K307" i="8" a="1"/>
  <c r="K307" i="8" s="1"/>
  <c r="G306" i="8" a="1"/>
  <c r="G306" i="8" s="1"/>
  <c r="D307" i="8"/>
  <c r="H307" i="8"/>
  <c r="E306" i="8"/>
  <c r="F306" i="8"/>
  <c r="A308" i="8"/>
  <c r="B308" i="8" s="1" a="1"/>
  <c r="B308" i="8" s="1"/>
  <c r="C307" i="8"/>
  <c r="G307" i="8" a="1"/>
  <c r="G307" i="8" s="1"/>
  <c r="I308" i="8" l="1"/>
  <c r="N308" i="8" a="1"/>
  <c r="N308" i="8" s="1"/>
  <c r="M308" i="8" a="1"/>
  <c r="M308" i="8" s="1"/>
  <c r="L308" i="8" a="1"/>
  <c r="L308" i="8" s="1"/>
  <c r="K308" i="8" a="1"/>
  <c r="K308" i="8" s="1"/>
  <c r="D308" i="8"/>
  <c r="H308" i="8"/>
  <c r="E307" i="8"/>
  <c r="F307" i="8"/>
  <c r="A309" i="8"/>
  <c r="B309" i="8" s="1" a="1"/>
  <c r="B309" i="8" s="1"/>
  <c r="C308" i="8"/>
  <c r="G308" i="8" a="1"/>
  <c r="G308" i="8" s="1"/>
  <c r="I309" i="8" l="1"/>
  <c r="N309" i="8" a="1"/>
  <c r="N309" i="8" s="1"/>
  <c r="M309" i="8" a="1"/>
  <c r="M309" i="8" s="1"/>
  <c r="L309" i="8" a="1"/>
  <c r="L309" i="8" s="1"/>
  <c r="K309" i="8" a="1"/>
  <c r="K309" i="8" s="1"/>
  <c r="D309" i="8"/>
  <c r="H309" i="8"/>
  <c r="E308" i="8"/>
  <c r="F308" i="8"/>
  <c r="A310" i="8"/>
  <c r="B310" i="8" s="1" a="1"/>
  <c r="B310" i="8" s="1"/>
  <c r="C309" i="8"/>
  <c r="G309" i="8" a="1"/>
  <c r="G309" i="8" s="1"/>
  <c r="I310" i="8" l="1"/>
  <c r="N310" i="8" a="1"/>
  <c r="N310" i="8" s="1"/>
  <c r="M310" i="8" a="1"/>
  <c r="M310" i="8" s="1"/>
  <c r="L310" i="8" a="1"/>
  <c r="L310" i="8" s="1"/>
  <c r="K310" i="8" a="1"/>
  <c r="K310" i="8" s="1"/>
  <c r="D310" i="8"/>
  <c r="H310" i="8"/>
  <c r="E309" i="8"/>
  <c r="F309" i="8"/>
  <c r="A311" i="8"/>
  <c r="B311" i="8" s="1" a="1"/>
  <c r="B311" i="8" s="1"/>
  <c r="C310" i="8"/>
  <c r="G310" i="8" a="1"/>
  <c r="G310" i="8" s="1"/>
  <c r="I311" i="8" l="1"/>
  <c r="N311" i="8" a="1"/>
  <c r="N311" i="8" s="1"/>
  <c r="M311" i="8" a="1"/>
  <c r="M311" i="8" s="1"/>
  <c r="L311" i="8" a="1"/>
  <c r="L311" i="8" s="1"/>
  <c r="K311" i="8" a="1"/>
  <c r="K311" i="8" s="1"/>
  <c r="D311" i="8"/>
  <c r="H311" i="8"/>
  <c r="E310" i="8"/>
  <c r="F310" i="8"/>
  <c r="A312" i="8"/>
  <c r="B312" i="8" s="1" a="1"/>
  <c r="B312" i="8" s="1"/>
  <c r="C311" i="8"/>
  <c r="G311" i="8" a="1"/>
  <c r="G311" i="8" s="1"/>
  <c r="I312" i="8" l="1"/>
  <c r="N312" i="8" a="1"/>
  <c r="N312" i="8" s="1"/>
  <c r="M312" i="8" a="1"/>
  <c r="M312" i="8" s="1"/>
  <c r="L312" i="8" a="1"/>
  <c r="L312" i="8" s="1"/>
  <c r="K312" i="8" a="1"/>
  <c r="K312" i="8" s="1"/>
  <c r="D312" i="8"/>
  <c r="H312" i="8"/>
  <c r="E311" i="8"/>
  <c r="F311" i="8"/>
  <c r="A313" i="8"/>
  <c r="B313" i="8" s="1" a="1"/>
  <c r="B313" i="8" s="1"/>
  <c r="C312" i="8"/>
  <c r="G312" i="8" a="1"/>
  <c r="G312" i="8" s="1"/>
  <c r="I313" i="8" l="1"/>
  <c r="N313" i="8" a="1"/>
  <c r="N313" i="8" s="1"/>
  <c r="M313" i="8" a="1"/>
  <c r="M313" i="8" s="1"/>
  <c r="L313" i="8" a="1"/>
  <c r="L313" i="8" s="1"/>
  <c r="K313" i="8" a="1"/>
  <c r="K313" i="8" s="1"/>
  <c r="D313" i="8"/>
  <c r="H313" i="8"/>
  <c r="E312" i="8"/>
  <c r="F312" i="8"/>
  <c r="A314" i="8"/>
  <c r="B314" i="8" s="1" a="1"/>
  <c r="B314" i="8" s="1"/>
  <c r="C313" i="8"/>
  <c r="G313" i="8" a="1"/>
  <c r="G313" i="8" s="1"/>
  <c r="I314" i="8" l="1"/>
  <c r="N314" i="8" a="1"/>
  <c r="N314" i="8" s="1"/>
  <c r="M314" i="8" a="1"/>
  <c r="M314" i="8" s="1"/>
  <c r="L314" i="8" a="1"/>
  <c r="L314" i="8" s="1"/>
  <c r="K314" i="8" a="1"/>
  <c r="K314" i="8" s="1"/>
  <c r="D314" i="8"/>
  <c r="H314" i="8"/>
  <c r="E313" i="8"/>
  <c r="F313" i="8"/>
  <c r="A315" i="8"/>
  <c r="B315" i="8" s="1" a="1"/>
  <c r="B315" i="8" s="1"/>
  <c r="C314" i="8"/>
  <c r="G314" i="8" a="1"/>
  <c r="G314" i="8" s="1"/>
  <c r="I315" i="8" l="1"/>
  <c r="M315" i="8" a="1"/>
  <c r="M315" i="8" s="1"/>
  <c r="N315" i="8" a="1"/>
  <c r="N315" i="8" s="1"/>
  <c r="L315" i="8" a="1"/>
  <c r="L315" i="8" s="1"/>
  <c r="K315" i="8" a="1"/>
  <c r="K315" i="8" s="1"/>
  <c r="D315" i="8"/>
  <c r="H315" i="8"/>
  <c r="E314" i="8"/>
  <c r="F314" i="8"/>
  <c r="A316" i="8"/>
  <c r="B316" i="8" s="1" a="1"/>
  <c r="B316" i="8" s="1"/>
  <c r="C315" i="8"/>
  <c r="G315" i="8" a="1"/>
  <c r="G315" i="8" s="1"/>
  <c r="I316" i="8" l="1"/>
  <c r="N316" i="8" a="1"/>
  <c r="N316" i="8" s="1"/>
  <c r="M316" i="8" a="1"/>
  <c r="M316" i="8" s="1"/>
  <c r="L316" i="8" a="1"/>
  <c r="L316" i="8" s="1"/>
  <c r="K316" i="8" a="1"/>
  <c r="K316" i="8" s="1"/>
  <c r="D316" i="8"/>
  <c r="H316" i="8"/>
  <c r="E315" i="8"/>
  <c r="F315" i="8"/>
  <c r="A317" i="8"/>
  <c r="B317" i="8" s="1" a="1"/>
  <c r="B317" i="8" s="1"/>
  <c r="C316" i="8"/>
  <c r="G316" i="8" a="1"/>
  <c r="G316" i="8" s="1"/>
  <c r="I317" i="8" l="1"/>
  <c r="N317" i="8" a="1"/>
  <c r="N317" i="8" s="1"/>
  <c r="M317" i="8" a="1"/>
  <c r="M317" i="8" s="1"/>
  <c r="L317" i="8" a="1"/>
  <c r="L317" i="8" s="1"/>
  <c r="K317" i="8" a="1"/>
  <c r="K317" i="8" s="1"/>
  <c r="D317" i="8"/>
  <c r="H317" i="8"/>
  <c r="E316" i="8"/>
  <c r="F316" i="8"/>
  <c r="A318" i="8"/>
  <c r="B318" i="8" s="1" a="1"/>
  <c r="B318" i="8" s="1"/>
  <c r="C317" i="8"/>
  <c r="G317" i="8" a="1"/>
  <c r="G317" i="8" s="1"/>
  <c r="I318" i="8" l="1"/>
  <c r="M318" i="8" a="1"/>
  <c r="M318" i="8" s="1"/>
  <c r="N318" i="8" a="1"/>
  <c r="N318" i="8" s="1"/>
  <c r="L318" i="8" a="1"/>
  <c r="L318" i="8" s="1"/>
  <c r="K318" i="8" a="1"/>
  <c r="K318" i="8" s="1"/>
  <c r="D318" i="8"/>
  <c r="H318" i="8"/>
  <c r="E317" i="8"/>
  <c r="F317" i="8"/>
  <c r="A319" i="8"/>
  <c r="B319" i="8" s="1" a="1"/>
  <c r="B319" i="8" s="1"/>
  <c r="C318" i="8"/>
  <c r="G318" i="8" a="1"/>
  <c r="G318" i="8" s="1"/>
  <c r="I319" i="8" l="1"/>
  <c r="N319" i="8" a="1"/>
  <c r="N319" i="8" s="1"/>
  <c r="M319" i="8" a="1"/>
  <c r="M319" i="8" s="1"/>
  <c r="L319" i="8" a="1"/>
  <c r="L319" i="8" s="1"/>
  <c r="K319" i="8" a="1"/>
  <c r="K319" i="8" s="1"/>
  <c r="D319" i="8"/>
  <c r="H319" i="8"/>
  <c r="E318" i="8"/>
  <c r="F318" i="8"/>
  <c r="A320" i="8"/>
  <c r="B320" i="8" s="1" a="1"/>
  <c r="B320" i="8" s="1"/>
  <c r="C319" i="8"/>
  <c r="G319" i="8" a="1"/>
  <c r="G319" i="8" s="1"/>
  <c r="I320" i="8" l="1"/>
  <c r="N320" i="8" a="1"/>
  <c r="N320" i="8" s="1"/>
  <c r="M320" i="8" a="1"/>
  <c r="M320" i="8" s="1"/>
  <c r="L320" i="8" a="1"/>
  <c r="L320" i="8" s="1"/>
  <c r="K320" i="8" a="1"/>
  <c r="K320" i="8" s="1"/>
  <c r="D320" i="8"/>
  <c r="H320" i="8"/>
  <c r="E319" i="8"/>
  <c r="F319" i="8"/>
  <c r="A321" i="8"/>
  <c r="B321" i="8" s="1" a="1"/>
  <c r="B321" i="8" s="1"/>
  <c r="C320" i="8"/>
  <c r="G320" i="8" a="1"/>
  <c r="G320" i="8" s="1"/>
  <c r="I321" i="8" l="1"/>
  <c r="N321" i="8" a="1"/>
  <c r="N321" i="8" s="1"/>
  <c r="M321" i="8" a="1"/>
  <c r="M321" i="8" s="1"/>
  <c r="L321" i="8" a="1"/>
  <c r="L321" i="8" s="1"/>
  <c r="K321" i="8" a="1"/>
  <c r="K321" i="8" s="1"/>
  <c r="D321" i="8"/>
  <c r="H321" i="8"/>
  <c r="E320" i="8"/>
  <c r="F320" i="8"/>
  <c r="A322" i="8"/>
  <c r="B322" i="8" s="1" a="1"/>
  <c r="B322" i="8" s="1"/>
  <c r="C321" i="8"/>
  <c r="G321" i="8" a="1"/>
  <c r="G321" i="8" s="1"/>
  <c r="I322" i="8" l="1"/>
  <c r="N322" i="8" a="1"/>
  <c r="N322" i="8" s="1"/>
  <c r="M322" i="8" a="1"/>
  <c r="M322" i="8" s="1"/>
  <c r="L322" i="8" a="1"/>
  <c r="L322" i="8" s="1"/>
  <c r="K322" i="8" a="1"/>
  <c r="K322" i="8" s="1"/>
  <c r="D322" i="8"/>
  <c r="H322" i="8"/>
  <c r="E321" i="8"/>
  <c r="F321" i="8"/>
  <c r="A323" i="8"/>
  <c r="B323" i="8" s="1" a="1"/>
  <c r="B323" i="8" s="1"/>
  <c r="C322" i="8"/>
  <c r="G322" i="8" a="1"/>
  <c r="G322" i="8" s="1"/>
  <c r="I323" i="8" l="1"/>
  <c r="N323" i="8" a="1"/>
  <c r="N323" i="8" s="1"/>
  <c r="M323" i="8" a="1"/>
  <c r="M323" i="8" s="1"/>
  <c r="L323" i="8" a="1"/>
  <c r="L323" i="8" s="1"/>
  <c r="K323" i="8" a="1"/>
  <c r="K323" i="8" s="1"/>
  <c r="D323" i="8"/>
  <c r="H323" i="8"/>
  <c r="E322" i="8"/>
  <c r="F322" i="8"/>
  <c r="A324" i="8"/>
  <c r="B324" i="8" s="1" a="1"/>
  <c r="B324" i="8" s="1"/>
  <c r="C323" i="8"/>
  <c r="G323" i="8" a="1"/>
  <c r="G323" i="8" s="1"/>
  <c r="I324" i="8" l="1"/>
  <c r="N324" i="8" a="1"/>
  <c r="N324" i="8" s="1"/>
  <c r="M324" i="8" a="1"/>
  <c r="M324" i="8" s="1"/>
  <c r="L324" i="8" a="1"/>
  <c r="L324" i="8" s="1"/>
  <c r="K324" i="8" a="1"/>
  <c r="K324" i="8" s="1"/>
  <c r="D324" i="8"/>
  <c r="H324" i="8"/>
  <c r="E323" i="8"/>
  <c r="F323" i="8"/>
  <c r="A325" i="8"/>
  <c r="B325" i="8" s="1" a="1"/>
  <c r="B325" i="8" s="1"/>
  <c r="C324" i="8"/>
  <c r="G324" i="8" a="1"/>
  <c r="G324" i="8" s="1"/>
  <c r="I325" i="8" l="1"/>
  <c r="M325" i="8" a="1"/>
  <c r="M325" i="8" s="1"/>
  <c r="N325" i="8" a="1"/>
  <c r="N325" i="8" s="1"/>
  <c r="L325" i="8" a="1"/>
  <c r="L325" i="8" s="1"/>
  <c r="K325" i="8" a="1"/>
  <c r="K325" i="8" s="1"/>
  <c r="D325" i="8"/>
  <c r="H325" i="8"/>
  <c r="E324" i="8"/>
  <c r="F324" i="8"/>
  <c r="A326" i="8"/>
  <c r="B326" i="8" s="1" a="1"/>
  <c r="B326" i="8" s="1"/>
  <c r="C325" i="8"/>
  <c r="G325" i="8" a="1"/>
  <c r="G325" i="8" s="1"/>
  <c r="I326" i="8" l="1"/>
  <c r="N326" i="8" a="1"/>
  <c r="N326" i="8" s="1"/>
  <c r="M326" i="8" a="1"/>
  <c r="M326" i="8" s="1"/>
  <c r="L326" i="8" a="1"/>
  <c r="L326" i="8" s="1"/>
  <c r="K326" i="8" a="1"/>
  <c r="K326" i="8" s="1"/>
  <c r="D326" i="8"/>
  <c r="H326" i="8"/>
  <c r="E325" i="8"/>
  <c r="F325" i="8"/>
  <c r="A327" i="8"/>
  <c r="B327" i="8" s="1" a="1"/>
  <c r="B327" i="8" s="1"/>
  <c r="C326" i="8"/>
  <c r="G326" i="8" a="1"/>
  <c r="G326" i="8" s="1"/>
  <c r="I327" i="8" l="1"/>
  <c r="N327" i="8" a="1"/>
  <c r="N327" i="8" s="1"/>
  <c r="L327" i="8" a="1"/>
  <c r="L327" i="8" s="1"/>
  <c r="M327" i="8" a="1"/>
  <c r="M327" i="8" s="1"/>
  <c r="K327" i="8" a="1"/>
  <c r="K327" i="8" s="1"/>
  <c r="D327" i="8"/>
  <c r="H327" i="8"/>
  <c r="E326" i="8"/>
  <c r="F326" i="8"/>
  <c r="A328" i="8"/>
  <c r="B328" i="8" s="1" a="1"/>
  <c r="B328" i="8" s="1"/>
  <c r="C327" i="8"/>
  <c r="G327" i="8" a="1"/>
  <c r="G327" i="8" s="1"/>
  <c r="I328" i="8" l="1"/>
  <c r="N328" i="8" a="1"/>
  <c r="N328" i="8" s="1"/>
  <c r="M328" i="8" a="1"/>
  <c r="M328" i="8" s="1"/>
  <c r="K328" i="8" a="1"/>
  <c r="K328" i="8" s="1"/>
  <c r="L328" i="8" a="1"/>
  <c r="L328" i="8" s="1"/>
  <c r="D328" i="8"/>
  <c r="H328" i="8"/>
  <c r="E327" i="8"/>
  <c r="F327" i="8"/>
  <c r="A329" i="8"/>
  <c r="B329" i="8" s="1" a="1"/>
  <c r="B329" i="8" s="1"/>
  <c r="C328" i="8"/>
  <c r="G328" i="8" a="1"/>
  <c r="G328" i="8" s="1"/>
  <c r="I329" i="8" l="1"/>
  <c r="M329" i="8" a="1"/>
  <c r="M329" i="8" s="1"/>
  <c r="N329" i="8" a="1"/>
  <c r="N329" i="8" s="1"/>
  <c r="L329" i="8" a="1"/>
  <c r="L329" i="8" s="1"/>
  <c r="K329" i="8" a="1"/>
  <c r="K329" i="8" s="1"/>
  <c r="D329" i="8"/>
  <c r="H329" i="8"/>
  <c r="E328" i="8"/>
  <c r="F328" i="8"/>
  <c r="A330" i="8"/>
  <c r="B330" i="8" s="1" a="1"/>
  <c r="B330" i="8" s="1"/>
  <c r="C329" i="8"/>
  <c r="G329" i="8" a="1"/>
  <c r="G329" i="8" s="1"/>
  <c r="I330" i="8" l="1"/>
  <c r="N330" i="8" a="1"/>
  <c r="N330" i="8" s="1"/>
  <c r="L330" i="8" a="1"/>
  <c r="L330" i="8" s="1"/>
  <c r="M330" i="8" a="1"/>
  <c r="M330" i="8" s="1"/>
  <c r="K330" i="8" a="1"/>
  <c r="K330" i="8" s="1"/>
  <c r="D330" i="8"/>
  <c r="H330" i="8"/>
  <c r="E329" i="8"/>
  <c r="F329" i="8"/>
  <c r="A331" i="8"/>
  <c r="B331" i="8" s="1" a="1"/>
  <c r="B331" i="8" s="1"/>
  <c r="C330" i="8"/>
  <c r="G330" i="8" a="1"/>
  <c r="G330" i="8" s="1"/>
  <c r="I331" i="8" l="1"/>
  <c r="M331" i="8" a="1"/>
  <c r="M331" i="8" s="1"/>
  <c r="N331" i="8" a="1"/>
  <c r="N331" i="8" s="1"/>
  <c r="L331" i="8" a="1"/>
  <c r="L331" i="8" s="1"/>
  <c r="K331" i="8" a="1"/>
  <c r="K331" i="8" s="1"/>
  <c r="D331" i="8"/>
  <c r="H331" i="8"/>
  <c r="E330" i="8"/>
  <c r="F330" i="8"/>
  <c r="A332" i="8"/>
  <c r="B332" i="8" s="1" a="1"/>
  <c r="B332" i="8" s="1"/>
  <c r="C331" i="8"/>
  <c r="G331" i="8" a="1"/>
  <c r="G331" i="8" s="1"/>
  <c r="I332" i="8" l="1"/>
  <c r="N332" i="8" a="1"/>
  <c r="N332" i="8" s="1"/>
  <c r="M332" i="8" a="1"/>
  <c r="M332" i="8" s="1"/>
  <c r="L332" i="8" a="1"/>
  <c r="L332" i="8" s="1"/>
  <c r="K332" i="8" a="1"/>
  <c r="K332" i="8" s="1"/>
  <c r="D332" i="8"/>
  <c r="H332" i="8"/>
  <c r="E331" i="8"/>
  <c r="F331" i="8"/>
  <c r="A333" i="8"/>
  <c r="B333" i="8" s="1" a="1"/>
  <c r="B333" i="8" s="1"/>
  <c r="C332" i="8"/>
  <c r="G332" i="8" a="1"/>
  <c r="G332" i="8" s="1"/>
  <c r="I333" i="8" l="1"/>
  <c r="N333" i="8" a="1"/>
  <c r="N333" i="8" s="1"/>
  <c r="M333" i="8" a="1"/>
  <c r="M333" i="8" s="1"/>
  <c r="L333" i="8" a="1"/>
  <c r="L333" i="8" s="1"/>
  <c r="K333" i="8" a="1"/>
  <c r="K333" i="8" s="1"/>
  <c r="D333" i="8"/>
  <c r="H333" i="8"/>
  <c r="E332" i="8"/>
  <c r="F332" i="8"/>
  <c r="A334" i="8"/>
  <c r="B334" i="8" s="1" a="1"/>
  <c r="B334" i="8" s="1"/>
  <c r="C333" i="8"/>
  <c r="G333" i="8" a="1"/>
  <c r="G333" i="8" s="1"/>
  <c r="I334" i="8" l="1"/>
  <c r="N334" i="8" a="1"/>
  <c r="N334" i="8" s="1"/>
  <c r="M334" i="8" a="1"/>
  <c r="M334" i="8" s="1"/>
  <c r="L334" i="8" a="1"/>
  <c r="L334" i="8" s="1"/>
  <c r="K334" i="8" a="1"/>
  <c r="K334" i="8" s="1"/>
  <c r="D334" i="8"/>
  <c r="H334" i="8"/>
  <c r="E333" i="8"/>
  <c r="F333" i="8"/>
  <c r="A335" i="8"/>
  <c r="B335" i="8" s="1" a="1"/>
  <c r="B335" i="8" s="1"/>
  <c r="C334" i="8"/>
  <c r="G334" i="8" a="1"/>
  <c r="G334" i="8" s="1"/>
  <c r="I335" i="8" l="1"/>
  <c r="M335" i="8" a="1"/>
  <c r="M335" i="8" s="1"/>
  <c r="N335" i="8" a="1"/>
  <c r="N335" i="8" s="1"/>
  <c r="L335" i="8" a="1"/>
  <c r="L335" i="8" s="1"/>
  <c r="K335" i="8" a="1"/>
  <c r="K335" i="8" s="1"/>
  <c r="D335" i="8"/>
  <c r="H335" i="8"/>
  <c r="E334" i="8"/>
  <c r="F334" i="8"/>
  <c r="A336" i="8"/>
  <c r="B336" i="8" s="1" a="1"/>
  <c r="B336" i="8" s="1"/>
  <c r="C335" i="8"/>
  <c r="G335" i="8" a="1"/>
  <c r="G335" i="8" s="1"/>
  <c r="I336" i="8" l="1"/>
  <c r="N336" i="8" a="1"/>
  <c r="N336" i="8" s="1"/>
  <c r="M336" i="8" a="1"/>
  <c r="M336" i="8" s="1"/>
  <c r="L336" i="8" a="1"/>
  <c r="L336" i="8" s="1"/>
  <c r="K336" i="8" a="1"/>
  <c r="K336" i="8" s="1"/>
  <c r="D336" i="8"/>
  <c r="H336" i="8"/>
  <c r="E335" i="8"/>
  <c r="F335" i="8"/>
  <c r="A337" i="8"/>
  <c r="B337" i="8" s="1" a="1"/>
  <c r="B337" i="8" s="1"/>
  <c r="C336" i="8"/>
  <c r="I337" i="8" l="1"/>
  <c r="N337" i="8" a="1"/>
  <c r="N337" i="8" s="1"/>
  <c r="M337" i="8" a="1"/>
  <c r="M337" i="8" s="1"/>
  <c r="L337" i="8" a="1"/>
  <c r="L337" i="8" s="1"/>
  <c r="K337" i="8" a="1"/>
  <c r="K337" i="8" s="1"/>
  <c r="G336" i="8" a="1"/>
  <c r="G336" i="8" s="1"/>
  <c r="D337" i="8"/>
  <c r="H337" i="8"/>
  <c r="E336" i="8"/>
  <c r="F336" i="8"/>
  <c r="A338" i="8"/>
  <c r="B338" i="8" s="1" a="1"/>
  <c r="B338" i="8" s="1"/>
  <c r="C337" i="8"/>
  <c r="G337" i="8" a="1"/>
  <c r="G337" i="8" s="1"/>
  <c r="I338" i="8" l="1"/>
  <c r="N338" i="8" a="1"/>
  <c r="N338" i="8" s="1"/>
  <c r="M338" i="8" a="1"/>
  <c r="M338" i="8" s="1"/>
  <c r="K338" i="8" a="1"/>
  <c r="K338" i="8" s="1"/>
  <c r="L338" i="8" a="1"/>
  <c r="L338" i="8" s="1"/>
  <c r="D338" i="8"/>
  <c r="H338" i="8"/>
  <c r="E337" i="8"/>
  <c r="F337" i="8"/>
  <c r="A339" i="8"/>
  <c r="B339" i="8" s="1" a="1"/>
  <c r="B339" i="8" s="1"/>
  <c r="C338" i="8"/>
  <c r="G338" i="8" a="1"/>
  <c r="G338" i="8" s="1"/>
  <c r="I339" i="8" l="1"/>
  <c r="N339" i="8" a="1"/>
  <c r="N339" i="8" s="1"/>
  <c r="M339" i="8" a="1"/>
  <c r="M339" i="8" s="1"/>
  <c r="L339" i="8" a="1"/>
  <c r="L339" i="8" s="1"/>
  <c r="K339" i="8" a="1"/>
  <c r="K339" i="8" s="1"/>
  <c r="D339" i="8"/>
  <c r="H339" i="8"/>
  <c r="E338" i="8"/>
  <c r="F338" i="8"/>
  <c r="A340" i="8"/>
  <c r="B340" i="8" s="1" a="1"/>
  <c r="B340" i="8" s="1"/>
  <c r="C339" i="8"/>
  <c r="G339" i="8" a="1"/>
  <c r="G339" i="8" s="1"/>
  <c r="I340" i="8" l="1"/>
  <c r="N340" i="8" a="1"/>
  <c r="N340" i="8" s="1"/>
  <c r="M340" i="8" a="1"/>
  <c r="M340" i="8" s="1"/>
  <c r="L340" i="8" a="1"/>
  <c r="L340" i="8" s="1"/>
  <c r="K340" i="8" a="1"/>
  <c r="K340" i="8" s="1"/>
  <c r="D340" i="8"/>
  <c r="H340" i="8"/>
  <c r="E339" i="8"/>
  <c r="F339" i="8"/>
  <c r="A341" i="8"/>
  <c r="B341" i="8" s="1" a="1"/>
  <c r="B341" i="8" s="1"/>
  <c r="C340" i="8"/>
  <c r="G340" i="8" a="1"/>
  <c r="G340" i="8" s="1"/>
  <c r="I341" i="8" l="1"/>
  <c r="M341" i="8" a="1"/>
  <c r="M341" i="8" s="1"/>
  <c r="N341" i="8" a="1"/>
  <c r="N341" i="8" s="1"/>
  <c r="L341" i="8" a="1"/>
  <c r="L341" i="8" s="1"/>
  <c r="K341" i="8" a="1"/>
  <c r="K341" i="8" s="1"/>
  <c r="D341" i="8"/>
  <c r="H341" i="8"/>
  <c r="E340" i="8"/>
  <c r="F340" i="8"/>
  <c r="A342" i="8"/>
  <c r="B342" i="8" s="1" a="1"/>
  <c r="B342" i="8" s="1"/>
  <c r="C341" i="8"/>
  <c r="G341" i="8" a="1"/>
  <c r="G341" i="8" s="1"/>
  <c r="I342" i="8" l="1"/>
  <c r="N342" i="8" a="1"/>
  <c r="N342" i="8" s="1"/>
  <c r="M342" i="8" a="1"/>
  <c r="M342" i="8" s="1"/>
  <c r="L342" i="8" a="1"/>
  <c r="L342" i="8" s="1"/>
  <c r="K342" i="8" a="1"/>
  <c r="K342" i="8" s="1"/>
  <c r="D342" i="8"/>
  <c r="H342" i="8"/>
  <c r="E341" i="8"/>
  <c r="F341" i="8"/>
  <c r="A343" i="8"/>
  <c r="B343" i="8" s="1" a="1"/>
  <c r="B343" i="8" s="1"/>
  <c r="C342" i="8"/>
  <c r="G342" i="8" a="1"/>
  <c r="G342" i="8" s="1"/>
  <c r="I343" i="8" l="1"/>
  <c r="N343" i="8" a="1"/>
  <c r="N343" i="8" s="1"/>
  <c r="M343" i="8" a="1"/>
  <c r="M343" i="8" s="1"/>
  <c r="L343" i="8" a="1"/>
  <c r="L343" i="8" s="1"/>
  <c r="K343" i="8" a="1"/>
  <c r="K343" i="8" s="1"/>
  <c r="D343" i="8"/>
  <c r="H343" i="8"/>
  <c r="E342" i="8"/>
  <c r="F342" i="8"/>
  <c r="A344" i="8"/>
  <c r="B344" i="8" s="1" a="1"/>
  <c r="B344" i="8" s="1"/>
  <c r="C343" i="8"/>
  <c r="G343" i="8" a="1"/>
  <c r="G343" i="8" s="1"/>
  <c r="I344" i="8" l="1"/>
  <c r="N344" i="8" a="1"/>
  <c r="N344" i="8" s="1"/>
  <c r="M344" i="8" a="1"/>
  <c r="M344" i="8" s="1"/>
  <c r="K344" i="8" a="1"/>
  <c r="K344" i="8" s="1"/>
  <c r="L344" i="8" a="1"/>
  <c r="L344" i="8" s="1"/>
  <c r="D344" i="8"/>
  <c r="H344" i="8"/>
  <c r="E343" i="8"/>
  <c r="F343" i="8"/>
  <c r="A345" i="8"/>
  <c r="B345" i="8" s="1" a="1"/>
  <c r="B345" i="8" s="1"/>
  <c r="C344" i="8"/>
  <c r="G344" i="8" a="1"/>
  <c r="G344" i="8" s="1"/>
  <c r="I345" i="8" l="1"/>
  <c r="N345" i="8" a="1"/>
  <c r="N345" i="8" s="1"/>
  <c r="M345" i="8" a="1"/>
  <c r="M345" i="8" s="1"/>
  <c r="L345" i="8" a="1"/>
  <c r="L345" i="8" s="1"/>
  <c r="K345" i="8" a="1"/>
  <c r="K345" i="8" s="1"/>
  <c r="D345" i="8"/>
  <c r="H345" i="8"/>
  <c r="E344" i="8"/>
  <c r="F344" i="8"/>
  <c r="A346" i="8"/>
  <c r="B346" i="8" s="1" a="1"/>
  <c r="B346" i="8" s="1"/>
  <c r="C345" i="8"/>
  <c r="G345" i="8" a="1"/>
  <c r="G345" i="8" s="1"/>
  <c r="I346" i="8" l="1"/>
  <c r="N346" i="8" a="1"/>
  <c r="N346" i="8" s="1"/>
  <c r="M346" i="8" a="1"/>
  <c r="M346" i="8" s="1"/>
  <c r="L346" i="8" a="1"/>
  <c r="L346" i="8" s="1"/>
  <c r="K346" i="8" a="1"/>
  <c r="K346" i="8" s="1"/>
  <c r="D346" i="8"/>
  <c r="H346" i="8"/>
  <c r="E345" i="8"/>
  <c r="F345" i="8"/>
  <c r="A347" i="8"/>
  <c r="B347" i="8" s="1" a="1"/>
  <c r="B347" i="8" s="1"/>
  <c r="C346" i="8"/>
  <c r="G346" i="8" a="1"/>
  <c r="G346" i="8" s="1"/>
  <c r="I347" i="8" l="1"/>
  <c r="N347" i="8" a="1"/>
  <c r="N347" i="8" s="1"/>
  <c r="M347" i="8" a="1"/>
  <c r="M347" i="8" s="1"/>
  <c r="L347" i="8" a="1"/>
  <c r="L347" i="8" s="1"/>
  <c r="K347" i="8" a="1"/>
  <c r="K347" i="8" s="1"/>
  <c r="D347" i="8"/>
  <c r="H347" i="8"/>
  <c r="E346" i="8"/>
  <c r="F346" i="8"/>
  <c r="A348" i="8"/>
  <c r="B348" i="8" s="1" a="1"/>
  <c r="B348" i="8" s="1"/>
  <c r="C347" i="8"/>
  <c r="G347" i="8" a="1"/>
  <c r="G347" i="8" s="1"/>
  <c r="I348" i="8" l="1"/>
  <c r="N348" i="8" a="1"/>
  <c r="N348" i="8" s="1"/>
  <c r="L348" i="8" a="1"/>
  <c r="L348" i="8" s="1"/>
  <c r="M348" i="8" a="1"/>
  <c r="M348" i="8" s="1"/>
  <c r="K348" i="8" a="1"/>
  <c r="K348" i="8" s="1"/>
  <c r="D348" i="8"/>
  <c r="H348" i="8"/>
  <c r="E347" i="8"/>
  <c r="F347" i="8"/>
  <c r="A349" i="8"/>
  <c r="B349" i="8" s="1" a="1"/>
  <c r="B349" i="8" s="1"/>
  <c r="C348" i="8"/>
  <c r="G348" i="8" a="1"/>
  <c r="G348" i="8" s="1"/>
  <c r="I349" i="8" l="1"/>
  <c r="N349" i="8" a="1"/>
  <c r="N349" i="8" s="1"/>
  <c r="M349" i="8" a="1"/>
  <c r="M349" i="8" s="1"/>
  <c r="K349" i="8" a="1"/>
  <c r="K349" i="8" s="1"/>
  <c r="L349" i="8" a="1"/>
  <c r="L349" i="8" s="1"/>
  <c r="D349" i="8"/>
  <c r="H349" i="8"/>
  <c r="E348" i="8"/>
  <c r="F348" i="8"/>
  <c r="A350" i="8"/>
  <c r="B350" i="8" s="1" a="1"/>
  <c r="B350" i="8" s="1"/>
  <c r="C349" i="8"/>
  <c r="G349" i="8" a="1"/>
  <c r="G349" i="8" s="1"/>
  <c r="I350" i="8" l="1"/>
  <c r="N350" i="8" a="1"/>
  <c r="N350" i="8" s="1"/>
  <c r="M350" i="8" a="1"/>
  <c r="M350" i="8" s="1"/>
  <c r="L350" i="8" a="1"/>
  <c r="L350" i="8" s="1"/>
  <c r="K350" i="8" a="1"/>
  <c r="K350" i="8" s="1"/>
  <c r="D350" i="8"/>
  <c r="H350" i="8"/>
  <c r="E349" i="8"/>
  <c r="F349" i="8"/>
  <c r="A351" i="8"/>
  <c r="B351" i="8" s="1" a="1"/>
  <c r="B351" i="8" s="1"/>
  <c r="C350" i="8"/>
  <c r="G350" i="8" a="1"/>
  <c r="G350" i="8" s="1"/>
  <c r="I351" i="8" l="1"/>
  <c r="N351" i="8" a="1"/>
  <c r="N351" i="8" s="1"/>
  <c r="M351" i="8" a="1"/>
  <c r="M351" i="8" s="1"/>
  <c r="L351" i="8" a="1"/>
  <c r="L351" i="8" s="1"/>
  <c r="K351" i="8" a="1"/>
  <c r="K351" i="8" s="1"/>
  <c r="D351" i="8"/>
  <c r="H351" i="8"/>
  <c r="E350" i="8"/>
  <c r="F350" i="8"/>
  <c r="A352" i="8"/>
  <c r="B352" i="8" s="1" a="1"/>
  <c r="B352" i="8" s="1"/>
  <c r="C351" i="8"/>
  <c r="G351" i="8" a="1"/>
  <c r="G351" i="8" s="1"/>
  <c r="I352" i="8" l="1"/>
  <c r="N352" i="8" a="1"/>
  <c r="N352" i="8" s="1"/>
  <c r="M352" i="8" a="1"/>
  <c r="M352" i="8" s="1"/>
  <c r="L352" i="8" a="1"/>
  <c r="L352" i="8" s="1"/>
  <c r="K352" i="8" a="1"/>
  <c r="K352" i="8" s="1"/>
  <c r="D352" i="8"/>
  <c r="H352" i="8"/>
  <c r="E351" i="8"/>
  <c r="F351" i="8"/>
  <c r="A353" i="8"/>
  <c r="B353" i="8" s="1" a="1"/>
  <c r="B353" i="8" s="1"/>
  <c r="C352" i="8"/>
  <c r="G352" i="8" a="1"/>
  <c r="G352" i="8" s="1"/>
  <c r="I353" i="8" l="1"/>
  <c r="N353" i="8" a="1"/>
  <c r="N353" i="8" s="1"/>
  <c r="L353" i="8" a="1"/>
  <c r="L353" i="8" s="1"/>
  <c r="M353" i="8" a="1"/>
  <c r="M353" i="8" s="1"/>
  <c r="K353" i="8" a="1"/>
  <c r="K353" i="8" s="1"/>
  <c r="D353" i="8"/>
  <c r="H353" i="8"/>
  <c r="E352" i="8"/>
  <c r="F352" i="8"/>
  <c r="A354" i="8"/>
  <c r="B354" i="8" s="1" a="1"/>
  <c r="B354" i="8" s="1"/>
  <c r="C353" i="8"/>
  <c r="G353" i="8" a="1"/>
  <c r="G353" i="8" s="1"/>
  <c r="I354" i="8" l="1"/>
  <c r="N354" i="8" a="1"/>
  <c r="N354" i="8" s="1"/>
  <c r="L354" i="8" a="1"/>
  <c r="L354" i="8" s="1"/>
  <c r="M354" i="8" a="1"/>
  <c r="M354" i="8" s="1"/>
  <c r="K354" i="8" a="1"/>
  <c r="K354" i="8" s="1"/>
  <c r="D354" i="8"/>
  <c r="H354" i="8"/>
  <c r="E353" i="8"/>
  <c r="F353" i="8"/>
  <c r="A355" i="8"/>
  <c r="B355" i="8" s="1" a="1"/>
  <c r="B355" i="8" s="1"/>
  <c r="C354" i="8"/>
  <c r="G354" i="8" a="1"/>
  <c r="G354" i="8" s="1"/>
  <c r="I355" i="8" l="1"/>
  <c r="N355" i="8" a="1"/>
  <c r="N355" i="8" s="1"/>
  <c r="M355" i="8" a="1"/>
  <c r="M355" i="8" s="1"/>
  <c r="L355" i="8" a="1"/>
  <c r="L355" i="8" s="1"/>
  <c r="K355" i="8" a="1"/>
  <c r="K355" i="8" s="1"/>
  <c r="D355" i="8"/>
  <c r="H355" i="8"/>
  <c r="E354" i="8"/>
  <c r="F354" i="8"/>
  <c r="A356" i="8"/>
  <c r="B356" i="8" s="1" a="1"/>
  <c r="B356" i="8" s="1"/>
  <c r="C355" i="8"/>
  <c r="G355" i="8" a="1"/>
  <c r="G355" i="8" s="1"/>
  <c r="I356" i="8" l="1"/>
  <c r="N356" i="8" a="1"/>
  <c r="N356" i="8" s="1"/>
  <c r="M356" i="8" a="1"/>
  <c r="M356" i="8" s="1"/>
  <c r="L356" i="8" a="1"/>
  <c r="L356" i="8" s="1"/>
  <c r="K356" i="8" a="1"/>
  <c r="K356" i="8" s="1"/>
  <c r="D356" i="8"/>
  <c r="H356" i="8"/>
  <c r="E355" i="8"/>
  <c r="F355" i="8"/>
  <c r="A357" i="8"/>
  <c r="B357" i="8" s="1" a="1"/>
  <c r="B357" i="8" s="1"/>
  <c r="C356" i="8"/>
  <c r="G356" i="8" a="1"/>
  <c r="G356" i="8" s="1"/>
  <c r="I357" i="8" l="1"/>
  <c r="N357" i="8" a="1"/>
  <c r="N357" i="8" s="1"/>
  <c r="M357" i="8" a="1"/>
  <c r="M357" i="8" s="1"/>
  <c r="L357" i="8" a="1"/>
  <c r="L357" i="8" s="1"/>
  <c r="K357" i="8" a="1"/>
  <c r="K357" i="8" s="1"/>
  <c r="D357" i="8"/>
  <c r="H357" i="8"/>
  <c r="E356" i="8"/>
  <c r="F356" i="8"/>
  <c r="A358" i="8"/>
  <c r="B358" i="8" s="1" a="1"/>
  <c r="B358" i="8" s="1"/>
  <c r="C357" i="8"/>
  <c r="G357" i="8" a="1"/>
  <c r="G357" i="8" s="1"/>
  <c r="I358" i="8" l="1"/>
  <c r="M358" i="8" a="1"/>
  <c r="M358" i="8" s="1"/>
  <c r="N358" i="8" a="1"/>
  <c r="N358" i="8" s="1"/>
  <c r="L358" i="8" a="1"/>
  <c r="L358" i="8" s="1"/>
  <c r="K358" i="8" a="1"/>
  <c r="K358" i="8" s="1"/>
  <c r="D358" i="8"/>
  <c r="H358" i="8"/>
  <c r="E357" i="8"/>
  <c r="F357" i="8"/>
  <c r="A359" i="8"/>
  <c r="B359" i="8" s="1" a="1"/>
  <c r="B359" i="8" s="1"/>
  <c r="C358" i="8"/>
  <c r="G358" i="8" a="1"/>
  <c r="G358" i="8" s="1"/>
  <c r="I359" i="8" l="1"/>
  <c r="N359" i="8" a="1"/>
  <c r="N359" i="8" s="1"/>
  <c r="M359" i="8" a="1"/>
  <c r="M359" i="8" s="1"/>
  <c r="L359" i="8" a="1"/>
  <c r="L359" i="8" s="1"/>
  <c r="K359" i="8" a="1"/>
  <c r="K359" i="8" s="1"/>
  <c r="D359" i="8"/>
  <c r="H359" i="8"/>
  <c r="E358" i="8"/>
  <c r="F358" i="8"/>
  <c r="A360" i="8"/>
  <c r="B360" i="8" s="1" a="1"/>
  <c r="B360" i="8" s="1"/>
  <c r="C359" i="8"/>
  <c r="G359" i="8" a="1"/>
  <c r="G359" i="8" s="1"/>
  <c r="I360" i="8" l="1"/>
  <c r="N360" i="8" a="1"/>
  <c r="N360" i="8" s="1"/>
  <c r="M360" i="8" a="1"/>
  <c r="M360" i="8" s="1"/>
  <c r="L360" i="8" a="1"/>
  <c r="L360" i="8" s="1"/>
  <c r="K360" i="8" a="1"/>
  <c r="K360" i="8" s="1"/>
  <c r="D360" i="8"/>
  <c r="H360" i="8"/>
  <c r="E359" i="8"/>
  <c r="F359" i="8"/>
  <c r="A361" i="8"/>
  <c r="B361" i="8" s="1" a="1"/>
  <c r="B361" i="8" s="1"/>
  <c r="C360" i="8"/>
  <c r="G360" i="8" a="1"/>
  <c r="G360" i="8" s="1"/>
  <c r="I361" i="8" l="1"/>
  <c r="N361" i="8" a="1"/>
  <c r="N361" i="8" s="1"/>
  <c r="M361" i="8" a="1"/>
  <c r="M361" i="8" s="1"/>
  <c r="L361" i="8" a="1"/>
  <c r="L361" i="8" s="1"/>
  <c r="K361" i="8" a="1"/>
  <c r="K361" i="8" s="1"/>
  <c r="D361" i="8"/>
  <c r="H361" i="8"/>
  <c r="E360" i="8"/>
  <c r="F360" i="8"/>
  <c r="A362" i="8"/>
  <c r="B362" i="8" s="1" a="1"/>
  <c r="B362" i="8" s="1"/>
  <c r="C361" i="8"/>
  <c r="G361" i="8" a="1"/>
  <c r="G361" i="8" s="1"/>
  <c r="I362" i="8" l="1"/>
  <c r="N362" i="8" a="1"/>
  <c r="N362" i="8" s="1"/>
  <c r="M362" i="8" a="1"/>
  <c r="M362" i="8" s="1"/>
  <c r="L362" i="8" a="1"/>
  <c r="L362" i="8" s="1"/>
  <c r="K362" i="8" a="1"/>
  <c r="K362" i="8" s="1"/>
  <c r="D362" i="8"/>
  <c r="H362" i="8"/>
  <c r="E361" i="8"/>
  <c r="F361" i="8"/>
  <c r="A363" i="8"/>
  <c r="B363" i="8" s="1" a="1"/>
  <c r="B363" i="8" s="1"/>
  <c r="C362" i="8"/>
  <c r="G362" i="8" a="1"/>
  <c r="G362" i="8" s="1"/>
  <c r="I363" i="8" l="1"/>
  <c r="N363" i="8" a="1"/>
  <c r="N363" i="8" s="1"/>
  <c r="M363" i="8" a="1"/>
  <c r="M363" i="8" s="1"/>
  <c r="L363" i="8" a="1"/>
  <c r="L363" i="8" s="1"/>
  <c r="K363" i="8" a="1"/>
  <c r="K363" i="8" s="1"/>
  <c r="D363" i="8"/>
  <c r="H363" i="8"/>
  <c r="E362" i="8"/>
  <c r="F362" i="8"/>
  <c r="A364" i="8"/>
  <c r="B364" i="8" s="1" a="1"/>
  <c r="B364" i="8" s="1"/>
  <c r="C363" i="8"/>
  <c r="G363" i="8" a="1"/>
  <c r="G363" i="8" s="1"/>
  <c r="I364" i="8" l="1"/>
  <c r="N364" i="8" a="1"/>
  <c r="N364" i="8" s="1"/>
  <c r="M364" i="8" a="1"/>
  <c r="M364" i="8" s="1"/>
  <c r="L364" i="8" a="1"/>
  <c r="L364" i="8" s="1"/>
  <c r="K364" i="8" a="1"/>
  <c r="K364" i="8" s="1"/>
  <c r="D364" i="8"/>
  <c r="H364" i="8"/>
  <c r="E363" i="8"/>
  <c r="F363" i="8"/>
  <c r="A365" i="8"/>
  <c r="B365" i="8" s="1" a="1"/>
  <c r="B365" i="8" s="1"/>
  <c r="C364" i="8"/>
  <c r="G364" i="8" a="1"/>
  <c r="G364" i="8" s="1"/>
  <c r="I365" i="8" l="1"/>
  <c r="N365" i="8" a="1"/>
  <c r="N365" i="8" s="1"/>
  <c r="M365" i="8" a="1"/>
  <c r="M365" i="8" s="1"/>
  <c r="L365" i="8" a="1"/>
  <c r="L365" i="8" s="1"/>
  <c r="K365" i="8" a="1"/>
  <c r="K365" i="8" s="1"/>
  <c r="D365" i="8"/>
  <c r="H365" i="8"/>
  <c r="E364" i="8"/>
  <c r="F364" i="8"/>
  <c r="A366" i="8"/>
  <c r="B366" i="8" s="1" a="1"/>
  <c r="B366" i="8" s="1"/>
  <c r="C365" i="8"/>
  <c r="G365" i="8" a="1"/>
  <c r="G365" i="8" s="1"/>
  <c r="I366" i="8" l="1"/>
  <c r="N366" i="8" a="1"/>
  <c r="N366" i="8" s="1"/>
  <c r="M366" i="8" a="1"/>
  <c r="M366" i="8" s="1"/>
  <c r="L366" i="8" a="1"/>
  <c r="L366" i="8" s="1"/>
  <c r="K366" i="8" a="1"/>
  <c r="K366" i="8" s="1"/>
  <c r="D366" i="8"/>
  <c r="H366" i="8"/>
  <c r="E365" i="8"/>
  <c r="F365" i="8"/>
  <c r="A367" i="8"/>
  <c r="B367" i="8" s="1" a="1"/>
  <c r="B367" i="8" s="1"/>
  <c r="C366" i="8"/>
  <c r="G366" i="8" a="1"/>
  <c r="G366" i="8" s="1"/>
  <c r="I367" i="8" l="1"/>
  <c r="N367" i="8" a="1"/>
  <c r="N367" i="8" s="1"/>
  <c r="M367" i="8" a="1"/>
  <c r="M367" i="8" s="1"/>
  <c r="L367" i="8" a="1"/>
  <c r="L367" i="8" s="1"/>
  <c r="K367" i="8" a="1"/>
  <c r="K367" i="8" s="1"/>
  <c r="D367" i="8"/>
  <c r="H367" i="8"/>
  <c r="E366" i="8"/>
  <c r="F366" i="8"/>
  <c r="A368" i="8"/>
  <c r="B368" i="8" s="1" a="1"/>
  <c r="B368" i="8" s="1"/>
  <c r="C367" i="8"/>
  <c r="I368" i="8" l="1"/>
  <c r="N368" i="8" a="1"/>
  <c r="N368" i="8" s="1"/>
  <c r="M368" i="8" a="1"/>
  <c r="M368" i="8" s="1"/>
  <c r="L368" i="8" a="1"/>
  <c r="L368" i="8" s="1"/>
  <c r="K368" i="8" a="1"/>
  <c r="K368" i="8" s="1"/>
  <c r="G367" i="8" a="1"/>
  <c r="G367" i="8" s="1"/>
  <c r="D368" i="8"/>
  <c r="H368" i="8"/>
  <c r="E367" i="8"/>
  <c r="F367" i="8"/>
  <c r="A369" i="8"/>
  <c r="B369" i="8" s="1" a="1"/>
  <c r="B369" i="8" s="1"/>
  <c r="C368" i="8"/>
  <c r="G368" i="8" a="1"/>
  <c r="G368" i="8" s="1"/>
  <c r="I369" i="8" l="1"/>
  <c r="N369" i="8" a="1"/>
  <c r="N369" i="8" s="1"/>
  <c r="M369" i="8" a="1"/>
  <c r="M369" i="8" s="1"/>
  <c r="L369" i="8" a="1"/>
  <c r="L369" i="8" s="1"/>
  <c r="K369" i="8" a="1"/>
  <c r="K369" i="8" s="1"/>
  <c r="D369" i="8"/>
  <c r="H369" i="8"/>
  <c r="E368" i="8"/>
  <c r="F368" i="8"/>
  <c r="A370" i="8"/>
  <c r="B370" i="8" s="1" a="1"/>
  <c r="B370" i="8" s="1"/>
  <c r="C369" i="8"/>
  <c r="G369" i="8" a="1"/>
  <c r="G369" i="8" s="1"/>
  <c r="I370" i="8" l="1"/>
  <c r="N370" i="8" a="1"/>
  <c r="N370" i="8" s="1"/>
  <c r="M370" i="8" a="1"/>
  <c r="M370" i="8" s="1"/>
  <c r="L370" i="8" a="1"/>
  <c r="L370" i="8" s="1"/>
  <c r="K370" i="8" a="1"/>
  <c r="K370" i="8" s="1"/>
  <c r="D370" i="8"/>
  <c r="H370" i="8"/>
  <c r="E369" i="8"/>
  <c r="F369" i="8"/>
  <c r="A371" i="8"/>
  <c r="B371" i="8" s="1" a="1"/>
  <c r="B371" i="8" s="1"/>
  <c r="C370" i="8"/>
  <c r="G370" i="8" a="1"/>
  <c r="G370" i="8" s="1"/>
  <c r="I371" i="8" l="1"/>
  <c r="N371" i="8" a="1"/>
  <c r="N371" i="8" s="1"/>
  <c r="M371" i="8" a="1"/>
  <c r="M371" i="8" s="1"/>
  <c r="L371" i="8" a="1"/>
  <c r="L371" i="8" s="1"/>
  <c r="K371" i="8" a="1"/>
  <c r="K371" i="8" s="1"/>
  <c r="D371" i="8"/>
  <c r="H371" i="8"/>
  <c r="E370" i="8"/>
  <c r="F370" i="8"/>
  <c r="A372" i="8"/>
  <c r="B372" i="8" s="1" a="1"/>
  <c r="B372" i="8" s="1"/>
  <c r="C371" i="8"/>
  <c r="G371" i="8" a="1"/>
  <c r="G371" i="8" s="1"/>
  <c r="I372" i="8" l="1"/>
  <c r="N372" i="8" a="1"/>
  <c r="N372" i="8" s="1"/>
  <c r="M372" i="8" a="1"/>
  <c r="M372" i="8" s="1"/>
  <c r="L372" i="8" a="1"/>
  <c r="L372" i="8" s="1"/>
  <c r="K372" i="8" a="1"/>
  <c r="K372" i="8" s="1"/>
  <c r="D372" i="8"/>
  <c r="H372" i="8"/>
  <c r="E371" i="8"/>
  <c r="F371" i="8"/>
  <c r="A373" i="8"/>
  <c r="B373" i="8" s="1" a="1"/>
  <c r="B373" i="8" s="1"/>
  <c r="C372" i="8"/>
  <c r="G372" i="8" a="1"/>
  <c r="G372" i="8" s="1"/>
  <c r="I373" i="8" l="1"/>
  <c r="N373" i="8" a="1"/>
  <c r="N373" i="8" s="1"/>
  <c r="M373" i="8" a="1"/>
  <c r="M373" i="8" s="1"/>
  <c r="L373" i="8" a="1"/>
  <c r="L373" i="8" s="1"/>
  <c r="K373" i="8" a="1"/>
  <c r="K373" i="8" s="1"/>
  <c r="D373" i="8"/>
  <c r="H373" i="8"/>
  <c r="E372" i="8"/>
  <c r="F372" i="8"/>
  <c r="A374" i="8"/>
  <c r="B374" i="8" s="1" a="1"/>
  <c r="B374" i="8" s="1"/>
  <c r="C373" i="8"/>
  <c r="G373" i="8" a="1"/>
  <c r="G373" i="8" s="1"/>
  <c r="I374" i="8" l="1"/>
  <c r="N374" i="8" a="1"/>
  <c r="N374" i="8" s="1"/>
  <c r="M374" i="8" a="1"/>
  <c r="M374" i="8" s="1"/>
  <c r="L374" i="8" a="1"/>
  <c r="L374" i="8" s="1"/>
  <c r="K374" i="8" a="1"/>
  <c r="K374" i="8" s="1"/>
  <c r="D374" i="8"/>
  <c r="H374" i="8"/>
  <c r="E373" i="8"/>
  <c r="F373" i="8"/>
  <c r="A375" i="8"/>
  <c r="B375" i="8" s="1" a="1"/>
  <c r="B375" i="8" s="1"/>
  <c r="C374" i="8"/>
  <c r="G374" i="8" a="1"/>
  <c r="G374" i="8" s="1"/>
  <c r="I375" i="8" l="1"/>
  <c r="N375" i="8" a="1"/>
  <c r="N375" i="8" s="1"/>
  <c r="M375" i="8" a="1"/>
  <c r="M375" i="8" s="1"/>
  <c r="K375" i="8" a="1"/>
  <c r="K375" i="8" s="1"/>
  <c r="L375" i="8" a="1"/>
  <c r="L375" i="8" s="1"/>
  <c r="D375" i="8"/>
  <c r="H375" i="8"/>
  <c r="E374" i="8"/>
  <c r="F374" i="8"/>
  <c r="A376" i="8"/>
  <c r="B376" i="8" s="1" a="1"/>
  <c r="B376" i="8" s="1"/>
  <c r="C375" i="8"/>
  <c r="G375" i="8" a="1"/>
  <c r="G375" i="8" s="1"/>
  <c r="I376" i="8" l="1"/>
  <c r="N376" i="8" a="1"/>
  <c r="N376" i="8" s="1"/>
  <c r="M376" i="8" a="1"/>
  <c r="M376" i="8" s="1"/>
  <c r="L376" i="8" a="1"/>
  <c r="L376" i="8" s="1"/>
  <c r="K376" i="8" a="1"/>
  <c r="K376" i="8" s="1"/>
  <c r="D376" i="8"/>
  <c r="H376" i="8"/>
  <c r="E375" i="8"/>
  <c r="F375" i="8"/>
  <c r="A377" i="8"/>
  <c r="B377" i="8" s="1" a="1"/>
  <c r="B377" i="8" s="1"/>
  <c r="C376" i="8"/>
  <c r="G376" i="8" a="1"/>
  <c r="G376" i="8" s="1"/>
  <c r="I377" i="8" l="1"/>
  <c r="N377" i="8" a="1"/>
  <c r="N377" i="8" s="1"/>
  <c r="M377" i="8" a="1"/>
  <c r="M377" i="8" s="1"/>
  <c r="L377" i="8" a="1"/>
  <c r="L377" i="8" s="1"/>
  <c r="K377" i="8" a="1"/>
  <c r="K377" i="8" s="1"/>
  <c r="D377" i="8"/>
  <c r="H377" i="8"/>
  <c r="E376" i="8"/>
  <c r="F376" i="8"/>
  <c r="A378" i="8"/>
  <c r="B378" i="8" s="1" a="1"/>
  <c r="B378" i="8" s="1"/>
  <c r="C377" i="8"/>
  <c r="G377" i="8" a="1"/>
  <c r="G377" i="8" s="1"/>
  <c r="I378" i="8" l="1"/>
  <c r="N378" i="8" a="1"/>
  <c r="N378" i="8" s="1"/>
  <c r="L378" i="8" a="1"/>
  <c r="L378" i="8" s="1"/>
  <c r="M378" i="8" a="1"/>
  <c r="M378" i="8" s="1"/>
  <c r="K378" i="8" a="1"/>
  <c r="K378" i="8" s="1"/>
  <c r="D378" i="8"/>
  <c r="H378" i="8"/>
  <c r="E377" i="8"/>
  <c r="F377" i="8"/>
  <c r="A379" i="8"/>
  <c r="B379" i="8" s="1" a="1"/>
  <c r="B379" i="8" s="1"/>
  <c r="C378" i="8"/>
  <c r="G378" i="8" a="1"/>
  <c r="G378" i="8" s="1"/>
  <c r="I379" i="8" l="1"/>
  <c r="M379" i="8" a="1"/>
  <c r="M379" i="8" s="1"/>
  <c r="N379" i="8" a="1"/>
  <c r="N379" i="8" s="1"/>
  <c r="L379" i="8" a="1"/>
  <c r="L379" i="8" s="1"/>
  <c r="K379" i="8" a="1"/>
  <c r="K379" i="8" s="1"/>
  <c r="D379" i="8"/>
  <c r="H379" i="8"/>
  <c r="E378" i="8"/>
  <c r="F378" i="8"/>
  <c r="A380" i="8"/>
  <c r="B380" i="8" s="1" a="1"/>
  <c r="B380" i="8" s="1"/>
  <c r="C379" i="8"/>
  <c r="G379" i="8" a="1"/>
  <c r="G379" i="8" s="1"/>
  <c r="I380" i="8" l="1"/>
  <c r="N380" i="8" a="1"/>
  <c r="N380" i="8" s="1"/>
  <c r="M380" i="8" a="1"/>
  <c r="M380" i="8" s="1"/>
  <c r="L380" i="8" a="1"/>
  <c r="L380" i="8" s="1"/>
  <c r="K380" i="8" a="1"/>
  <c r="K380" i="8" s="1"/>
  <c r="D380" i="8"/>
  <c r="H380" i="8"/>
  <c r="E379" i="8"/>
  <c r="F379" i="8"/>
  <c r="A381" i="8"/>
  <c r="B381" i="8" s="1" a="1"/>
  <c r="B381" i="8" s="1"/>
  <c r="C380" i="8"/>
  <c r="G380" i="8" a="1"/>
  <c r="G380" i="8" s="1"/>
  <c r="I381" i="8" l="1"/>
  <c r="N381" i="8" a="1"/>
  <c r="N381" i="8" s="1"/>
  <c r="M381" i="8" a="1"/>
  <c r="M381" i="8" s="1"/>
  <c r="L381" i="8" a="1"/>
  <c r="L381" i="8" s="1"/>
  <c r="K381" i="8" a="1"/>
  <c r="K381" i="8" s="1"/>
  <c r="D381" i="8"/>
  <c r="H381" i="8"/>
  <c r="E380" i="8"/>
  <c r="F380" i="8"/>
  <c r="A382" i="8"/>
  <c r="B382" i="8" s="1" a="1"/>
  <c r="B382" i="8" s="1"/>
  <c r="C381" i="8"/>
  <c r="G381" i="8" a="1"/>
  <c r="G381" i="8" s="1"/>
  <c r="I382" i="8" l="1"/>
  <c r="N382" i="8" a="1"/>
  <c r="N382" i="8" s="1"/>
  <c r="M382" i="8" a="1"/>
  <c r="M382" i="8" s="1"/>
  <c r="L382" i="8" a="1"/>
  <c r="L382" i="8" s="1"/>
  <c r="K382" i="8" a="1"/>
  <c r="K382" i="8" s="1"/>
  <c r="D382" i="8"/>
  <c r="H382" i="8"/>
  <c r="E381" i="8"/>
  <c r="F381" i="8"/>
  <c r="A383" i="8"/>
  <c r="B383" i="8" s="1" a="1"/>
  <c r="B383" i="8" s="1"/>
  <c r="C382" i="8"/>
  <c r="G382" i="8" a="1"/>
  <c r="G382" i="8" s="1"/>
  <c r="I383" i="8" l="1"/>
  <c r="N383" i="8" a="1"/>
  <c r="N383" i="8" s="1"/>
  <c r="M383" i="8" a="1"/>
  <c r="M383" i="8" s="1"/>
  <c r="L383" i="8" a="1"/>
  <c r="L383" i="8" s="1"/>
  <c r="K383" i="8" a="1"/>
  <c r="K383" i="8" s="1"/>
  <c r="D383" i="8"/>
  <c r="H383" i="8"/>
  <c r="E382" i="8"/>
  <c r="F382" i="8"/>
  <c r="A384" i="8"/>
  <c r="B384" i="8" s="1" a="1"/>
  <c r="B384" i="8" s="1"/>
  <c r="C383" i="8"/>
  <c r="G383" i="8" a="1"/>
  <c r="G383" i="8" s="1"/>
  <c r="I384" i="8" l="1"/>
  <c r="N384" i="8" a="1"/>
  <c r="N384" i="8" s="1"/>
  <c r="M384" i="8" a="1"/>
  <c r="M384" i="8" s="1"/>
  <c r="L384" i="8" a="1"/>
  <c r="L384" i="8" s="1"/>
  <c r="K384" i="8" a="1"/>
  <c r="K384" i="8" s="1"/>
  <c r="D384" i="8"/>
  <c r="H384" i="8"/>
  <c r="E383" i="8"/>
  <c r="F383" i="8"/>
  <c r="A385" i="8"/>
  <c r="B385" i="8" s="1" a="1"/>
  <c r="B385" i="8" s="1"/>
  <c r="C384" i="8"/>
  <c r="G384" i="8" a="1"/>
  <c r="G384" i="8" s="1"/>
  <c r="I385" i="8" l="1"/>
  <c r="N385" i="8" a="1"/>
  <c r="N385" i="8" s="1"/>
  <c r="L385" i="8" a="1"/>
  <c r="L385" i="8" s="1"/>
  <c r="M385" i="8" a="1"/>
  <c r="M385" i="8" s="1"/>
  <c r="K385" i="8" a="1"/>
  <c r="K385" i="8" s="1"/>
  <c r="D385" i="8"/>
  <c r="H385" i="8"/>
  <c r="E384" i="8"/>
  <c r="F384" i="8"/>
  <c r="A386" i="8"/>
  <c r="B386" i="8" s="1" a="1"/>
  <c r="B386" i="8" s="1"/>
  <c r="C385" i="8"/>
  <c r="G385" i="8" a="1"/>
  <c r="G385" i="8" s="1"/>
  <c r="I386" i="8" l="1"/>
  <c r="N386" i="8" a="1"/>
  <c r="N386" i="8" s="1"/>
  <c r="M386" i="8" a="1"/>
  <c r="M386" i="8" s="1"/>
  <c r="L386" i="8" a="1"/>
  <c r="L386" i="8" s="1"/>
  <c r="K386" i="8" a="1"/>
  <c r="K386" i="8" s="1"/>
  <c r="D386" i="8"/>
  <c r="H386" i="8"/>
  <c r="E385" i="8"/>
  <c r="F385" i="8"/>
  <c r="A387" i="8"/>
  <c r="B387" i="8" s="1" a="1"/>
  <c r="B387" i="8" s="1"/>
  <c r="C386" i="8"/>
  <c r="G386" i="8" a="1"/>
  <c r="G386" i="8" s="1"/>
  <c r="I387" i="8" l="1"/>
  <c r="M387" i="8" a="1"/>
  <c r="M387" i="8" s="1"/>
  <c r="N387" i="8" a="1"/>
  <c r="N387" i="8" s="1"/>
  <c r="L387" i="8" a="1"/>
  <c r="L387" i="8" s="1"/>
  <c r="K387" i="8" a="1"/>
  <c r="K387" i="8" s="1"/>
  <c r="D387" i="8"/>
  <c r="H387" i="8"/>
  <c r="E386" i="8"/>
  <c r="F386" i="8"/>
  <c r="A388" i="8"/>
  <c r="B388" i="8" s="1" a="1"/>
  <c r="B388" i="8" s="1"/>
  <c r="C387" i="8"/>
  <c r="G387" i="8" a="1"/>
  <c r="G387" i="8" s="1"/>
  <c r="I388" i="8" l="1"/>
  <c r="N388" i="8" a="1"/>
  <c r="N388" i="8" s="1"/>
  <c r="M388" i="8" a="1"/>
  <c r="M388" i="8" s="1"/>
  <c r="L388" i="8" a="1"/>
  <c r="L388" i="8" s="1"/>
  <c r="K388" i="8" a="1"/>
  <c r="K388" i="8" s="1"/>
  <c r="D388" i="8"/>
  <c r="H388" i="8"/>
  <c r="E387" i="8"/>
  <c r="F387" i="8"/>
  <c r="A389" i="8"/>
  <c r="B389" i="8" s="1" a="1"/>
  <c r="B389" i="8" s="1"/>
  <c r="C388" i="8"/>
  <c r="G388" i="8" a="1"/>
  <c r="G388" i="8" s="1"/>
  <c r="I389" i="8" l="1"/>
  <c r="N389" i="8" a="1"/>
  <c r="N389" i="8" s="1"/>
  <c r="M389" i="8" a="1"/>
  <c r="M389" i="8" s="1"/>
  <c r="L389" i="8" a="1"/>
  <c r="L389" i="8" s="1"/>
  <c r="K389" i="8" a="1"/>
  <c r="K389" i="8" s="1"/>
  <c r="D389" i="8"/>
  <c r="H389" i="8"/>
  <c r="E388" i="8"/>
  <c r="F388" i="8"/>
  <c r="A390" i="8"/>
  <c r="B390" i="8" s="1" a="1"/>
  <c r="B390" i="8" s="1"/>
  <c r="C389" i="8"/>
  <c r="G389" i="8" a="1"/>
  <c r="G389" i="8" s="1"/>
  <c r="I390" i="8" l="1"/>
  <c r="N390" i="8" a="1"/>
  <c r="N390" i="8" s="1"/>
  <c r="M390" i="8" a="1"/>
  <c r="M390" i="8" s="1"/>
  <c r="L390" i="8" a="1"/>
  <c r="L390" i="8" s="1"/>
  <c r="K390" i="8" a="1"/>
  <c r="K390" i="8" s="1"/>
  <c r="D390" i="8"/>
  <c r="H390" i="8"/>
  <c r="E389" i="8"/>
  <c r="F389" i="8"/>
  <c r="A391" i="8"/>
  <c r="B391" i="8" s="1" a="1"/>
  <c r="B391" i="8" s="1"/>
  <c r="C390" i="8"/>
  <c r="G390" i="8" a="1"/>
  <c r="G390" i="8" s="1"/>
  <c r="I391" i="8" l="1"/>
  <c r="N391" i="8" a="1"/>
  <c r="N391" i="8" s="1"/>
  <c r="M391" i="8" a="1"/>
  <c r="M391" i="8" s="1"/>
  <c r="L391" i="8" a="1"/>
  <c r="L391" i="8" s="1"/>
  <c r="K391" i="8" a="1"/>
  <c r="K391" i="8" s="1"/>
  <c r="D391" i="8"/>
  <c r="H391" i="8"/>
  <c r="E390" i="8"/>
  <c r="F390" i="8"/>
  <c r="A392" i="8"/>
  <c r="B392" i="8" s="1" a="1"/>
  <c r="B392" i="8" s="1"/>
  <c r="C391" i="8"/>
  <c r="G391" i="8" a="1"/>
  <c r="G391" i="8" s="1"/>
  <c r="I392" i="8" l="1"/>
  <c r="N392" i="8" a="1"/>
  <c r="N392" i="8" s="1"/>
  <c r="M392" i="8" a="1"/>
  <c r="M392" i="8" s="1"/>
  <c r="K392" i="8" a="1"/>
  <c r="K392" i="8" s="1"/>
  <c r="L392" i="8" a="1"/>
  <c r="L392" i="8" s="1"/>
  <c r="D392" i="8"/>
  <c r="H392" i="8"/>
  <c r="E391" i="8"/>
  <c r="F391" i="8"/>
  <c r="A393" i="8"/>
  <c r="B393" i="8" s="1" a="1"/>
  <c r="B393" i="8" s="1"/>
  <c r="C392" i="8"/>
  <c r="G392" i="8" a="1"/>
  <c r="G392" i="8" s="1"/>
  <c r="I393" i="8" l="1"/>
  <c r="N393" i="8" a="1"/>
  <c r="N393" i="8" s="1"/>
  <c r="M393" i="8" a="1"/>
  <c r="M393" i="8" s="1"/>
  <c r="L393" i="8" a="1"/>
  <c r="L393" i="8" s="1"/>
  <c r="K393" i="8" a="1"/>
  <c r="K393" i="8" s="1"/>
  <c r="D393" i="8"/>
  <c r="H393" i="8"/>
  <c r="E392" i="8"/>
  <c r="F392" i="8"/>
  <c r="A394" i="8"/>
  <c r="B394" i="8" s="1" a="1"/>
  <c r="B394" i="8" s="1"/>
  <c r="C393" i="8"/>
  <c r="G393" i="8" a="1"/>
  <c r="G393" i="8" s="1"/>
  <c r="I394" i="8" l="1"/>
  <c r="N394" i="8" a="1"/>
  <c r="N394" i="8" s="1"/>
  <c r="M394" i="8" a="1"/>
  <c r="M394" i="8" s="1"/>
  <c r="L394" i="8" a="1"/>
  <c r="L394" i="8" s="1"/>
  <c r="K394" i="8" a="1"/>
  <c r="K394" i="8" s="1"/>
  <c r="D394" i="8"/>
  <c r="H394" i="8"/>
  <c r="E393" i="8"/>
  <c r="F393" i="8"/>
  <c r="A395" i="8"/>
  <c r="B395" i="8" s="1" a="1"/>
  <c r="B395" i="8" s="1"/>
  <c r="C394" i="8"/>
  <c r="G394" i="8" a="1"/>
  <c r="G394" i="8" s="1"/>
  <c r="I395" i="8" l="1"/>
  <c r="N395" i="8" a="1"/>
  <c r="N395" i="8" s="1"/>
  <c r="M395" i="8" a="1"/>
  <c r="M395" i="8" s="1"/>
  <c r="L395" i="8" a="1"/>
  <c r="L395" i="8" s="1"/>
  <c r="K395" i="8" a="1"/>
  <c r="K395" i="8" s="1"/>
  <c r="D395" i="8"/>
  <c r="H395" i="8"/>
  <c r="E394" i="8"/>
  <c r="F394" i="8"/>
  <c r="A396" i="8"/>
  <c r="B396" i="8" s="1" a="1"/>
  <c r="B396" i="8" s="1"/>
  <c r="C395" i="8"/>
  <c r="G395" i="8" a="1"/>
  <c r="G395" i="8" s="1"/>
  <c r="I396" i="8" l="1"/>
  <c r="N396" i="8" a="1"/>
  <c r="N396" i="8" s="1"/>
  <c r="M396" i="8" a="1"/>
  <c r="M396" i="8" s="1"/>
  <c r="L396" i="8" a="1"/>
  <c r="L396" i="8" s="1"/>
  <c r="K396" i="8" a="1"/>
  <c r="K396" i="8" s="1"/>
  <c r="D396" i="8"/>
  <c r="H396" i="8"/>
  <c r="E395" i="8"/>
  <c r="F395" i="8"/>
  <c r="A397" i="8"/>
  <c r="B397" i="8" s="1" a="1"/>
  <c r="B397" i="8" s="1"/>
  <c r="C396" i="8"/>
  <c r="G396" i="8" a="1"/>
  <c r="G396" i="8" s="1"/>
  <c r="I397" i="8" l="1"/>
  <c r="N397" i="8" a="1"/>
  <c r="N397" i="8" s="1"/>
  <c r="M397" i="8" a="1"/>
  <c r="M397" i="8" s="1"/>
  <c r="L397" i="8" a="1"/>
  <c r="L397" i="8" s="1"/>
  <c r="K397" i="8" a="1"/>
  <c r="K397" i="8" s="1"/>
  <c r="D397" i="8"/>
  <c r="H397" i="8"/>
  <c r="E396" i="8"/>
  <c r="F396" i="8"/>
  <c r="A398" i="8"/>
  <c r="B398" i="8" s="1" a="1"/>
  <c r="B398" i="8" s="1"/>
  <c r="C397" i="8"/>
  <c r="G397" i="8" a="1"/>
  <c r="G397" i="8" s="1"/>
  <c r="I398" i="8" l="1"/>
  <c r="N398" i="8" a="1"/>
  <c r="N398" i="8" s="1"/>
  <c r="M398" i="8" a="1"/>
  <c r="M398" i="8" s="1"/>
  <c r="L398" i="8" a="1"/>
  <c r="L398" i="8" s="1"/>
  <c r="K398" i="8" a="1"/>
  <c r="K398" i="8" s="1"/>
  <c r="D398" i="8"/>
  <c r="H398" i="8"/>
  <c r="E397" i="8"/>
  <c r="F397" i="8"/>
  <c r="A399" i="8"/>
  <c r="B399" i="8" s="1" a="1"/>
  <c r="B399" i="8" s="1"/>
  <c r="C398" i="8"/>
  <c r="I399" i="8" l="1"/>
  <c r="N399" i="8" a="1"/>
  <c r="N399" i="8" s="1"/>
  <c r="M399" i="8" a="1"/>
  <c r="M399" i="8" s="1"/>
  <c r="L399" i="8" a="1"/>
  <c r="L399" i="8" s="1"/>
  <c r="K399" i="8" a="1"/>
  <c r="K399" i="8" s="1"/>
  <c r="G398" i="8" a="1"/>
  <c r="G398" i="8" s="1"/>
  <c r="D399" i="8"/>
  <c r="H399" i="8"/>
  <c r="E398" i="8"/>
  <c r="F398" i="8"/>
  <c r="A400" i="8"/>
  <c r="B400" i="8" s="1" a="1"/>
  <c r="B400" i="8" s="1"/>
  <c r="C399" i="8"/>
  <c r="G399" i="8" a="1"/>
  <c r="G399" i="8" s="1"/>
  <c r="I400" i="8" l="1"/>
  <c r="N400" i="8" a="1"/>
  <c r="N400" i="8" s="1"/>
  <c r="M400" i="8" a="1"/>
  <c r="M400" i="8" s="1"/>
  <c r="L400" i="8" a="1"/>
  <c r="L400" i="8" s="1"/>
  <c r="K400" i="8" a="1"/>
  <c r="K400" i="8" s="1"/>
  <c r="D400" i="8"/>
  <c r="H400" i="8"/>
  <c r="E399" i="8"/>
  <c r="F399" i="8"/>
  <c r="A401" i="8"/>
  <c r="B401" i="8" s="1" a="1"/>
  <c r="B401" i="8" s="1"/>
  <c r="C400" i="8"/>
  <c r="G400" i="8" a="1"/>
  <c r="G400" i="8" s="1"/>
  <c r="I401" i="8" l="1"/>
  <c r="M401" i="8" a="1"/>
  <c r="M401" i="8" s="1"/>
  <c r="N401" i="8" a="1"/>
  <c r="N401" i="8" s="1"/>
  <c r="L401" i="8" a="1"/>
  <c r="L401" i="8" s="1"/>
  <c r="K401" i="8" a="1"/>
  <c r="K401" i="8" s="1"/>
  <c r="D401" i="8"/>
  <c r="H401" i="8"/>
  <c r="E400" i="8"/>
  <c r="F400" i="8"/>
  <c r="A402" i="8"/>
  <c r="B402" i="8" s="1" a="1"/>
  <c r="B402" i="8" s="1"/>
  <c r="C401" i="8"/>
  <c r="G401" i="8" a="1"/>
  <c r="G401" i="8" s="1"/>
  <c r="I402" i="8" l="1"/>
  <c r="N402" i="8" a="1"/>
  <c r="N402" i="8" s="1"/>
  <c r="M402" i="8" a="1"/>
  <c r="M402" i="8" s="1"/>
  <c r="L402" i="8" a="1"/>
  <c r="L402" i="8" s="1"/>
  <c r="K402" i="8" a="1"/>
  <c r="K402" i="8" s="1"/>
  <c r="D402" i="8"/>
  <c r="H402" i="8"/>
  <c r="E401" i="8"/>
  <c r="F401" i="8"/>
  <c r="A403" i="8"/>
  <c r="B403" i="8" s="1" a="1"/>
  <c r="B403" i="8" s="1"/>
  <c r="C402" i="8"/>
  <c r="G402" i="8" a="1"/>
  <c r="G402" i="8" s="1"/>
  <c r="I403" i="8" l="1"/>
  <c r="N403" i="8" a="1"/>
  <c r="N403" i="8" s="1"/>
  <c r="M403" i="8" a="1"/>
  <c r="M403" i="8" s="1"/>
  <c r="L403" i="8" a="1"/>
  <c r="L403" i="8" s="1"/>
  <c r="K403" i="8" a="1"/>
  <c r="K403" i="8" s="1"/>
  <c r="D403" i="8"/>
  <c r="H403" i="8"/>
  <c r="E402" i="8"/>
  <c r="F402" i="8"/>
  <c r="A404" i="8"/>
  <c r="B404" i="8" s="1" a="1"/>
  <c r="B404" i="8" s="1"/>
  <c r="C403" i="8"/>
  <c r="G403" i="8" a="1"/>
  <c r="G403" i="8" s="1"/>
  <c r="I404" i="8" l="1"/>
  <c r="N404" i="8" a="1"/>
  <c r="N404" i="8" s="1"/>
  <c r="M404" i="8" a="1"/>
  <c r="M404" i="8" s="1"/>
  <c r="L404" i="8" a="1"/>
  <c r="L404" i="8" s="1"/>
  <c r="K404" i="8" a="1"/>
  <c r="K404" i="8" s="1"/>
  <c r="D404" i="8"/>
  <c r="H404" i="8"/>
  <c r="E403" i="8"/>
  <c r="F403" i="8"/>
  <c r="A405" i="8"/>
  <c r="B405" i="8" s="1" a="1"/>
  <c r="B405" i="8" s="1"/>
  <c r="C404" i="8"/>
  <c r="G404" i="8" a="1"/>
  <c r="G404" i="8" s="1"/>
  <c r="I405" i="8" l="1"/>
  <c r="N405" i="8" a="1"/>
  <c r="N405" i="8" s="1"/>
  <c r="M405" i="8" a="1"/>
  <c r="M405" i="8" s="1"/>
  <c r="L405" i="8" a="1"/>
  <c r="L405" i="8" s="1"/>
  <c r="K405" i="8" a="1"/>
  <c r="K405" i="8" s="1"/>
  <c r="D405" i="8"/>
  <c r="H405" i="8"/>
  <c r="E404" i="8"/>
  <c r="F404" i="8"/>
  <c r="A406" i="8"/>
  <c r="B406" i="8" s="1" a="1"/>
  <c r="B406" i="8" s="1"/>
  <c r="C405" i="8"/>
  <c r="G405" i="8" a="1"/>
  <c r="G405" i="8" s="1"/>
  <c r="I406" i="8" l="1"/>
  <c r="N406" i="8" a="1"/>
  <c r="N406" i="8" s="1"/>
  <c r="L406" i="8" a="1"/>
  <c r="L406" i="8" s="1"/>
  <c r="M406" i="8" a="1"/>
  <c r="M406" i="8" s="1"/>
  <c r="K406" i="8" a="1"/>
  <c r="K406" i="8" s="1"/>
  <c r="D406" i="8"/>
  <c r="H406" i="8"/>
  <c r="E405" i="8"/>
  <c r="F405" i="8"/>
  <c r="A407" i="8"/>
  <c r="B407" i="8" s="1" a="1"/>
  <c r="B407" i="8" s="1"/>
  <c r="C406" i="8"/>
  <c r="G406" i="8" a="1"/>
  <c r="G406" i="8" s="1"/>
  <c r="I407" i="8" l="1"/>
  <c r="N407" i="8" a="1"/>
  <c r="N407" i="8" s="1"/>
  <c r="M407" i="8" a="1"/>
  <c r="M407" i="8" s="1"/>
  <c r="L407" i="8" a="1"/>
  <c r="L407" i="8" s="1"/>
  <c r="K407" i="8" a="1"/>
  <c r="K407" i="8" s="1"/>
  <c r="D407" i="8"/>
  <c r="H407" i="8"/>
  <c r="E406" i="8"/>
  <c r="F406" i="8"/>
  <c r="A408" i="8"/>
  <c r="B408" i="8" s="1" a="1"/>
  <c r="B408" i="8" s="1"/>
  <c r="C407" i="8"/>
  <c r="G407" i="8" a="1"/>
  <c r="G407" i="8" s="1"/>
  <c r="I408" i="8" l="1"/>
  <c r="N408" i="8" a="1"/>
  <c r="N408" i="8" s="1"/>
  <c r="M408" i="8" a="1"/>
  <c r="M408" i="8" s="1"/>
  <c r="L408" i="8" a="1"/>
  <c r="L408" i="8" s="1"/>
  <c r="K408" i="8" a="1"/>
  <c r="K408" i="8" s="1"/>
  <c r="D408" i="8"/>
  <c r="H408" i="8"/>
  <c r="E407" i="8"/>
  <c r="F407" i="8"/>
  <c r="A409" i="8"/>
  <c r="B409" i="8" s="1" a="1"/>
  <c r="B409" i="8" s="1"/>
  <c r="C408" i="8"/>
  <c r="G408" i="8" a="1"/>
  <c r="G408" i="8" s="1"/>
  <c r="I409" i="8" l="1"/>
  <c r="N409" i="8" a="1"/>
  <c r="N409" i="8" s="1"/>
  <c r="M409" i="8" a="1"/>
  <c r="M409" i="8" s="1"/>
  <c r="L409" i="8" a="1"/>
  <c r="L409" i="8" s="1"/>
  <c r="K409" i="8" a="1"/>
  <c r="K409" i="8" s="1"/>
  <c r="D409" i="8"/>
  <c r="H409" i="8"/>
  <c r="E408" i="8"/>
  <c r="F408" i="8"/>
  <c r="A410" i="8"/>
  <c r="B410" i="8" s="1" a="1"/>
  <c r="B410" i="8" s="1"/>
  <c r="C409" i="8"/>
  <c r="G409" i="8" a="1"/>
  <c r="G409" i="8" s="1"/>
  <c r="I410" i="8" l="1"/>
  <c r="N410" i="8" a="1"/>
  <c r="N410" i="8" s="1"/>
  <c r="M410" i="8" a="1"/>
  <c r="M410" i="8" s="1"/>
  <c r="L410" i="8" a="1"/>
  <c r="L410" i="8" s="1"/>
  <c r="K410" i="8" a="1"/>
  <c r="K410" i="8" s="1"/>
  <c r="D410" i="8"/>
  <c r="H410" i="8"/>
  <c r="E409" i="8"/>
  <c r="F409" i="8"/>
  <c r="A411" i="8"/>
  <c r="B411" i="8" s="1" a="1"/>
  <c r="B411" i="8" s="1"/>
  <c r="C410" i="8"/>
  <c r="G410" i="8" a="1"/>
  <c r="G410" i="8" s="1"/>
  <c r="I411" i="8" l="1"/>
  <c r="N411" i="8" a="1"/>
  <c r="N411" i="8" s="1"/>
  <c r="M411" i="8" a="1"/>
  <c r="M411" i="8" s="1"/>
  <c r="L411" i="8" a="1"/>
  <c r="L411" i="8" s="1"/>
  <c r="K411" i="8" a="1"/>
  <c r="K411" i="8" s="1"/>
  <c r="D411" i="8"/>
  <c r="H411" i="8"/>
  <c r="E410" i="8"/>
  <c r="F410" i="8"/>
  <c r="A412" i="8"/>
  <c r="B412" i="8" s="1" a="1"/>
  <c r="B412" i="8" s="1"/>
  <c r="C411" i="8"/>
  <c r="G411" i="8" a="1"/>
  <c r="G411" i="8" s="1"/>
  <c r="I412" i="8" l="1"/>
  <c r="N412" i="8" a="1"/>
  <c r="N412" i="8" s="1"/>
  <c r="M412" i="8" a="1"/>
  <c r="M412" i="8" s="1"/>
  <c r="L412" i="8" a="1"/>
  <c r="L412" i="8" s="1"/>
  <c r="K412" i="8" a="1"/>
  <c r="K412" i="8" s="1"/>
  <c r="D412" i="8"/>
  <c r="H412" i="8"/>
  <c r="E411" i="8"/>
  <c r="F411" i="8"/>
  <c r="A413" i="8"/>
  <c r="B413" i="8" s="1" a="1"/>
  <c r="B413" i="8" s="1"/>
  <c r="C412" i="8"/>
  <c r="G412" i="8" a="1"/>
  <c r="G412" i="8" s="1"/>
  <c r="I413" i="8" l="1"/>
  <c r="N413" i="8" a="1"/>
  <c r="N413" i="8" s="1"/>
  <c r="M413" i="8" a="1"/>
  <c r="M413" i="8" s="1"/>
  <c r="L413" i="8" a="1"/>
  <c r="L413" i="8" s="1"/>
  <c r="K413" i="8" a="1"/>
  <c r="K413" i="8" s="1"/>
  <c r="D413" i="8"/>
  <c r="H413" i="8"/>
  <c r="E412" i="8"/>
  <c r="F412" i="8"/>
  <c r="A414" i="8"/>
  <c r="B414" i="8" s="1" a="1"/>
  <c r="B414" i="8" s="1"/>
  <c r="C413" i="8"/>
  <c r="G413" i="8" a="1"/>
  <c r="G413" i="8" s="1"/>
  <c r="I414" i="8" l="1"/>
  <c r="M414" i="8" a="1"/>
  <c r="M414" i="8" s="1"/>
  <c r="N414" i="8" a="1"/>
  <c r="N414" i="8" s="1"/>
  <c r="L414" i="8" a="1"/>
  <c r="L414" i="8" s="1"/>
  <c r="K414" i="8" a="1"/>
  <c r="K414" i="8" s="1"/>
  <c r="D414" i="8"/>
  <c r="H414" i="8"/>
  <c r="E413" i="8"/>
  <c r="F413" i="8"/>
  <c r="A415" i="8"/>
  <c r="B415" i="8" s="1" a="1"/>
  <c r="B415" i="8" s="1"/>
  <c r="C414" i="8"/>
  <c r="G414" i="8" a="1"/>
  <c r="G414" i="8" s="1"/>
  <c r="I415" i="8" l="1"/>
  <c r="N415" i="8" a="1"/>
  <c r="N415" i="8" s="1"/>
  <c r="L415" i="8" a="1"/>
  <c r="L415" i="8" s="1"/>
  <c r="M415" i="8" a="1"/>
  <c r="M415" i="8" s="1"/>
  <c r="K415" i="8" a="1"/>
  <c r="K415" i="8" s="1"/>
  <c r="D415" i="8"/>
  <c r="H415" i="8"/>
  <c r="E414" i="8"/>
  <c r="F414" i="8"/>
  <c r="A416" i="8"/>
  <c r="B416" i="8" s="1" a="1"/>
  <c r="B416" i="8" s="1"/>
  <c r="C415" i="8"/>
  <c r="G415" i="8" a="1"/>
  <c r="G415" i="8" s="1"/>
  <c r="I416" i="8" l="1"/>
  <c r="N416" i="8" a="1"/>
  <c r="N416" i="8" s="1"/>
  <c r="L416" i="8" a="1"/>
  <c r="L416" i="8" s="1"/>
  <c r="M416" i="8" a="1"/>
  <c r="M416" i="8" s="1"/>
  <c r="K416" i="8" a="1"/>
  <c r="K416" i="8" s="1"/>
  <c r="D416" i="8"/>
  <c r="H416" i="8"/>
  <c r="E415" i="8"/>
  <c r="F415" i="8"/>
  <c r="A417" i="8"/>
  <c r="B417" i="8" s="1" a="1"/>
  <c r="B417" i="8" s="1"/>
  <c r="C416" i="8"/>
  <c r="G416" i="8" a="1"/>
  <c r="G416" i="8" s="1"/>
  <c r="I417" i="8" l="1"/>
  <c r="N417" i="8" a="1"/>
  <c r="N417" i="8" s="1"/>
  <c r="M417" i="8" a="1"/>
  <c r="M417" i="8" s="1"/>
  <c r="L417" i="8" a="1"/>
  <c r="L417" i="8" s="1"/>
  <c r="K417" i="8" a="1"/>
  <c r="K417" i="8" s="1"/>
  <c r="D417" i="8"/>
  <c r="H417" i="8"/>
  <c r="E416" i="8"/>
  <c r="F416" i="8"/>
  <c r="A418" i="8"/>
  <c r="B418" i="8" s="1" a="1"/>
  <c r="B418" i="8" s="1"/>
  <c r="C417" i="8"/>
  <c r="G417" i="8" a="1"/>
  <c r="G417" i="8" s="1"/>
  <c r="I418" i="8" l="1"/>
  <c r="N418" i="8" a="1"/>
  <c r="N418" i="8" s="1"/>
  <c r="M418" i="8" a="1"/>
  <c r="M418" i="8" s="1"/>
  <c r="L418" i="8" a="1"/>
  <c r="L418" i="8" s="1"/>
  <c r="K418" i="8" a="1"/>
  <c r="K418" i="8" s="1"/>
  <c r="D418" i="8"/>
  <c r="H418" i="8"/>
  <c r="E417" i="8"/>
  <c r="F417" i="8"/>
  <c r="A419" i="8"/>
  <c r="B419" i="8" s="1" a="1"/>
  <c r="B419" i="8" s="1"/>
  <c r="C418" i="8"/>
  <c r="G418" i="8" a="1"/>
  <c r="G418" i="8" s="1"/>
  <c r="I419" i="8" l="1"/>
  <c r="N419" i="8" a="1"/>
  <c r="N419" i="8" s="1"/>
  <c r="M419" i="8" a="1"/>
  <c r="M419" i="8" s="1"/>
  <c r="L419" i="8" a="1"/>
  <c r="L419" i="8" s="1"/>
  <c r="K419" i="8" a="1"/>
  <c r="K419" i="8" s="1"/>
  <c r="D419" i="8"/>
  <c r="H419" i="8"/>
  <c r="E418" i="8"/>
  <c r="F418" i="8"/>
  <c r="A420" i="8"/>
  <c r="B420" i="8" s="1" a="1"/>
  <c r="B420" i="8" s="1"/>
  <c r="C419" i="8"/>
  <c r="G419" i="8" a="1"/>
  <c r="G419" i="8" s="1"/>
  <c r="I420" i="8" l="1"/>
  <c r="N420" i="8" a="1"/>
  <c r="N420" i="8" s="1"/>
  <c r="M420" i="8" a="1"/>
  <c r="M420" i="8" s="1"/>
  <c r="K420" i="8" a="1"/>
  <c r="K420" i="8" s="1"/>
  <c r="L420" i="8" a="1"/>
  <c r="L420" i="8" s="1"/>
  <c r="D420" i="8"/>
  <c r="H420" i="8"/>
  <c r="E419" i="8"/>
  <c r="F419" i="8"/>
  <c r="A421" i="8"/>
  <c r="B421" i="8" s="1" a="1"/>
  <c r="B421" i="8" s="1"/>
  <c r="C420" i="8"/>
  <c r="G420" i="8" a="1"/>
  <c r="G420" i="8" s="1"/>
  <c r="I421" i="8" l="1"/>
  <c r="N421" i="8" a="1"/>
  <c r="N421" i="8" s="1"/>
  <c r="M421" i="8" a="1"/>
  <c r="M421" i="8" s="1"/>
  <c r="L421" i="8" a="1"/>
  <c r="L421" i="8" s="1"/>
  <c r="K421" i="8" a="1"/>
  <c r="K421" i="8" s="1"/>
  <c r="D421" i="8"/>
  <c r="H421" i="8"/>
  <c r="E420" i="8"/>
  <c r="F420" i="8"/>
  <c r="A422" i="8"/>
  <c r="B422" i="8" s="1" a="1"/>
  <c r="B422" i="8" s="1"/>
  <c r="C421" i="8"/>
  <c r="G421" i="8" a="1"/>
  <c r="G421" i="8" s="1"/>
  <c r="I422" i="8" l="1"/>
  <c r="N422" i="8" a="1"/>
  <c r="N422" i="8" s="1"/>
  <c r="M422" i="8" a="1"/>
  <c r="M422" i="8" s="1"/>
  <c r="L422" i="8" a="1"/>
  <c r="L422" i="8" s="1"/>
  <c r="K422" i="8" a="1"/>
  <c r="K422" i="8" s="1"/>
  <c r="D422" i="8"/>
  <c r="H422" i="8"/>
  <c r="E421" i="8"/>
  <c r="F421" i="8"/>
  <c r="A423" i="8"/>
  <c r="B423" i="8" s="1" a="1"/>
  <c r="B423" i="8" s="1"/>
  <c r="C422" i="8"/>
  <c r="G422" i="8" a="1"/>
  <c r="G422" i="8" s="1"/>
  <c r="I423" i="8" l="1"/>
  <c r="N423" i="8" a="1"/>
  <c r="N423" i="8" s="1"/>
  <c r="M423" i="8" a="1"/>
  <c r="M423" i="8" s="1"/>
  <c r="L423" i="8" a="1"/>
  <c r="L423" i="8" s="1"/>
  <c r="K423" i="8" a="1"/>
  <c r="K423" i="8" s="1"/>
  <c r="D423" i="8"/>
  <c r="H423" i="8"/>
  <c r="E422" i="8"/>
  <c r="F422" i="8"/>
  <c r="A424" i="8"/>
  <c r="B424" i="8" s="1" a="1"/>
  <c r="B424" i="8" s="1"/>
  <c r="C423" i="8"/>
  <c r="G423" i="8" a="1"/>
  <c r="G423" i="8" s="1"/>
  <c r="I424" i="8" l="1"/>
  <c r="N424" i="8" a="1"/>
  <c r="N424" i="8" s="1"/>
  <c r="L424" i="8" a="1"/>
  <c r="L424" i="8" s="1"/>
  <c r="M424" i="8" a="1"/>
  <c r="M424" i="8" s="1"/>
  <c r="K424" i="8" a="1"/>
  <c r="K424" i="8" s="1"/>
  <c r="D424" i="8"/>
  <c r="H424" i="8"/>
  <c r="E423" i="8"/>
  <c r="F423" i="8"/>
  <c r="A425" i="8"/>
  <c r="B425" i="8" s="1" a="1"/>
  <c r="B425" i="8" s="1"/>
  <c r="C424" i="8"/>
  <c r="G424" i="8" a="1"/>
  <c r="G424" i="8" s="1"/>
  <c r="I425" i="8" l="1"/>
  <c r="N425" i="8" a="1"/>
  <c r="N425" i="8" s="1"/>
  <c r="M425" i="8" a="1"/>
  <c r="M425" i="8" s="1"/>
  <c r="L425" i="8" a="1"/>
  <c r="L425" i="8" s="1"/>
  <c r="K425" i="8" a="1"/>
  <c r="K425" i="8" s="1"/>
  <c r="D425" i="8"/>
  <c r="H425" i="8"/>
  <c r="E424" i="8"/>
  <c r="F424" i="8"/>
  <c r="A426" i="8"/>
  <c r="B426" i="8" s="1" a="1"/>
  <c r="B426" i="8" s="1"/>
  <c r="C425" i="8"/>
  <c r="G425" i="8" a="1"/>
  <c r="G425" i="8" s="1"/>
  <c r="I426" i="8" l="1"/>
  <c r="N426" i="8" a="1"/>
  <c r="N426" i="8" s="1"/>
  <c r="M426" i="8" a="1"/>
  <c r="M426" i="8" s="1"/>
  <c r="L426" i="8" a="1"/>
  <c r="L426" i="8" s="1"/>
  <c r="K426" i="8" a="1"/>
  <c r="K426" i="8" s="1"/>
  <c r="D426" i="8"/>
  <c r="H426" i="8"/>
  <c r="E425" i="8"/>
  <c r="F425" i="8"/>
  <c r="A427" i="8"/>
  <c r="B427" i="8" s="1" a="1"/>
  <c r="B427" i="8" s="1"/>
  <c r="C426" i="8"/>
  <c r="I427" i="8" l="1"/>
  <c r="N427" i="8" a="1"/>
  <c r="N427" i="8" s="1"/>
  <c r="L427" i="8" a="1"/>
  <c r="L427" i="8" s="1"/>
  <c r="K427" i="8" a="1"/>
  <c r="K427" i="8" s="1"/>
  <c r="M427" i="8" a="1"/>
  <c r="M427" i="8" s="1"/>
  <c r="G426" i="8" a="1"/>
  <c r="G426" i="8" s="1"/>
  <c r="D427" i="8"/>
  <c r="H427" i="8"/>
  <c r="E426" i="8"/>
  <c r="F426" i="8"/>
  <c r="A428" i="8"/>
  <c r="B428" i="8" s="1" a="1"/>
  <c r="B428" i="8" s="1"/>
  <c r="C427" i="8"/>
  <c r="G427" i="8" a="1"/>
  <c r="G427" i="8" s="1"/>
  <c r="I428" i="8" l="1"/>
  <c r="N428" i="8" a="1"/>
  <c r="N428" i="8" s="1"/>
  <c r="M428" i="8" a="1"/>
  <c r="M428" i="8" s="1"/>
  <c r="L428" i="8" a="1"/>
  <c r="L428" i="8" s="1"/>
  <c r="K428" i="8" a="1"/>
  <c r="K428" i="8" s="1"/>
  <c r="D428" i="8"/>
  <c r="H428" i="8"/>
  <c r="E427" i="8"/>
  <c r="F427" i="8"/>
  <c r="A429" i="8"/>
  <c r="B429" i="8" s="1" a="1"/>
  <c r="B429" i="8" s="1"/>
  <c r="C428" i="8"/>
  <c r="G428" i="8" a="1"/>
  <c r="G428" i="8" s="1"/>
  <c r="I429" i="8" l="1"/>
  <c r="N429" i="8" a="1"/>
  <c r="N429" i="8" s="1"/>
  <c r="M429" i="8" a="1"/>
  <c r="M429" i="8" s="1"/>
  <c r="L429" i="8" a="1"/>
  <c r="L429" i="8" s="1"/>
  <c r="K429" i="8" a="1"/>
  <c r="K429" i="8" s="1"/>
  <c r="D429" i="8"/>
  <c r="H429" i="8"/>
  <c r="E428" i="8"/>
  <c r="F428" i="8"/>
  <c r="A430" i="8"/>
  <c r="B430" i="8" s="1" a="1"/>
  <c r="B430" i="8" s="1"/>
  <c r="C429" i="8"/>
  <c r="G429" i="8" a="1"/>
  <c r="G429" i="8" s="1"/>
  <c r="I430" i="8" l="1"/>
  <c r="N430" i="8" a="1"/>
  <c r="N430" i="8" s="1"/>
  <c r="M430" i="8" a="1"/>
  <c r="M430" i="8" s="1"/>
  <c r="L430" i="8" a="1"/>
  <c r="L430" i="8" s="1"/>
  <c r="K430" i="8" a="1"/>
  <c r="K430" i="8" s="1"/>
  <c r="D430" i="8"/>
  <c r="H430" i="8"/>
  <c r="E429" i="8"/>
  <c r="F429" i="8"/>
  <c r="A431" i="8"/>
  <c r="B431" i="8" s="1" a="1"/>
  <c r="B431" i="8" s="1"/>
  <c r="C430" i="8"/>
  <c r="G430" i="8" a="1"/>
  <c r="G430" i="8" s="1"/>
  <c r="I431" i="8" l="1"/>
  <c r="N431" i="8" a="1"/>
  <c r="N431" i="8" s="1"/>
  <c r="M431" i="8" a="1"/>
  <c r="M431" i="8" s="1"/>
  <c r="L431" i="8" a="1"/>
  <c r="L431" i="8" s="1"/>
  <c r="K431" i="8" a="1"/>
  <c r="K431" i="8" s="1"/>
  <c r="D431" i="8"/>
  <c r="H431" i="8"/>
  <c r="E430" i="8"/>
  <c r="F430" i="8"/>
  <c r="A432" i="8"/>
  <c r="B432" i="8" s="1" a="1"/>
  <c r="B432" i="8" s="1"/>
  <c r="C431" i="8"/>
  <c r="G431" i="8" a="1"/>
  <c r="G431" i="8" s="1"/>
  <c r="I432" i="8" l="1"/>
  <c r="N432" i="8" a="1"/>
  <c r="N432" i="8" s="1"/>
  <c r="M432" i="8" a="1"/>
  <c r="M432" i="8" s="1"/>
  <c r="L432" i="8" a="1"/>
  <c r="L432" i="8" s="1"/>
  <c r="K432" i="8" a="1"/>
  <c r="K432" i="8" s="1"/>
  <c r="D432" i="8"/>
  <c r="H432" i="8"/>
  <c r="E431" i="8"/>
  <c r="F431" i="8"/>
  <c r="A433" i="8"/>
  <c r="B433" i="8" s="1" a="1"/>
  <c r="B433" i="8" s="1"/>
  <c r="C432" i="8"/>
  <c r="G432" i="8" a="1"/>
  <c r="G432" i="8" s="1"/>
  <c r="I433" i="8" l="1"/>
  <c r="N433" i="8" a="1"/>
  <c r="N433" i="8" s="1"/>
  <c r="M433" i="8" a="1"/>
  <c r="M433" i="8" s="1"/>
  <c r="L433" i="8" a="1"/>
  <c r="L433" i="8" s="1"/>
  <c r="K433" i="8" a="1"/>
  <c r="K433" i="8" s="1"/>
  <c r="D433" i="8"/>
  <c r="H433" i="8"/>
  <c r="E432" i="8"/>
  <c r="F432" i="8"/>
  <c r="A434" i="8"/>
  <c r="B434" i="8" s="1" a="1"/>
  <c r="B434" i="8" s="1"/>
  <c r="C433" i="8"/>
  <c r="G433" i="8" a="1"/>
  <c r="G433" i="8" s="1"/>
  <c r="I434" i="8" l="1"/>
  <c r="N434" i="8" a="1"/>
  <c r="N434" i="8" s="1"/>
  <c r="L434" i="8" a="1"/>
  <c r="L434" i="8" s="1"/>
  <c r="M434" i="8" a="1"/>
  <c r="M434" i="8" s="1"/>
  <c r="K434" i="8" a="1"/>
  <c r="K434" i="8" s="1"/>
  <c r="D434" i="8"/>
  <c r="H434" i="8"/>
  <c r="E433" i="8"/>
  <c r="F433" i="8"/>
  <c r="A435" i="8"/>
  <c r="B435" i="8" s="1" a="1"/>
  <c r="B435" i="8" s="1"/>
  <c r="C434" i="8"/>
  <c r="G434" i="8" a="1"/>
  <c r="G434" i="8" s="1"/>
  <c r="I435" i="8" l="1"/>
  <c r="N435" i="8" a="1"/>
  <c r="N435" i="8" s="1"/>
  <c r="M435" i="8" a="1"/>
  <c r="M435" i="8" s="1"/>
  <c r="L435" i="8" a="1"/>
  <c r="L435" i="8" s="1"/>
  <c r="K435" i="8" a="1"/>
  <c r="K435" i="8" s="1"/>
  <c r="D435" i="8"/>
  <c r="H435" i="8"/>
  <c r="E434" i="8"/>
  <c r="F434" i="8"/>
  <c r="A436" i="8"/>
  <c r="B436" i="8" s="1" a="1"/>
  <c r="B436" i="8" s="1"/>
  <c r="C435" i="8"/>
  <c r="G435" i="8" a="1"/>
  <c r="G435" i="8" s="1"/>
  <c r="I436" i="8" l="1"/>
  <c r="N436" i="8" a="1"/>
  <c r="N436" i="8" s="1"/>
  <c r="M436" i="8" a="1"/>
  <c r="M436" i="8" s="1"/>
  <c r="L436" i="8" a="1"/>
  <c r="L436" i="8" s="1"/>
  <c r="K436" i="8" a="1"/>
  <c r="K436" i="8" s="1"/>
  <c r="D436" i="8"/>
  <c r="H436" i="8"/>
  <c r="E435" i="8"/>
  <c r="F435" i="8"/>
  <c r="A437" i="8"/>
  <c r="B437" i="8" s="1" a="1"/>
  <c r="B437" i="8" s="1"/>
  <c r="C436" i="8"/>
  <c r="G436" i="8" a="1"/>
  <c r="G436" i="8" s="1"/>
  <c r="I437" i="8" l="1"/>
  <c r="N437" i="8" a="1"/>
  <c r="N437" i="8" s="1"/>
  <c r="M437" i="8" a="1"/>
  <c r="M437" i="8" s="1"/>
  <c r="L437" i="8" a="1"/>
  <c r="L437" i="8" s="1"/>
  <c r="K437" i="8" a="1"/>
  <c r="K437" i="8" s="1"/>
  <c r="D437" i="8"/>
  <c r="H437" i="8"/>
  <c r="E436" i="8"/>
  <c r="F436" i="8"/>
  <c r="A438" i="8"/>
  <c r="B438" i="8" s="1" a="1"/>
  <c r="B438" i="8" s="1"/>
  <c r="C437" i="8"/>
  <c r="G437" i="8" a="1"/>
  <c r="G437" i="8" s="1"/>
  <c r="I438" i="8" l="1"/>
  <c r="N438" i="8" a="1"/>
  <c r="N438" i="8" s="1"/>
  <c r="M438" i="8" a="1"/>
  <c r="M438" i="8" s="1"/>
  <c r="L438" i="8" a="1"/>
  <c r="L438" i="8" s="1"/>
  <c r="K438" i="8" a="1"/>
  <c r="K438" i="8" s="1"/>
  <c r="D438" i="8"/>
  <c r="H438" i="8"/>
  <c r="E437" i="8"/>
  <c r="F437" i="8"/>
  <c r="A439" i="8"/>
  <c r="B439" i="8" s="1" a="1"/>
  <c r="B439" i="8" s="1"/>
  <c r="C438" i="8"/>
  <c r="G438" i="8" a="1"/>
  <c r="G438" i="8" s="1"/>
  <c r="I439" i="8" l="1"/>
  <c r="M439" i="8" a="1"/>
  <c r="M439" i="8" s="1"/>
  <c r="N439" i="8" a="1"/>
  <c r="N439" i="8" s="1"/>
  <c r="L439" i="8" a="1"/>
  <c r="L439" i="8" s="1"/>
  <c r="K439" i="8" a="1"/>
  <c r="K439" i="8" s="1"/>
  <c r="D439" i="8"/>
  <c r="H439" i="8"/>
  <c r="E438" i="8"/>
  <c r="F438" i="8"/>
  <c r="A440" i="8"/>
  <c r="B440" i="8" s="1" a="1"/>
  <c r="B440" i="8" s="1"/>
  <c r="C439" i="8"/>
  <c r="G439" i="8" a="1"/>
  <c r="G439" i="8" s="1"/>
  <c r="I440" i="8" l="1"/>
  <c r="N440" i="8" a="1"/>
  <c r="N440" i="8" s="1"/>
  <c r="M440" i="8" a="1"/>
  <c r="M440" i="8" s="1"/>
  <c r="L440" i="8" a="1"/>
  <c r="L440" i="8" s="1"/>
  <c r="K440" i="8" a="1"/>
  <c r="K440" i="8" s="1"/>
  <c r="D440" i="8"/>
  <c r="H440" i="8"/>
  <c r="E439" i="8"/>
  <c r="F439" i="8"/>
  <c r="A441" i="8"/>
  <c r="B441" i="8" s="1" a="1"/>
  <c r="B441" i="8" s="1"/>
  <c r="C440" i="8"/>
  <c r="G440" i="8" a="1"/>
  <c r="G440" i="8" s="1"/>
  <c r="I441" i="8" l="1"/>
  <c r="N441" i="8" a="1"/>
  <c r="N441" i="8" s="1"/>
  <c r="M441" i="8" a="1"/>
  <c r="M441" i="8" s="1"/>
  <c r="L441" i="8" a="1"/>
  <c r="L441" i="8" s="1"/>
  <c r="K441" i="8" a="1"/>
  <c r="K441" i="8" s="1"/>
  <c r="D441" i="8"/>
  <c r="H441" i="8"/>
  <c r="E440" i="8"/>
  <c r="F440" i="8"/>
  <c r="A442" i="8"/>
  <c r="B442" i="8" s="1" a="1"/>
  <c r="B442" i="8" s="1"/>
  <c r="C441" i="8"/>
  <c r="G441" i="8" a="1"/>
  <c r="G441" i="8" s="1"/>
  <c r="I442" i="8" l="1"/>
  <c r="N442" i="8" a="1"/>
  <c r="N442" i="8" s="1"/>
  <c r="M442" i="8" a="1"/>
  <c r="M442" i="8" s="1"/>
  <c r="L442" i="8" a="1"/>
  <c r="L442" i="8" s="1"/>
  <c r="K442" i="8" a="1"/>
  <c r="K442" i="8" s="1"/>
  <c r="D442" i="8"/>
  <c r="H442" i="8"/>
  <c r="E441" i="8"/>
  <c r="F441" i="8"/>
  <c r="A443" i="8"/>
  <c r="B443" i="8" s="1" a="1"/>
  <c r="B443" i="8" s="1"/>
  <c r="C442" i="8"/>
  <c r="G442" i="8" a="1"/>
  <c r="G442" i="8" s="1"/>
  <c r="I443" i="8" l="1"/>
  <c r="N443" i="8" a="1"/>
  <c r="N443" i="8" s="1"/>
  <c r="M443" i="8" a="1"/>
  <c r="M443" i="8" s="1"/>
  <c r="L443" i="8" a="1"/>
  <c r="L443" i="8" s="1"/>
  <c r="K443" i="8" a="1"/>
  <c r="K443" i="8" s="1"/>
  <c r="D443" i="8"/>
  <c r="H443" i="8"/>
  <c r="E442" i="8"/>
  <c r="F442" i="8"/>
  <c r="A444" i="8"/>
  <c r="B444" i="8" s="1" a="1"/>
  <c r="B444" i="8" s="1"/>
  <c r="C443" i="8"/>
  <c r="G443" i="8" a="1"/>
  <c r="G443" i="8" s="1"/>
  <c r="I444" i="8" l="1"/>
  <c r="N444" i="8" a="1"/>
  <c r="N444" i="8" s="1"/>
  <c r="M444" i="8" a="1"/>
  <c r="M444" i="8" s="1"/>
  <c r="L444" i="8" a="1"/>
  <c r="L444" i="8" s="1"/>
  <c r="K444" i="8" a="1"/>
  <c r="K444" i="8" s="1"/>
  <c r="D444" i="8"/>
  <c r="H444" i="8"/>
  <c r="E443" i="8"/>
  <c r="F443" i="8"/>
  <c r="A445" i="8"/>
  <c r="B445" i="8" s="1" a="1"/>
  <c r="B445" i="8" s="1"/>
  <c r="C444" i="8"/>
  <c r="G444" i="8" a="1"/>
  <c r="G444" i="8" s="1"/>
  <c r="I445" i="8" l="1"/>
  <c r="N445" i="8" a="1"/>
  <c r="N445" i="8" s="1"/>
  <c r="M445" i="8" a="1"/>
  <c r="M445" i="8" s="1"/>
  <c r="L445" i="8" a="1"/>
  <c r="L445" i="8" s="1"/>
  <c r="K445" i="8" a="1"/>
  <c r="K445" i="8" s="1"/>
  <c r="D445" i="8"/>
  <c r="H445" i="8"/>
  <c r="E444" i="8"/>
  <c r="F444" i="8"/>
  <c r="A446" i="8"/>
  <c r="B446" i="8" s="1" a="1"/>
  <c r="B446" i="8" s="1"/>
  <c r="C445" i="8"/>
  <c r="G445" i="8" a="1"/>
  <c r="G445" i="8" s="1"/>
  <c r="I446" i="8" l="1"/>
  <c r="N446" i="8" a="1"/>
  <c r="N446" i="8" s="1"/>
  <c r="M446" i="8" a="1"/>
  <c r="M446" i="8" s="1"/>
  <c r="L446" i="8" a="1"/>
  <c r="L446" i="8" s="1"/>
  <c r="K446" i="8" a="1"/>
  <c r="K446" i="8" s="1"/>
  <c r="D446" i="8"/>
  <c r="H446" i="8"/>
  <c r="E445" i="8"/>
  <c r="F445" i="8"/>
  <c r="A447" i="8"/>
  <c r="B447" i="8" s="1" a="1"/>
  <c r="B447" i="8" s="1"/>
  <c r="C446" i="8"/>
  <c r="G446" i="8" a="1"/>
  <c r="G446" i="8" s="1"/>
  <c r="I447" i="8" l="1"/>
  <c r="N447" i="8" a="1"/>
  <c r="N447" i="8" s="1"/>
  <c r="M447" i="8" a="1"/>
  <c r="M447" i="8" s="1"/>
  <c r="L447" i="8" a="1"/>
  <c r="L447" i="8" s="1"/>
  <c r="K447" i="8" a="1"/>
  <c r="K447" i="8" s="1"/>
  <c r="D447" i="8"/>
  <c r="H447" i="8"/>
  <c r="E446" i="8"/>
  <c r="F446" i="8"/>
  <c r="A448" i="8"/>
  <c r="B448" i="8" s="1" a="1"/>
  <c r="B448" i="8" s="1"/>
  <c r="C447" i="8"/>
  <c r="G447" i="8" a="1"/>
  <c r="G447" i="8" s="1"/>
  <c r="I448" i="8" l="1"/>
  <c r="N448" i="8" a="1"/>
  <c r="N448" i="8" s="1"/>
  <c r="L448" i="8" a="1"/>
  <c r="L448" i="8" s="1"/>
  <c r="M448" i="8" a="1"/>
  <c r="M448" i="8" s="1"/>
  <c r="K448" i="8" a="1"/>
  <c r="K448" i="8" s="1"/>
  <c r="D448" i="8"/>
  <c r="H448" i="8"/>
  <c r="E447" i="8"/>
  <c r="F447" i="8"/>
  <c r="A449" i="8"/>
  <c r="B449" i="8" s="1" a="1"/>
  <c r="B449" i="8" s="1"/>
  <c r="C448" i="8"/>
  <c r="G448" i="8" a="1"/>
  <c r="G448" i="8" s="1"/>
  <c r="I449" i="8" l="1"/>
  <c r="N449" i="8" a="1"/>
  <c r="N449" i="8" s="1"/>
  <c r="M449" i="8" a="1"/>
  <c r="M449" i="8" s="1"/>
  <c r="L449" i="8" a="1"/>
  <c r="L449" i="8" s="1"/>
  <c r="K449" i="8" a="1"/>
  <c r="K449" i="8" s="1"/>
  <c r="D449" i="8"/>
  <c r="H449" i="8"/>
  <c r="E448" i="8"/>
  <c r="F448" i="8"/>
  <c r="A450" i="8"/>
  <c r="B450" i="8" s="1" a="1"/>
  <c r="B450" i="8" s="1"/>
  <c r="C449" i="8"/>
  <c r="G449" i="8" a="1"/>
  <c r="G449" i="8" s="1"/>
  <c r="I450" i="8" l="1"/>
  <c r="N450" i="8" a="1"/>
  <c r="N450" i="8" s="1"/>
  <c r="M450" i="8" a="1"/>
  <c r="M450" i="8" s="1"/>
  <c r="L450" i="8" a="1"/>
  <c r="L450" i="8" s="1"/>
  <c r="K450" i="8" a="1"/>
  <c r="K450" i="8" s="1"/>
  <c r="D450" i="8"/>
  <c r="H450" i="8"/>
  <c r="E449" i="8"/>
  <c r="F449" i="8"/>
  <c r="A451" i="8"/>
  <c r="B451" i="8" s="1" a="1"/>
  <c r="B451" i="8" s="1"/>
  <c r="C450" i="8"/>
  <c r="G450" i="8" a="1"/>
  <c r="G450" i="8" s="1"/>
  <c r="I451" i="8" l="1"/>
  <c r="N451" i="8" a="1"/>
  <c r="N451" i="8" s="1"/>
  <c r="L451" i="8" a="1"/>
  <c r="L451" i="8" s="1"/>
  <c r="M451" i="8" a="1"/>
  <c r="M451" i="8" s="1"/>
  <c r="K451" i="8" a="1"/>
  <c r="K451" i="8" s="1"/>
  <c r="D451" i="8"/>
  <c r="H451" i="8"/>
  <c r="E450" i="8"/>
  <c r="F450" i="8"/>
  <c r="A452" i="8"/>
  <c r="B452" i="8" s="1" a="1"/>
  <c r="B452" i="8" s="1"/>
  <c r="C451" i="8"/>
  <c r="G451" i="8" a="1"/>
  <c r="G451" i="8" s="1"/>
  <c r="I452" i="8" l="1"/>
  <c r="N452" i="8" a="1"/>
  <c r="N452" i="8" s="1"/>
  <c r="M452" i="8" a="1"/>
  <c r="M452" i="8" s="1"/>
  <c r="L452" i="8" a="1"/>
  <c r="L452" i="8" s="1"/>
  <c r="K452" i="8" a="1"/>
  <c r="K452" i="8" s="1"/>
  <c r="D452" i="8"/>
  <c r="H452" i="8"/>
  <c r="E451" i="8"/>
  <c r="F451" i="8"/>
  <c r="A453" i="8"/>
  <c r="B453" i="8" s="1" a="1"/>
  <c r="B453" i="8" s="1"/>
  <c r="C452" i="8"/>
  <c r="G452" i="8" a="1"/>
  <c r="G452" i="8" s="1"/>
  <c r="I453" i="8" l="1"/>
  <c r="M453" i="8" a="1"/>
  <c r="M453" i="8" s="1"/>
  <c r="N453" i="8" a="1"/>
  <c r="N453" i="8" s="1"/>
  <c r="L453" i="8" a="1"/>
  <c r="L453" i="8" s="1"/>
  <c r="K453" i="8" a="1"/>
  <c r="K453" i="8" s="1"/>
  <c r="D453" i="8"/>
  <c r="H453" i="8"/>
  <c r="E452" i="8"/>
  <c r="F452" i="8"/>
  <c r="A454" i="8"/>
  <c r="B454" i="8" s="1" a="1"/>
  <c r="B454" i="8" s="1"/>
  <c r="C453" i="8"/>
  <c r="G453" i="8" a="1"/>
  <c r="G453" i="8" s="1"/>
  <c r="I454" i="8" l="1"/>
  <c r="N454" i="8" a="1"/>
  <c r="N454" i="8" s="1"/>
  <c r="M454" i="8" a="1"/>
  <c r="M454" i="8" s="1"/>
  <c r="L454" i="8" a="1"/>
  <c r="L454" i="8" s="1"/>
  <c r="K454" i="8" a="1"/>
  <c r="K454" i="8" s="1"/>
  <c r="D454" i="8"/>
  <c r="H454" i="8"/>
  <c r="E453" i="8"/>
  <c r="F453" i="8"/>
  <c r="A455" i="8"/>
  <c r="B455" i="8" s="1" a="1"/>
  <c r="B455" i="8" s="1"/>
  <c r="C454" i="8"/>
  <c r="G454" i="8" a="1"/>
  <c r="G454" i="8" s="1"/>
  <c r="I455" i="8" l="1"/>
  <c r="N455" i="8" a="1"/>
  <c r="N455" i="8" s="1"/>
  <c r="M455" i="8" a="1"/>
  <c r="M455" i="8" s="1"/>
  <c r="L455" i="8" a="1"/>
  <c r="L455" i="8" s="1"/>
  <c r="K455" i="8" a="1"/>
  <c r="K455" i="8" s="1"/>
  <c r="D455" i="8"/>
  <c r="H455" i="8"/>
  <c r="E454" i="8"/>
  <c r="F454" i="8"/>
  <c r="A456" i="8"/>
  <c r="B456" i="8" s="1" a="1"/>
  <c r="B456" i="8" s="1"/>
  <c r="C455" i="8"/>
  <c r="G455" i="8" a="1"/>
  <c r="G455" i="8" s="1"/>
  <c r="I456" i="8" l="1"/>
  <c r="N456" i="8" a="1"/>
  <c r="N456" i="8" s="1"/>
  <c r="M456" i="8" a="1"/>
  <c r="M456" i="8" s="1"/>
  <c r="L456" i="8" a="1"/>
  <c r="L456" i="8" s="1"/>
  <c r="K456" i="8" a="1"/>
  <c r="K456" i="8" s="1"/>
  <c r="D456" i="8"/>
  <c r="H456" i="8"/>
  <c r="E455" i="8"/>
  <c r="F455" i="8"/>
  <c r="A457" i="8"/>
  <c r="B457" i="8" s="1" a="1"/>
  <c r="B457" i="8" s="1"/>
  <c r="C456" i="8"/>
  <c r="G456" i="8" a="1"/>
  <c r="G456" i="8" s="1"/>
  <c r="I457" i="8" l="1"/>
  <c r="N457" i="8" a="1"/>
  <c r="N457" i="8" s="1"/>
  <c r="M457" i="8" a="1"/>
  <c r="M457" i="8" s="1"/>
  <c r="L457" i="8" a="1"/>
  <c r="L457" i="8" s="1"/>
  <c r="K457" i="8" a="1"/>
  <c r="K457" i="8" s="1"/>
  <c r="D457" i="8"/>
  <c r="H457" i="8"/>
  <c r="E456" i="8"/>
  <c r="F456" i="8"/>
  <c r="A458" i="8"/>
  <c r="B458" i="8" s="1" a="1"/>
  <c r="B458" i="8" s="1"/>
  <c r="C457" i="8"/>
  <c r="I458" i="8" l="1"/>
  <c r="N458" i="8" a="1"/>
  <c r="N458" i="8" s="1"/>
  <c r="M458" i="8" a="1"/>
  <c r="M458" i="8" s="1"/>
  <c r="L458" i="8" a="1"/>
  <c r="L458" i="8" s="1"/>
  <c r="K458" i="8" a="1"/>
  <c r="K458" i="8" s="1"/>
  <c r="G457" i="8" a="1"/>
  <c r="G457" i="8" s="1"/>
  <c r="D458" i="8"/>
  <c r="H458" i="8"/>
  <c r="E457" i="8"/>
  <c r="F457" i="8"/>
  <c r="A459" i="8"/>
  <c r="B459" i="8" s="1" a="1"/>
  <c r="B459" i="8" s="1"/>
  <c r="C458" i="8"/>
  <c r="G458" i="8" a="1"/>
  <c r="G458" i="8" s="1"/>
  <c r="I459" i="8" l="1"/>
  <c r="N459" i="8" a="1"/>
  <c r="N459" i="8" s="1"/>
  <c r="M459" i="8" a="1"/>
  <c r="M459" i="8" s="1"/>
  <c r="L459" i="8" a="1"/>
  <c r="L459" i="8" s="1"/>
  <c r="K459" i="8" a="1"/>
  <c r="K459" i="8" s="1"/>
  <c r="D459" i="8"/>
  <c r="H459" i="8"/>
  <c r="E458" i="8"/>
  <c r="F458" i="8"/>
  <c r="A460" i="8"/>
  <c r="B460" i="8" s="1" a="1"/>
  <c r="B460" i="8" s="1"/>
  <c r="C459" i="8"/>
  <c r="G459" i="8" a="1"/>
  <c r="G459" i="8" s="1"/>
  <c r="I460" i="8" l="1"/>
  <c r="N460" i="8" a="1"/>
  <c r="N460" i="8" s="1"/>
  <c r="M460" i="8" a="1"/>
  <c r="M460" i="8" s="1"/>
  <c r="L460" i="8" a="1"/>
  <c r="L460" i="8" s="1"/>
  <c r="K460" i="8" a="1"/>
  <c r="K460" i="8" s="1"/>
  <c r="D460" i="8"/>
  <c r="H460" i="8"/>
  <c r="E459" i="8"/>
  <c r="F459" i="8"/>
  <c r="A461" i="8"/>
  <c r="B461" i="8" s="1" a="1"/>
  <c r="B461" i="8" s="1"/>
  <c r="C460" i="8"/>
  <c r="G460" i="8" a="1"/>
  <c r="G460" i="8" s="1"/>
  <c r="I461" i="8" l="1"/>
  <c r="N461" i="8" a="1"/>
  <c r="N461" i="8" s="1"/>
  <c r="M461" i="8" a="1"/>
  <c r="M461" i="8" s="1"/>
  <c r="L461" i="8" a="1"/>
  <c r="L461" i="8" s="1"/>
  <c r="K461" i="8" a="1"/>
  <c r="K461" i="8" s="1"/>
  <c r="D461" i="8"/>
  <c r="H461" i="8"/>
  <c r="E460" i="8"/>
  <c r="F460" i="8"/>
  <c r="A462" i="8"/>
  <c r="B462" i="8" s="1" a="1"/>
  <c r="B462" i="8" s="1"/>
  <c r="C461" i="8"/>
  <c r="G461" i="8" a="1"/>
  <c r="G461" i="8" s="1"/>
  <c r="I462" i="8" l="1"/>
  <c r="N462" i="8" a="1"/>
  <c r="N462" i="8" s="1"/>
  <c r="M462" i="8" a="1"/>
  <c r="M462" i="8" s="1"/>
  <c r="L462" i="8" a="1"/>
  <c r="L462" i="8" s="1"/>
  <c r="K462" i="8" a="1"/>
  <c r="K462" i="8" s="1"/>
  <c r="D462" i="8"/>
  <c r="H462" i="8"/>
  <c r="E461" i="8"/>
  <c r="F461" i="8"/>
  <c r="A463" i="8"/>
  <c r="B463" i="8" s="1" a="1"/>
  <c r="B463" i="8" s="1"/>
  <c r="C462" i="8"/>
  <c r="G462" i="8" a="1"/>
  <c r="G462" i="8" s="1"/>
  <c r="I463" i="8" l="1"/>
  <c r="N463" i="8" a="1"/>
  <c r="N463" i="8" s="1"/>
  <c r="M463" i="8" a="1"/>
  <c r="M463" i="8" s="1"/>
  <c r="L463" i="8" a="1"/>
  <c r="L463" i="8" s="1"/>
  <c r="K463" i="8" a="1"/>
  <c r="K463" i="8" s="1"/>
  <c r="D463" i="8"/>
  <c r="H463" i="8"/>
  <c r="E462" i="8"/>
  <c r="F462" i="8"/>
  <c r="A464" i="8"/>
  <c r="B464" i="8" s="1" a="1"/>
  <c r="B464" i="8" s="1"/>
  <c r="C463" i="8"/>
  <c r="G463" i="8" a="1"/>
  <c r="G463" i="8" s="1"/>
  <c r="I464" i="8" l="1"/>
  <c r="N464" i="8" a="1"/>
  <c r="N464" i="8" s="1"/>
  <c r="M464" i="8" a="1"/>
  <c r="M464" i="8" s="1"/>
  <c r="L464" i="8" a="1"/>
  <c r="L464" i="8" s="1"/>
  <c r="K464" i="8" a="1"/>
  <c r="K464" i="8" s="1"/>
  <c r="D464" i="8"/>
  <c r="H464" i="8"/>
  <c r="E463" i="8"/>
  <c r="F463" i="8"/>
  <c r="A465" i="8"/>
  <c r="B465" i="8" s="1" a="1"/>
  <c r="B465" i="8" s="1"/>
  <c r="C464" i="8"/>
  <c r="G464" i="8" a="1"/>
  <c r="G464" i="8" s="1"/>
  <c r="I465" i="8" l="1"/>
  <c r="N465" i="8" a="1"/>
  <c r="N465" i="8" s="1"/>
  <c r="L465" i="8" a="1"/>
  <c r="L465" i="8" s="1"/>
  <c r="M465" i="8" a="1"/>
  <c r="M465" i="8" s="1"/>
  <c r="K465" i="8" a="1"/>
  <c r="K465" i="8" s="1"/>
  <c r="D465" i="8"/>
  <c r="H465" i="8"/>
  <c r="E464" i="8"/>
  <c r="F464" i="8"/>
  <c r="A466" i="8"/>
  <c r="B466" i="8" s="1" a="1"/>
  <c r="B466" i="8" s="1"/>
  <c r="C465" i="8"/>
  <c r="G465" i="8" a="1"/>
  <c r="G465" i="8" s="1"/>
  <c r="I466" i="8" l="1"/>
  <c r="M466" i="8" a="1"/>
  <c r="M466" i="8" s="1"/>
  <c r="N466" i="8" a="1"/>
  <c r="N466" i="8" s="1"/>
  <c r="L466" i="8" a="1"/>
  <c r="L466" i="8" s="1"/>
  <c r="K466" i="8" a="1"/>
  <c r="K466" i="8" s="1"/>
  <c r="D466" i="8"/>
  <c r="H466" i="8"/>
  <c r="E465" i="8"/>
  <c r="F465" i="8"/>
  <c r="A467" i="8"/>
  <c r="B467" i="8" s="1" a="1"/>
  <c r="B467" i="8" s="1"/>
  <c r="C466" i="8"/>
  <c r="G466" i="8" a="1"/>
  <c r="G466" i="8" s="1"/>
  <c r="I467" i="8" l="1"/>
  <c r="N467" i="8" a="1"/>
  <c r="N467" i="8" s="1"/>
  <c r="L467" i="8" a="1"/>
  <c r="L467" i="8" s="1"/>
  <c r="M467" i="8" a="1"/>
  <c r="M467" i="8" s="1"/>
  <c r="K467" i="8" a="1"/>
  <c r="K467" i="8" s="1"/>
  <c r="D467" i="8"/>
  <c r="H467" i="8"/>
  <c r="E466" i="8"/>
  <c r="F466" i="8"/>
  <c r="A468" i="8"/>
  <c r="B468" i="8" s="1" a="1"/>
  <c r="B468" i="8" s="1"/>
  <c r="C467" i="8"/>
  <c r="G467" i="8" a="1"/>
  <c r="G467" i="8" s="1"/>
  <c r="I468" i="8" l="1"/>
  <c r="M468" i="8" a="1"/>
  <c r="M468" i="8" s="1"/>
  <c r="N468" i="8" a="1"/>
  <c r="N468" i="8" s="1"/>
  <c r="L468" i="8" a="1"/>
  <c r="L468" i="8" s="1"/>
  <c r="K468" i="8" a="1"/>
  <c r="K468" i="8" s="1"/>
  <c r="D468" i="8"/>
  <c r="H468" i="8"/>
  <c r="E467" i="8"/>
  <c r="F467" i="8"/>
  <c r="A469" i="8"/>
  <c r="B469" i="8" s="1" a="1"/>
  <c r="B469" i="8" s="1"/>
  <c r="C468" i="8"/>
  <c r="G468" i="8" a="1"/>
  <c r="G468" i="8" s="1"/>
  <c r="I469" i="8" l="1"/>
  <c r="N469" i="8" a="1"/>
  <c r="N469" i="8" s="1"/>
  <c r="M469" i="8" a="1"/>
  <c r="M469" i="8" s="1"/>
  <c r="L469" i="8" a="1"/>
  <c r="L469" i="8" s="1"/>
  <c r="K469" i="8" a="1"/>
  <c r="K469" i="8" s="1"/>
  <c r="D469" i="8"/>
  <c r="H469" i="8"/>
  <c r="E468" i="8"/>
  <c r="F468" i="8"/>
  <c r="A470" i="8"/>
  <c r="B470" i="8" s="1" a="1"/>
  <c r="B470" i="8" s="1"/>
  <c r="C469" i="8"/>
  <c r="G469" i="8" a="1"/>
  <c r="G469" i="8" s="1"/>
  <c r="I470" i="8" l="1"/>
  <c r="N470" i="8" a="1"/>
  <c r="N470" i="8" s="1"/>
  <c r="M470" i="8" a="1"/>
  <c r="M470" i="8" s="1"/>
  <c r="L470" i="8" a="1"/>
  <c r="L470" i="8" s="1"/>
  <c r="K470" i="8" a="1"/>
  <c r="K470" i="8" s="1"/>
  <c r="D470" i="8"/>
  <c r="H470" i="8"/>
  <c r="E469" i="8"/>
  <c r="F469" i="8"/>
  <c r="A471" i="8"/>
  <c r="B471" i="8" s="1" a="1"/>
  <c r="B471" i="8" s="1"/>
  <c r="C470" i="8"/>
  <c r="G470" i="8" a="1"/>
  <c r="G470" i="8" s="1"/>
  <c r="I471" i="8" l="1"/>
  <c r="N471" i="8" a="1"/>
  <c r="N471" i="8" s="1"/>
  <c r="M471" i="8" a="1"/>
  <c r="M471" i="8" s="1"/>
  <c r="L471" i="8" a="1"/>
  <c r="L471" i="8" s="1"/>
  <c r="K471" i="8" a="1"/>
  <c r="K471" i="8" s="1"/>
  <c r="D471" i="8"/>
  <c r="H471" i="8"/>
  <c r="E470" i="8"/>
  <c r="F470" i="8"/>
  <c r="A472" i="8"/>
  <c r="B472" i="8" s="1" a="1"/>
  <c r="B472" i="8" s="1"/>
  <c r="C471" i="8"/>
  <c r="G471" i="8" a="1"/>
  <c r="G471" i="8" s="1"/>
  <c r="I472" i="8" l="1"/>
  <c r="M472" i="8" a="1"/>
  <c r="M472" i="8" s="1"/>
  <c r="N472" i="8" a="1"/>
  <c r="N472" i="8" s="1"/>
  <c r="L472" i="8" a="1"/>
  <c r="L472" i="8" s="1"/>
  <c r="K472" i="8" a="1"/>
  <c r="K472" i="8" s="1"/>
  <c r="D472" i="8"/>
  <c r="H472" i="8"/>
  <c r="E471" i="8"/>
  <c r="F471" i="8"/>
  <c r="A473" i="8"/>
  <c r="B473" i="8" s="1" a="1"/>
  <c r="B473" i="8" s="1"/>
  <c r="C472" i="8"/>
  <c r="G472" i="8" a="1"/>
  <c r="G472" i="8" s="1"/>
  <c r="I473" i="8" l="1"/>
  <c r="N473" i="8" a="1"/>
  <c r="N473" i="8" s="1"/>
  <c r="M473" i="8" a="1"/>
  <c r="M473" i="8" s="1"/>
  <c r="L473" i="8" a="1"/>
  <c r="L473" i="8" s="1"/>
  <c r="K473" i="8" a="1"/>
  <c r="K473" i="8" s="1"/>
  <c r="D473" i="8"/>
  <c r="H473" i="8"/>
  <c r="E472" i="8"/>
  <c r="F472" i="8"/>
  <c r="A474" i="8"/>
  <c r="B474" i="8" s="1" a="1"/>
  <c r="B474" i="8" s="1"/>
  <c r="C473" i="8"/>
  <c r="G473" i="8" a="1"/>
  <c r="G473" i="8" s="1"/>
  <c r="I474" i="8" l="1"/>
  <c r="N474" i="8" a="1"/>
  <c r="N474" i="8" s="1"/>
  <c r="M474" i="8" a="1"/>
  <c r="M474" i="8" s="1"/>
  <c r="L474" i="8" a="1"/>
  <c r="L474" i="8" s="1"/>
  <c r="K474" i="8" a="1"/>
  <c r="K474" i="8" s="1"/>
  <c r="D474" i="8"/>
  <c r="H474" i="8"/>
  <c r="E473" i="8"/>
  <c r="F473" i="8"/>
  <c r="A475" i="8"/>
  <c r="B475" i="8" s="1" a="1"/>
  <c r="B475" i="8" s="1"/>
  <c r="C474" i="8"/>
  <c r="G474" i="8" a="1"/>
  <c r="G474" i="8" s="1"/>
  <c r="I475" i="8" l="1"/>
  <c r="N475" i="8" a="1"/>
  <c r="N475" i="8" s="1"/>
  <c r="L475" i="8" a="1"/>
  <c r="L475" i="8" s="1"/>
  <c r="M475" i="8" a="1"/>
  <c r="M475" i="8" s="1"/>
  <c r="K475" i="8" a="1"/>
  <c r="K475" i="8" s="1"/>
  <c r="D475" i="8"/>
  <c r="H475" i="8"/>
  <c r="E474" i="8"/>
  <c r="F474" i="8"/>
  <c r="A476" i="8"/>
  <c r="B476" i="8" s="1" a="1"/>
  <c r="B476" i="8" s="1"/>
  <c r="C475" i="8"/>
  <c r="G475" i="8" a="1"/>
  <c r="G475" i="8" s="1"/>
  <c r="I476" i="8" l="1"/>
  <c r="N476" i="8" a="1"/>
  <c r="N476" i="8" s="1"/>
  <c r="M476" i="8" a="1"/>
  <c r="M476" i="8" s="1"/>
  <c r="L476" i="8" a="1"/>
  <c r="L476" i="8" s="1"/>
  <c r="K476" i="8" a="1"/>
  <c r="K476" i="8" s="1"/>
  <c r="D476" i="8"/>
  <c r="H476" i="8"/>
  <c r="E475" i="8"/>
  <c r="F475" i="8"/>
  <c r="A477" i="8"/>
  <c r="B477" i="8" s="1" a="1"/>
  <c r="B477" i="8" s="1"/>
  <c r="C476" i="8"/>
  <c r="G476" i="8" a="1"/>
  <c r="G476" i="8" s="1"/>
  <c r="I477" i="8" l="1"/>
  <c r="N477" i="8" a="1"/>
  <c r="N477" i="8" s="1"/>
  <c r="M477" i="8" a="1"/>
  <c r="M477" i="8" s="1"/>
  <c r="L477" i="8" a="1"/>
  <c r="L477" i="8" s="1"/>
  <c r="K477" i="8" a="1"/>
  <c r="K477" i="8" s="1"/>
  <c r="D477" i="8"/>
  <c r="H477" i="8"/>
  <c r="E476" i="8"/>
  <c r="F476" i="8"/>
  <c r="A478" i="8"/>
  <c r="B478" i="8" s="1" a="1"/>
  <c r="B478" i="8" s="1"/>
  <c r="C477" i="8"/>
  <c r="G477" i="8" a="1"/>
  <c r="G477" i="8" s="1"/>
  <c r="I478" i="8" l="1"/>
  <c r="N478" i="8" a="1"/>
  <c r="N478" i="8" s="1"/>
  <c r="M478" i="8" a="1"/>
  <c r="M478" i="8" s="1"/>
  <c r="L478" i="8" a="1"/>
  <c r="L478" i="8" s="1"/>
  <c r="K478" i="8" a="1"/>
  <c r="K478" i="8" s="1"/>
  <c r="D478" i="8"/>
  <c r="H478" i="8"/>
  <c r="E477" i="8"/>
  <c r="F477" i="8"/>
  <c r="A479" i="8"/>
  <c r="B479" i="8" s="1" a="1"/>
  <c r="B479" i="8" s="1"/>
  <c r="C478" i="8"/>
  <c r="G478" i="8" a="1"/>
  <c r="G478" i="8" s="1"/>
  <c r="I479" i="8" l="1"/>
  <c r="N479" i="8" a="1"/>
  <c r="N479" i="8" s="1"/>
  <c r="M479" i="8" a="1"/>
  <c r="M479" i="8" s="1"/>
  <c r="L479" i="8" a="1"/>
  <c r="L479" i="8" s="1"/>
  <c r="K479" i="8" a="1"/>
  <c r="K479" i="8" s="1"/>
  <c r="D479" i="8"/>
  <c r="H479" i="8"/>
  <c r="E478" i="8"/>
  <c r="F478" i="8"/>
  <c r="A480" i="8"/>
  <c r="B480" i="8" s="1" a="1"/>
  <c r="B480" i="8" s="1"/>
  <c r="C479" i="8"/>
  <c r="G479" i="8" a="1"/>
  <c r="G479" i="8" s="1"/>
  <c r="I480" i="8" l="1"/>
  <c r="N480" i="8" a="1"/>
  <c r="N480" i="8" s="1"/>
  <c r="M480" i="8" a="1"/>
  <c r="M480" i="8" s="1"/>
  <c r="L480" i="8" a="1"/>
  <c r="L480" i="8" s="1"/>
  <c r="K480" i="8" a="1"/>
  <c r="K480" i="8" s="1"/>
  <c r="D480" i="8"/>
  <c r="H480" i="8"/>
  <c r="E479" i="8"/>
  <c r="F479" i="8"/>
  <c r="A481" i="8"/>
  <c r="B481" i="8" s="1" a="1"/>
  <c r="B481" i="8" s="1"/>
  <c r="C480" i="8"/>
  <c r="G480" i="8" a="1"/>
  <c r="G480" i="8" s="1"/>
  <c r="I481" i="8" l="1"/>
  <c r="N481" i="8" a="1"/>
  <c r="N481" i="8" s="1"/>
  <c r="M481" i="8" a="1"/>
  <c r="M481" i="8" s="1"/>
  <c r="L481" i="8" a="1"/>
  <c r="L481" i="8" s="1"/>
  <c r="K481" i="8" a="1"/>
  <c r="K481" i="8" s="1"/>
  <c r="D481" i="8"/>
  <c r="H481" i="8"/>
  <c r="E480" i="8"/>
  <c r="F480" i="8"/>
  <c r="A482" i="8"/>
  <c r="B482" i="8" s="1" a="1"/>
  <c r="B482" i="8" s="1"/>
  <c r="C481" i="8"/>
  <c r="G481" i="8" a="1"/>
  <c r="G481" i="8" s="1"/>
  <c r="I482" i="8" l="1"/>
  <c r="M482" i="8" a="1"/>
  <c r="M482" i="8" s="1"/>
  <c r="N482" i="8" a="1"/>
  <c r="N482" i="8" s="1"/>
  <c r="L482" i="8" a="1"/>
  <c r="L482" i="8" s="1"/>
  <c r="K482" i="8" a="1"/>
  <c r="K482" i="8" s="1"/>
  <c r="D482" i="8"/>
  <c r="H482" i="8"/>
  <c r="E481" i="8"/>
  <c r="F481" i="8"/>
  <c r="A483" i="8"/>
  <c r="B483" i="8" s="1" a="1"/>
  <c r="B483" i="8" s="1"/>
  <c r="C482" i="8"/>
  <c r="G482" i="8" a="1"/>
  <c r="G482" i="8" s="1"/>
  <c r="I483" i="8" l="1"/>
  <c r="N483" i="8" a="1"/>
  <c r="N483" i="8" s="1"/>
  <c r="M483" i="8" a="1"/>
  <c r="M483" i="8" s="1"/>
  <c r="L483" i="8" a="1"/>
  <c r="L483" i="8" s="1"/>
  <c r="K483" i="8" a="1"/>
  <c r="K483" i="8" s="1"/>
  <c r="D483" i="8"/>
  <c r="H483" i="8"/>
  <c r="E482" i="8"/>
  <c r="F482" i="8"/>
  <c r="A484" i="8"/>
  <c r="B484" i="8" s="1" a="1"/>
  <c r="B484" i="8" s="1"/>
  <c r="C483" i="8"/>
  <c r="G483" i="8" a="1"/>
  <c r="G483" i="8" s="1"/>
  <c r="I484" i="8" l="1"/>
  <c r="N484" i="8" a="1"/>
  <c r="N484" i="8" s="1"/>
  <c r="M484" i="8" a="1"/>
  <c r="M484" i="8" s="1"/>
  <c r="L484" i="8" a="1"/>
  <c r="L484" i="8" s="1"/>
  <c r="K484" i="8" a="1"/>
  <c r="K484" i="8" s="1"/>
  <c r="D484" i="8"/>
  <c r="H484" i="8"/>
  <c r="E483" i="8"/>
  <c r="F483" i="8"/>
  <c r="A485" i="8"/>
  <c r="B485" i="8" s="1" a="1"/>
  <c r="B485" i="8" s="1"/>
  <c r="C484" i="8"/>
  <c r="G484" i="8" a="1"/>
  <c r="G484" i="8" s="1"/>
  <c r="I485" i="8" l="1"/>
  <c r="N485" i="8" a="1"/>
  <c r="N485" i="8" s="1"/>
  <c r="M485" i="8" a="1"/>
  <c r="M485" i="8" s="1"/>
  <c r="L485" i="8" a="1"/>
  <c r="L485" i="8" s="1"/>
  <c r="K485" i="8" a="1"/>
  <c r="K485" i="8" s="1"/>
  <c r="D485" i="8"/>
  <c r="H485" i="8"/>
  <c r="E484" i="8"/>
  <c r="F484" i="8"/>
  <c r="A486" i="8"/>
  <c r="B486" i="8" s="1" a="1"/>
  <c r="B486" i="8" s="1"/>
  <c r="C485" i="8"/>
  <c r="G485" i="8" a="1"/>
  <c r="G485" i="8" s="1"/>
  <c r="I486" i="8" l="1"/>
  <c r="N486" i="8" a="1"/>
  <c r="N486" i="8" s="1"/>
  <c r="M486" i="8" a="1"/>
  <c r="M486" i="8" s="1"/>
  <c r="L486" i="8" a="1"/>
  <c r="L486" i="8" s="1"/>
  <c r="K486" i="8" a="1"/>
  <c r="K486" i="8" s="1"/>
  <c r="D486" i="8"/>
  <c r="H486" i="8"/>
  <c r="E485" i="8"/>
  <c r="F485" i="8"/>
  <c r="A487" i="8"/>
  <c r="B487" i="8" s="1" a="1"/>
  <c r="B487" i="8" s="1"/>
  <c r="C486" i="8"/>
  <c r="G486" i="8" a="1"/>
  <c r="G486" i="8" s="1"/>
  <c r="I487" i="8" l="1"/>
  <c r="N487" i="8" a="1"/>
  <c r="N487" i="8" s="1"/>
  <c r="M487" i="8" a="1"/>
  <c r="M487" i="8" s="1"/>
  <c r="L487" i="8" a="1"/>
  <c r="L487" i="8" s="1"/>
  <c r="K487" i="8" a="1"/>
  <c r="K487" i="8" s="1"/>
  <c r="D487" i="8"/>
  <c r="H487" i="8"/>
  <c r="E486" i="8"/>
  <c r="F486" i="8"/>
  <c r="A488" i="8"/>
  <c r="B488" i="8" s="1" a="1"/>
  <c r="B488" i="8" s="1"/>
  <c r="C487" i="8"/>
  <c r="I488" i="8" l="1"/>
  <c r="N488" i="8" a="1"/>
  <c r="N488" i="8" s="1"/>
  <c r="M488" i="8" a="1"/>
  <c r="M488" i="8" s="1"/>
  <c r="L488" i="8" a="1"/>
  <c r="L488" i="8" s="1"/>
  <c r="K488" i="8" a="1"/>
  <c r="K488" i="8" s="1"/>
  <c r="G487" i="8" a="1"/>
  <c r="G487" i="8" s="1"/>
  <c r="D488" i="8"/>
  <c r="H488" i="8"/>
  <c r="E487" i="8"/>
  <c r="F487" i="8"/>
  <c r="A489" i="8"/>
  <c r="B489" i="8" s="1" a="1"/>
  <c r="B489" i="8" s="1"/>
  <c r="C488" i="8"/>
  <c r="G488" i="8" a="1"/>
  <c r="G488" i="8" s="1"/>
  <c r="I489" i="8" l="1"/>
  <c r="N489" i="8" a="1"/>
  <c r="N489" i="8" s="1"/>
  <c r="M489" i="8" a="1"/>
  <c r="M489" i="8" s="1"/>
  <c r="K489" i="8" a="1"/>
  <c r="K489" i="8" s="1"/>
  <c r="L489" i="8" a="1"/>
  <c r="L489" i="8" s="1"/>
  <c r="D489" i="8"/>
  <c r="H489" i="8"/>
  <c r="E488" i="8"/>
  <c r="F488" i="8"/>
  <c r="A490" i="8"/>
  <c r="B490" i="8" s="1" a="1"/>
  <c r="B490" i="8" s="1"/>
  <c r="C489" i="8"/>
  <c r="G489" i="8" a="1"/>
  <c r="G489" i="8" s="1"/>
  <c r="I490" i="8" l="1"/>
  <c r="N490" i="8" a="1"/>
  <c r="N490" i="8" s="1"/>
  <c r="M490" i="8" a="1"/>
  <c r="M490" i="8" s="1"/>
  <c r="L490" i="8" a="1"/>
  <c r="L490" i="8" s="1"/>
  <c r="K490" i="8" a="1"/>
  <c r="K490" i="8" s="1"/>
  <c r="D490" i="8"/>
  <c r="H490" i="8"/>
  <c r="E489" i="8"/>
  <c r="F489" i="8"/>
  <c r="A491" i="8"/>
  <c r="B491" i="8" s="1" a="1"/>
  <c r="B491" i="8" s="1"/>
  <c r="C490" i="8"/>
  <c r="G490" i="8" a="1"/>
  <c r="G490" i="8" s="1"/>
  <c r="I491" i="8" l="1"/>
  <c r="N491" i="8" a="1"/>
  <c r="N491" i="8" s="1"/>
  <c r="M491" i="8" a="1"/>
  <c r="M491" i="8" s="1"/>
  <c r="L491" i="8" a="1"/>
  <c r="L491" i="8" s="1"/>
  <c r="K491" i="8" a="1"/>
  <c r="K491" i="8" s="1"/>
  <c r="D491" i="8"/>
  <c r="H491" i="8"/>
  <c r="E490" i="8"/>
  <c r="F490" i="8"/>
  <c r="A492" i="8"/>
  <c r="B492" i="8" s="1" a="1"/>
  <c r="B492" i="8" s="1"/>
  <c r="C491" i="8"/>
  <c r="G491" i="8" a="1"/>
  <c r="G491" i="8" s="1"/>
  <c r="I492" i="8" l="1"/>
  <c r="N492" i="8" a="1"/>
  <c r="N492" i="8" s="1"/>
  <c r="M492" i="8" a="1"/>
  <c r="M492" i="8" s="1"/>
  <c r="L492" i="8" a="1"/>
  <c r="L492" i="8" s="1"/>
  <c r="K492" i="8" a="1"/>
  <c r="K492" i="8" s="1"/>
  <c r="D492" i="8"/>
  <c r="H492" i="8"/>
  <c r="E491" i="8"/>
  <c r="F491" i="8"/>
  <c r="A493" i="8"/>
  <c r="B493" i="8" s="1" a="1"/>
  <c r="B493" i="8" s="1"/>
  <c r="C492" i="8"/>
  <c r="G492" i="8" a="1"/>
  <c r="G492" i="8" s="1"/>
  <c r="I493" i="8" l="1"/>
  <c r="N493" i="8" a="1"/>
  <c r="N493" i="8" s="1"/>
  <c r="M493" i="8" a="1"/>
  <c r="M493" i="8" s="1"/>
  <c r="L493" i="8" a="1"/>
  <c r="L493" i="8" s="1"/>
  <c r="K493" i="8" a="1"/>
  <c r="K493" i="8" s="1"/>
  <c r="D493" i="8"/>
  <c r="H493" i="8"/>
  <c r="E492" i="8"/>
  <c r="F492" i="8"/>
  <c r="A494" i="8"/>
  <c r="B494" i="8" s="1" a="1"/>
  <c r="B494" i="8" s="1"/>
  <c r="C493" i="8"/>
  <c r="G493" i="8" a="1"/>
  <c r="G493" i="8" s="1"/>
  <c r="I494" i="8" l="1"/>
  <c r="N494" i="8" a="1"/>
  <c r="N494" i="8" s="1"/>
  <c r="M494" i="8" a="1"/>
  <c r="M494" i="8" s="1"/>
  <c r="L494" i="8" a="1"/>
  <c r="L494" i="8" s="1"/>
  <c r="K494" i="8" a="1"/>
  <c r="K494" i="8" s="1"/>
  <c r="D494" i="8"/>
  <c r="H494" i="8"/>
  <c r="E493" i="8"/>
  <c r="F493" i="8"/>
  <c r="A495" i="8"/>
  <c r="B495" i="8" s="1" a="1"/>
  <c r="B495" i="8" s="1"/>
  <c r="C494" i="8"/>
  <c r="G494" i="8" a="1"/>
  <c r="G494" i="8" s="1"/>
  <c r="I495" i="8" l="1"/>
  <c r="N495" i="8" a="1"/>
  <c r="N495" i="8" s="1"/>
  <c r="M495" i="8" a="1"/>
  <c r="M495" i="8" s="1"/>
  <c r="L495" i="8" a="1"/>
  <c r="L495" i="8" s="1"/>
  <c r="K495" i="8" a="1"/>
  <c r="K495" i="8" s="1"/>
  <c r="D495" i="8"/>
  <c r="H495" i="8"/>
  <c r="E494" i="8"/>
  <c r="F494" i="8"/>
  <c r="A496" i="8"/>
  <c r="B496" i="8" s="1" a="1"/>
  <c r="B496" i="8" s="1"/>
  <c r="C495" i="8"/>
  <c r="G495" i="8" a="1"/>
  <c r="G495" i="8" s="1"/>
  <c r="I496" i="8" l="1"/>
  <c r="N496" i="8" a="1"/>
  <c r="N496" i="8" s="1"/>
  <c r="M496" i="8" a="1"/>
  <c r="M496" i="8" s="1"/>
  <c r="L496" i="8" a="1"/>
  <c r="L496" i="8" s="1"/>
  <c r="K496" i="8" a="1"/>
  <c r="K496" i="8" s="1"/>
  <c r="D496" i="8"/>
  <c r="H496" i="8"/>
  <c r="E495" i="8"/>
  <c r="F495" i="8"/>
  <c r="A497" i="8"/>
  <c r="B497" i="8" s="1" a="1"/>
  <c r="B497" i="8" s="1"/>
  <c r="C496" i="8"/>
  <c r="G496" i="8" a="1"/>
  <c r="G496" i="8" s="1"/>
  <c r="I497" i="8" l="1"/>
  <c r="N497" i="8" a="1"/>
  <c r="N497" i="8" s="1"/>
  <c r="M497" i="8" a="1"/>
  <c r="M497" i="8" s="1"/>
  <c r="L497" i="8" a="1"/>
  <c r="L497" i="8" s="1"/>
  <c r="K497" i="8" a="1"/>
  <c r="K497" i="8" s="1"/>
  <c r="D497" i="8"/>
  <c r="H497" i="8"/>
  <c r="E496" i="8"/>
  <c r="F496" i="8"/>
  <c r="A498" i="8"/>
  <c r="B498" i="8" s="1" a="1"/>
  <c r="B498" i="8" s="1"/>
  <c r="C497" i="8"/>
  <c r="G497" i="8" a="1"/>
  <c r="G497" i="8" s="1"/>
  <c r="I498" i="8" l="1"/>
  <c r="N498" i="8" a="1"/>
  <c r="N498" i="8" s="1"/>
  <c r="M498" i="8" a="1"/>
  <c r="M498" i="8" s="1"/>
  <c r="L498" i="8" a="1"/>
  <c r="L498" i="8" s="1"/>
  <c r="K498" i="8" a="1"/>
  <c r="K498" i="8" s="1"/>
  <c r="D498" i="8"/>
  <c r="H498" i="8"/>
  <c r="E497" i="8"/>
  <c r="F497" i="8"/>
  <c r="A499" i="8"/>
  <c r="B499" i="8" s="1" a="1"/>
  <c r="B499" i="8" s="1"/>
  <c r="C498" i="8"/>
  <c r="G498" i="8" a="1"/>
  <c r="G498" i="8" s="1"/>
  <c r="I499" i="8" l="1"/>
  <c r="N499" i="8" a="1"/>
  <c r="N499" i="8" s="1"/>
  <c r="L499" i="8" a="1"/>
  <c r="L499" i="8" s="1"/>
  <c r="M499" i="8" a="1"/>
  <c r="M499" i="8" s="1"/>
  <c r="K499" i="8" a="1"/>
  <c r="K499" i="8" s="1"/>
  <c r="D499" i="8"/>
  <c r="H499" i="8"/>
  <c r="E498" i="8"/>
  <c r="F498" i="8"/>
  <c r="A500" i="8"/>
  <c r="B500" i="8" s="1" a="1"/>
  <c r="B500" i="8" s="1"/>
  <c r="C499" i="8"/>
  <c r="G499" i="8" a="1"/>
  <c r="G499" i="8" s="1"/>
  <c r="I500" i="8" l="1"/>
  <c r="N500" i="8" a="1"/>
  <c r="N500" i="8" s="1"/>
  <c r="M500" i="8" a="1"/>
  <c r="M500" i="8" s="1"/>
  <c r="K500" i="8" a="1"/>
  <c r="K500" i="8" s="1"/>
  <c r="L500" i="8" a="1"/>
  <c r="L500" i="8" s="1"/>
  <c r="D500" i="8"/>
  <c r="H500" i="8"/>
  <c r="E499" i="8"/>
  <c r="F499" i="8"/>
  <c r="A501" i="8"/>
  <c r="B501" i="8" s="1" a="1"/>
  <c r="B501" i="8" s="1"/>
  <c r="C500" i="8"/>
  <c r="G500" i="8" a="1"/>
  <c r="G500" i="8" s="1"/>
  <c r="I501" i="8" l="1"/>
  <c r="N501" i="8" a="1"/>
  <c r="N501" i="8" s="1"/>
  <c r="M501" i="8" a="1"/>
  <c r="M501" i="8" s="1"/>
  <c r="L501" i="8" a="1"/>
  <c r="L501" i="8" s="1"/>
  <c r="K501" i="8" a="1"/>
  <c r="K501" i="8" s="1"/>
  <c r="D501" i="8"/>
  <c r="H501" i="8"/>
  <c r="E500" i="8"/>
  <c r="F500" i="8"/>
  <c r="A502" i="8"/>
  <c r="B502" i="8" s="1" a="1"/>
  <c r="B502" i="8" s="1"/>
  <c r="C501" i="8"/>
  <c r="G501" i="8" a="1"/>
  <c r="G501" i="8" s="1"/>
  <c r="I502" i="8" l="1"/>
  <c r="N502" i="8" a="1"/>
  <c r="N502" i="8" s="1"/>
  <c r="M502" i="8" a="1"/>
  <c r="M502" i="8" s="1"/>
  <c r="L502" i="8" a="1"/>
  <c r="L502" i="8" s="1"/>
  <c r="K502" i="8" a="1"/>
  <c r="K502" i="8" s="1"/>
  <c r="D502" i="8"/>
  <c r="H502" i="8"/>
  <c r="E501" i="8"/>
  <c r="F501" i="8"/>
  <c r="A503" i="8"/>
  <c r="B503" i="8" s="1" a="1"/>
  <c r="B503" i="8" s="1"/>
  <c r="C502" i="8"/>
  <c r="G502" i="8" a="1"/>
  <c r="G502" i="8" s="1"/>
  <c r="I503" i="8" l="1"/>
  <c r="N503" i="8" a="1"/>
  <c r="N503" i="8" s="1"/>
  <c r="L503" i="8" a="1"/>
  <c r="L503" i="8" s="1"/>
  <c r="M503" i="8" a="1"/>
  <c r="M503" i="8" s="1"/>
  <c r="K503" i="8" a="1"/>
  <c r="K503" i="8" s="1"/>
  <c r="D503" i="8"/>
  <c r="H503" i="8"/>
  <c r="E502" i="8"/>
  <c r="F502" i="8"/>
  <c r="A504" i="8"/>
  <c r="B504" i="8" s="1" a="1"/>
  <c r="B504" i="8" s="1"/>
  <c r="C503" i="8"/>
  <c r="G503" i="8" a="1"/>
  <c r="G503" i="8" s="1"/>
  <c r="I504" i="8" l="1"/>
  <c r="N504" i="8" a="1"/>
  <c r="N504" i="8" s="1"/>
  <c r="M504" i="8" a="1"/>
  <c r="M504" i="8" s="1"/>
  <c r="L504" i="8" a="1"/>
  <c r="L504" i="8" s="1"/>
  <c r="K504" i="8" a="1"/>
  <c r="K504" i="8" s="1"/>
  <c r="D504" i="8"/>
  <c r="H504" i="8"/>
  <c r="E503" i="8"/>
  <c r="F503" i="8"/>
  <c r="A505" i="8"/>
  <c r="B505" i="8" s="1" a="1"/>
  <c r="B505" i="8" s="1"/>
  <c r="C504" i="8"/>
  <c r="G504" i="8" a="1"/>
  <c r="G504" i="8" s="1"/>
  <c r="I505" i="8" l="1"/>
  <c r="N505" i="8" a="1"/>
  <c r="N505" i="8" s="1"/>
  <c r="L505" i="8" a="1"/>
  <c r="L505" i="8" s="1"/>
  <c r="M505" i="8" a="1"/>
  <c r="M505" i="8" s="1"/>
  <c r="K505" i="8" a="1"/>
  <c r="K505" i="8" s="1"/>
  <c r="D505" i="8"/>
  <c r="H505" i="8"/>
  <c r="E504" i="8"/>
  <c r="F504" i="8"/>
  <c r="A506" i="8"/>
  <c r="B506" i="8" s="1" a="1"/>
  <c r="B506" i="8" s="1"/>
  <c r="C505" i="8"/>
  <c r="G505" i="8" a="1"/>
  <c r="G505" i="8" s="1"/>
  <c r="I506" i="8" l="1"/>
  <c r="N506" i="8" a="1"/>
  <c r="N506" i="8" s="1"/>
  <c r="M506" i="8" a="1"/>
  <c r="M506" i="8" s="1"/>
  <c r="L506" i="8" a="1"/>
  <c r="L506" i="8" s="1"/>
  <c r="K506" i="8" a="1"/>
  <c r="K506" i="8" s="1"/>
  <c r="D506" i="8"/>
  <c r="H506" i="8"/>
  <c r="E505" i="8"/>
  <c r="F505" i="8"/>
  <c r="A507" i="8"/>
  <c r="B507" i="8" s="1" a="1"/>
  <c r="B507" i="8" s="1"/>
  <c r="C506" i="8"/>
  <c r="G506" i="8" a="1"/>
  <c r="G506" i="8" s="1"/>
  <c r="I507" i="8" l="1"/>
  <c r="N507" i="8" a="1"/>
  <c r="N507" i="8" s="1"/>
  <c r="M507" i="8" a="1"/>
  <c r="M507" i="8" s="1"/>
  <c r="L507" i="8" a="1"/>
  <c r="L507" i="8" s="1"/>
  <c r="K507" i="8" a="1"/>
  <c r="K507" i="8" s="1"/>
  <c r="D507" i="8"/>
  <c r="H507" i="8"/>
  <c r="E506" i="8"/>
  <c r="F506" i="8"/>
  <c r="A508" i="8"/>
  <c r="B508" i="8" s="1" a="1"/>
  <c r="B508" i="8" s="1"/>
  <c r="C507" i="8"/>
  <c r="G507" i="8" a="1"/>
  <c r="G507" i="8" s="1"/>
  <c r="I508" i="8" l="1"/>
  <c r="N508" i="8" a="1"/>
  <c r="N508" i="8" s="1"/>
  <c r="L508" i="8" a="1"/>
  <c r="L508" i="8" s="1"/>
  <c r="M508" i="8" a="1"/>
  <c r="M508" i="8" s="1"/>
  <c r="K508" i="8" a="1"/>
  <c r="K508" i="8" s="1"/>
  <c r="D508" i="8"/>
  <c r="H508" i="8"/>
  <c r="E507" i="8"/>
  <c r="F507" i="8"/>
  <c r="A509" i="8"/>
  <c r="B509" i="8" s="1" a="1"/>
  <c r="B509" i="8" s="1"/>
  <c r="C508" i="8"/>
  <c r="G508" i="8" a="1"/>
  <c r="G508" i="8" s="1"/>
  <c r="I509" i="8" l="1"/>
  <c r="N509" i="8" a="1"/>
  <c r="N509" i="8" s="1"/>
  <c r="M509" i="8" a="1"/>
  <c r="M509" i="8" s="1"/>
  <c r="L509" i="8" a="1"/>
  <c r="L509" i="8" s="1"/>
  <c r="K509" i="8" a="1"/>
  <c r="K509" i="8" s="1"/>
  <c r="D509" i="8"/>
  <c r="H509" i="8"/>
  <c r="E508" i="8"/>
  <c r="F508" i="8"/>
  <c r="A510" i="8"/>
  <c r="B510" i="8" s="1" a="1"/>
  <c r="B510" i="8" s="1"/>
  <c r="C509" i="8"/>
  <c r="G509" i="8" a="1"/>
  <c r="G509" i="8" s="1"/>
  <c r="I510" i="8" l="1"/>
  <c r="N510" i="8" a="1"/>
  <c r="N510" i="8" s="1"/>
  <c r="M510" i="8" a="1"/>
  <c r="M510" i="8" s="1"/>
  <c r="L510" i="8" a="1"/>
  <c r="L510" i="8" s="1"/>
  <c r="K510" i="8" a="1"/>
  <c r="K510" i="8" s="1"/>
  <c r="D510" i="8"/>
  <c r="H510" i="8"/>
  <c r="E509" i="8"/>
  <c r="F509" i="8"/>
  <c r="A511" i="8"/>
  <c r="B511" i="8" s="1" a="1"/>
  <c r="B511" i="8" s="1"/>
  <c r="C510" i="8"/>
  <c r="G510" i="8" a="1"/>
  <c r="G510" i="8" s="1"/>
  <c r="I511" i="8" l="1"/>
  <c r="N511" i="8" a="1"/>
  <c r="N511" i="8" s="1"/>
  <c r="M511" i="8" a="1"/>
  <c r="M511" i="8" s="1"/>
  <c r="L511" i="8" a="1"/>
  <c r="L511" i="8" s="1"/>
  <c r="K511" i="8" a="1"/>
  <c r="K511" i="8" s="1"/>
  <c r="D511" i="8"/>
  <c r="H511" i="8"/>
  <c r="E510" i="8"/>
  <c r="F510" i="8"/>
  <c r="A512" i="8"/>
  <c r="B512" i="8" s="1" a="1"/>
  <c r="B512" i="8" s="1"/>
  <c r="C511" i="8"/>
  <c r="G511" i="8" a="1"/>
  <c r="G511" i="8" s="1"/>
  <c r="I512" i="8" l="1"/>
  <c r="N512" i="8" a="1"/>
  <c r="N512" i="8" s="1"/>
  <c r="M512" i="8" a="1"/>
  <c r="M512" i="8" s="1"/>
  <c r="L512" i="8" a="1"/>
  <c r="L512" i="8" s="1"/>
  <c r="K512" i="8" a="1"/>
  <c r="K512" i="8" s="1"/>
  <c r="D512" i="8"/>
  <c r="H512" i="8"/>
  <c r="E511" i="8"/>
  <c r="F511" i="8"/>
  <c r="A513" i="8"/>
  <c r="B513" i="8" s="1" a="1"/>
  <c r="B513" i="8" s="1"/>
  <c r="C512" i="8"/>
  <c r="G512" i="8" a="1"/>
  <c r="G512" i="8" s="1"/>
  <c r="I513" i="8" l="1"/>
  <c r="N513" i="8" a="1"/>
  <c r="N513" i="8" s="1"/>
  <c r="M513" i="8" a="1"/>
  <c r="M513" i="8" s="1"/>
  <c r="L513" i="8" a="1"/>
  <c r="L513" i="8" s="1"/>
  <c r="K513" i="8" a="1"/>
  <c r="K513" i="8" s="1"/>
  <c r="D513" i="8"/>
  <c r="H513" i="8"/>
  <c r="E512" i="8"/>
  <c r="F512" i="8"/>
  <c r="A514" i="8"/>
  <c r="B514" i="8" s="1" a="1"/>
  <c r="B514" i="8" s="1"/>
  <c r="C513" i="8"/>
  <c r="G513" i="8" a="1"/>
  <c r="G513" i="8" s="1"/>
  <c r="I514" i="8" l="1"/>
  <c r="N514" i="8" a="1"/>
  <c r="N514" i="8" s="1"/>
  <c r="M514" i="8" a="1"/>
  <c r="M514" i="8" s="1"/>
  <c r="L514" i="8" a="1"/>
  <c r="L514" i="8" s="1"/>
  <c r="K514" i="8" a="1"/>
  <c r="K514" i="8" s="1"/>
  <c r="D514" i="8"/>
  <c r="H514" i="8"/>
  <c r="E513" i="8"/>
  <c r="F513" i="8"/>
  <c r="A515" i="8"/>
  <c r="B515" i="8" s="1" a="1"/>
  <c r="B515" i="8" s="1"/>
  <c r="C514" i="8"/>
  <c r="G514" i="8" a="1"/>
  <c r="G514" i="8" s="1"/>
  <c r="I515" i="8" l="1"/>
  <c r="N515" i="8" a="1"/>
  <c r="N515" i="8" s="1"/>
  <c r="M515" i="8" a="1"/>
  <c r="M515" i="8" s="1"/>
  <c r="L515" i="8" a="1"/>
  <c r="L515" i="8" s="1"/>
  <c r="K515" i="8" a="1"/>
  <c r="K515" i="8" s="1"/>
  <c r="D515" i="8"/>
  <c r="H515" i="8"/>
  <c r="E514" i="8"/>
  <c r="F514" i="8"/>
  <c r="A516" i="8"/>
  <c r="B516" i="8" s="1" a="1"/>
  <c r="B516" i="8" s="1"/>
  <c r="C515" i="8"/>
  <c r="G515" i="8" a="1"/>
  <c r="G515" i="8" s="1"/>
  <c r="I516" i="8" l="1"/>
  <c r="N516" i="8" a="1"/>
  <c r="N516" i="8" s="1"/>
  <c r="M516" i="8" a="1"/>
  <c r="M516" i="8" s="1"/>
  <c r="L516" i="8" a="1"/>
  <c r="L516" i="8" s="1"/>
  <c r="K516" i="8" a="1"/>
  <c r="K516" i="8" s="1"/>
  <c r="D516" i="8"/>
  <c r="H516" i="8"/>
  <c r="E515" i="8"/>
  <c r="F515" i="8"/>
  <c r="A517" i="8"/>
  <c r="B517" i="8" s="1" a="1"/>
  <c r="B517" i="8" s="1"/>
  <c r="C516" i="8"/>
  <c r="G516" i="8" a="1"/>
  <c r="G516" i="8" s="1"/>
  <c r="I517" i="8" l="1"/>
  <c r="N517" i="8" a="1"/>
  <c r="N517" i="8" s="1"/>
  <c r="M517" i="8" a="1"/>
  <c r="M517" i="8" s="1"/>
  <c r="L517" i="8" a="1"/>
  <c r="L517" i="8" s="1"/>
  <c r="K517" i="8" a="1"/>
  <c r="K517" i="8" s="1"/>
  <c r="D517" i="8"/>
  <c r="H517" i="8"/>
  <c r="E516" i="8"/>
  <c r="F516" i="8"/>
  <c r="A518" i="8"/>
  <c r="B518" i="8" s="1" a="1"/>
  <c r="B518" i="8" s="1"/>
  <c r="C517" i="8"/>
  <c r="G517" i="8" a="1"/>
  <c r="G517" i="8" s="1"/>
  <c r="I518" i="8" l="1"/>
  <c r="N518" i="8" a="1"/>
  <c r="N518" i="8" s="1"/>
  <c r="M518" i="8" a="1"/>
  <c r="M518" i="8" s="1"/>
  <c r="K518" i="8" a="1"/>
  <c r="K518" i="8" s="1"/>
  <c r="L518" i="8" a="1"/>
  <c r="L518" i="8" s="1"/>
  <c r="D518" i="8"/>
  <c r="H518" i="8"/>
  <c r="E517" i="8"/>
  <c r="F517" i="8"/>
  <c r="A519" i="8"/>
  <c r="B519" i="8" s="1" a="1"/>
  <c r="B519" i="8" s="1"/>
  <c r="C518" i="8"/>
  <c r="I519" i="8" l="1"/>
  <c r="N519" i="8" a="1"/>
  <c r="N519" i="8" s="1"/>
  <c r="M519" i="8" a="1"/>
  <c r="M519" i="8" s="1"/>
  <c r="L519" i="8" a="1"/>
  <c r="L519" i="8" s="1"/>
  <c r="K519" i="8" a="1"/>
  <c r="K519" i="8" s="1"/>
  <c r="G518" i="8" a="1"/>
  <c r="G518" i="8" s="1"/>
  <c r="D519" i="8"/>
  <c r="H519" i="8"/>
  <c r="E518" i="8"/>
  <c r="F518" i="8"/>
  <c r="A520" i="8"/>
  <c r="B520" i="8" s="1" a="1"/>
  <c r="B520" i="8" s="1"/>
  <c r="C519" i="8"/>
  <c r="G519" i="8" a="1"/>
  <c r="G519" i="8" s="1"/>
  <c r="I520" i="8" l="1"/>
  <c r="N520" i="8" a="1"/>
  <c r="N520" i="8" s="1"/>
  <c r="M520" i="8" a="1"/>
  <c r="M520" i="8" s="1"/>
  <c r="L520" i="8" a="1"/>
  <c r="L520" i="8" s="1"/>
  <c r="K520" i="8" a="1"/>
  <c r="K520" i="8" s="1"/>
  <c r="D520" i="8"/>
  <c r="H520" i="8"/>
  <c r="E519" i="8"/>
  <c r="F519" i="8"/>
  <c r="A521" i="8"/>
  <c r="B521" i="8" s="1" a="1"/>
  <c r="B521" i="8" s="1"/>
  <c r="C520" i="8"/>
  <c r="G520" i="8" a="1"/>
  <c r="G520" i="8" s="1"/>
  <c r="I521" i="8" l="1"/>
  <c r="N521" i="8" a="1"/>
  <c r="N521" i="8" s="1"/>
  <c r="M521" i="8" a="1"/>
  <c r="M521" i="8" s="1"/>
  <c r="L521" i="8" a="1"/>
  <c r="L521" i="8" s="1"/>
  <c r="K521" i="8" a="1"/>
  <c r="K521" i="8" s="1"/>
  <c r="D521" i="8"/>
  <c r="H521" i="8"/>
  <c r="E520" i="8"/>
  <c r="F520" i="8"/>
  <c r="A522" i="8"/>
  <c r="B522" i="8" s="1" a="1"/>
  <c r="B522" i="8" s="1"/>
  <c r="C521" i="8"/>
  <c r="G521" i="8" a="1"/>
  <c r="G521" i="8" s="1"/>
  <c r="I522" i="8" l="1"/>
  <c r="N522" i="8" a="1"/>
  <c r="N522" i="8" s="1"/>
  <c r="M522" i="8" a="1"/>
  <c r="M522" i="8" s="1"/>
  <c r="L522" i="8" a="1"/>
  <c r="L522" i="8" s="1"/>
  <c r="K522" i="8" a="1"/>
  <c r="K522" i="8" s="1"/>
  <c r="D522" i="8"/>
  <c r="H522" i="8"/>
  <c r="E521" i="8"/>
  <c r="F521" i="8"/>
  <c r="A523" i="8"/>
  <c r="B523" i="8" s="1" a="1"/>
  <c r="B523" i="8" s="1"/>
  <c r="C522" i="8"/>
  <c r="G522" i="8" a="1"/>
  <c r="G522" i="8" s="1"/>
  <c r="I523" i="8" l="1"/>
  <c r="M523" i="8" a="1"/>
  <c r="M523" i="8" s="1"/>
  <c r="N523" i="8" a="1"/>
  <c r="N523" i="8" s="1"/>
  <c r="L523" i="8" a="1"/>
  <c r="L523" i="8" s="1"/>
  <c r="K523" i="8" a="1"/>
  <c r="K523" i="8" s="1"/>
  <c r="D523" i="8"/>
  <c r="H523" i="8"/>
  <c r="E522" i="8"/>
  <c r="F522" i="8"/>
  <c r="A524" i="8"/>
  <c r="B524" i="8" s="1" a="1"/>
  <c r="B524" i="8" s="1"/>
  <c r="C523" i="8"/>
  <c r="G523" i="8" a="1"/>
  <c r="G523" i="8" s="1"/>
  <c r="I524" i="8" l="1"/>
  <c r="N524" i="8" a="1"/>
  <c r="N524" i="8" s="1"/>
  <c r="L524" i="8" a="1"/>
  <c r="L524" i="8" s="1"/>
  <c r="M524" i="8" a="1"/>
  <c r="M524" i="8" s="1"/>
  <c r="K524" i="8" a="1"/>
  <c r="K524" i="8" s="1"/>
  <c r="D524" i="8"/>
  <c r="H524" i="8"/>
  <c r="E523" i="8"/>
  <c r="F523" i="8"/>
  <c r="A525" i="8"/>
  <c r="B525" i="8" s="1" a="1"/>
  <c r="B525" i="8" s="1"/>
  <c r="C524" i="8"/>
  <c r="G524" i="8" a="1"/>
  <c r="G524" i="8" s="1"/>
  <c r="I525" i="8" l="1"/>
  <c r="N525" i="8" a="1"/>
  <c r="N525" i="8" s="1"/>
  <c r="M525" i="8" a="1"/>
  <c r="M525" i="8" s="1"/>
  <c r="L525" i="8" a="1"/>
  <c r="L525" i="8" s="1"/>
  <c r="K525" i="8" a="1"/>
  <c r="K525" i="8" s="1"/>
  <c r="D525" i="8"/>
  <c r="H525" i="8"/>
  <c r="E524" i="8"/>
  <c r="F524" i="8"/>
  <c r="A526" i="8"/>
  <c r="B526" i="8" s="1" a="1"/>
  <c r="B526" i="8" s="1"/>
  <c r="C525" i="8"/>
  <c r="G525" i="8" a="1"/>
  <c r="G525" i="8" s="1"/>
  <c r="I526" i="8" l="1"/>
  <c r="N526" i="8" a="1"/>
  <c r="N526" i="8" s="1"/>
  <c r="M526" i="8" a="1"/>
  <c r="M526" i="8" s="1"/>
  <c r="L526" i="8" a="1"/>
  <c r="L526" i="8" s="1"/>
  <c r="K526" i="8" a="1"/>
  <c r="K526" i="8" s="1"/>
  <c r="D526" i="8"/>
  <c r="H526" i="8"/>
  <c r="E525" i="8"/>
  <c r="F525" i="8"/>
  <c r="A527" i="8"/>
  <c r="B527" i="8" s="1" a="1"/>
  <c r="B527" i="8" s="1"/>
  <c r="C526" i="8"/>
  <c r="G526" i="8" a="1"/>
  <c r="G526" i="8" s="1"/>
  <c r="I527" i="8" l="1"/>
  <c r="M527" i="8" a="1"/>
  <c r="M527" i="8" s="1"/>
  <c r="N527" i="8" a="1"/>
  <c r="N527" i="8" s="1"/>
  <c r="L527" i="8" a="1"/>
  <c r="L527" i="8" s="1"/>
  <c r="K527" i="8" a="1"/>
  <c r="K527" i="8" s="1"/>
  <c r="D527" i="8"/>
  <c r="H527" i="8"/>
  <c r="E526" i="8"/>
  <c r="F526" i="8"/>
  <c r="A528" i="8"/>
  <c r="B528" i="8" s="1" a="1"/>
  <c r="B528" i="8" s="1"/>
  <c r="C527" i="8"/>
  <c r="G527" i="8" a="1"/>
  <c r="G527" i="8" s="1"/>
  <c r="I528" i="8" l="1"/>
  <c r="M528" i="8" a="1"/>
  <c r="M528" i="8" s="1"/>
  <c r="L528" i="8" a="1"/>
  <c r="L528" i="8" s="1"/>
  <c r="N528" i="8" a="1"/>
  <c r="N528" i="8" s="1"/>
  <c r="K528" i="8" a="1"/>
  <c r="K528" i="8" s="1"/>
  <c r="D528" i="8"/>
  <c r="H528" i="8"/>
  <c r="E527" i="8"/>
  <c r="F527" i="8"/>
  <c r="A529" i="8"/>
  <c r="B529" i="8" s="1" a="1"/>
  <c r="B529" i="8" s="1"/>
  <c r="C528" i="8"/>
  <c r="G528" i="8" a="1"/>
  <c r="G528" i="8" s="1"/>
  <c r="I529" i="8" l="1"/>
  <c r="M529" i="8" a="1"/>
  <c r="M529" i="8" s="1"/>
  <c r="N529" i="8" a="1"/>
  <c r="N529" i="8" s="1"/>
  <c r="L529" i="8" a="1"/>
  <c r="L529" i="8" s="1"/>
  <c r="K529" i="8" a="1"/>
  <c r="K529" i="8" s="1"/>
  <c r="D529" i="8"/>
  <c r="H529" i="8"/>
  <c r="E528" i="8"/>
  <c r="F528" i="8"/>
  <c r="A530" i="8"/>
  <c r="B530" i="8" s="1" a="1"/>
  <c r="B530" i="8" s="1"/>
  <c r="C529" i="8"/>
  <c r="G529" i="8" a="1"/>
  <c r="G529" i="8" s="1"/>
  <c r="I530" i="8" l="1"/>
  <c r="N530" i="8" a="1"/>
  <c r="N530" i="8" s="1"/>
  <c r="M530" i="8" a="1"/>
  <c r="M530" i="8" s="1"/>
  <c r="L530" i="8" a="1"/>
  <c r="L530" i="8" s="1"/>
  <c r="K530" i="8" a="1"/>
  <c r="K530" i="8" s="1"/>
  <c r="D530" i="8"/>
  <c r="H530" i="8"/>
  <c r="E529" i="8"/>
  <c r="F529" i="8"/>
  <c r="A531" i="8"/>
  <c r="B531" i="8" s="1" a="1"/>
  <c r="B531" i="8" s="1"/>
  <c r="C530" i="8"/>
  <c r="G530" i="8" a="1"/>
  <c r="G530" i="8" s="1"/>
  <c r="I531" i="8" l="1"/>
  <c r="N531" i="8" a="1"/>
  <c r="N531" i="8" s="1"/>
  <c r="M531" i="8" a="1"/>
  <c r="M531" i="8" s="1"/>
  <c r="L531" i="8" a="1"/>
  <c r="L531" i="8" s="1"/>
  <c r="K531" i="8" a="1"/>
  <c r="K531" i="8" s="1"/>
  <c r="D531" i="8"/>
  <c r="H531" i="8"/>
  <c r="E530" i="8"/>
  <c r="F530" i="8"/>
  <c r="A532" i="8"/>
  <c r="B532" i="8" s="1" a="1"/>
  <c r="B532" i="8" s="1"/>
  <c r="C531" i="8"/>
  <c r="G531" i="8" a="1"/>
  <c r="G531" i="8" s="1"/>
  <c r="I532" i="8" l="1"/>
  <c r="N532" i="8" a="1"/>
  <c r="N532" i="8" s="1"/>
  <c r="L532" i="8" a="1"/>
  <c r="L532" i="8" s="1"/>
  <c r="M532" i="8" a="1"/>
  <c r="M532" i="8" s="1"/>
  <c r="K532" i="8" a="1"/>
  <c r="K532" i="8" s="1"/>
  <c r="D532" i="8"/>
  <c r="H532" i="8"/>
  <c r="E531" i="8"/>
  <c r="F531" i="8"/>
  <c r="A533" i="8"/>
  <c r="B533" i="8" s="1" a="1"/>
  <c r="B533" i="8" s="1"/>
  <c r="C532" i="8"/>
  <c r="G532" i="8" a="1"/>
  <c r="G532" i="8" s="1"/>
  <c r="I533" i="8" l="1"/>
  <c r="N533" i="8" a="1"/>
  <c r="N533" i="8" s="1"/>
  <c r="M533" i="8" a="1"/>
  <c r="M533" i="8" s="1"/>
  <c r="L533" i="8" a="1"/>
  <c r="L533" i="8" s="1"/>
  <c r="K533" i="8" a="1"/>
  <c r="K533" i="8" s="1"/>
  <c r="D533" i="8"/>
  <c r="H533" i="8"/>
  <c r="E532" i="8"/>
  <c r="F532" i="8"/>
  <c r="A534" i="8"/>
  <c r="B534" i="8" s="1" a="1"/>
  <c r="B534" i="8" s="1"/>
  <c r="C533" i="8"/>
  <c r="G533" i="8" a="1"/>
  <c r="G533" i="8" s="1"/>
  <c r="I534" i="8" l="1"/>
  <c r="N534" i="8" a="1"/>
  <c r="N534" i="8" s="1"/>
  <c r="M534" i="8" a="1"/>
  <c r="M534" i="8" s="1"/>
  <c r="L534" i="8" a="1"/>
  <c r="L534" i="8" s="1"/>
  <c r="K534" i="8" a="1"/>
  <c r="K534" i="8" s="1"/>
  <c r="D534" i="8"/>
  <c r="H534" i="8"/>
  <c r="E533" i="8"/>
  <c r="F533" i="8"/>
  <c r="A535" i="8"/>
  <c r="B535" i="8" s="1" a="1"/>
  <c r="B535" i="8" s="1"/>
  <c r="C534" i="8"/>
  <c r="G534" i="8" a="1"/>
  <c r="G534" i="8" s="1"/>
  <c r="I535" i="8" l="1"/>
  <c r="N535" i="8" a="1"/>
  <c r="N535" i="8" s="1"/>
  <c r="M535" i="8" a="1"/>
  <c r="M535" i="8" s="1"/>
  <c r="L535" i="8" a="1"/>
  <c r="L535" i="8" s="1"/>
  <c r="K535" i="8" a="1"/>
  <c r="K535" i="8" s="1"/>
  <c r="D535" i="8"/>
  <c r="H535" i="8"/>
  <c r="E534" i="8"/>
  <c r="F534" i="8"/>
  <c r="A536" i="8"/>
  <c r="B536" i="8" s="1" a="1"/>
  <c r="B536" i="8" s="1"/>
  <c r="C535" i="8"/>
  <c r="G535" i="8" a="1"/>
  <c r="G535" i="8" s="1"/>
  <c r="I536" i="8" l="1"/>
  <c r="N536" i="8" a="1"/>
  <c r="N536" i="8" s="1"/>
  <c r="M536" i="8" a="1"/>
  <c r="M536" i="8" s="1"/>
  <c r="L536" i="8" a="1"/>
  <c r="L536" i="8" s="1"/>
  <c r="K536" i="8" a="1"/>
  <c r="K536" i="8" s="1"/>
  <c r="D536" i="8"/>
  <c r="H536" i="8"/>
  <c r="E535" i="8"/>
  <c r="F535" i="8"/>
  <c r="A537" i="8"/>
  <c r="B537" i="8" s="1" a="1"/>
  <c r="B537" i="8" s="1"/>
  <c r="C536" i="8"/>
  <c r="G536" i="8" a="1"/>
  <c r="G536" i="8" s="1"/>
  <c r="I537" i="8" l="1"/>
  <c r="N537" i="8" a="1"/>
  <c r="N537" i="8" s="1"/>
  <c r="M537" i="8" a="1"/>
  <c r="M537" i="8" s="1"/>
  <c r="L537" i="8" a="1"/>
  <c r="L537" i="8" s="1"/>
  <c r="K537" i="8" a="1"/>
  <c r="K537" i="8" s="1"/>
  <c r="D537" i="8"/>
  <c r="H537" i="8"/>
  <c r="E536" i="8"/>
  <c r="F536" i="8"/>
  <c r="A538" i="8"/>
  <c r="B538" i="8" s="1" a="1"/>
  <c r="B538" i="8" s="1"/>
  <c r="C537" i="8"/>
  <c r="G537" i="8" a="1"/>
  <c r="G537" i="8" s="1"/>
  <c r="I538" i="8" l="1"/>
  <c r="M538" i="8" a="1"/>
  <c r="M538" i="8" s="1"/>
  <c r="N538" i="8" a="1"/>
  <c r="N538" i="8" s="1"/>
  <c r="L538" i="8" a="1"/>
  <c r="L538" i="8" s="1"/>
  <c r="K538" i="8" a="1"/>
  <c r="K538" i="8" s="1"/>
  <c r="D538" i="8"/>
  <c r="H538" i="8"/>
  <c r="E537" i="8"/>
  <c r="F537" i="8"/>
  <c r="A539" i="8"/>
  <c r="B539" i="8" s="1" a="1"/>
  <c r="B539" i="8" s="1"/>
  <c r="C538" i="8"/>
  <c r="G538" i="8" a="1"/>
  <c r="G538" i="8" s="1"/>
  <c r="I539" i="8" l="1"/>
  <c r="N539" i="8" a="1"/>
  <c r="N539" i="8" s="1"/>
  <c r="L539" i="8" a="1"/>
  <c r="L539" i="8" s="1"/>
  <c r="M539" i="8" a="1"/>
  <c r="M539" i="8" s="1"/>
  <c r="K539" i="8" a="1"/>
  <c r="K539" i="8" s="1"/>
  <c r="D539" i="8"/>
  <c r="H539" i="8"/>
  <c r="E538" i="8"/>
  <c r="F538" i="8"/>
  <c r="A540" i="8"/>
  <c r="B540" i="8" s="1" a="1"/>
  <c r="B540" i="8" s="1"/>
  <c r="C539" i="8"/>
  <c r="G539" i="8" a="1"/>
  <c r="G539" i="8" s="1"/>
  <c r="I540" i="8" l="1"/>
  <c r="N540" i="8" a="1"/>
  <c r="N540" i="8" s="1"/>
  <c r="M540" i="8" a="1"/>
  <c r="M540" i="8" s="1"/>
  <c r="L540" i="8" a="1"/>
  <c r="L540" i="8" s="1"/>
  <c r="K540" i="8" a="1"/>
  <c r="K540" i="8" s="1"/>
  <c r="D540" i="8"/>
  <c r="H540" i="8"/>
  <c r="E539" i="8"/>
  <c r="F539" i="8"/>
  <c r="A541" i="8"/>
  <c r="B541" i="8" s="1" a="1"/>
  <c r="B541" i="8" s="1"/>
  <c r="C540" i="8"/>
  <c r="G540" i="8" a="1"/>
  <c r="G540" i="8" s="1"/>
  <c r="I541" i="8" l="1"/>
  <c r="N541" i="8" a="1"/>
  <c r="N541" i="8" s="1"/>
  <c r="M541" i="8" a="1"/>
  <c r="M541" i="8" s="1"/>
  <c r="L541" i="8" a="1"/>
  <c r="L541" i="8" s="1"/>
  <c r="K541" i="8" a="1"/>
  <c r="K541" i="8" s="1"/>
  <c r="D541" i="8"/>
  <c r="H541" i="8"/>
  <c r="E540" i="8"/>
  <c r="F540" i="8"/>
  <c r="A542" i="8"/>
  <c r="B542" i="8" s="1" a="1"/>
  <c r="B542" i="8" s="1"/>
  <c r="C541" i="8"/>
  <c r="G541" i="8" a="1"/>
  <c r="G541" i="8" s="1"/>
  <c r="I542" i="8" l="1"/>
  <c r="N542" i="8" a="1"/>
  <c r="N542" i="8" s="1"/>
  <c r="M542" i="8" a="1"/>
  <c r="M542" i="8" s="1"/>
  <c r="L542" i="8" a="1"/>
  <c r="L542" i="8" s="1"/>
  <c r="K542" i="8" a="1"/>
  <c r="K542" i="8" s="1"/>
  <c r="D542" i="8"/>
  <c r="H542" i="8"/>
  <c r="E541" i="8"/>
  <c r="F541" i="8"/>
  <c r="A543" i="8"/>
  <c r="B543" i="8" s="1" a="1"/>
  <c r="B543" i="8" s="1"/>
  <c r="C542" i="8"/>
  <c r="G542" i="8" a="1"/>
  <c r="G542" i="8" s="1"/>
  <c r="I543" i="8" l="1"/>
  <c r="N543" i="8" a="1"/>
  <c r="N543" i="8" s="1"/>
  <c r="M543" i="8" a="1"/>
  <c r="M543" i="8" s="1"/>
  <c r="L543" i="8" a="1"/>
  <c r="L543" i="8" s="1"/>
  <c r="K543" i="8" a="1"/>
  <c r="K543" i="8" s="1"/>
  <c r="D543" i="8"/>
  <c r="H543" i="8"/>
  <c r="E542" i="8"/>
  <c r="F542" i="8"/>
  <c r="A544" i="8"/>
  <c r="B544" i="8" s="1" a="1"/>
  <c r="B544" i="8" s="1"/>
  <c r="C543" i="8"/>
  <c r="G543" i="8" a="1"/>
  <c r="G543" i="8" s="1"/>
  <c r="I544" i="8" l="1"/>
  <c r="N544" i="8" a="1"/>
  <c r="N544" i="8" s="1"/>
  <c r="M544" i="8" a="1"/>
  <c r="M544" i="8" s="1"/>
  <c r="L544" i="8" a="1"/>
  <c r="L544" i="8" s="1"/>
  <c r="K544" i="8" a="1"/>
  <c r="K544" i="8" s="1"/>
  <c r="D544" i="8"/>
  <c r="H544" i="8"/>
  <c r="E543" i="8"/>
  <c r="F543" i="8"/>
  <c r="A545" i="8"/>
  <c r="B545" i="8" s="1" a="1"/>
  <c r="B545" i="8" s="1"/>
  <c r="C544" i="8"/>
  <c r="G544" i="8" a="1"/>
  <c r="G544" i="8" s="1"/>
  <c r="I545" i="8" l="1"/>
  <c r="N545" i="8" a="1"/>
  <c r="N545" i="8" s="1"/>
  <c r="M545" i="8" a="1"/>
  <c r="M545" i="8" s="1"/>
  <c r="L545" i="8" a="1"/>
  <c r="L545" i="8" s="1"/>
  <c r="K545" i="8" a="1"/>
  <c r="K545" i="8" s="1"/>
  <c r="D545" i="8"/>
  <c r="H545" i="8"/>
  <c r="E544" i="8"/>
  <c r="F544" i="8"/>
  <c r="A546" i="8"/>
  <c r="B546" i="8" s="1" a="1"/>
  <c r="B546" i="8" s="1"/>
  <c r="C545" i="8"/>
  <c r="G545" i="8" a="1"/>
  <c r="G545" i="8" s="1"/>
  <c r="I546" i="8" l="1"/>
  <c r="N546" i="8" a="1"/>
  <c r="N546" i="8" s="1"/>
  <c r="M546" i="8" a="1"/>
  <c r="M546" i="8" s="1"/>
  <c r="L546" i="8" a="1"/>
  <c r="L546" i="8" s="1"/>
  <c r="K546" i="8" a="1"/>
  <c r="K546" i="8" s="1"/>
  <c r="D546" i="8"/>
  <c r="H546" i="8"/>
  <c r="E545" i="8"/>
  <c r="F545" i="8"/>
  <c r="A547" i="8"/>
  <c r="B547" i="8" s="1" a="1"/>
  <c r="B547" i="8" s="1"/>
  <c r="C546" i="8"/>
  <c r="G546" i="8" a="1"/>
  <c r="G546" i="8" s="1"/>
  <c r="I547" i="8" l="1"/>
  <c r="N547" i="8" a="1"/>
  <c r="N547" i="8" s="1"/>
  <c r="M547" i="8" a="1"/>
  <c r="M547" i="8" s="1"/>
  <c r="L547" i="8" a="1"/>
  <c r="L547" i="8" s="1"/>
  <c r="K547" i="8" a="1"/>
  <c r="K547" i="8" s="1"/>
  <c r="D547" i="8"/>
  <c r="H547" i="8"/>
  <c r="E546" i="8"/>
  <c r="F546" i="8"/>
  <c r="A548" i="8"/>
  <c r="B548" i="8" s="1" a="1"/>
  <c r="B548" i="8" s="1"/>
  <c r="C547" i="8"/>
  <c r="G547" i="8" a="1"/>
  <c r="G547" i="8" s="1"/>
  <c r="I548" i="8" l="1"/>
  <c r="M548" i="8" a="1"/>
  <c r="M548" i="8" s="1"/>
  <c r="N548" i="8" a="1"/>
  <c r="N548" i="8" s="1"/>
  <c r="K548" i="8" a="1"/>
  <c r="K548" i="8" s="1"/>
  <c r="L548" i="8" a="1"/>
  <c r="L548" i="8" s="1"/>
  <c r="D548" i="8"/>
  <c r="H548" i="8"/>
  <c r="E547" i="8"/>
  <c r="F547" i="8"/>
  <c r="A549" i="8"/>
  <c r="B549" i="8" s="1" a="1"/>
  <c r="B549" i="8" s="1"/>
  <c r="C548" i="8"/>
  <c r="I549" i="8" l="1"/>
  <c r="N549" i="8" a="1"/>
  <c r="N549" i="8" s="1"/>
  <c r="M549" i="8" a="1"/>
  <c r="M549" i="8" s="1"/>
  <c r="L549" i="8" a="1"/>
  <c r="L549" i="8" s="1"/>
  <c r="K549" i="8" a="1"/>
  <c r="K549" i="8" s="1"/>
  <c r="G548" i="8" a="1"/>
  <c r="G548" i="8" s="1"/>
  <c r="D549" i="8"/>
  <c r="H549" i="8"/>
  <c r="E548" i="8"/>
  <c r="F548" i="8"/>
  <c r="A550" i="8"/>
  <c r="B550" i="8" s="1" a="1"/>
  <c r="B550" i="8" s="1"/>
  <c r="C549" i="8"/>
  <c r="G549" i="8" a="1"/>
  <c r="G549" i="8" s="1"/>
  <c r="I550" i="8" l="1"/>
  <c r="N550" i="8" a="1"/>
  <c r="N550" i="8" s="1"/>
  <c r="M550" i="8" a="1"/>
  <c r="M550" i="8" s="1"/>
  <c r="L550" i="8" a="1"/>
  <c r="L550" i="8" s="1"/>
  <c r="K550" i="8" a="1"/>
  <c r="K550" i="8" s="1"/>
  <c r="D550" i="8"/>
  <c r="H550" i="8"/>
  <c r="E549" i="8"/>
  <c r="F549" i="8"/>
  <c r="A551" i="8"/>
  <c r="B551" i="8" s="1" a="1"/>
  <c r="B551" i="8" s="1"/>
  <c r="C550" i="8"/>
  <c r="G550" i="8" a="1"/>
  <c r="G550" i="8" s="1"/>
  <c r="I551" i="8" l="1"/>
  <c r="N551" i="8" a="1"/>
  <c r="N551" i="8" s="1"/>
  <c r="M551" i="8" a="1"/>
  <c r="M551" i="8" s="1"/>
  <c r="L551" i="8" a="1"/>
  <c r="L551" i="8" s="1"/>
  <c r="K551" i="8" a="1"/>
  <c r="K551" i="8" s="1"/>
  <c r="D551" i="8"/>
  <c r="H551" i="8"/>
  <c r="E550" i="8"/>
  <c r="F550" i="8"/>
  <c r="A552" i="8"/>
  <c r="B552" i="8" s="1" a="1"/>
  <c r="B552" i="8" s="1"/>
  <c r="C551" i="8"/>
  <c r="G551" i="8" a="1"/>
  <c r="G551" i="8" s="1"/>
  <c r="I552" i="8" l="1"/>
  <c r="N552" i="8" a="1"/>
  <c r="N552" i="8" s="1"/>
  <c r="M552" i="8" a="1"/>
  <c r="M552" i="8" s="1"/>
  <c r="L552" i="8" a="1"/>
  <c r="L552" i="8" s="1"/>
  <c r="K552" i="8" a="1"/>
  <c r="K552" i="8" s="1"/>
  <c r="D552" i="8"/>
  <c r="H552" i="8"/>
  <c r="E551" i="8"/>
  <c r="F551" i="8"/>
  <c r="A553" i="8"/>
  <c r="B553" i="8" s="1" a="1"/>
  <c r="B553" i="8" s="1"/>
  <c r="C552" i="8"/>
  <c r="G552" i="8" a="1"/>
  <c r="G552" i="8" s="1"/>
  <c r="I553" i="8" l="1"/>
  <c r="N553" i="8" a="1"/>
  <c r="N553" i="8" s="1"/>
  <c r="M553" i="8" a="1"/>
  <c r="M553" i="8" s="1"/>
  <c r="L553" i="8" a="1"/>
  <c r="L553" i="8" s="1"/>
  <c r="K553" i="8" a="1"/>
  <c r="K553" i="8" s="1"/>
  <c r="D553" i="8"/>
  <c r="H553" i="8"/>
  <c r="E552" i="8"/>
  <c r="F552" i="8"/>
  <c r="A554" i="8"/>
  <c r="B554" i="8" s="1" a="1"/>
  <c r="B554" i="8" s="1"/>
  <c r="C553" i="8"/>
  <c r="G553" i="8" a="1"/>
  <c r="G553" i="8" s="1"/>
  <c r="I554" i="8" l="1"/>
  <c r="N554" i="8" a="1"/>
  <c r="N554" i="8" s="1"/>
  <c r="L554" i="8" a="1"/>
  <c r="L554" i="8" s="1"/>
  <c r="M554" i="8" a="1"/>
  <c r="M554" i="8" s="1"/>
  <c r="K554" i="8" a="1"/>
  <c r="K554" i="8" s="1"/>
  <c r="D554" i="8"/>
  <c r="H554" i="8"/>
  <c r="E553" i="8"/>
  <c r="F553" i="8"/>
  <c r="A555" i="8"/>
  <c r="B555" i="8" s="1" a="1"/>
  <c r="B555" i="8" s="1"/>
  <c r="C554" i="8"/>
  <c r="G554" i="8" a="1"/>
  <c r="G554" i="8" s="1"/>
  <c r="I555" i="8" l="1"/>
  <c r="N555" i="8" a="1"/>
  <c r="N555" i="8" s="1"/>
  <c r="L555" i="8" a="1"/>
  <c r="L555" i="8" s="1"/>
  <c r="M555" i="8" a="1"/>
  <c r="M555" i="8" s="1"/>
  <c r="K555" i="8" a="1"/>
  <c r="K555" i="8" s="1"/>
  <c r="D555" i="8"/>
  <c r="H555" i="8"/>
  <c r="E554" i="8"/>
  <c r="F554" i="8"/>
  <c r="A556" i="8"/>
  <c r="B556" i="8" s="1" a="1"/>
  <c r="B556" i="8" s="1"/>
  <c r="C555" i="8"/>
  <c r="G555" i="8" a="1"/>
  <c r="G555" i="8" s="1"/>
  <c r="I556" i="8" l="1"/>
  <c r="N556" i="8" a="1"/>
  <c r="N556" i="8" s="1"/>
  <c r="M556" i="8" a="1"/>
  <c r="M556" i="8" s="1"/>
  <c r="K556" i="8" a="1"/>
  <c r="K556" i="8" s="1"/>
  <c r="L556" i="8" a="1"/>
  <c r="L556" i="8" s="1"/>
  <c r="D556" i="8"/>
  <c r="H556" i="8"/>
  <c r="E555" i="8"/>
  <c r="F555" i="8"/>
  <c r="A557" i="8"/>
  <c r="B557" i="8" s="1" a="1"/>
  <c r="B557" i="8" s="1"/>
  <c r="C556" i="8"/>
  <c r="G556" i="8" a="1"/>
  <c r="G556" i="8" s="1"/>
  <c r="I557" i="8" l="1"/>
  <c r="N557" i="8" a="1"/>
  <c r="N557" i="8" s="1"/>
  <c r="M557" i="8" a="1"/>
  <c r="M557" i="8" s="1"/>
  <c r="L557" i="8" a="1"/>
  <c r="L557" i="8" s="1"/>
  <c r="K557" i="8" a="1"/>
  <c r="K557" i="8" s="1"/>
  <c r="D557" i="8"/>
  <c r="H557" i="8"/>
  <c r="E556" i="8"/>
  <c r="F556" i="8"/>
  <c r="A558" i="8"/>
  <c r="B558" i="8" s="1" a="1"/>
  <c r="B558" i="8" s="1"/>
  <c r="C557" i="8"/>
  <c r="G557" i="8" a="1"/>
  <c r="G557" i="8" s="1"/>
  <c r="I558" i="8" l="1"/>
  <c r="N558" i="8" a="1"/>
  <c r="N558" i="8" s="1"/>
  <c r="L558" i="8" a="1"/>
  <c r="L558" i="8" s="1"/>
  <c r="M558" i="8" a="1"/>
  <c r="M558" i="8" s="1"/>
  <c r="K558" i="8" a="1"/>
  <c r="K558" i="8" s="1"/>
  <c r="D558" i="8"/>
  <c r="H558" i="8"/>
  <c r="E557" i="8"/>
  <c r="F557" i="8"/>
  <c r="A559" i="8"/>
  <c r="B559" i="8" s="1" a="1"/>
  <c r="B559" i="8" s="1"/>
  <c r="C558" i="8"/>
  <c r="G558" i="8" a="1"/>
  <c r="G558" i="8" s="1"/>
  <c r="I559" i="8" l="1"/>
  <c r="N559" i="8" a="1"/>
  <c r="N559" i="8" s="1"/>
  <c r="M559" i="8" a="1"/>
  <c r="M559" i="8" s="1"/>
  <c r="L559" i="8" a="1"/>
  <c r="L559" i="8" s="1"/>
  <c r="K559" i="8" a="1"/>
  <c r="K559" i="8" s="1"/>
  <c r="D559" i="8"/>
  <c r="H559" i="8"/>
  <c r="E558" i="8"/>
  <c r="F558" i="8"/>
  <c r="A560" i="8"/>
  <c r="B560" i="8" s="1" a="1"/>
  <c r="B560" i="8" s="1"/>
  <c r="C559" i="8"/>
  <c r="G559" i="8" a="1"/>
  <c r="G559" i="8" s="1"/>
  <c r="I560" i="8" l="1"/>
  <c r="N560" i="8" a="1"/>
  <c r="N560" i="8" s="1"/>
  <c r="M560" i="8" a="1"/>
  <c r="M560" i="8" s="1"/>
  <c r="L560" i="8" a="1"/>
  <c r="L560" i="8" s="1"/>
  <c r="K560" i="8" a="1"/>
  <c r="K560" i="8" s="1"/>
  <c r="D560" i="8"/>
  <c r="H560" i="8"/>
  <c r="E559" i="8"/>
  <c r="F559" i="8"/>
  <c r="A561" i="8"/>
  <c r="B561" i="8" s="1" a="1"/>
  <c r="B561" i="8" s="1"/>
  <c r="C560" i="8"/>
  <c r="G560" i="8" a="1"/>
  <c r="G560" i="8" s="1"/>
  <c r="I561" i="8" l="1"/>
  <c r="N561" i="8" a="1"/>
  <c r="N561" i="8" s="1"/>
  <c r="M561" i="8" a="1"/>
  <c r="M561" i="8" s="1"/>
  <c r="L561" i="8" a="1"/>
  <c r="L561" i="8" s="1"/>
  <c r="K561" i="8" a="1"/>
  <c r="K561" i="8" s="1"/>
  <c r="D561" i="8"/>
  <c r="H561" i="8"/>
  <c r="E560" i="8"/>
  <c r="F560" i="8"/>
  <c r="A562" i="8"/>
  <c r="B562" i="8" s="1" a="1"/>
  <c r="B562" i="8" s="1"/>
  <c r="C561" i="8"/>
  <c r="G561" i="8" a="1"/>
  <c r="G561" i="8" s="1"/>
  <c r="I562" i="8" l="1"/>
  <c r="N562" i="8" a="1"/>
  <c r="N562" i="8" s="1"/>
  <c r="M562" i="8" a="1"/>
  <c r="M562" i="8" s="1"/>
  <c r="L562" i="8" a="1"/>
  <c r="L562" i="8" s="1"/>
  <c r="K562" i="8" a="1"/>
  <c r="K562" i="8" s="1"/>
  <c r="D562" i="8"/>
  <c r="H562" i="8"/>
  <c r="E561" i="8"/>
  <c r="F561" i="8"/>
  <c r="A563" i="8"/>
  <c r="B563" i="8" s="1" a="1"/>
  <c r="B563" i="8" s="1"/>
  <c r="C562" i="8"/>
  <c r="G562" i="8" a="1"/>
  <c r="G562" i="8" s="1"/>
  <c r="I563" i="8" l="1"/>
  <c r="N563" i="8" a="1"/>
  <c r="N563" i="8" s="1"/>
  <c r="M563" i="8" a="1"/>
  <c r="M563" i="8" s="1"/>
  <c r="K563" i="8" a="1"/>
  <c r="K563" i="8" s="1"/>
  <c r="L563" i="8" a="1"/>
  <c r="L563" i="8" s="1"/>
  <c r="D563" i="8"/>
  <c r="H563" i="8"/>
  <c r="E562" i="8"/>
  <c r="F562" i="8"/>
  <c r="A564" i="8"/>
  <c r="B564" i="8" s="1" a="1"/>
  <c r="B564" i="8" s="1"/>
  <c r="C563" i="8"/>
  <c r="G563" i="8" a="1"/>
  <c r="G563" i="8" s="1"/>
  <c r="I564" i="8" l="1"/>
  <c r="N564" i="8" a="1"/>
  <c r="N564" i="8" s="1"/>
  <c r="M564" i="8" a="1"/>
  <c r="M564" i="8" s="1"/>
  <c r="L564" i="8" a="1"/>
  <c r="L564" i="8" s="1"/>
  <c r="K564" i="8" a="1"/>
  <c r="K564" i="8" s="1"/>
  <c r="D564" i="8"/>
  <c r="H564" i="8"/>
  <c r="E563" i="8"/>
  <c r="F563" i="8"/>
  <c r="A565" i="8"/>
  <c r="B565" i="8" s="1" a="1"/>
  <c r="B565" i="8" s="1"/>
  <c r="C564" i="8"/>
  <c r="G564" i="8" a="1"/>
  <c r="G564" i="8" s="1"/>
  <c r="I565" i="8" l="1"/>
  <c r="N565" i="8" a="1"/>
  <c r="N565" i="8" s="1"/>
  <c r="M565" i="8" a="1"/>
  <c r="M565" i="8" s="1"/>
  <c r="L565" i="8" a="1"/>
  <c r="L565" i="8" s="1"/>
  <c r="K565" i="8" a="1"/>
  <c r="K565" i="8" s="1"/>
  <c r="D565" i="8"/>
  <c r="H565" i="8"/>
  <c r="E564" i="8"/>
  <c r="F564" i="8"/>
  <c r="A566" i="8"/>
  <c r="B566" i="8" s="1" a="1"/>
  <c r="B566" i="8" s="1"/>
  <c r="C565" i="8"/>
  <c r="G565" i="8" a="1"/>
  <c r="G565" i="8" s="1"/>
  <c r="I566" i="8" l="1"/>
  <c r="N566" i="8" a="1"/>
  <c r="N566" i="8" s="1"/>
  <c r="M566" i="8" a="1"/>
  <c r="M566" i="8" s="1"/>
  <c r="L566" i="8" a="1"/>
  <c r="L566" i="8" s="1"/>
  <c r="K566" i="8" a="1"/>
  <c r="K566" i="8" s="1"/>
  <c r="D566" i="8"/>
  <c r="H566" i="8"/>
  <c r="E565" i="8"/>
  <c r="F565" i="8"/>
  <c r="A567" i="8"/>
  <c r="B567" i="8" s="1" a="1"/>
  <c r="B567" i="8" s="1"/>
  <c r="C566" i="8"/>
  <c r="G566" i="8" a="1"/>
  <c r="G566" i="8" s="1"/>
  <c r="I567" i="8" l="1"/>
  <c r="N567" i="8" a="1"/>
  <c r="N567" i="8" s="1"/>
  <c r="M567" i="8" a="1"/>
  <c r="M567" i="8" s="1"/>
  <c r="L567" i="8" a="1"/>
  <c r="L567" i="8" s="1"/>
  <c r="K567" i="8" a="1"/>
  <c r="K567" i="8" s="1"/>
  <c r="D567" i="8"/>
  <c r="H567" i="8"/>
  <c r="E566" i="8"/>
  <c r="F566" i="8"/>
  <c r="A568" i="8"/>
  <c r="B568" i="8" s="1" a="1"/>
  <c r="B568" i="8" s="1"/>
  <c r="C567" i="8"/>
  <c r="G567" i="8" a="1"/>
  <c r="G567" i="8" s="1"/>
  <c r="I568" i="8" l="1"/>
  <c r="N568" i="8" a="1"/>
  <c r="N568" i="8" s="1"/>
  <c r="M568" i="8" a="1"/>
  <c r="M568" i="8" s="1"/>
  <c r="L568" i="8" a="1"/>
  <c r="L568" i="8" s="1"/>
  <c r="K568" i="8" a="1"/>
  <c r="K568" i="8" s="1"/>
  <c r="D568" i="8"/>
  <c r="H568" i="8"/>
  <c r="E567" i="8"/>
  <c r="F567" i="8"/>
  <c r="A569" i="8"/>
  <c r="B569" i="8" s="1" a="1"/>
  <c r="B569" i="8" s="1"/>
  <c r="C568" i="8"/>
  <c r="G568" i="8" a="1"/>
  <c r="G568" i="8" s="1"/>
  <c r="I569" i="8" l="1"/>
  <c r="N569" i="8" a="1"/>
  <c r="N569" i="8" s="1"/>
  <c r="M569" i="8" a="1"/>
  <c r="M569" i="8" s="1"/>
  <c r="L569" i="8" a="1"/>
  <c r="L569" i="8" s="1"/>
  <c r="K569" i="8" a="1"/>
  <c r="K569" i="8" s="1"/>
  <c r="D569" i="8"/>
  <c r="H569" i="8"/>
  <c r="E568" i="8"/>
  <c r="F568" i="8"/>
  <c r="A570" i="8"/>
  <c r="B570" i="8" s="1" a="1"/>
  <c r="B570" i="8" s="1"/>
  <c r="C569" i="8"/>
  <c r="G569" i="8" a="1"/>
  <c r="G569" i="8" s="1"/>
  <c r="I570" i="8" l="1"/>
  <c r="M570" i="8" a="1"/>
  <c r="M570" i="8" s="1"/>
  <c r="N570" i="8" a="1"/>
  <c r="N570" i="8" s="1"/>
  <c r="L570" i="8" a="1"/>
  <c r="L570" i="8" s="1"/>
  <c r="K570" i="8" a="1"/>
  <c r="K570" i="8" s="1"/>
  <c r="D570" i="8"/>
  <c r="H570" i="8"/>
  <c r="E569" i="8"/>
  <c r="F569" i="8"/>
  <c r="A571" i="8"/>
  <c r="B571" i="8" s="1" a="1"/>
  <c r="B571" i="8" s="1"/>
  <c r="C570" i="8"/>
  <c r="G570" i="8" a="1"/>
  <c r="G570" i="8" s="1"/>
  <c r="I571" i="8" l="1"/>
  <c r="N571" i="8" a="1"/>
  <c r="N571" i="8" s="1"/>
  <c r="M571" i="8" a="1"/>
  <c r="M571" i="8" s="1"/>
  <c r="L571" i="8" a="1"/>
  <c r="L571" i="8" s="1"/>
  <c r="K571" i="8" a="1"/>
  <c r="K571" i="8" s="1"/>
  <c r="D571" i="8"/>
  <c r="H571" i="8"/>
  <c r="E570" i="8"/>
  <c r="F570" i="8"/>
  <c r="A572" i="8"/>
  <c r="B572" i="8" s="1" a="1"/>
  <c r="B572" i="8" s="1"/>
  <c r="C571" i="8"/>
  <c r="G571" i="8" a="1"/>
  <c r="G571" i="8" s="1"/>
  <c r="I572" i="8" l="1"/>
  <c r="N572" i="8" a="1"/>
  <c r="N572" i="8" s="1"/>
  <c r="M572" i="8" a="1"/>
  <c r="M572" i="8" s="1"/>
  <c r="L572" i="8" a="1"/>
  <c r="L572" i="8" s="1"/>
  <c r="K572" i="8" a="1"/>
  <c r="K572" i="8" s="1"/>
  <c r="D572" i="8"/>
  <c r="H572" i="8"/>
  <c r="E571" i="8"/>
  <c r="F571" i="8"/>
  <c r="A573" i="8"/>
  <c r="B573" i="8" s="1" a="1"/>
  <c r="B573" i="8" s="1"/>
  <c r="C572" i="8"/>
  <c r="G572" i="8" a="1"/>
  <c r="G572" i="8" s="1"/>
  <c r="I573" i="8" l="1"/>
  <c r="N573" i="8" a="1"/>
  <c r="N573" i="8" s="1"/>
  <c r="M573" i="8" a="1"/>
  <c r="M573" i="8" s="1"/>
  <c r="L573" i="8" a="1"/>
  <c r="L573" i="8" s="1"/>
  <c r="K573" i="8" a="1"/>
  <c r="K573" i="8" s="1"/>
  <c r="D573" i="8"/>
  <c r="H573" i="8"/>
  <c r="E572" i="8"/>
  <c r="F572" i="8"/>
  <c r="A574" i="8"/>
  <c r="B574" i="8" s="1" a="1"/>
  <c r="B574" i="8" s="1"/>
  <c r="C573" i="8"/>
  <c r="G573" i="8" a="1"/>
  <c r="G573" i="8" s="1"/>
  <c r="I574" i="8" l="1"/>
  <c r="N574" i="8" a="1"/>
  <c r="N574" i="8" s="1"/>
  <c r="M574" i="8" a="1"/>
  <c r="M574" i="8" s="1"/>
  <c r="L574" i="8" a="1"/>
  <c r="L574" i="8" s="1"/>
  <c r="K574" i="8" a="1"/>
  <c r="K574" i="8" s="1"/>
  <c r="D574" i="8"/>
  <c r="H574" i="8"/>
  <c r="E573" i="8"/>
  <c r="F573" i="8"/>
  <c r="A575" i="8"/>
  <c r="B575" i="8" s="1" a="1"/>
  <c r="B575" i="8" s="1"/>
  <c r="C574" i="8"/>
  <c r="G574" i="8" a="1"/>
  <c r="G574" i="8" s="1"/>
  <c r="I575" i="8" l="1"/>
  <c r="N575" i="8" a="1"/>
  <c r="N575" i="8" s="1"/>
  <c r="M575" i="8" a="1"/>
  <c r="M575" i="8" s="1"/>
  <c r="L575" i="8" a="1"/>
  <c r="L575" i="8" s="1"/>
  <c r="K575" i="8" a="1"/>
  <c r="K575" i="8" s="1"/>
  <c r="D575" i="8"/>
  <c r="H575" i="8"/>
  <c r="E574" i="8"/>
  <c r="F574" i="8"/>
  <c r="A576" i="8"/>
  <c r="B576" i="8" s="1" a="1"/>
  <c r="B576" i="8" s="1"/>
  <c r="C575" i="8"/>
  <c r="G575" i="8" a="1"/>
  <c r="G575" i="8" s="1"/>
  <c r="I576" i="8" l="1"/>
  <c r="N576" i="8" a="1"/>
  <c r="N576" i="8" s="1"/>
  <c r="M576" i="8" a="1"/>
  <c r="M576" i="8" s="1"/>
  <c r="L576" i="8" a="1"/>
  <c r="L576" i="8" s="1"/>
  <c r="K576" i="8" a="1"/>
  <c r="K576" i="8" s="1"/>
  <c r="D576" i="8"/>
  <c r="H576" i="8"/>
  <c r="E575" i="8"/>
  <c r="F575" i="8"/>
  <c r="A577" i="8"/>
  <c r="B577" i="8" s="1" a="1"/>
  <c r="B577" i="8" s="1"/>
  <c r="C576" i="8"/>
  <c r="G576" i="8" a="1"/>
  <c r="G576" i="8" s="1"/>
  <c r="I577" i="8" l="1"/>
  <c r="N577" i="8" a="1"/>
  <c r="N577" i="8" s="1"/>
  <c r="M577" i="8" a="1"/>
  <c r="M577" i="8" s="1"/>
  <c r="L577" i="8" a="1"/>
  <c r="L577" i="8" s="1"/>
  <c r="K577" i="8" a="1"/>
  <c r="K577" i="8" s="1"/>
  <c r="D577" i="8"/>
  <c r="H577" i="8"/>
  <c r="E576" i="8"/>
  <c r="F576" i="8"/>
  <c r="A578" i="8"/>
  <c r="B578" i="8" s="1" a="1"/>
  <c r="B578" i="8" s="1"/>
  <c r="C577" i="8"/>
  <c r="G577" i="8" a="1"/>
  <c r="G577" i="8" s="1"/>
  <c r="I578" i="8" l="1"/>
  <c r="N578" i="8" a="1"/>
  <c r="N578" i="8" s="1"/>
  <c r="M578" i="8" a="1"/>
  <c r="M578" i="8" s="1"/>
  <c r="L578" i="8" a="1"/>
  <c r="L578" i="8" s="1"/>
  <c r="K578" i="8" a="1"/>
  <c r="K578" i="8" s="1"/>
  <c r="D578" i="8"/>
  <c r="H578" i="8"/>
  <c r="E577" i="8"/>
  <c r="F577" i="8"/>
  <c r="A579" i="8"/>
  <c r="B579" i="8" s="1" a="1"/>
  <c r="B579" i="8" s="1"/>
  <c r="C578" i="8"/>
  <c r="G578" i="8" a="1"/>
  <c r="G578" i="8" s="1"/>
  <c r="I579" i="8" l="1"/>
  <c r="N579" i="8" a="1"/>
  <c r="N579" i="8" s="1"/>
  <c r="M579" i="8" a="1"/>
  <c r="M579" i="8" s="1"/>
  <c r="L579" i="8" a="1"/>
  <c r="L579" i="8" s="1"/>
  <c r="K579" i="8" a="1"/>
  <c r="K579" i="8" s="1"/>
  <c r="D579" i="8"/>
  <c r="H579" i="8"/>
  <c r="E578" i="8"/>
  <c r="F578" i="8"/>
  <c r="A580" i="8"/>
  <c r="B580" i="8" s="1" a="1"/>
  <c r="B580" i="8" s="1"/>
  <c r="C579" i="8"/>
  <c r="I580" i="8" l="1"/>
  <c r="M580" i="8" a="1"/>
  <c r="M580" i="8" s="1"/>
  <c r="N580" i="8" a="1"/>
  <c r="N580" i="8" s="1"/>
  <c r="L580" i="8" a="1"/>
  <c r="L580" i="8" s="1"/>
  <c r="K580" i="8" a="1"/>
  <c r="K580" i="8" s="1"/>
  <c r="G579" i="8" a="1"/>
  <c r="G579" i="8" s="1"/>
  <c r="D580" i="8"/>
  <c r="H580" i="8"/>
  <c r="E579" i="8"/>
  <c r="F579" i="8"/>
  <c r="A581" i="8"/>
  <c r="B581" i="8" s="1" a="1"/>
  <c r="B581" i="8" s="1"/>
  <c r="C580" i="8"/>
  <c r="G580" i="8" a="1"/>
  <c r="G580" i="8" s="1"/>
  <c r="I581" i="8" l="1"/>
  <c r="N581" i="8" a="1"/>
  <c r="N581" i="8" s="1"/>
  <c r="M581" i="8" a="1"/>
  <c r="M581" i="8" s="1"/>
  <c r="L581" i="8" a="1"/>
  <c r="L581" i="8" s="1"/>
  <c r="K581" i="8" a="1"/>
  <c r="K581" i="8" s="1"/>
  <c r="D581" i="8"/>
  <c r="H581" i="8"/>
  <c r="E580" i="8"/>
  <c r="F580" i="8"/>
  <c r="A582" i="8"/>
  <c r="B582" i="8" s="1" a="1"/>
  <c r="B582" i="8" s="1"/>
  <c r="C581" i="8"/>
  <c r="G581" i="8" a="1"/>
  <c r="G581" i="8" s="1"/>
  <c r="I582" i="8" l="1"/>
  <c r="N582" i="8" a="1"/>
  <c r="N582" i="8" s="1"/>
  <c r="M582" i="8" a="1"/>
  <c r="M582" i="8" s="1"/>
  <c r="L582" i="8" a="1"/>
  <c r="L582" i="8" s="1"/>
  <c r="K582" i="8" a="1"/>
  <c r="K582" i="8" s="1"/>
  <c r="D582" i="8"/>
  <c r="H582" i="8"/>
  <c r="E581" i="8"/>
  <c r="F581" i="8"/>
  <c r="A583" i="8"/>
  <c r="B583" i="8" s="1" a="1"/>
  <c r="B583" i="8" s="1"/>
  <c r="C582" i="8"/>
  <c r="G582" i="8" a="1"/>
  <c r="G582" i="8" s="1"/>
  <c r="I583" i="8" l="1"/>
  <c r="N583" i="8" a="1"/>
  <c r="N583" i="8" s="1"/>
  <c r="M583" i="8" a="1"/>
  <c r="M583" i="8" s="1"/>
  <c r="L583" i="8" a="1"/>
  <c r="L583" i="8" s="1"/>
  <c r="K583" i="8" a="1"/>
  <c r="K583" i="8" s="1"/>
  <c r="D583" i="8"/>
  <c r="H583" i="8"/>
  <c r="E582" i="8"/>
  <c r="F582" i="8"/>
  <c r="A584" i="8"/>
  <c r="B584" i="8" s="1" a="1"/>
  <c r="B584" i="8" s="1"/>
  <c r="C583" i="8"/>
  <c r="G583" i="8" a="1"/>
  <c r="G583" i="8" s="1"/>
  <c r="I584" i="8" l="1"/>
  <c r="N584" i="8" a="1"/>
  <c r="N584" i="8" s="1"/>
  <c r="M584" i="8" a="1"/>
  <c r="M584" i="8" s="1"/>
  <c r="L584" i="8" a="1"/>
  <c r="L584" i="8" s="1"/>
  <c r="K584" i="8" a="1"/>
  <c r="K584" i="8" s="1"/>
  <c r="D584" i="8"/>
  <c r="H584" i="8"/>
  <c r="E583" i="8"/>
  <c r="F583" i="8"/>
  <c r="A585" i="8"/>
  <c r="B585" i="8" s="1" a="1"/>
  <c r="B585" i="8" s="1"/>
  <c r="C584" i="8"/>
  <c r="G584" i="8" a="1"/>
  <c r="G584" i="8" s="1"/>
  <c r="I585" i="8" l="1"/>
  <c r="N585" i="8" a="1"/>
  <c r="N585" i="8" s="1"/>
  <c r="M585" i="8" a="1"/>
  <c r="M585" i="8" s="1"/>
  <c r="L585" i="8" a="1"/>
  <c r="L585" i="8" s="1"/>
  <c r="K585" i="8" a="1"/>
  <c r="K585" i="8" s="1"/>
  <c r="D585" i="8"/>
  <c r="H585" i="8"/>
  <c r="E584" i="8"/>
  <c r="F584" i="8"/>
  <c r="A586" i="8"/>
  <c r="B586" i="8" s="1" a="1"/>
  <c r="B586" i="8" s="1"/>
  <c r="C585" i="8"/>
  <c r="G585" i="8" a="1"/>
  <c r="G585" i="8" s="1"/>
  <c r="I586" i="8" l="1"/>
  <c r="M586" i="8" a="1"/>
  <c r="M586" i="8" s="1"/>
  <c r="N586" i="8" a="1"/>
  <c r="N586" i="8" s="1"/>
  <c r="L586" i="8" a="1"/>
  <c r="L586" i="8" s="1"/>
  <c r="K586" i="8" a="1"/>
  <c r="K586" i="8" s="1"/>
  <c r="D586" i="8"/>
  <c r="H586" i="8"/>
  <c r="E585" i="8"/>
  <c r="F585" i="8"/>
  <c r="A587" i="8"/>
  <c r="B587" i="8" s="1" a="1"/>
  <c r="B587" i="8" s="1"/>
  <c r="C586" i="8"/>
  <c r="G586" i="8" a="1"/>
  <c r="G586" i="8" s="1"/>
  <c r="I587" i="8" l="1"/>
  <c r="N587" i="8" a="1"/>
  <c r="N587" i="8" s="1"/>
  <c r="M587" i="8" a="1"/>
  <c r="M587" i="8" s="1"/>
  <c r="L587" i="8" a="1"/>
  <c r="L587" i="8" s="1"/>
  <c r="K587" i="8" a="1"/>
  <c r="K587" i="8" s="1"/>
  <c r="D587" i="8"/>
  <c r="H587" i="8"/>
  <c r="E586" i="8"/>
  <c r="F586" i="8"/>
  <c r="A588" i="8"/>
  <c r="B588" i="8" s="1" a="1"/>
  <c r="B588" i="8" s="1"/>
  <c r="C587" i="8"/>
  <c r="G587" i="8" a="1"/>
  <c r="G587" i="8" s="1"/>
  <c r="I588" i="8" l="1"/>
  <c r="N588" i="8" a="1"/>
  <c r="N588" i="8" s="1"/>
  <c r="M588" i="8" a="1"/>
  <c r="M588" i="8" s="1"/>
  <c r="L588" i="8" a="1"/>
  <c r="L588" i="8" s="1"/>
  <c r="K588" i="8" a="1"/>
  <c r="K588" i="8" s="1"/>
  <c r="D588" i="8"/>
  <c r="H588" i="8"/>
  <c r="E587" i="8"/>
  <c r="F587" i="8"/>
  <c r="A589" i="8"/>
  <c r="B589" i="8" s="1" a="1"/>
  <c r="B589" i="8" s="1"/>
  <c r="C588" i="8"/>
  <c r="G588" i="8" a="1"/>
  <c r="G588" i="8" s="1"/>
  <c r="I589" i="8" l="1"/>
  <c r="N589" i="8" a="1"/>
  <c r="N589" i="8" s="1"/>
  <c r="M589" i="8" a="1"/>
  <c r="M589" i="8" s="1"/>
  <c r="L589" i="8" a="1"/>
  <c r="L589" i="8" s="1"/>
  <c r="K589" i="8" a="1"/>
  <c r="K589" i="8" s="1"/>
  <c r="D589" i="8"/>
  <c r="H589" i="8"/>
  <c r="E588" i="8"/>
  <c r="F588" i="8"/>
  <c r="A590" i="8"/>
  <c r="B590" i="8" s="1" a="1"/>
  <c r="B590" i="8" s="1"/>
  <c r="C589" i="8"/>
  <c r="G589" i="8" a="1"/>
  <c r="G589" i="8" s="1"/>
  <c r="I590" i="8" l="1"/>
  <c r="N590" i="8" a="1"/>
  <c r="N590" i="8" s="1"/>
  <c r="M590" i="8" a="1"/>
  <c r="M590" i="8" s="1"/>
  <c r="L590" i="8" a="1"/>
  <c r="L590" i="8" s="1"/>
  <c r="K590" i="8" a="1"/>
  <c r="K590" i="8" s="1"/>
  <c r="D590" i="8"/>
  <c r="H590" i="8"/>
  <c r="E589" i="8"/>
  <c r="F589" i="8"/>
  <c r="A591" i="8"/>
  <c r="B591" i="8" s="1" a="1"/>
  <c r="B591" i="8" s="1"/>
  <c r="C590" i="8"/>
  <c r="G590" i="8" a="1"/>
  <c r="G590" i="8" s="1"/>
  <c r="I591" i="8" l="1"/>
  <c r="N591" i="8" a="1"/>
  <c r="N591" i="8" s="1"/>
  <c r="M591" i="8" a="1"/>
  <c r="M591" i="8" s="1"/>
  <c r="L591" i="8" a="1"/>
  <c r="L591" i="8" s="1"/>
  <c r="K591" i="8" a="1"/>
  <c r="K591" i="8" s="1"/>
  <c r="D591" i="8"/>
  <c r="H591" i="8"/>
  <c r="E590" i="8"/>
  <c r="F590" i="8"/>
  <c r="A592" i="8"/>
  <c r="B592" i="8" s="1" a="1"/>
  <c r="B592" i="8" s="1"/>
  <c r="C591" i="8"/>
  <c r="G591" i="8" a="1"/>
  <c r="G591" i="8" s="1"/>
  <c r="I592" i="8" l="1"/>
  <c r="N592" i="8" a="1"/>
  <c r="N592" i="8" s="1"/>
  <c r="L592" i="8" a="1"/>
  <c r="L592" i="8" s="1"/>
  <c r="M592" i="8" a="1"/>
  <c r="M592" i="8" s="1"/>
  <c r="K592" i="8" a="1"/>
  <c r="K592" i="8" s="1"/>
  <c r="D592" i="8"/>
  <c r="H592" i="8"/>
  <c r="E591" i="8"/>
  <c r="F591" i="8"/>
  <c r="A593" i="8"/>
  <c r="B593" i="8" s="1" a="1"/>
  <c r="B593" i="8" s="1"/>
  <c r="C592" i="8"/>
  <c r="G592" i="8" a="1"/>
  <c r="G592" i="8" s="1"/>
  <c r="I593" i="8" l="1"/>
  <c r="N593" i="8" a="1"/>
  <c r="N593" i="8" s="1"/>
  <c r="M593" i="8" a="1"/>
  <c r="M593" i="8" s="1"/>
  <c r="L593" i="8" a="1"/>
  <c r="L593" i="8" s="1"/>
  <c r="K593" i="8" a="1"/>
  <c r="K593" i="8" s="1"/>
  <c r="D593" i="8"/>
  <c r="H593" i="8"/>
  <c r="E592" i="8"/>
  <c r="F592" i="8"/>
  <c r="A594" i="8"/>
  <c r="B594" i="8" s="1" a="1"/>
  <c r="B594" i="8" s="1"/>
  <c r="C593" i="8"/>
  <c r="G593" i="8" a="1"/>
  <c r="G593" i="8" s="1"/>
  <c r="I594" i="8" l="1"/>
  <c r="N594" i="8" a="1"/>
  <c r="N594" i="8" s="1"/>
  <c r="M594" i="8" a="1"/>
  <c r="M594" i="8" s="1"/>
  <c r="L594" i="8" a="1"/>
  <c r="L594" i="8" s="1"/>
  <c r="K594" i="8" a="1"/>
  <c r="K594" i="8" s="1"/>
  <c r="D594" i="8"/>
  <c r="H594" i="8"/>
  <c r="E593" i="8"/>
  <c r="F593" i="8"/>
  <c r="A595" i="8"/>
  <c r="B595" i="8" s="1" a="1"/>
  <c r="B595" i="8" s="1"/>
  <c r="C594" i="8"/>
  <c r="G594" i="8" a="1"/>
  <c r="G594" i="8" s="1"/>
  <c r="I595" i="8" l="1"/>
  <c r="N595" i="8" a="1"/>
  <c r="N595" i="8" s="1"/>
  <c r="M595" i="8" a="1"/>
  <c r="M595" i="8" s="1"/>
  <c r="L595" i="8" a="1"/>
  <c r="L595" i="8" s="1"/>
  <c r="K595" i="8" a="1"/>
  <c r="K595" i="8" s="1"/>
  <c r="D595" i="8"/>
  <c r="H595" i="8"/>
  <c r="E594" i="8"/>
  <c r="F594" i="8"/>
  <c r="A596" i="8"/>
  <c r="B596" i="8" s="1" a="1"/>
  <c r="B596" i="8" s="1"/>
  <c r="C595" i="8"/>
  <c r="G595" i="8" a="1"/>
  <c r="G595" i="8" s="1"/>
  <c r="I596" i="8" l="1"/>
  <c r="N596" i="8" a="1"/>
  <c r="N596" i="8" s="1"/>
  <c r="L596" i="8" a="1"/>
  <c r="L596" i="8" s="1"/>
  <c r="M596" i="8" a="1"/>
  <c r="M596" i="8" s="1"/>
  <c r="K596" i="8" a="1"/>
  <c r="K596" i="8" s="1"/>
  <c r="D596" i="8"/>
  <c r="H596" i="8"/>
  <c r="E595" i="8"/>
  <c r="F595" i="8"/>
  <c r="A597" i="8"/>
  <c r="B597" i="8" s="1" a="1"/>
  <c r="B597" i="8" s="1"/>
  <c r="C596" i="8"/>
  <c r="G596" i="8" a="1"/>
  <c r="G596" i="8" s="1"/>
  <c r="I597" i="8" l="1"/>
  <c r="N597" i="8" a="1"/>
  <c r="N597" i="8" s="1"/>
  <c r="M597" i="8" a="1"/>
  <c r="M597" i="8" s="1"/>
  <c r="L597" i="8" a="1"/>
  <c r="L597" i="8" s="1"/>
  <c r="K597" i="8" a="1"/>
  <c r="K597" i="8" s="1"/>
  <c r="D597" i="8"/>
  <c r="H597" i="8"/>
  <c r="E596" i="8"/>
  <c r="F596" i="8"/>
  <c r="A598" i="8"/>
  <c r="B598" i="8" s="1" a="1"/>
  <c r="B598" i="8" s="1"/>
  <c r="C597" i="8"/>
  <c r="G597" i="8" a="1"/>
  <c r="G597" i="8" s="1"/>
  <c r="I598" i="8" l="1"/>
  <c r="N598" i="8" a="1"/>
  <c r="N598" i="8" s="1"/>
  <c r="M598" i="8" a="1"/>
  <c r="M598" i="8" s="1"/>
  <c r="L598" i="8" a="1"/>
  <c r="L598" i="8" s="1"/>
  <c r="K598" i="8" a="1"/>
  <c r="K598" i="8" s="1"/>
  <c r="D598" i="8"/>
  <c r="H598" i="8"/>
  <c r="E597" i="8"/>
  <c r="F597" i="8"/>
  <c r="A599" i="8"/>
  <c r="B599" i="8" s="1" a="1"/>
  <c r="B599" i="8" s="1"/>
  <c r="C598" i="8"/>
  <c r="G598" i="8" a="1"/>
  <c r="G598" i="8" s="1"/>
  <c r="I599" i="8" l="1"/>
  <c r="N599" i="8" a="1"/>
  <c r="N599" i="8" s="1"/>
  <c r="L599" i="8" a="1"/>
  <c r="L599" i="8" s="1"/>
  <c r="M599" i="8" a="1"/>
  <c r="M599" i="8" s="1"/>
  <c r="K599" i="8" a="1"/>
  <c r="K599" i="8" s="1"/>
  <c r="D599" i="8"/>
  <c r="H599" i="8"/>
  <c r="E598" i="8"/>
  <c r="F598" i="8"/>
  <c r="A600" i="8"/>
  <c r="B600" i="8" s="1" a="1"/>
  <c r="B600" i="8" s="1"/>
  <c r="C599" i="8"/>
  <c r="G599" i="8" a="1"/>
  <c r="G599" i="8" s="1"/>
  <c r="I600" i="8" l="1"/>
  <c r="N600" i="8" a="1"/>
  <c r="N600" i="8" s="1"/>
  <c r="M600" i="8" a="1"/>
  <c r="M600" i="8" s="1"/>
  <c r="L600" i="8" a="1"/>
  <c r="L600" i="8" s="1"/>
  <c r="K600" i="8" a="1"/>
  <c r="K600" i="8" s="1"/>
  <c r="D600" i="8"/>
  <c r="H600" i="8"/>
  <c r="E599" i="8"/>
  <c r="F599" i="8"/>
  <c r="A601" i="8"/>
  <c r="B601" i="8" s="1" a="1"/>
  <c r="B601" i="8" s="1"/>
  <c r="C600" i="8"/>
  <c r="G600" i="8" a="1"/>
  <c r="G600" i="8" s="1"/>
  <c r="I601" i="8" l="1"/>
  <c r="N601" i="8" a="1"/>
  <c r="N601" i="8" s="1"/>
  <c r="M601" i="8" a="1"/>
  <c r="M601" i="8" s="1"/>
  <c r="L601" i="8" a="1"/>
  <c r="L601" i="8" s="1"/>
  <c r="K601" i="8" a="1"/>
  <c r="K601" i="8" s="1"/>
  <c r="D601" i="8"/>
  <c r="H601" i="8"/>
  <c r="E600" i="8"/>
  <c r="F600" i="8"/>
  <c r="A602" i="8"/>
  <c r="B602" i="8" s="1" a="1"/>
  <c r="B602" i="8" s="1"/>
  <c r="C601" i="8"/>
  <c r="G601" i="8" a="1"/>
  <c r="G601" i="8" s="1"/>
  <c r="I602" i="8" l="1"/>
  <c r="N602" i="8" a="1"/>
  <c r="N602" i="8" s="1"/>
  <c r="M602" i="8" a="1"/>
  <c r="M602" i="8" s="1"/>
  <c r="L602" i="8" a="1"/>
  <c r="L602" i="8" s="1"/>
  <c r="K602" i="8" a="1"/>
  <c r="K602" i="8" s="1"/>
  <c r="D602" i="8"/>
  <c r="H602" i="8"/>
  <c r="E601" i="8"/>
  <c r="F601" i="8"/>
  <c r="A603" i="8"/>
  <c r="B603" i="8" s="1" a="1"/>
  <c r="B603" i="8" s="1"/>
  <c r="C602" i="8"/>
  <c r="G602" i="8" a="1"/>
  <c r="G602" i="8" s="1"/>
  <c r="I603" i="8" l="1"/>
  <c r="N603" i="8" a="1"/>
  <c r="N603" i="8" s="1"/>
  <c r="M603" i="8" a="1"/>
  <c r="M603" i="8" s="1"/>
  <c r="K603" i="8" a="1"/>
  <c r="K603" i="8" s="1"/>
  <c r="L603" i="8" a="1"/>
  <c r="L603" i="8" s="1"/>
  <c r="D603" i="8"/>
  <c r="H603" i="8"/>
  <c r="E602" i="8"/>
  <c r="F602" i="8"/>
  <c r="A604" i="8"/>
  <c r="B604" i="8" s="1" a="1"/>
  <c r="B604" i="8" s="1"/>
  <c r="C603" i="8"/>
  <c r="G603" i="8" a="1"/>
  <c r="G603" i="8" s="1"/>
  <c r="I604" i="8" l="1"/>
  <c r="N604" i="8" a="1"/>
  <c r="N604" i="8" s="1"/>
  <c r="M604" i="8" a="1"/>
  <c r="M604" i="8" s="1"/>
  <c r="L604" i="8" a="1"/>
  <c r="L604" i="8" s="1"/>
  <c r="K604" i="8" a="1"/>
  <c r="K604" i="8" s="1"/>
  <c r="D604" i="8"/>
  <c r="H604" i="8"/>
  <c r="E603" i="8"/>
  <c r="F603" i="8"/>
  <c r="A605" i="8"/>
  <c r="B605" i="8" s="1" a="1"/>
  <c r="B605" i="8" s="1"/>
  <c r="C604" i="8"/>
  <c r="G604" i="8" a="1"/>
  <c r="G604" i="8" s="1"/>
  <c r="I605" i="8" l="1"/>
  <c r="N605" i="8" a="1"/>
  <c r="N605" i="8" s="1"/>
  <c r="M605" i="8" a="1"/>
  <c r="M605" i="8" s="1"/>
  <c r="L605" i="8" a="1"/>
  <c r="L605" i="8" s="1"/>
  <c r="K605" i="8" a="1"/>
  <c r="K605" i="8" s="1"/>
  <c r="D605" i="8"/>
  <c r="H605" i="8"/>
  <c r="E604" i="8"/>
  <c r="F604" i="8"/>
  <c r="A606" i="8"/>
  <c r="B606" i="8" s="1" a="1"/>
  <c r="B606" i="8" s="1"/>
  <c r="C605" i="8"/>
  <c r="G605" i="8" a="1"/>
  <c r="G605" i="8" s="1"/>
  <c r="I606" i="8" l="1"/>
  <c r="N606" i="8" a="1"/>
  <c r="N606" i="8" s="1"/>
  <c r="M606" i="8" a="1"/>
  <c r="M606" i="8" s="1"/>
  <c r="L606" i="8" a="1"/>
  <c r="L606" i="8" s="1"/>
  <c r="K606" i="8" a="1"/>
  <c r="K606" i="8" s="1"/>
  <c r="D606" i="8"/>
  <c r="H606" i="8"/>
  <c r="E605" i="8"/>
  <c r="F605" i="8"/>
  <c r="A607" i="8"/>
  <c r="B607" i="8" s="1" a="1"/>
  <c r="B607" i="8" s="1"/>
  <c r="C606" i="8"/>
  <c r="G606" i="8" a="1"/>
  <c r="G606" i="8" s="1"/>
  <c r="I607" i="8" l="1"/>
  <c r="N607" i="8" a="1"/>
  <c r="N607" i="8" s="1"/>
  <c r="M607" i="8" a="1"/>
  <c r="M607" i="8" s="1"/>
  <c r="L607" i="8" a="1"/>
  <c r="L607" i="8" s="1"/>
  <c r="K607" i="8" a="1"/>
  <c r="K607" i="8" s="1"/>
  <c r="D607" i="8"/>
  <c r="H607" i="8"/>
  <c r="E606" i="8"/>
  <c r="F606" i="8"/>
  <c r="A608" i="8"/>
  <c r="B608" i="8" s="1" a="1"/>
  <c r="B608" i="8" s="1"/>
  <c r="C607" i="8"/>
  <c r="G607" i="8" a="1"/>
  <c r="G607" i="8" s="1"/>
  <c r="I608" i="8" l="1"/>
  <c r="N608" i="8" a="1"/>
  <c r="N608" i="8" s="1"/>
  <c r="M608" i="8" a="1"/>
  <c r="M608" i="8" s="1"/>
  <c r="L608" i="8" a="1"/>
  <c r="L608" i="8" s="1"/>
  <c r="K608" i="8" a="1"/>
  <c r="K608" i="8" s="1"/>
  <c r="D608" i="8"/>
  <c r="H608" i="8"/>
  <c r="E607" i="8"/>
  <c r="F607" i="8"/>
  <c r="A609" i="8"/>
  <c r="B609" i="8" s="1" a="1"/>
  <c r="B609" i="8" s="1"/>
  <c r="C608" i="8"/>
  <c r="G608" i="8" a="1"/>
  <c r="G608" i="8" s="1"/>
  <c r="I609" i="8" l="1"/>
  <c r="N609" i="8" a="1"/>
  <c r="N609" i="8" s="1"/>
  <c r="M609" i="8" a="1"/>
  <c r="M609" i="8" s="1"/>
  <c r="L609" i="8" a="1"/>
  <c r="L609" i="8" s="1"/>
  <c r="K609" i="8" a="1"/>
  <c r="K609" i="8" s="1"/>
  <c r="D609" i="8"/>
  <c r="H609" i="8"/>
  <c r="E608" i="8"/>
  <c r="F608" i="8"/>
  <c r="A610" i="8"/>
  <c r="B610" i="8" s="1" a="1"/>
  <c r="B610" i="8" s="1"/>
  <c r="C609" i="8"/>
  <c r="G609" i="8" a="1"/>
  <c r="G609" i="8" s="1"/>
  <c r="I610" i="8" l="1"/>
  <c r="N610" i="8" a="1"/>
  <c r="N610" i="8" s="1"/>
  <c r="M610" i="8" a="1"/>
  <c r="M610" i="8" s="1"/>
  <c r="L610" i="8" a="1"/>
  <c r="L610" i="8" s="1"/>
  <c r="K610" i="8" a="1"/>
  <c r="K610" i="8" s="1"/>
  <c r="D610" i="8"/>
  <c r="H610" i="8"/>
  <c r="E609" i="8"/>
  <c r="F609" i="8"/>
  <c r="A611" i="8"/>
  <c r="B611" i="8" s="1" a="1"/>
  <c r="B611" i="8" s="1"/>
  <c r="C610" i="8"/>
  <c r="I611" i="8" l="1"/>
  <c r="N611" i="8" a="1"/>
  <c r="N611" i="8" s="1"/>
  <c r="L611" i="8" a="1"/>
  <c r="L611" i="8" s="1"/>
  <c r="M611" i="8" a="1"/>
  <c r="M611" i="8" s="1"/>
  <c r="K611" i="8" a="1"/>
  <c r="K611" i="8" s="1"/>
  <c r="G610" i="8" a="1"/>
  <c r="G610" i="8" s="1"/>
  <c r="D611" i="8"/>
  <c r="H611" i="8"/>
  <c r="E610" i="8"/>
  <c r="F610" i="8"/>
  <c r="A612" i="8"/>
  <c r="B612" i="8" s="1" a="1"/>
  <c r="B612" i="8" s="1"/>
  <c r="C611" i="8"/>
  <c r="G611" i="8" a="1"/>
  <c r="G611" i="8" s="1"/>
  <c r="I612" i="8" l="1"/>
  <c r="M612" i="8" a="1"/>
  <c r="M612" i="8" s="1"/>
  <c r="N612" i="8" a="1"/>
  <c r="N612" i="8" s="1"/>
  <c r="L612" i="8" a="1"/>
  <c r="L612" i="8" s="1"/>
  <c r="K612" i="8" a="1"/>
  <c r="K612" i="8" s="1"/>
  <c r="D612" i="8"/>
  <c r="H612" i="8"/>
  <c r="E611" i="8"/>
  <c r="F611" i="8"/>
  <c r="A613" i="8"/>
  <c r="B613" i="8" s="1" a="1"/>
  <c r="B613" i="8" s="1"/>
  <c r="C612" i="8"/>
  <c r="G612" i="8" a="1"/>
  <c r="G612" i="8" s="1"/>
  <c r="I613" i="8" l="1"/>
  <c r="N613" i="8" a="1"/>
  <c r="N613" i="8" s="1"/>
  <c r="M613" i="8" a="1"/>
  <c r="M613" i="8" s="1"/>
  <c r="L613" i="8" a="1"/>
  <c r="L613" i="8" s="1"/>
  <c r="K613" i="8" a="1"/>
  <c r="K613" i="8" s="1"/>
  <c r="D613" i="8"/>
  <c r="H613" i="8"/>
  <c r="E612" i="8"/>
  <c r="F612" i="8"/>
  <c r="A614" i="8"/>
  <c r="B614" i="8" s="1" a="1"/>
  <c r="B614" i="8" s="1"/>
  <c r="C613" i="8"/>
  <c r="G613" i="8" a="1"/>
  <c r="G613" i="8" s="1"/>
  <c r="I614" i="8" l="1"/>
  <c r="N614" i="8" a="1"/>
  <c r="N614" i="8" s="1"/>
  <c r="M614" i="8" a="1"/>
  <c r="M614" i="8" s="1"/>
  <c r="L614" i="8" a="1"/>
  <c r="L614" i="8" s="1"/>
  <c r="K614" i="8" a="1"/>
  <c r="K614" i="8" s="1"/>
  <c r="D614" i="8"/>
  <c r="H614" i="8"/>
  <c r="E613" i="8"/>
  <c r="F613" i="8"/>
  <c r="A615" i="8"/>
  <c r="B615" i="8" s="1" a="1"/>
  <c r="B615" i="8" s="1"/>
  <c r="C614" i="8"/>
  <c r="G614" i="8" a="1"/>
  <c r="G614" i="8" s="1"/>
  <c r="I615" i="8" l="1"/>
  <c r="N615" i="8" a="1"/>
  <c r="N615" i="8" s="1"/>
  <c r="M615" i="8" a="1"/>
  <c r="M615" i="8" s="1"/>
  <c r="L615" i="8" a="1"/>
  <c r="L615" i="8" s="1"/>
  <c r="K615" i="8" a="1"/>
  <c r="K615" i="8" s="1"/>
  <c r="D615" i="8"/>
  <c r="H615" i="8"/>
  <c r="E614" i="8"/>
  <c r="F614" i="8"/>
  <c r="A616" i="8"/>
  <c r="B616" i="8" s="1" a="1"/>
  <c r="B616" i="8" s="1"/>
  <c r="C615" i="8"/>
  <c r="G615" i="8" a="1"/>
  <c r="G615" i="8" s="1"/>
  <c r="I616" i="8" l="1"/>
  <c r="N616" i="8" a="1"/>
  <c r="N616" i="8" s="1"/>
  <c r="M616" i="8" a="1"/>
  <c r="M616" i="8" s="1"/>
  <c r="L616" i="8" a="1"/>
  <c r="L616" i="8" s="1"/>
  <c r="K616" i="8" a="1"/>
  <c r="K616" i="8" s="1"/>
  <c r="D616" i="8"/>
  <c r="H616" i="8"/>
  <c r="E615" i="8"/>
  <c r="F615" i="8"/>
  <c r="A617" i="8"/>
  <c r="B617" i="8" s="1" a="1"/>
  <c r="B617" i="8" s="1"/>
  <c r="C616" i="8"/>
  <c r="G616" i="8" a="1"/>
  <c r="G616" i="8" s="1"/>
  <c r="I617" i="8" l="1"/>
  <c r="N617" i="8" a="1"/>
  <c r="N617" i="8" s="1"/>
  <c r="M617" i="8" a="1"/>
  <c r="M617" i="8" s="1"/>
  <c r="L617" i="8" a="1"/>
  <c r="L617" i="8" s="1"/>
  <c r="K617" i="8" a="1"/>
  <c r="K617" i="8" s="1"/>
  <c r="D617" i="8"/>
  <c r="H617" i="8"/>
  <c r="E616" i="8"/>
  <c r="F616" i="8"/>
  <c r="A618" i="8"/>
  <c r="B618" i="8" s="1" a="1"/>
  <c r="B618" i="8" s="1"/>
  <c r="C617" i="8"/>
  <c r="G617" i="8" a="1"/>
  <c r="G617" i="8" s="1"/>
  <c r="I618" i="8" l="1"/>
  <c r="N618" i="8" a="1"/>
  <c r="N618" i="8" s="1"/>
  <c r="M618" i="8" a="1"/>
  <c r="M618" i="8" s="1"/>
  <c r="L618" i="8" a="1"/>
  <c r="L618" i="8" s="1"/>
  <c r="K618" i="8" a="1"/>
  <c r="K618" i="8" s="1"/>
  <c r="D618" i="8"/>
  <c r="H618" i="8"/>
  <c r="E617" i="8"/>
  <c r="F617" i="8"/>
  <c r="A619" i="8"/>
  <c r="B619" i="8" s="1" a="1"/>
  <c r="B619" i="8" s="1"/>
  <c r="C618" i="8"/>
  <c r="G618" i="8" a="1"/>
  <c r="G618" i="8" s="1"/>
  <c r="I619" i="8" l="1"/>
  <c r="N619" i="8" a="1"/>
  <c r="N619" i="8" s="1"/>
  <c r="L619" i="8" a="1"/>
  <c r="L619" i="8" s="1"/>
  <c r="M619" i="8" a="1"/>
  <c r="M619" i="8" s="1"/>
  <c r="K619" i="8" a="1"/>
  <c r="K619" i="8" s="1"/>
  <c r="D619" i="8"/>
  <c r="H619" i="8"/>
  <c r="E618" i="8"/>
  <c r="F618" i="8"/>
  <c r="A620" i="8"/>
  <c r="B620" i="8" s="1" a="1"/>
  <c r="B620" i="8" s="1"/>
  <c r="C619" i="8"/>
  <c r="G619" i="8" a="1"/>
  <c r="G619" i="8" s="1"/>
  <c r="I620" i="8" l="1"/>
  <c r="N620" i="8" a="1"/>
  <c r="N620" i="8" s="1"/>
  <c r="L620" i="8" a="1"/>
  <c r="L620" i="8" s="1"/>
  <c r="M620" i="8" a="1"/>
  <c r="M620" i="8" s="1"/>
  <c r="K620" i="8" a="1"/>
  <c r="K620" i="8" s="1"/>
  <c r="D620" i="8"/>
  <c r="H620" i="8"/>
  <c r="E619" i="8"/>
  <c r="F619" i="8"/>
  <c r="A621" i="8"/>
  <c r="B621" i="8" s="1" a="1"/>
  <c r="B621" i="8" s="1"/>
  <c r="C620" i="8"/>
  <c r="G620" i="8" a="1"/>
  <c r="G620" i="8" s="1"/>
  <c r="I621" i="8" l="1"/>
  <c r="N621" i="8" a="1"/>
  <c r="N621" i="8" s="1"/>
  <c r="M621" i="8" a="1"/>
  <c r="M621" i="8" s="1"/>
  <c r="L621" i="8" a="1"/>
  <c r="L621" i="8" s="1"/>
  <c r="K621" i="8" a="1"/>
  <c r="K621" i="8" s="1"/>
  <c r="D621" i="8"/>
  <c r="H621" i="8"/>
  <c r="E620" i="8"/>
  <c r="F620" i="8"/>
  <c r="A622" i="8"/>
  <c r="B622" i="8" s="1" a="1"/>
  <c r="B622" i="8" s="1"/>
  <c r="C621" i="8"/>
  <c r="G621" i="8" a="1"/>
  <c r="G621" i="8" s="1"/>
  <c r="I622" i="8" l="1"/>
  <c r="M622" i="8" a="1"/>
  <c r="M622" i="8" s="1"/>
  <c r="N622" i="8" a="1"/>
  <c r="N622" i="8" s="1"/>
  <c r="L622" i="8" a="1"/>
  <c r="L622" i="8" s="1"/>
  <c r="K622" i="8" a="1"/>
  <c r="K622" i="8" s="1"/>
  <c r="D622" i="8"/>
  <c r="H622" i="8"/>
  <c r="E621" i="8"/>
  <c r="F621" i="8"/>
  <c r="A623" i="8"/>
  <c r="B623" i="8" s="1" a="1"/>
  <c r="B623" i="8" s="1"/>
  <c r="C622" i="8"/>
  <c r="G622" i="8" a="1"/>
  <c r="G622" i="8" s="1"/>
  <c r="I623" i="8" l="1"/>
  <c r="N623" i="8" a="1"/>
  <c r="N623" i="8" s="1"/>
  <c r="M623" i="8" a="1"/>
  <c r="M623" i="8" s="1"/>
  <c r="L623" i="8" a="1"/>
  <c r="L623" i="8" s="1"/>
  <c r="K623" i="8" a="1"/>
  <c r="K623" i="8" s="1"/>
  <c r="D623" i="8"/>
  <c r="H623" i="8"/>
  <c r="E622" i="8"/>
  <c r="F622" i="8"/>
  <c r="A624" i="8"/>
  <c r="B624" i="8" s="1" a="1"/>
  <c r="B624" i="8" s="1"/>
  <c r="C623" i="8"/>
  <c r="G623" i="8" a="1"/>
  <c r="G623" i="8" s="1"/>
  <c r="I624" i="8" l="1"/>
  <c r="N624" i="8" a="1"/>
  <c r="N624" i="8" s="1"/>
  <c r="L624" i="8" a="1"/>
  <c r="L624" i="8" s="1"/>
  <c r="M624" i="8" a="1"/>
  <c r="M624" i="8" s="1"/>
  <c r="K624" i="8" a="1"/>
  <c r="K624" i="8" s="1"/>
  <c r="D624" i="8"/>
  <c r="H624" i="8"/>
  <c r="E623" i="8"/>
  <c r="F623" i="8"/>
  <c r="A625" i="8"/>
  <c r="B625" i="8" s="1" a="1"/>
  <c r="B625" i="8" s="1"/>
  <c r="C624" i="8"/>
  <c r="G624" i="8" a="1"/>
  <c r="G624" i="8" s="1"/>
  <c r="I625" i="8" l="1"/>
  <c r="N625" i="8" a="1"/>
  <c r="N625" i="8" s="1"/>
  <c r="M625" i="8" a="1"/>
  <c r="M625" i="8" s="1"/>
  <c r="L625" i="8" a="1"/>
  <c r="L625" i="8" s="1"/>
  <c r="K625" i="8" a="1"/>
  <c r="K625" i="8" s="1"/>
  <c r="D625" i="8"/>
  <c r="H625" i="8"/>
  <c r="E624" i="8"/>
  <c r="F624" i="8"/>
  <c r="A626" i="8"/>
  <c r="B626" i="8" s="1" a="1"/>
  <c r="B626" i="8" s="1"/>
  <c r="C625" i="8"/>
  <c r="G625" i="8" a="1"/>
  <c r="G625" i="8" s="1"/>
  <c r="I626" i="8" l="1"/>
  <c r="N626" i="8" a="1"/>
  <c r="N626" i="8" s="1"/>
  <c r="M626" i="8" a="1"/>
  <c r="M626" i="8" s="1"/>
  <c r="L626" i="8" a="1"/>
  <c r="L626" i="8" s="1"/>
  <c r="K626" i="8" a="1"/>
  <c r="K626" i="8" s="1"/>
  <c r="D626" i="8"/>
  <c r="H626" i="8"/>
  <c r="E625" i="8"/>
  <c r="F625" i="8"/>
  <c r="A627" i="8"/>
  <c r="B627" i="8" s="1" a="1"/>
  <c r="B627" i="8" s="1"/>
  <c r="C626" i="8"/>
  <c r="G626" i="8" a="1"/>
  <c r="G626" i="8" s="1"/>
  <c r="I627" i="8" l="1"/>
  <c r="N627" i="8" a="1"/>
  <c r="N627" i="8" s="1"/>
  <c r="M627" i="8" a="1"/>
  <c r="M627" i="8" s="1"/>
  <c r="L627" i="8" a="1"/>
  <c r="L627" i="8" s="1"/>
  <c r="K627" i="8" a="1"/>
  <c r="K627" i="8" s="1"/>
  <c r="D627" i="8"/>
  <c r="H627" i="8"/>
  <c r="E626" i="8"/>
  <c r="F626" i="8"/>
  <c r="A628" i="8"/>
  <c r="B628" i="8" s="1" a="1"/>
  <c r="B628" i="8" s="1"/>
  <c r="C627" i="8"/>
  <c r="G627" i="8" a="1"/>
  <c r="G627" i="8" s="1"/>
  <c r="I628" i="8" l="1"/>
  <c r="N628" i="8" a="1"/>
  <c r="N628" i="8" s="1"/>
  <c r="M628" i="8" a="1"/>
  <c r="M628" i="8" s="1"/>
  <c r="L628" i="8" a="1"/>
  <c r="L628" i="8" s="1"/>
  <c r="K628" i="8" a="1"/>
  <c r="K628" i="8" s="1"/>
  <c r="D628" i="8"/>
  <c r="H628" i="8"/>
  <c r="E627" i="8"/>
  <c r="F627" i="8"/>
  <c r="A629" i="8"/>
  <c r="B629" i="8" s="1" a="1"/>
  <c r="B629" i="8" s="1"/>
  <c r="C628" i="8"/>
  <c r="G628" i="8" a="1"/>
  <c r="G628" i="8" s="1"/>
  <c r="I629" i="8" l="1"/>
  <c r="N629" i="8" a="1"/>
  <c r="N629" i="8" s="1"/>
  <c r="M629" i="8" a="1"/>
  <c r="M629" i="8" s="1"/>
  <c r="L629" i="8" a="1"/>
  <c r="L629" i="8" s="1"/>
  <c r="K629" i="8" a="1"/>
  <c r="K629" i="8" s="1"/>
  <c r="D629" i="8"/>
  <c r="H629" i="8"/>
  <c r="E628" i="8"/>
  <c r="F628" i="8"/>
  <c r="A630" i="8"/>
  <c r="B630" i="8" s="1" a="1"/>
  <c r="B630" i="8" s="1"/>
  <c r="C629" i="8"/>
  <c r="G629" i="8" a="1"/>
  <c r="G629" i="8" s="1"/>
  <c r="I630" i="8" l="1"/>
  <c r="N630" i="8" a="1"/>
  <c r="N630" i="8" s="1"/>
  <c r="M630" i="8" a="1"/>
  <c r="M630" i="8" s="1"/>
  <c r="L630" i="8" a="1"/>
  <c r="L630" i="8" s="1"/>
  <c r="K630" i="8" a="1"/>
  <c r="K630" i="8" s="1"/>
  <c r="D630" i="8"/>
  <c r="H630" i="8"/>
  <c r="E629" i="8"/>
  <c r="F629" i="8"/>
  <c r="A631" i="8"/>
  <c r="B631" i="8" s="1" a="1"/>
  <c r="B631" i="8" s="1"/>
  <c r="C630" i="8"/>
  <c r="G630" i="8" a="1"/>
  <c r="G630" i="8" s="1"/>
  <c r="I631" i="8" l="1"/>
  <c r="N631" i="8" a="1"/>
  <c r="N631" i="8" s="1"/>
  <c r="M631" i="8" a="1"/>
  <c r="M631" i="8" s="1"/>
  <c r="L631" i="8" a="1"/>
  <c r="L631" i="8" s="1"/>
  <c r="K631" i="8" a="1"/>
  <c r="K631" i="8" s="1"/>
  <c r="D631" i="8"/>
  <c r="H631" i="8"/>
  <c r="E630" i="8"/>
  <c r="F630" i="8"/>
  <c r="A632" i="8"/>
  <c r="B632" i="8" s="1" a="1"/>
  <c r="B632" i="8" s="1"/>
  <c r="C631" i="8"/>
  <c r="G631" i="8" a="1"/>
  <c r="G631" i="8" s="1"/>
  <c r="I632" i="8" l="1"/>
  <c r="N632" i="8" a="1"/>
  <c r="N632" i="8" s="1"/>
  <c r="L632" i="8" a="1"/>
  <c r="L632" i="8" s="1"/>
  <c r="M632" i="8" a="1"/>
  <c r="M632" i="8" s="1"/>
  <c r="K632" i="8" a="1"/>
  <c r="K632" i="8" s="1"/>
  <c r="D632" i="8"/>
  <c r="H632" i="8"/>
  <c r="E631" i="8"/>
  <c r="F631" i="8"/>
  <c r="A633" i="8"/>
  <c r="B633" i="8" s="1" a="1"/>
  <c r="B633" i="8" s="1"/>
  <c r="C632" i="8"/>
  <c r="G632" i="8" a="1"/>
  <c r="G632" i="8" s="1"/>
  <c r="I633" i="8" l="1"/>
  <c r="N633" i="8" a="1"/>
  <c r="N633" i="8" s="1"/>
  <c r="M633" i="8" a="1"/>
  <c r="M633" i="8" s="1"/>
  <c r="L633" i="8" a="1"/>
  <c r="L633" i="8" s="1"/>
  <c r="K633" i="8" a="1"/>
  <c r="K633" i="8" s="1"/>
  <c r="D633" i="8"/>
  <c r="H633" i="8"/>
  <c r="E632" i="8"/>
  <c r="F632" i="8"/>
  <c r="A634" i="8"/>
  <c r="B634" i="8" s="1" a="1"/>
  <c r="B634" i="8" s="1"/>
  <c r="C633" i="8"/>
  <c r="G633" i="8" a="1"/>
  <c r="G633" i="8" s="1"/>
  <c r="I634" i="8" l="1"/>
  <c r="N634" i="8" a="1"/>
  <c r="N634" i="8" s="1"/>
  <c r="M634" i="8" a="1"/>
  <c r="M634" i="8" s="1"/>
  <c r="L634" i="8" a="1"/>
  <c r="L634" i="8" s="1"/>
  <c r="K634" i="8" a="1"/>
  <c r="K634" i="8" s="1"/>
  <c r="D634" i="8"/>
  <c r="H634" i="8"/>
  <c r="E633" i="8"/>
  <c r="F633" i="8"/>
  <c r="A635" i="8"/>
  <c r="B635" i="8" s="1" a="1"/>
  <c r="B635" i="8" s="1"/>
  <c r="C634" i="8"/>
  <c r="G634" i="8" a="1"/>
  <c r="G634" i="8" s="1"/>
  <c r="I635" i="8" l="1"/>
  <c r="N635" i="8" a="1"/>
  <c r="N635" i="8" s="1"/>
  <c r="M635" i="8" a="1"/>
  <c r="M635" i="8" s="1"/>
  <c r="L635" i="8" a="1"/>
  <c r="L635" i="8" s="1"/>
  <c r="K635" i="8" a="1"/>
  <c r="K635" i="8" s="1"/>
  <c r="D635" i="8"/>
  <c r="H635" i="8"/>
  <c r="E634" i="8"/>
  <c r="F634" i="8"/>
  <c r="A636" i="8"/>
  <c r="B636" i="8" s="1" a="1"/>
  <c r="B636" i="8" s="1"/>
  <c r="C635" i="8"/>
  <c r="G635" i="8" a="1"/>
  <c r="G635" i="8" s="1"/>
  <c r="I636" i="8" l="1"/>
  <c r="N636" i="8" a="1"/>
  <c r="N636" i="8" s="1"/>
  <c r="M636" i="8" a="1"/>
  <c r="M636" i="8" s="1"/>
  <c r="L636" i="8" a="1"/>
  <c r="L636" i="8" s="1"/>
  <c r="K636" i="8" a="1"/>
  <c r="K636" i="8" s="1"/>
  <c r="D636" i="8"/>
  <c r="H636" i="8"/>
  <c r="E635" i="8"/>
  <c r="F635" i="8"/>
  <c r="A637" i="8"/>
  <c r="B637" i="8" s="1" a="1"/>
  <c r="B637" i="8" s="1"/>
  <c r="C636" i="8"/>
  <c r="G636" i="8" a="1"/>
  <c r="G636" i="8" s="1"/>
  <c r="I637" i="8" l="1"/>
  <c r="N637" i="8" a="1"/>
  <c r="N637" i="8" s="1"/>
  <c r="M637" i="8" a="1"/>
  <c r="M637" i="8" s="1"/>
  <c r="L637" i="8" a="1"/>
  <c r="L637" i="8" s="1"/>
  <c r="K637" i="8" a="1"/>
  <c r="K637" i="8" s="1"/>
  <c r="D637" i="8"/>
  <c r="H637" i="8"/>
  <c r="E636" i="8"/>
  <c r="F636" i="8"/>
  <c r="A638" i="8"/>
  <c r="B638" i="8" s="1" a="1"/>
  <c r="B638" i="8" s="1"/>
  <c r="C637" i="8"/>
  <c r="G637" i="8" a="1"/>
  <c r="G637" i="8" s="1"/>
  <c r="I638" i="8" l="1"/>
  <c r="N638" i="8" a="1"/>
  <c r="N638" i="8" s="1"/>
  <c r="M638" i="8" a="1"/>
  <c r="M638" i="8" s="1"/>
  <c r="L638" i="8" a="1"/>
  <c r="L638" i="8" s="1"/>
  <c r="K638" i="8" a="1"/>
  <c r="K638" i="8" s="1"/>
  <c r="D638" i="8"/>
  <c r="H638" i="8"/>
  <c r="E637" i="8"/>
  <c r="F637" i="8"/>
  <c r="A639" i="8"/>
  <c r="B639" i="8" s="1" a="1"/>
  <c r="B639" i="8" s="1"/>
  <c r="C638" i="8"/>
  <c r="G638" i="8" a="1"/>
  <c r="G638" i="8" s="1"/>
  <c r="I639" i="8" l="1"/>
  <c r="N639" i="8" a="1"/>
  <c r="N639" i="8" s="1"/>
  <c r="M639" i="8" a="1"/>
  <c r="M639" i="8" s="1"/>
  <c r="L639" i="8" a="1"/>
  <c r="L639" i="8" s="1"/>
  <c r="K639" i="8" a="1"/>
  <c r="K639" i="8" s="1"/>
  <c r="D639" i="8"/>
  <c r="H639" i="8"/>
  <c r="E638" i="8"/>
  <c r="F638" i="8"/>
  <c r="A640" i="8"/>
  <c r="B640" i="8" s="1" a="1"/>
  <c r="B640" i="8" s="1"/>
  <c r="C639" i="8"/>
  <c r="G639" i="8" a="1"/>
  <c r="G639" i="8" s="1"/>
  <c r="I640" i="8" l="1"/>
  <c r="N640" i="8" a="1"/>
  <c r="N640" i="8" s="1"/>
  <c r="M640" i="8" a="1"/>
  <c r="M640" i="8" s="1"/>
  <c r="L640" i="8" a="1"/>
  <c r="L640" i="8" s="1"/>
  <c r="K640" i="8" a="1"/>
  <c r="K640" i="8" s="1"/>
  <c r="D640" i="8"/>
  <c r="H640" i="8"/>
  <c r="E639" i="8"/>
  <c r="F639" i="8"/>
  <c r="A641" i="8"/>
  <c r="B641" i="8" s="1" a="1"/>
  <c r="B641" i="8" s="1"/>
  <c r="C640" i="8"/>
  <c r="I641" i="8" l="1"/>
  <c r="N641" i="8" a="1"/>
  <c r="N641" i="8" s="1"/>
  <c r="M641" i="8" a="1"/>
  <c r="M641" i="8" s="1"/>
  <c r="L641" i="8" a="1"/>
  <c r="L641" i="8" s="1"/>
  <c r="K641" i="8" a="1"/>
  <c r="K641" i="8" s="1"/>
  <c r="G640" i="8" a="1"/>
  <c r="G640" i="8" s="1"/>
  <c r="D641" i="8"/>
  <c r="H641" i="8"/>
  <c r="E640" i="8"/>
  <c r="F640" i="8"/>
  <c r="A642" i="8"/>
  <c r="B642" i="8" s="1" a="1"/>
  <c r="B642" i="8" s="1"/>
  <c r="C641" i="8"/>
  <c r="G641" i="8" a="1"/>
  <c r="G641" i="8" s="1"/>
  <c r="I642" i="8" l="1"/>
  <c r="N642" i="8" a="1"/>
  <c r="N642" i="8" s="1"/>
  <c r="M642" i="8" a="1"/>
  <c r="M642" i="8" s="1"/>
  <c r="L642" i="8" a="1"/>
  <c r="L642" i="8" s="1"/>
  <c r="K642" i="8" a="1"/>
  <c r="K642" i="8" s="1"/>
  <c r="D642" i="8"/>
  <c r="H642" i="8"/>
  <c r="E641" i="8"/>
  <c r="F641" i="8"/>
  <c r="A643" i="8"/>
  <c r="B643" i="8" s="1" a="1"/>
  <c r="B643" i="8" s="1"/>
  <c r="C642" i="8"/>
  <c r="G642" i="8" a="1"/>
  <c r="G642" i="8" s="1"/>
  <c r="I643" i="8" l="1"/>
  <c r="N643" i="8" a="1"/>
  <c r="N643" i="8" s="1"/>
  <c r="M643" i="8" a="1"/>
  <c r="M643" i="8" s="1"/>
  <c r="L643" i="8" a="1"/>
  <c r="L643" i="8" s="1"/>
  <c r="K643" i="8" a="1"/>
  <c r="K643" i="8" s="1"/>
  <c r="D643" i="8"/>
  <c r="H643" i="8"/>
  <c r="E642" i="8"/>
  <c r="F642" i="8"/>
  <c r="A644" i="8"/>
  <c r="B644" i="8" s="1" a="1"/>
  <c r="B644" i="8" s="1"/>
  <c r="C643" i="8"/>
  <c r="G643" i="8" a="1"/>
  <c r="G643" i="8" s="1"/>
  <c r="I644" i="8" l="1"/>
  <c r="N644" i="8" a="1"/>
  <c r="N644" i="8" s="1"/>
  <c r="M644" i="8" a="1"/>
  <c r="M644" i="8" s="1"/>
  <c r="L644" i="8" a="1"/>
  <c r="L644" i="8" s="1"/>
  <c r="K644" i="8" a="1"/>
  <c r="K644" i="8" s="1"/>
  <c r="D644" i="8"/>
  <c r="H644" i="8"/>
  <c r="E643" i="8"/>
  <c r="F643" i="8"/>
  <c r="A645" i="8"/>
  <c r="B645" i="8" s="1" a="1"/>
  <c r="B645" i="8" s="1"/>
  <c r="C644" i="8"/>
  <c r="G644" i="8" a="1"/>
  <c r="G644" i="8" s="1"/>
  <c r="I645" i="8" l="1"/>
  <c r="M645" i="8" a="1"/>
  <c r="M645" i="8" s="1"/>
  <c r="N645" i="8" a="1"/>
  <c r="N645" i="8" s="1"/>
  <c r="L645" i="8" a="1"/>
  <c r="L645" i="8" s="1"/>
  <c r="K645" i="8" a="1"/>
  <c r="K645" i="8" s="1"/>
  <c r="D645" i="8"/>
  <c r="H645" i="8"/>
  <c r="E644" i="8"/>
  <c r="F644" i="8"/>
  <c r="A646" i="8"/>
  <c r="B646" i="8" s="1" a="1"/>
  <c r="B646" i="8" s="1"/>
  <c r="C645" i="8"/>
  <c r="G645" i="8" a="1"/>
  <c r="G645" i="8" s="1"/>
  <c r="I646" i="8" l="1"/>
  <c r="N646" i="8" a="1"/>
  <c r="N646" i="8" s="1"/>
  <c r="M646" i="8" a="1"/>
  <c r="M646" i="8" s="1"/>
  <c r="L646" i="8" a="1"/>
  <c r="L646" i="8" s="1"/>
  <c r="K646" i="8" a="1"/>
  <c r="K646" i="8" s="1"/>
  <c r="D646" i="8"/>
  <c r="H646" i="8"/>
  <c r="E645" i="8"/>
  <c r="F645" i="8"/>
  <c r="A647" i="8"/>
  <c r="B647" i="8" s="1" a="1"/>
  <c r="B647" i="8" s="1"/>
  <c r="C646" i="8"/>
  <c r="G646" i="8" a="1"/>
  <c r="G646" i="8" s="1"/>
  <c r="I647" i="8" l="1"/>
  <c r="N647" i="8" a="1"/>
  <c r="N647" i="8" s="1"/>
  <c r="L647" i="8" a="1"/>
  <c r="L647" i="8" s="1"/>
  <c r="M647" i="8" a="1"/>
  <c r="M647" i="8" s="1"/>
  <c r="K647" i="8" a="1"/>
  <c r="K647" i="8" s="1"/>
  <c r="D647" i="8"/>
  <c r="H647" i="8"/>
  <c r="E646" i="8"/>
  <c r="F646" i="8"/>
  <c r="A648" i="8"/>
  <c r="B648" i="8" s="1" a="1"/>
  <c r="B648" i="8" s="1"/>
  <c r="C647" i="8"/>
  <c r="G647" i="8" a="1"/>
  <c r="G647" i="8" s="1"/>
  <c r="I648" i="8" l="1"/>
  <c r="M648" i="8" a="1"/>
  <c r="M648" i="8" s="1"/>
  <c r="N648" i="8" a="1"/>
  <c r="N648" i="8" s="1"/>
  <c r="L648" i="8" a="1"/>
  <c r="L648" i="8" s="1"/>
  <c r="K648" i="8" a="1"/>
  <c r="K648" i="8" s="1"/>
  <c r="D648" i="8"/>
  <c r="H648" i="8"/>
  <c r="E647" i="8"/>
  <c r="F647" i="8"/>
  <c r="A649" i="8"/>
  <c r="B649" i="8" s="1" a="1"/>
  <c r="B649" i="8" s="1"/>
  <c r="C648" i="8"/>
  <c r="G648" i="8" a="1"/>
  <c r="G648" i="8" s="1"/>
  <c r="I649" i="8" l="1"/>
  <c r="N649" i="8" a="1"/>
  <c r="N649" i="8" s="1"/>
  <c r="M649" i="8" a="1"/>
  <c r="M649" i="8" s="1"/>
  <c r="L649" i="8" a="1"/>
  <c r="L649" i="8" s="1"/>
  <c r="K649" i="8" a="1"/>
  <c r="K649" i="8" s="1"/>
  <c r="D649" i="8"/>
  <c r="H649" i="8"/>
  <c r="E648" i="8"/>
  <c r="F648" i="8"/>
  <c r="A650" i="8"/>
  <c r="B650" i="8" s="1" a="1"/>
  <c r="B650" i="8" s="1"/>
  <c r="C649" i="8"/>
  <c r="G649" i="8" a="1"/>
  <c r="G649" i="8" s="1"/>
  <c r="I650" i="8" l="1"/>
  <c r="N650" i="8" a="1"/>
  <c r="N650" i="8" s="1"/>
  <c r="M650" i="8" a="1"/>
  <c r="M650" i="8" s="1"/>
  <c r="L650" i="8" a="1"/>
  <c r="L650" i="8" s="1"/>
  <c r="K650" i="8" a="1"/>
  <c r="K650" i="8" s="1"/>
  <c r="D650" i="8"/>
  <c r="H650" i="8"/>
  <c r="E649" i="8"/>
  <c r="F649" i="8"/>
  <c r="A651" i="8"/>
  <c r="B651" i="8" s="1" a="1"/>
  <c r="B651" i="8" s="1"/>
  <c r="C650" i="8"/>
  <c r="G650" i="8" a="1"/>
  <c r="G650" i="8" s="1"/>
  <c r="I651" i="8" l="1"/>
  <c r="N651" i="8" a="1"/>
  <c r="N651" i="8" s="1"/>
  <c r="M651" i="8" a="1"/>
  <c r="M651" i="8" s="1"/>
  <c r="L651" i="8" a="1"/>
  <c r="L651" i="8" s="1"/>
  <c r="K651" i="8" a="1"/>
  <c r="K651" i="8" s="1"/>
  <c r="D651" i="8"/>
  <c r="H651" i="8"/>
  <c r="E650" i="8"/>
  <c r="F650" i="8"/>
  <c r="A652" i="8"/>
  <c r="B652" i="8" s="1" a="1"/>
  <c r="B652" i="8" s="1"/>
  <c r="C651" i="8"/>
  <c r="G651" i="8" a="1"/>
  <c r="G651" i="8" s="1"/>
  <c r="I652" i="8" l="1"/>
  <c r="N652" i="8" a="1"/>
  <c r="N652" i="8" s="1"/>
  <c r="M652" i="8" a="1"/>
  <c r="M652" i="8" s="1"/>
  <c r="L652" i="8" a="1"/>
  <c r="L652" i="8" s="1"/>
  <c r="K652" i="8" a="1"/>
  <c r="K652" i="8" s="1"/>
  <c r="D652" i="8"/>
  <c r="H652" i="8"/>
  <c r="E651" i="8"/>
  <c r="F651" i="8"/>
  <c r="A653" i="8"/>
  <c r="B653" i="8" s="1" a="1"/>
  <c r="B653" i="8" s="1"/>
  <c r="C652" i="8"/>
  <c r="G652" i="8" a="1"/>
  <c r="G652" i="8" s="1"/>
  <c r="I653" i="8" l="1"/>
  <c r="N653" i="8" a="1"/>
  <c r="N653" i="8" s="1"/>
  <c r="M653" i="8" a="1"/>
  <c r="M653" i="8" s="1"/>
  <c r="L653" i="8" a="1"/>
  <c r="L653" i="8" s="1"/>
  <c r="K653" i="8" a="1"/>
  <c r="K653" i="8" s="1"/>
  <c r="D653" i="8"/>
  <c r="H653" i="8"/>
  <c r="E652" i="8"/>
  <c r="F652" i="8"/>
  <c r="A654" i="8"/>
  <c r="B654" i="8" s="1" a="1"/>
  <c r="B654" i="8" s="1"/>
  <c r="C653" i="8"/>
  <c r="G653" i="8" a="1"/>
  <c r="G653" i="8" s="1"/>
  <c r="I654" i="8" l="1"/>
  <c r="N654" i="8" a="1"/>
  <c r="N654" i="8" s="1"/>
  <c r="M654" i="8" a="1"/>
  <c r="M654" i="8" s="1"/>
  <c r="L654" i="8" a="1"/>
  <c r="L654" i="8" s="1"/>
  <c r="K654" i="8" a="1"/>
  <c r="K654" i="8" s="1"/>
  <c r="D654" i="8"/>
  <c r="H654" i="8"/>
  <c r="E653" i="8"/>
  <c r="F653" i="8"/>
  <c r="A655" i="8"/>
  <c r="B655" i="8" s="1" a="1"/>
  <c r="B655" i="8" s="1"/>
  <c r="C654" i="8"/>
  <c r="G654" i="8" a="1"/>
  <c r="G654" i="8" s="1"/>
  <c r="I655" i="8" l="1"/>
  <c r="N655" i="8" a="1"/>
  <c r="N655" i="8" s="1"/>
  <c r="M655" i="8" a="1"/>
  <c r="M655" i="8" s="1"/>
  <c r="L655" i="8" a="1"/>
  <c r="L655" i="8" s="1"/>
  <c r="K655" i="8" a="1"/>
  <c r="K655" i="8" s="1"/>
  <c r="D655" i="8"/>
  <c r="H655" i="8"/>
  <c r="E654" i="8"/>
  <c r="F654" i="8"/>
  <c r="A656" i="8"/>
  <c r="B656" i="8" s="1" a="1"/>
  <c r="B656" i="8" s="1"/>
  <c r="C655" i="8"/>
  <c r="G655" i="8" a="1"/>
  <c r="G655" i="8" s="1"/>
  <c r="I656" i="8" l="1"/>
  <c r="N656" i="8" a="1"/>
  <c r="N656" i="8" s="1"/>
  <c r="M656" i="8" a="1"/>
  <c r="M656" i="8" s="1"/>
  <c r="L656" i="8" a="1"/>
  <c r="L656" i="8" s="1"/>
  <c r="K656" i="8" a="1"/>
  <c r="K656" i="8" s="1"/>
  <c r="D656" i="8"/>
  <c r="H656" i="8"/>
  <c r="E655" i="8"/>
  <c r="F655" i="8"/>
  <c r="A657" i="8"/>
  <c r="B657" i="8" s="1" a="1"/>
  <c r="B657" i="8" s="1"/>
  <c r="C656" i="8"/>
  <c r="G656" i="8" a="1"/>
  <c r="G656" i="8" s="1"/>
  <c r="I657" i="8" l="1"/>
  <c r="M657" i="8" a="1"/>
  <c r="M657" i="8" s="1"/>
  <c r="N657" i="8" a="1"/>
  <c r="N657" i="8" s="1"/>
  <c r="L657" i="8" a="1"/>
  <c r="L657" i="8" s="1"/>
  <c r="K657" i="8" a="1"/>
  <c r="K657" i="8" s="1"/>
  <c r="D657" i="8"/>
  <c r="H657" i="8"/>
  <c r="E656" i="8"/>
  <c r="F656" i="8"/>
  <c r="A658" i="8"/>
  <c r="B658" i="8" s="1" a="1"/>
  <c r="B658" i="8" s="1"/>
  <c r="C657" i="8"/>
  <c r="G657" i="8" a="1"/>
  <c r="G657" i="8" s="1"/>
  <c r="I658" i="8" l="1"/>
  <c r="N658" i="8" a="1"/>
  <c r="N658" i="8" s="1"/>
  <c r="M658" i="8" a="1"/>
  <c r="M658" i="8" s="1"/>
  <c r="L658" i="8" a="1"/>
  <c r="L658" i="8" s="1"/>
  <c r="K658" i="8" a="1"/>
  <c r="K658" i="8" s="1"/>
  <c r="D658" i="8"/>
  <c r="H658" i="8"/>
  <c r="E657" i="8"/>
  <c r="F657" i="8"/>
  <c r="A659" i="8"/>
  <c r="B659" i="8" s="1" a="1"/>
  <c r="B659" i="8" s="1"/>
  <c r="C658" i="8"/>
  <c r="G658" i="8" a="1"/>
  <c r="G658" i="8" s="1"/>
  <c r="I659" i="8" l="1"/>
  <c r="N659" i="8" a="1"/>
  <c r="N659" i="8" s="1"/>
  <c r="M659" i="8" a="1"/>
  <c r="M659" i="8" s="1"/>
  <c r="L659" i="8" a="1"/>
  <c r="L659" i="8" s="1"/>
  <c r="K659" i="8" a="1"/>
  <c r="K659" i="8" s="1"/>
  <c r="D659" i="8"/>
  <c r="H659" i="8"/>
  <c r="E658" i="8"/>
  <c r="F658" i="8"/>
  <c r="A660" i="8"/>
  <c r="B660" i="8" s="1" a="1"/>
  <c r="B660" i="8" s="1"/>
  <c r="C659" i="8"/>
  <c r="G659" i="8" a="1"/>
  <c r="G659" i="8" s="1"/>
  <c r="I660" i="8" l="1"/>
  <c r="N660" i="8" a="1"/>
  <c r="N660" i="8" s="1"/>
  <c r="M660" i="8" a="1"/>
  <c r="M660" i="8" s="1"/>
  <c r="L660" i="8" a="1"/>
  <c r="L660" i="8" s="1"/>
  <c r="K660" i="8" a="1"/>
  <c r="K660" i="8" s="1"/>
  <c r="D660" i="8"/>
  <c r="H660" i="8"/>
  <c r="E659" i="8"/>
  <c r="F659" i="8"/>
  <c r="A661" i="8"/>
  <c r="B661" i="8" s="1" a="1"/>
  <c r="B661" i="8" s="1"/>
  <c r="C660" i="8"/>
  <c r="G660" i="8" a="1"/>
  <c r="G660" i="8" s="1"/>
  <c r="I661" i="8" l="1"/>
  <c r="N661" i="8" a="1"/>
  <c r="N661" i="8" s="1"/>
  <c r="M661" i="8" a="1"/>
  <c r="M661" i="8" s="1"/>
  <c r="L661" i="8" a="1"/>
  <c r="L661" i="8" s="1"/>
  <c r="K661" i="8" a="1"/>
  <c r="K661" i="8" s="1"/>
  <c r="D661" i="8"/>
  <c r="H661" i="8"/>
  <c r="E660" i="8"/>
  <c r="F660" i="8"/>
  <c r="A662" i="8"/>
  <c r="B662" i="8" s="1" a="1"/>
  <c r="B662" i="8" s="1"/>
  <c r="C661" i="8"/>
  <c r="G661" i="8" a="1"/>
  <c r="G661" i="8" s="1"/>
  <c r="I662" i="8" l="1"/>
  <c r="N662" i="8" a="1"/>
  <c r="N662" i="8" s="1"/>
  <c r="L662" i="8" a="1"/>
  <c r="L662" i="8" s="1"/>
  <c r="M662" i="8" a="1"/>
  <c r="M662" i="8" s="1"/>
  <c r="K662" i="8" a="1"/>
  <c r="K662" i="8" s="1"/>
  <c r="D662" i="8"/>
  <c r="H662" i="8"/>
  <c r="E661" i="8"/>
  <c r="F661" i="8"/>
  <c r="A663" i="8"/>
  <c r="B663" i="8" s="1" a="1"/>
  <c r="B663" i="8" s="1"/>
  <c r="C662" i="8"/>
  <c r="G662" i="8" a="1"/>
  <c r="G662" i="8" s="1"/>
  <c r="I663" i="8" l="1"/>
  <c r="M663" i="8" a="1"/>
  <c r="M663" i="8" s="1"/>
  <c r="N663" i="8" a="1"/>
  <c r="N663" i="8" s="1"/>
  <c r="L663" i="8" a="1"/>
  <c r="L663" i="8" s="1"/>
  <c r="K663" i="8" a="1"/>
  <c r="K663" i="8" s="1"/>
  <c r="D663" i="8"/>
  <c r="H663" i="8"/>
  <c r="E662" i="8"/>
  <c r="F662" i="8"/>
  <c r="A664" i="8"/>
  <c r="B664" i="8" s="1" a="1"/>
  <c r="B664" i="8" s="1"/>
  <c r="C663" i="8"/>
  <c r="G663" i="8" a="1"/>
  <c r="G663" i="8" s="1"/>
  <c r="I664" i="8" l="1"/>
  <c r="N664" i="8" a="1"/>
  <c r="N664" i="8" s="1"/>
  <c r="M664" i="8" a="1"/>
  <c r="M664" i="8" s="1"/>
  <c r="L664" i="8" a="1"/>
  <c r="L664" i="8" s="1"/>
  <c r="K664" i="8" a="1"/>
  <c r="K664" i="8" s="1"/>
  <c r="D664" i="8"/>
  <c r="H664" i="8"/>
  <c r="E663" i="8"/>
  <c r="F663" i="8"/>
  <c r="A665" i="8"/>
  <c r="B665" i="8" s="1" a="1"/>
  <c r="B665" i="8" s="1"/>
  <c r="C664" i="8"/>
  <c r="G664" i="8" a="1"/>
  <c r="G664" i="8" s="1"/>
  <c r="I665" i="8" l="1"/>
  <c r="N665" i="8" a="1"/>
  <c r="N665" i="8" s="1"/>
  <c r="M665" i="8" a="1"/>
  <c r="M665" i="8" s="1"/>
  <c r="K665" i="8" a="1"/>
  <c r="K665" i="8" s="1"/>
  <c r="L665" i="8" a="1"/>
  <c r="L665" i="8" s="1"/>
  <c r="D665" i="8"/>
  <c r="H665" i="8"/>
  <c r="E664" i="8"/>
  <c r="F664" i="8"/>
  <c r="A666" i="8"/>
  <c r="B666" i="8" s="1" a="1"/>
  <c r="B666" i="8" s="1"/>
  <c r="C665" i="8"/>
  <c r="G665" i="8" a="1"/>
  <c r="G665" i="8" s="1"/>
  <c r="I666" i="8" l="1"/>
  <c r="N666" i="8" a="1"/>
  <c r="N666" i="8" s="1"/>
  <c r="M666" i="8" a="1"/>
  <c r="M666" i="8" s="1"/>
  <c r="L666" i="8" a="1"/>
  <c r="L666" i="8" s="1"/>
  <c r="K666" i="8" a="1"/>
  <c r="K666" i="8" s="1"/>
  <c r="D666" i="8"/>
  <c r="H666" i="8"/>
  <c r="E665" i="8"/>
  <c r="F665" i="8"/>
  <c r="A667" i="8"/>
  <c r="B667" i="8" s="1" a="1"/>
  <c r="B667" i="8" s="1"/>
  <c r="C666" i="8"/>
  <c r="G666" i="8" a="1"/>
  <c r="G666" i="8" s="1"/>
  <c r="I667" i="8" l="1"/>
  <c r="N667" i="8" a="1"/>
  <c r="N667" i="8" s="1"/>
  <c r="M667" i="8" a="1"/>
  <c r="M667" i="8" s="1"/>
  <c r="L667" i="8" a="1"/>
  <c r="L667" i="8" s="1"/>
  <c r="K667" i="8" a="1"/>
  <c r="K667" i="8" s="1"/>
  <c r="D667" i="8"/>
  <c r="H667" i="8"/>
  <c r="E666" i="8"/>
  <c r="F666" i="8"/>
  <c r="A668" i="8"/>
  <c r="B668" i="8" s="1" a="1"/>
  <c r="B668" i="8" s="1"/>
  <c r="C667" i="8"/>
  <c r="G667" i="8" a="1"/>
  <c r="G667" i="8" s="1"/>
  <c r="I668" i="8" l="1"/>
  <c r="N668" i="8" a="1"/>
  <c r="N668" i="8" s="1"/>
  <c r="L668" i="8" a="1"/>
  <c r="L668" i="8" s="1"/>
  <c r="M668" i="8" a="1"/>
  <c r="M668" i="8" s="1"/>
  <c r="K668" i="8" a="1"/>
  <c r="K668" i="8" s="1"/>
  <c r="D668" i="8"/>
  <c r="H668" i="8"/>
  <c r="E667" i="8"/>
  <c r="F667" i="8"/>
  <c r="A669" i="8"/>
  <c r="B669" i="8" s="1" a="1"/>
  <c r="B669" i="8" s="1"/>
  <c r="C668" i="8"/>
  <c r="G668" i="8" a="1"/>
  <c r="G668" i="8" s="1"/>
  <c r="I669" i="8" l="1"/>
  <c r="N669" i="8" a="1"/>
  <c r="N669" i="8" s="1"/>
  <c r="M669" i="8" a="1"/>
  <c r="M669" i="8" s="1"/>
  <c r="L669" i="8" a="1"/>
  <c r="L669" i="8" s="1"/>
  <c r="K669" i="8" a="1"/>
  <c r="K669" i="8" s="1"/>
  <c r="D669" i="8"/>
  <c r="H669" i="8"/>
  <c r="E668" i="8"/>
  <c r="F668" i="8"/>
  <c r="A670" i="8"/>
  <c r="B670" i="8" s="1" a="1"/>
  <c r="B670" i="8" s="1"/>
  <c r="C669" i="8"/>
  <c r="G669" i="8" a="1"/>
  <c r="G669" i="8" s="1"/>
  <c r="I670" i="8" l="1"/>
  <c r="M670" i="8" a="1"/>
  <c r="M670" i="8" s="1"/>
  <c r="N670" i="8" a="1"/>
  <c r="N670" i="8" s="1"/>
  <c r="L670" i="8" a="1"/>
  <c r="L670" i="8" s="1"/>
  <c r="K670" i="8" a="1"/>
  <c r="K670" i="8" s="1"/>
  <c r="D670" i="8"/>
  <c r="H670" i="8"/>
  <c r="E669" i="8"/>
  <c r="F669" i="8"/>
  <c r="A671" i="8"/>
  <c r="B671" i="8" s="1" a="1"/>
  <c r="B671" i="8" s="1"/>
  <c r="C670" i="8"/>
  <c r="G670" i="8" a="1"/>
  <c r="G670" i="8" s="1"/>
  <c r="I671" i="8" l="1"/>
  <c r="N671" i="8" a="1"/>
  <c r="N671" i="8" s="1"/>
  <c r="M671" i="8" a="1"/>
  <c r="M671" i="8" s="1"/>
  <c r="L671" i="8" a="1"/>
  <c r="L671" i="8" s="1"/>
  <c r="K671" i="8" a="1"/>
  <c r="K671" i="8" s="1"/>
  <c r="D671" i="8"/>
  <c r="H671" i="8"/>
  <c r="E670" i="8"/>
  <c r="F670" i="8"/>
  <c r="A672" i="8"/>
  <c r="B672" i="8" s="1" a="1"/>
  <c r="B672" i="8" s="1"/>
  <c r="C671" i="8"/>
  <c r="I672" i="8" l="1"/>
  <c r="N672" i="8" a="1"/>
  <c r="N672" i="8" s="1"/>
  <c r="M672" i="8" a="1"/>
  <c r="M672" i="8" s="1"/>
  <c r="L672" i="8" a="1"/>
  <c r="L672" i="8" s="1"/>
  <c r="K672" i="8" a="1"/>
  <c r="K672" i="8" s="1"/>
  <c r="G671" i="8" a="1"/>
  <c r="G671" i="8" s="1"/>
  <c r="D672" i="8"/>
  <c r="H672" i="8"/>
  <c r="E671" i="8"/>
  <c r="F671" i="8"/>
  <c r="A673" i="8"/>
  <c r="B673" i="8" s="1" a="1"/>
  <c r="B673" i="8" s="1"/>
  <c r="C672" i="8"/>
  <c r="G672" i="8" a="1"/>
  <c r="G672" i="8" s="1"/>
  <c r="I673" i="8" l="1"/>
  <c r="N673" i="8" a="1"/>
  <c r="N673" i="8" s="1"/>
  <c r="M673" i="8" a="1"/>
  <c r="M673" i="8" s="1"/>
  <c r="L673" i="8" a="1"/>
  <c r="L673" i="8" s="1"/>
  <c r="K673" i="8" a="1"/>
  <c r="K673" i="8" s="1"/>
  <c r="D673" i="8"/>
  <c r="H673" i="8"/>
  <c r="E672" i="8"/>
  <c r="F672" i="8"/>
  <c r="A674" i="8"/>
  <c r="B674" i="8" s="1" a="1"/>
  <c r="B674" i="8" s="1"/>
  <c r="C673" i="8"/>
  <c r="G673" i="8" a="1"/>
  <c r="G673" i="8" s="1"/>
  <c r="I674" i="8" l="1"/>
  <c r="N674" i="8" a="1"/>
  <c r="N674" i="8" s="1"/>
  <c r="M674" i="8" a="1"/>
  <c r="M674" i="8" s="1"/>
  <c r="L674" i="8" a="1"/>
  <c r="L674" i="8" s="1"/>
  <c r="K674" i="8" a="1"/>
  <c r="K674" i="8" s="1"/>
  <c r="D674" i="8"/>
  <c r="H674" i="8"/>
  <c r="E673" i="8"/>
  <c r="F673" i="8"/>
  <c r="A675" i="8"/>
  <c r="B675" i="8" s="1" a="1"/>
  <c r="B675" i="8" s="1"/>
  <c r="C674" i="8"/>
  <c r="G674" i="8" a="1"/>
  <c r="G674" i="8" s="1"/>
  <c r="I675" i="8" l="1"/>
  <c r="M675" i="8" a="1"/>
  <c r="M675" i="8" s="1"/>
  <c r="N675" i="8" a="1"/>
  <c r="N675" i="8" s="1"/>
  <c r="L675" i="8" a="1"/>
  <c r="L675" i="8" s="1"/>
  <c r="K675" i="8" a="1"/>
  <c r="K675" i="8" s="1"/>
  <c r="D675" i="8"/>
  <c r="H675" i="8"/>
  <c r="E674" i="8"/>
  <c r="F674" i="8"/>
  <c r="A676" i="8"/>
  <c r="B676" i="8" s="1" a="1"/>
  <c r="B676" i="8" s="1"/>
  <c r="C675" i="8"/>
  <c r="G675" i="8" a="1"/>
  <c r="G675" i="8" s="1"/>
  <c r="I676" i="8" l="1"/>
  <c r="N676" i="8" a="1"/>
  <c r="N676" i="8" s="1"/>
  <c r="M676" i="8" a="1"/>
  <c r="M676" i="8" s="1"/>
  <c r="K676" i="8" a="1"/>
  <c r="K676" i="8" s="1"/>
  <c r="L676" i="8" a="1"/>
  <c r="L676" i="8" s="1"/>
  <c r="D676" i="8"/>
  <c r="H676" i="8"/>
  <c r="E675" i="8"/>
  <c r="F675" i="8"/>
  <c r="A677" i="8"/>
  <c r="B677" i="8" s="1" a="1"/>
  <c r="B677" i="8" s="1"/>
  <c r="C676" i="8"/>
  <c r="G676" i="8" a="1"/>
  <c r="G676" i="8" s="1"/>
  <c r="I677" i="8" l="1"/>
  <c r="M677" i="8" a="1"/>
  <c r="M677" i="8" s="1"/>
  <c r="N677" i="8" a="1"/>
  <c r="N677" i="8" s="1"/>
  <c r="L677" i="8" a="1"/>
  <c r="L677" i="8" s="1"/>
  <c r="K677" i="8" a="1"/>
  <c r="K677" i="8" s="1"/>
  <c r="D677" i="8"/>
  <c r="H677" i="8"/>
  <c r="E676" i="8"/>
  <c r="F676" i="8"/>
  <c r="A678" i="8"/>
  <c r="B678" i="8" s="1" a="1"/>
  <c r="B678" i="8" s="1"/>
  <c r="C677" i="8"/>
  <c r="G677" i="8" a="1"/>
  <c r="G677" i="8" s="1"/>
  <c r="I678" i="8" l="1"/>
  <c r="N678" i="8" a="1"/>
  <c r="N678" i="8" s="1"/>
  <c r="M678" i="8" a="1"/>
  <c r="M678" i="8" s="1"/>
  <c r="L678" i="8" a="1"/>
  <c r="L678" i="8" s="1"/>
  <c r="K678" i="8" a="1"/>
  <c r="K678" i="8" s="1"/>
  <c r="D678" i="8"/>
  <c r="H678" i="8"/>
  <c r="E677" i="8"/>
  <c r="F677" i="8"/>
  <c r="A679" i="8"/>
  <c r="B679" i="8" s="1" a="1"/>
  <c r="B679" i="8" s="1"/>
  <c r="C678" i="8"/>
  <c r="G678" i="8" a="1"/>
  <c r="G678" i="8" s="1"/>
  <c r="I679" i="8" l="1"/>
  <c r="N679" i="8" a="1"/>
  <c r="N679" i="8" s="1"/>
  <c r="M679" i="8" a="1"/>
  <c r="M679" i="8" s="1"/>
  <c r="L679" i="8" a="1"/>
  <c r="L679" i="8" s="1"/>
  <c r="K679" i="8" a="1"/>
  <c r="K679" i="8" s="1"/>
  <c r="D679" i="8"/>
  <c r="H679" i="8"/>
  <c r="E678" i="8"/>
  <c r="F678" i="8"/>
  <c r="A680" i="8"/>
  <c r="B680" i="8" s="1" a="1"/>
  <c r="B680" i="8" s="1"/>
  <c r="C679" i="8"/>
  <c r="G679" i="8" a="1"/>
  <c r="G679" i="8" s="1"/>
  <c r="I680" i="8" l="1"/>
  <c r="N680" i="8" a="1"/>
  <c r="N680" i="8" s="1"/>
  <c r="M680" i="8" a="1"/>
  <c r="M680" i="8" s="1"/>
  <c r="L680" i="8" a="1"/>
  <c r="L680" i="8" s="1"/>
  <c r="K680" i="8" a="1"/>
  <c r="K680" i="8" s="1"/>
  <c r="D680" i="8"/>
  <c r="H680" i="8"/>
  <c r="E679" i="8"/>
  <c r="F679" i="8"/>
  <c r="A681" i="8"/>
  <c r="B681" i="8" s="1" a="1"/>
  <c r="B681" i="8" s="1"/>
  <c r="C680" i="8"/>
  <c r="G680" i="8" a="1"/>
  <c r="G680" i="8" s="1"/>
  <c r="I681" i="8" l="1"/>
  <c r="N681" i="8" a="1"/>
  <c r="N681" i="8" s="1"/>
  <c r="M681" i="8" a="1"/>
  <c r="M681" i="8" s="1"/>
  <c r="L681" i="8" a="1"/>
  <c r="L681" i="8" s="1"/>
  <c r="K681" i="8" a="1"/>
  <c r="K681" i="8" s="1"/>
  <c r="D681" i="8"/>
  <c r="H681" i="8"/>
  <c r="E680" i="8"/>
  <c r="F680" i="8"/>
  <c r="A682" i="8"/>
  <c r="B682" i="8" s="1" a="1"/>
  <c r="B682" i="8" s="1"/>
  <c r="C681" i="8"/>
  <c r="G681" i="8" a="1"/>
  <c r="G681" i="8" s="1"/>
  <c r="I682" i="8" l="1"/>
  <c r="N682" i="8" a="1"/>
  <c r="N682" i="8" s="1"/>
  <c r="M682" i="8" a="1"/>
  <c r="M682" i="8" s="1"/>
  <c r="L682" i="8" a="1"/>
  <c r="L682" i="8" s="1"/>
  <c r="K682" i="8" a="1"/>
  <c r="K682" i="8" s="1"/>
  <c r="D682" i="8"/>
  <c r="H682" i="8"/>
  <c r="E681" i="8"/>
  <c r="F681" i="8"/>
  <c r="A683" i="8"/>
  <c r="B683" i="8" s="1" a="1"/>
  <c r="B683" i="8" s="1"/>
  <c r="C682" i="8"/>
  <c r="G682" i="8" a="1"/>
  <c r="G682" i="8" s="1"/>
  <c r="I683" i="8" l="1"/>
  <c r="N683" i="8" a="1"/>
  <c r="N683" i="8" s="1"/>
  <c r="M683" i="8" a="1"/>
  <c r="M683" i="8" s="1"/>
  <c r="L683" i="8" a="1"/>
  <c r="L683" i="8" s="1"/>
  <c r="K683" i="8" a="1"/>
  <c r="K683" i="8" s="1"/>
  <c r="D683" i="8"/>
  <c r="H683" i="8"/>
  <c r="E682" i="8"/>
  <c r="F682" i="8"/>
  <c r="A684" i="8"/>
  <c r="B684" i="8" s="1" a="1"/>
  <c r="B684" i="8" s="1"/>
  <c r="C683" i="8"/>
  <c r="G683" i="8" a="1"/>
  <c r="G683" i="8" s="1"/>
  <c r="I684" i="8" l="1"/>
  <c r="N684" i="8" a="1"/>
  <c r="N684" i="8" s="1"/>
  <c r="M684" i="8" a="1"/>
  <c r="M684" i="8" s="1"/>
  <c r="L684" i="8" a="1"/>
  <c r="L684" i="8" s="1"/>
  <c r="K684" i="8" a="1"/>
  <c r="K684" i="8" s="1"/>
  <c r="D684" i="8"/>
  <c r="H684" i="8"/>
  <c r="E683" i="8"/>
  <c r="F683" i="8"/>
  <c r="A685" i="8"/>
  <c r="B685" i="8" s="1" a="1"/>
  <c r="B685" i="8" s="1"/>
  <c r="C684" i="8"/>
  <c r="G684" i="8" a="1"/>
  <c r="G684" i="8" s="1"/>
  <c r="I685" i="8" l="1"/>
  <c r="N685" i="8" a="1"/>
  <c r="N685" i="8" s="1"/>
  <c r="L685" i="8" a="1"/>
  <c r="L685" i="8" s="1"/>
  <c r="M685" i="8" a="1"/>
  <c r="M685" i="8" s="1"/>
  <c r="K685" i="8" a="1"/>
  <c r="K685" i="8" s="1"/>
  <c r="D685" i="8"/>
  <c r="H685" i="8"/>
  <c r="E684" i="8"/>
  <c r="F684" i="8"/>
  <c r="A686" i="8"/>
  <c r="B686" i="8" s="1" a="1"/>
  <c r="B686" i="8" s="1"/>
  <c r="C685" i="8"/>
  <c r="G685" i="8" a="1"/>
  <c r="G685" i="8" s="1"/>
  <c r="I686" i="8" l="1"/>
  <c r="N686" i="8" a="1"/>
  <c r="N686" i="8" s="1"/>
  <c r="M686" i="8" a="1"/>
  <c r="M686" i="8" s="1"/>
  <c r="L686" i="8" a="1"/>
  <c r="L686" i="8" s="1"/>
  <c r="K686" i="8" a="1"/>
  <c r="K686" i="8" s="1"/>
  <c r="D686" i="8"/>
  <c r="H686" i="8"/>
  <c r="E685" i="8"/>
  <c r="F685" i="8"/>
  <c r="A687" i="8"/>
  <c r="B687" i="8" s="1" a="1"/>
  <c r="B687" i="8" s="1"/>
  <c r="C686" i="8"/>
  <c r="G686" i="8" a="1"/>
  <c r="G686" i="8" s="1"/>
  <c r="I687" i="8" l="1"/>
  <c r="N687" i="8" a="1"/>
  <c r="N687" i="8" s="1"/>
  <c r="M687" i="8" a="1"/>
  <c r="M687" i="8" s="1"/>
  <c r="K687" i="8" a="1"/>
  <c r="K687" i="8" s="1"/>
  <c r="L687" i="8" a="1"/>
  <c r="L687" i="8" s="1"/>
  <c r="D687" i="8"/>
  <c r="H687" i="8"/>
  <c r="E686" i="8"/>
  <c r="F686" i="8"/>
  <c r="A688" i="8"/>
  <c r="B688" i="8" s="1" a="1"/>
  <c r="B688" i="8" s="1"/>
  <c r="C687" i="8"/>
  <c r="G687" i="8" a="1"/>
  <c r="G687" i="8" s="1"/>
  <c r="I688" i="8" l="1"/>
  <c r="M688" i="8" a="1"/>
  <c r="M688" i="8" s="1"/>
  <c r="N688" i="8" a="1"/>
  <c r="N688" i="8" s="1"/>
  <c r="L688" i="8" a="1"/>
  <c r="L688" i="8" s="1"/>
  <c r="K688" i="8" a="1"/>
  <c r="K688" i="8" s="1"/>
  <c r="D688" i="8"/>
  <c r="H688" i="8"/>
  <c r="E687" i="8"/>
  <c r="F687" i="8"/>
  <c r="A689" i="8"/>
  <c r="B689" i="8" s="1" a="1"/>
  <c r="B689" i="8" s="1"/>
  <c r="C688" i="8"/>
  <c r="G688" i="8" a="1"/>
  <c r="G688" i="8" s="1"/>
  <c r="I689" i="8" l="1"/>
  <c r="N689" i="8" a="1"/>
  <c r="N689" i="8" s="1"/>
  <c r="M689" i="8" a="1"/>
  <c r="M689" i="8" s="1"/>
  <c r="L689" i="8" a="1"/>
  <c r="L689" i="8" s="1"/>
  <c r="K689" i="8" a="1"/>
  <c r="K689" i="8" s="1"/>
  <c r="D689" i="8"/>
  <c r="H689" i="8"/>
  <c r="E688" i="8"/>
  <c r="F688" i="8"/>
  <c r="A690" i="8"/>
  <c r="B690" i="8" s="1" a="1"/>
  <c r="B690" i="8" s="1"/>
  <c r="C689" i="8"/>
  <c r="G689" i="8" a="1"/>
  <c r="G689" i="8" s="1"/>
  <c r="I690" i="8" l="1"/>
  <c r="N690" i="8" a="1"/>
  <c r="N690" i="8" s="1"/>
  <c r="M690" i="8" a="1"/>
  <c r="M690" i="8" s="1"/>
  <c r="L690" i="8" a="1"/>
  <c r="L690" i="8" s="1"/>
  <c r="K690" i="8" a="1"/>
  <c r="K690" i="8" s="1"/>
  <c r="D690" i="8"/>
  <c r="H690" i="8"/>
  <c r="E689" i="8"/>
  <c r="F689" i="8"/>
  <c r="A691" i="8"/>
  <c r="B691" i="8" s="1" a="1"/>
  <c r="B691" i="8" s="1"/>
  <c r="C690" i="8"/>
  <c r="G690" i="8" a="1"/>
  <c r="G690" i="8" s="1"/>
  <c r="I691" i="8" l="1"/>
  <c r="N691" i="8" a="1"/>
  <c r="N691" i="8" s="1"/>
  <c r="M691" i="8" a="1"/>
  <c r="M691" i="8" s="1"/>
  <c r="L691" i="8" a="1"/>
  <c r="L691" i="8" s="1"/>
  <c r="K691" i="8" a="1"/>
  <c r="K691" i="8" s="1"/>
  <c r="D691" i="8"/>
  <c r="H691" i="8"/>
  <c r="E690" i="8"/>
  <c r="F690" i="8"/>
  <c r="A692" i="8"/>
  <c r="B692" i="8" s="1" a="1"/>
  <c r="B692" i="8" s="1"/>
  <c r="C691" i="8"/>
  <c r="G691" i="8" a="1"/>
  <c r="G691" i="8" s="1"/>
  <c r="I692" i="8" l="1"/>
  <c r="N692" i="8" a="1"/>
  <c r="N692" i="8" s="1"/>
  <c r="M692" i="8" a="1"/>
  <c r="M692" i="8" s="1"/>
  <c r="L692" i="8" a="1"/>
  <c r="L692" i="8" s="1"/>
  <c r="K692" i="8" a="1"/>
  <c r="K692" i="8" s="1"/>
  <c r="D692" i="8"/>
  <c r="H692" i="8"/>
  <c r="E691" i="8"/>
  <c r="F691" i="8"/>
  <c r="A693" i="8"/>
  <c r="B693" i="8" s="1" a="1"/>
  <c r="B693" i="8" s="1"/>
  <c r="C692" i="8"/>
  <c r="G692" i="8" a="1"/>
  <c r="G692" i="8" s="1"/>
  <c r="I693" i="8" l="1"/>
  <c r="M693" i="8" a="1"/>
  <c r="M693" i="8" s="1"/>
  <c r="L693" i="8" a="1"/>
  <c r="L693" i="8" s="1"/>
  <c r="N693" i="8" a="1"/>
  <c r="N693" i="8" s="1"/>
  <c r="K693" i="8" a="1"/>
  <c r="K693" i="8" s="1"/>
  <c r="D693" i="8"/>
  <c r="H693" i="8"/>
  <c r="E692" i="8"/>
  <c r="F692" i="8"/>
  <c r="A694" i="8"/>
  <c r="B694" i="8" s="1" a="1"/>
  <c r="B694" i="8" s="1"/>
  <c r="C693" i="8"/>
  <c r="G693" i="8" a="1"/>
  <c r="G693" i="8" s="1"/>
  <c r="I694" i="8" l="1"/>
  <c r="M694" i="8" a="1"/>
  <c r="M694" i="8" s="1"/>
  <c r="N694" i="8" a="1"/>
  <c r="N694" i="8" s="1"/>
  <c r="L694" i="8" a="1"/>
  <c r="L694" i="8" s="1"/>
  <c r="K694" i="8" a="1"/>
  <c r="K694" i="8" s="1"/>
  <c r="D694" i="8"/>
  <c r="H694" i="8"/>
  <c r="E693" i="8"/>
  <c r="F693" i="8"/>
  <c r="A695" i="8"/>
  <c r="B695" i="8" s="1" a="1"/>
  <c r="B695" i="8" s="1"/>
  <c r="C694" i="8"/>
  <c r="G694" i="8" a="1"/>
  <c r="G694" i="8" s="1"/>
  <c r="I695" i="8" l="1"/>
  <c r="N695" i="8" a="1"/>
  <c r="N695" i="8" s="1"/>
  <c r="M695" i="8" a="1"/>
  <c r="M695" i="8" s="1"/>
  <c r="L695" i="8" a="1"/>
  <c r="L695" i="8" s="1"/>
  <c r="K695" i="8" a="1"/>
  <c r="K695" i="8" s="1"/>
  <c r="D695" i="8"/>
  <c r="H695" i="8"/>
  <c r="E694" i="8"/>
  <c r="F694" i="8"/>
  <c r="A696" i="8"/>
  <c r="B696" i="8" s="1" a="1"/>
  <c r="B696" i="8" s="1"/>
  <c r="C695" i="8"/>
  <c r="G695" i="8" a="1"/>
  <c r="G695" i="8" s="1"/>
  <c r="I696" i="8" l="1"/>
  <c r="N696" i="8" a="1"/>
  <c r="N696" i="8" s="1"/>
  <c r="M696" i="8" a="1"/>
  <c r="M696" i="8" s="1"/>
  <c r="L696" i="8" a="1"/>
  <c r="L696" i="8" s="1"/>
  <c r="K696" i="8" a="1"/>
  <c r="K696" i="8" s="1"/>
  <c r="D696" i="8"/>
  <c r="H696" i="8"/>
  <c r="E695" i="8"/>
  <c r="F695" i="8"/>
  <c r="A697" i="8"/>
  <c r="B697" i="8" s="1" a="1"/>
  <c r="B697" i="8" s="1"/>
  <c r="C696" i="8"/>
  <c r="G696" i="8" a="1"/>
  <c r="G696" i="8" s="1"/>
  <c r="I697" i="8" l="1"/>
  <c r="N697" i="8" a="1"/>
  <c r="N697" i="8" s="1"/>
  <c r="M697" i="8" a="1"/>
  <c r="M697" i="8" s="1"/>
  <c r="L697" i="8" a="1"/>
  <c r="L697" i="8" s="1"/>
  <c r="K697" i="8" a="1"/>
  <c r="K697" i="8" s="1"/>
  <c r="D697" i="8"/>
  <c r="H697" i="8"/>
  <c r="E696" i="8"/>
  <c r="F696" i="8"/>
  <c r="A698" i="8"/>
  <c r="B698" i="8" s="1" a="1"/>
  <c r="B698" i="8" s="1"/>
  <c r="C697" i="8"/>
  <c r="G697" i="8" a="1"/>
  <c r="G697" i="8" s="1"/>
  <c r="I698" i="8" l="1"/>
  <c r="N698" i="8" a="1"/>
  <c r="N698" i="8" s="1"/>
  <c r="M698" i="8" a="1"/>
  <c r="M698" i="8" s="1"/>
  <c r="L698" i="8" a="1"/>
  <c r="L698" i="8" s="1"/>
  <c r="K698" i="8" a="1"/>
  <c r="K698" i="8" s="1"/>
  <c r="D698" i="8"/>
  <c r="H698" i="8"/>
  <c r="E697" i="8"/>
  <c r="F697" i="8"/>
  <c r="A699" i="8"/>
  <c r="B699" i="8" s="1" a="1"/>
  <c r="B699" i="8" s="1"/>
  <c r="C698" i="8"/>
  <c r="G698" i="8" a="1"/>
  <c r="G698" i="8" s="1"/>
  <c r="I699" i="8" l="1"/>
  <c r="L699" i="8" a="1"/>
  <c r="L699" i="8" s="1"/>
  <c r="N699" i="8" a="1"/>
  <c r="N699" i="8" s="1"/>
  <c r="M699" i="8" a="1"/>
  <c r="M699" i="8" s="1"/>
  <c r="K699" i="8" a="1"/>
  <c r="K699" i="8" s="1"/>
  <c r="D699" i="8"/>
  <c r="H699" i="8"/>
  <c r="E698" i="8"/>
  <c r="F698" i="8"/>
  <c r="A700" i="8"/>
  <c r="B700" i="8" s="1" a="1"/>
  <c r="B700" i="8" s="1"/>
  <c r="C699" i="8"/>
  <c r="G699" i="8" a="1"/>
  <c r="G699" i="8" s="1"/>
  <c r="I700" i="8" l="1"/>
  <c r="N700" i="8" a="1"/>
  <c r="N700" i="8" s="1"/>
  <c r="M700" i="8" a="1"/>
  <c r="M700" i="8" s="1"/>
  <c r="L700" i="8" a="1"/>
  <c r="L700" i="8" s="1"/>
  <c r="K700" i="8" a="1"/>
  <c r="K700" i="8" s="1"/>
  <c r="D700" i="8"/>
  <c r="H700" i="8"/>
  <c r="E699" i="8"/>
  <c r="F699" i="8"/>
  <c r="A701" i="8"/>
  <c r="B701" i="8" s="1" a="1"/>
  <c r="B701" i="8" s="1"/>
  <c r="C700" i="8"/>
  <c r="G700" i="8" a="1"/>
  <c r="G700" i="8" s="1"/>
  <c r="I701" i="8" l="1"/>
  <c r="N701" i="8" a="1"/>
  <c r="N701" i="8" s="1"/>
  <c r="M701" i="8" a="1"/>
  <c r="M701" i="8" s="1"/>
  <c r="L701" i="8" a="1"/>
  <c r="L701" i="8" s="1"/>
  <c r="K701" i="8" a="1"/>
  <c r="K701" i="8" s="1"/>
  <c r="D701" i="8"/>
  <c r="H701" i="8"/>
  <c r="E700" i="8"/>
  <c r="F700" i="8"/>
  <c r="A702" i="8"/>
  <c r="B702" i="8" s="1" a="1"/>
  <c r="B702" i="8" s="1"/>
  <c r="C701" i="8"/>
  <c r="I702" i="8" l="1"/>
  <c r="N702" i="8" a="1"/>
  <c r="N702" i="8" s="1"/>
  <c r="M702" i="8" a="1"/>
  <c r="M702" i="8" s="1"/>
  <c r="K702" i="8" a="1"/>
  <c r="K702" i="8" s="1"/>
  <c r="L702" i="8" a="1"/>
  <c r="L702" i="8" s="1"/>
  <c r="G701" i="8" a="1"/>
  <c r="G701" i="8" s="1"/>
  <c r="D702" i="8"/>
  <c r="H702" i="8"/>
  <c r="E701" i="8"/>
  <c r="F701" i="8"/>
  <c r="A703" i="8"/>
  <c r="B703" i="8" s="1" a="1"/>
  <c r="B703" i="8" s="1"/>
  <c r="C702" i="8"/>
  <c r="G702" i="8" a="1"/>
  <c r="G702" i="8" s="1"/>
  <c r="I703" i="8" l="1"/>
  <c r="N703" i="8" a="1"/>
  <c r="N703" i="8" s="1"/>
  <c r="M703" i="8" a="1"/>
  <c r="M703" i="8" s="1"/>
  <c r="L703" i="8" a="1"/>
  <c r="L703" i="8" s="1"/>
  <c r="K703" i="8" a="1"/>
  <c r="K703" i="8" s="1"/>
  <c r="D703" i="8"/>
  <c r="H703" i="8"/>
  <c r="E702" i="8"/>
  <c r="F702" i="8"/>
  <c r="A704" i="8"/>
  <c r="B704" i="8" s="1" a="1"/>
  <c r="B704" i="8" s="1"/>
  <c r="C703" i="8"/>
  <c r="G703" i="8" a="1"/>
  <c r="G703" i="8" s="1"/>
  <c r="I704" i="8" l="1"/>
  <c r="N704" i="8" a="1"/>
  <c r="N704" i="8" s="1"/>
  <c r="L704" i="8" a="1"/>
  <c r="L704" i="8" s="1"/>
  <c r="M704" i="8" a="1"/>
  <c r="M704" i="8" s="1"/>
  <c r="K704" i="8" a="1"/>
  <c r="K704" i="8" s="1"/>
  <c r="D704" i="8"/>
  <c r="H704" i="8"/>
  <c r="E703" i="8"/>
  <c r="F703" i="8"/>
  <c r="A705" i="8"/>
  <c r="B705" i="8" s="1" a="1"/>
  <c r="B705" i="8" s="1"/>
  <c r="C704" i="8"/>
  <c r="G704" i="8" a="1"/>
  <c r="G704" i="8" s="1"/>
  <c r="I705" i="8" l="1"/>
  <c r="N705" i="8" a="1"/>
  <c r="N705" i="8" s="1"/>
  <c r="M705" i="8" a="1"/>
  <c r="M705" i="8" s="1"/>
  <c r="L705" i="8" a="1"/>
  <c r="L705" i="8" s="1"/>
  <c r="K705" i="8" a="1"/>
  <c r="K705" i="8" s="1"/>
  <c r="D705" i="8"/>
  <c r="H705" i="8"/>
  <c r="E704" i="8"/>
  <c r="F704" i="8"/>
  <c r="A706" i="8"/>
  <c r="B706" i="8" s="1" a="1"/>
  <c r="B706" i="8" s="1"/>
  <c r="C705" i="8"/>
  <c r="G705" i="8" a="1"/>
  <c r="G705" i="8" s="1"/>
  <c r="I706" i="8" l="1"/>
  <c r="N706" i="8" a="1"/>
  <c r="N706" i="8" s="1"/>
  <c r="M706" i="8" a="1"/>
  <c r="M706" i="8" s="1"/>
  <c r="L706" i="8" a="1"/>
  <c r="L706" i="8" s="1"/>
  <c r="K706" i="8" a="1"/>
  <c r="K706" i="8" s="1"/>
  <c r="D706" i="8"/>
  <c r="H706" i="8"/>
  <c r="E705" i="8"/>
  <c r="F705" i="8"/>
  <c r="A707" i="8"/>
  <c r="B707" i="8" s="1" a="1"/>
  <c r="B707" i="8" s="1"/>
  <c r="C706" i="8"/>
  <c r="G706" i="8" a="1"/>
  <c r="G706" i="8" s="1"/>
  <c r="I707" i="8" l="1"/>
  <c r="N707" i="8" a="1"/>
  <c r="N707" i="8" s="1"/>
  <c r="M707" i="8" a="1"/>
  <c r="M707" i="8" s="1"/>
  <c r="L707" i="8" a="1"/>
  <c r="L707" i="8" s="1"/>
  <c r="K707" i="8" a="1"/>
  <c r="K707" i="8" s="1"/>
  <c r="D707" i="8"/>
  <c r="H707" i="8"/>
  <c r="E706" i="8"/>
  <c r="F706" i="8"/>
  <c r="A708" i="8"/>
  <c r="B708" i="8" s="1" a="1"/>
  <c r="B708" i="8" s="1"/>
  <c r="C707" i="8"/>
  <c r="G707" i="8" a="1"/>
  <c r="G707" i="8" s="1"/>
  <c r="I708" i="8" l="1"/>
  <c r="N708" i="8" a="1"/>
  <c r="N708" i="8" s="1"/>
  <c r="M708" i="8" a="1"/>
  <c r="M708" i="8" s="1"/>
  <c r="L708" i="8" a="1"/>
  <c r="L708" i="8" s="1"/>
  <c r="K708" i="8" a="1"/>
  <c r="K708" i="8" s="1"/>
  <c r="D708" i="8"/>
  <c r="H708" i="8"/>
  <c r="E707" i="8"/>
  <c r="F707" i="8"/>
  <c r="A709" i="8"/>
  <c r="B709" i="8" s="1" a="1"/>
  <c r="B709" i="8" s="1"/>
  <c r="C708" i="8"/>
  <c r="G708" i="8" a="1"/>
  <c r="G708" i="8" s="1"/>
  <c r="I709" i="8" l="1"/>
  <c r="M709" i="8" a="1"/>
  <c r="M709" i="8" s="1"/>
  <c r="N709" i="8" a="1"/>
  <c r="N709" i="8" s="1"/>
  <c r="L709" i="8" a="1"/>
  <c r="L709" i="8" s="1"/>
  <c r="K709" i="8" a="1"/>
  <c r="K709" i="8" s="1"/>
  <c r="D709" i="8"/>
  <c r="H709" i="8"/>
  <c r="E708" i="8"/>
  <c r="F708" i="8"/>
  <c r="A710" i="8"/>
  <c r="B710" i="8" s="1" a="1"/>
  <c r="B710" i="8" s="1"/>
  <c r="C709" i="8"/>
  <c r="G709" i="8" a="1"/>
  <c r="G709" i="8" s="1"/>
  <c r="I710" i="8" l="1"/>
  <c r="N710" i="8" a="1"/>
  <c r="N710" i="8" s="1"/>
  <c r="M710" i="8" a="1"/>
  <c r="M710" i="8" s="1"/>
  <c r="L710" i="8" a="1"/>
  <c r="L710" i="8" s="1"/>
  <c r="K710" i="8" a="1"/>
  <c r="K710" i="8" s="1"/>
  <c r="D710" i="8"/>
  <c r="H710" i="8"/>
  <c r="E709" i="8"/>
  <c r="F709" i="8"/>
  <c r="A711" i="8"/>
  <c r="B711" i="8" s="1" a="1"/>
  <c r="B711" i="8" s="1"/>
  <c r="C710" i="8"/>
  <c r="G710" i="8" a="1"/>
  <c r="G710" i="8" s="1"/>
  <c r="I711" i="8" l="1"/>
  <c r="M711" i="8" a="1"/>
  <c r="M711" i="8" s="1"/>
  <c r="N711" i="8" a="1"/>
  <c r="N711" i="8" s="1"/>
  <c r="K711" i="8" a="1"/>
  <c r="K711" i="8" s="1"/>
  <c r="L711" i="8" a="1"/>
  <c r="L711" i="8" s="1"/>
  <c r="D711" i="8"/>
  <c r="H711" i="8"/>
  <c r="E710" i="8"/>
  <c r="F710" i="8"/>
  <c r="A712" i="8"/>
  <c r="B712" i="8" s="1" a="1"/>
  <c r="B712" i="8" s="1"/>
  <c r="C711" i="8"/>
  <c r="G711" i="8" a="1"/>
  <c r="G711" i="8" s="1"/>
  <c r="I712" i="8" l="1"/>
  <c r="N712" i="8" a="1"/>
  <c r="N712" i="8" s="1"/>
  <c r="M712" i="8" a="1"/>
  <c r="M712" i="8" s="1"/>
  <c r="L712" i="8" a="1"/>
  <c r="L712" i="8" s="1"/>
  <c r="K712" i="8" a="1"/>
  <c r="K712" i="8" s="1"/>
  <c r="D712" i="8"/>
  <c r="H712" i="8"/>
  <c r="E711" i="8"/>
  <c r="F711" i="8"/>
  <c r="A713" i="8"/>
  <c r="B713" i="8" s="1" a="1"/>
  <c r="B713" i="8" s="1"/>
  <c r="C712" i="8"/>
  <c r="G712" i="8" a="1"/>
  <c r="G712" i="8" s="1"/>
  <c r="I713" i="8" l="1"/>
  <c r="N713" i="8" a="1"/>
  <c r="N713" i="8" s="1"/>
  <c r="M713" i="8" a="1"/>
  <c r="M713" i="8" s="1"/>
  <c r="L713" i="8" a="1"/>
  <c r="L713" i="8" s="1"/>
  <c r="K713" i="8" a="1"/>
  <c r="K713" i="8" s="1"/>
  <c r="D713" i="8"/>
  <c r="H713" i="8"/>
  <c r="E712" i="8"/>
  <c r="F712" i="8"/>
  <c r="A714" i="8"/>
  <c r="B714" i="8" s="1" a="1"/>
  <c r="B714" i="8" s="1"/>
  <c r="C713" i="8"/>
  <c r="G713" i="8" a="1"/>
  <c r="G713" i="8" s="1"/>
  <c r="I714" i="8" l="1"/>
  <c r="M714" i="8" a="1"/>
  <c r="M714" i="8" s="1"/>
  <c r="N714" i="8" a="1"/>
  <c r="N714" i="8" s="1"/>
  <c r="L714" i="8" a="1"/>
  <c r="L714" i="8" s="1"/>
  <c r="K714" i="8" a="1"/>
  <c r="K714" i="8" s="1"/>
  <c r="D714" i="8"/>
  <c r="H714" i="8"/>
  <c r="E713" i="8"/>
  <c r="F713" i="8"/>
  <c r="A715" i="8"/>
  <c r="B715" i="8" s="1" a="1"/>
  <c r="B715" i="8" s="1"/>
  <c r="C714" i="8"/>
  <c r="G714" i="8" a="1"/>
  <c r="G714" i="8" s="1"/>
  <c r="I715" i="8" l="1"/>
  <c r="N715" i="8" a="1"/>
  <c r="N715" i="8" s="1"/>
  <c r="M715" i="8" a="1"/>
  <c r="M715" i="8" s="1"/>
  <c r="L715" i="8" a="1"/>
  <c r="L715" i="8" s="1"/>
  <c r="K715" i="8" a="1"/>
  <c r="K715" i="8" s="1"/>
  <c r="D715" i="8"/>
  <c r="H715" i="8"/>
  <c r="E714" i="8"/>
  <c r="F714" i="8"/>
  <c r="A716" i="8"/>
  <c r="B716" i="8" s="1" a="1"/>
  <c r="B716" i="8" s="1"/>
  <c r="C715" i="8"/>
  <c r="G715" i="8" a="1"/>
  <c r="G715" i="8" s="1"/>
  <c r="I716" i="8" l="1"/>
  <c r="N716" i="8" a="1"/>
  <c r="N716" i="8" s="1"/>
  <c r="M716" i="8" a="1"/>
  <c r="M716" i="8" s="1"/>
  <c r="L716" i="8" a="1"/>
  <c r="L716" i="8" s="1"/>
  <c r="K716" i="8" a="1"/>
  <c r="K716" i="8" s="1"/>
  <c r="D716" i="8"/>
  <c r="H716" i="8"/>
  <c r="E715" i="8"/>
  <c r="F715" i="8"/>
  <c r="A717" i="8"/>
  <c r="B717" i="8" s="1" a="1"/>
  <c r="B717" i="8" s="1"/>
  <c r="C716" i="8"/>
  <c r="G716" i="8" a="1"/>
  <c r="G716" i="8" s="1"/>
  <c r="I717" i="8" l="1"/>
  <c r="N717" i="8" a="1"/>
  <c r="N717" i="8" s="1"/>
  <c r="M717" i="8" a="1"/>
  <c r="M717" i="8" s="1"/>
  <c r="L717" i="8" a="1"/>
  <c r="L717" i="8" s="1"/>
  <c r="K717" i="8" a="1"/>
  <c r="K717" i="8" s="1"/>
  <c r="D717" i="8"/>
  <c r="H717" i="8"/>
  <c r="E716" i="8"/>
  <c r="F716" i="8"/>
  <c r="A718" i="8"/>
  <c r="B718" i="8" s="1" a="1"/>
  <c r="B718" i="8" s="1"/>
  <c r="C717" i="8"/>
  <c r="G717" i="8" a="1"/>
  <c r="G717" i="8" s="1"/>
  <c r="I718" i="8" l="1"/>
  <c r="N718" i="8" a="1"/>
  <c r="N718" i="8" s="1"/>
  <c r="L718" i="8" a="1"/>
  <c r="L718" i="8" s="1"/>
  <c r="M718" i="8" a="1"/>
  <c r="M718" i="8" s="1"/>
  <c r="K718" i="8" a="1"/>
  <c r="K718" i="8" s="1"/>
  <c r="D718" i="8"/>
  <c r="H718" i="8"/>
  <c r="E717" i="8"/>
  <c r="F717" i="8"/>
  <c r="A719" i="8"/>
  <c r="B719" i="8" s="1" a="1"/>
  <c r="B719" i="8" s="1"/>
  <c r="C718" i="8"/>
  <c r="G718" i="8" a="1"/>
  <c r="G718" i="8" s="1"/>
  <c r="I719" i="8" l="1"/>
  <c r="N719" i="8" a="1"/>
  <c r="N719" i="8" s="1"/>
  <c r="L719" i="8" a="1"/>
  <c r="L719" i="8" s="1"/>
  <c r="M719" i="8" a="1"/>
  <c r="M719" i="8" s="1"/>
  <c r="K719" i="8" a="1"/>
  <c r="K719" i="8" s="1"/>
  <c r="D719" i="8"/>
  <c r="H719" i="8"/>
  <c r="E718" i="8"/>
  <c r="F718" i="8"/>
  <c r="A720" i="8"/>
  <c r="B720" i="8" s="1" a="1"/>
  <c r="B720" i="8" s="1"/>
  <c r="C719" i="8"/>
  <c r="G719" i="8" a="1"/>
  <c r="G719" i="8" s="1"/>
  <c r="I720" i="8" l="1"/>
  <c r="N720" i="8" a="1"/>
  <c r="N720" i="8" s="1"/>
  <c r="M720" i="8" a="1"/>
  <c r="M720" i="8" s="1"/>
  <c r="L720" i="8" a="1"/>
  <c r="L720" i="8" s="1"/>
  <c r="K720" i="8" a="1"/>
  <c r="K720" i="8" s="1"/>
  <c r="D720" i="8"/>
  <c r="H720" i="8"/>
  <c r="E719" i="8"/>
  <c r="F719" i="8"/>
  <c r="A721" i="8"/>
  <c r="B721" i="8" s="1" a="1"/>
  <c r="B721" i="8" s="1"/>
  <c r="C720" i="8"/>
  <c r="G720" i="8" a="1"/>
  <c r="G720" i="8" s="1"/>
  <c r="I721" i="8" l="1"/>
  <c r="N721" i="8" a="1"/>
  <c r="N721" i="8" s="1"/>
  <c r="M721" i="8" a="1"/>
  <c r="M721" i="8" s="1"/>
  <c r="L721" i="8" a="1"/>
  <c r="L721" i="8" s="1"/>
  <c r="K721" i="8" a="1"/>
  <c r="K721" i="8" s="1"/>
  <c r="D721" i="8"/>
  <c r="H721" i="8"/>
  <c r="E720" i="8"/>
  <c r="F720" i="8"/>
  <c r="A722" i="8"/>
  <c r="B722" i="8" s="1" a="1"/>
  <c r="B722" i="8" s="1"/>
  <c r="C721" i="8"/>
  <c r="G721" i="8" a="1"/>
  <c r="G721" i="8" s="1"/>
  <c r="I722" i="8" l="1"/>
  <c r="N722" i="8" a="1"/>
  <c r="N722" i="8" s="1"/>
  <c r="M722" i="8" a="1"/>
  <c r="M722" i="8" s="1"/>
  <c r="K722" i="8" a="1"/>
  <c r="K722" i="8" s="1"/>
  <c r="L722" i="8" a="1"/>
  <c r="L722" i="8" s="1"/>
  <c r="D722" i="8"/>
  <c r="H722" i="8"/>
  <c r="E721" i="8"/>
  <c r="F721" i="8"/>
  <c r="A723" i="8"/>
  <c r="B723" i="8" s="1" a="1"/>
  <c r="B723" i="8" s="1"/>
  <c r="C722" i="8"/>
  <c r="G722" i="8" a="1"/>
  <c r="G722" i="8" s="1"/>
  <c r="I723" i="8" l="1"/>
  <c r="N723" i="8" a="1"/>
  <c r="N723" i="8" s="1"/>
  <c r="M723" i="8" a="1"/>
  <c r="M723" i="8" s="1"/>
  <c r="L723" i="8" a="1"/>
  <c r="L723" i="8" s="1"/>
  <c r="K723" i="8" a="1"/>
  <c r="K723" i="8" s="1"/>
  <c r="D723" i="8"/>
  <c r="H723" i="8"/>
  <c r="E722" i="8"/>
  <c r="F722" i="8"/>
  <c r="A724" i="8"/>
  <c r="B724" i="8" s="1" a="1"/>
  <c r="B724" i="8" s="1"/>
  <c r="C723" i="8"/>
  <c r="G723" i="8" a="1"/>
  <c r="G723" i="8" s="1"/>
  <c r="I724" i="8" l="1"/>
  <c r="N724" i="8" a="1"/>
  <c r="N724" i="8" s="1"/>
  <c r="M724" i="8" a="1"/>
  <c r="M724" i="8" s="1"/>
  <c r="K724" i="8" a="1"/>
  <c r="K724" i="8" s="1"/>
  <c r="L724" i="8" a="1"/>
  <c r="L724" i="8" s="1"/>
  <c r="D724" i="8"/>
  <c r="H724" i="8"/>
  <c r="E723" i="8"/>
  <c r="F723" i="8"/>
  <c r="A725" i="8"/>
  <c r="B725" i="8" s="1" a="1"/>
  <c r="B725" i="8" s="1"/>
  <c r="C724" i="8"/>
  <c r="G724" i="8" a="1"/>
  <c r="G724" i="8" s="1"/>
  <c r="I725" i="8" l="1"/>
  <c r="N725" i="8" a="1"/>
  <c r="N725" i="8" s="1"/>
  <c r="M725" i="8" a="1"/>
  <c r="M725" i="8" s="1"/>
  <c r="L725" i="8" a="1"/>
  <c r="L725" i="8" s="1"/>
  <c r="K725" i="8" a="1"/>
  <c r="K725" i="8" s="1"/>
  <c r="D725" i="8"/>
  <c r="H725" i="8"/>
  <c r="E724" i="8"/>
  <c r="F724" i="8"/>
  <c r="A726" i="8"/>
  <c r="B726" i="8" s="1" a="1"/>
  <c r="B726" i="8" s="1"/>
  <c r="C725" i="8"/>
  <c r="G725" i="8" a="1"/>
  <c r="G725" i="8" s="1"/>
  <c r="I726" i="8" l="1"/>
  <c r="N726" i="8" a="1"/>
  <c r="N726" i="8" s="1"/>
  <c r="M726" i="8" a="1"/>
  <c r="M726" i="8" s="1"/>
  <c r="K726" i="8" a="1"/>
  <c r="K726" i="8" s="1"/>
  <c r="L726" i="8" a="1"/>
  <c r="L726" i="8" s="1"/>
  <c r="D726" i="8"/>
  <c r="H726" i="8"/>
  <c r="E725" i="8"/>
  <c r="F725" i="8"/>
  <c r="A727" i="8"/>
  <c r="B727" i="8" s="1" a="1"/>
  <c r="B727" i="8" s="1"/>
  <c r="C726" i="8"/>
  <c r="G726" i="8" a="1"/>
  <c r="G726" i="8" s="1"/>
  <c r="I727" i="8" l="1"/>
  <c r="N727" i="8" a="1"/>
  <c r="N727" i="8" s="1"/>
  <c r="M727" i="8" a="1"/>
  <c r="M727" i="8" s="1"/>
  <c r="L727" i="8" a="1"/>
  <c r="L727" i="8" s="1"/>
  <c r="K727" i="8" a="1"/>
  <c r="K727" i="8" s="1"/>
  <c r="D727" i="8"/>
  <c r="H727" i="8"/>
  <c r="E726" i="8"/>
  <c r="F726" i="8"/>
  <c r="A728" i="8"/>
  <c r="B728" i="8" s="1" a="1"/>
  <c r="B728" i="8" s="1"/>
  <c r="C727" i="8"/>
  <c r="G727" i="8" a="1"/>
  <c r="G727" i="8" s="1"/>
  <c r="I728" i="8" l="1"/>
  <c r="N728" i="8" a="1"/>
  <c r="N728" i="8" s="1"/>
  <c r="M728" i="8" a="1"/>
  <c r="M728" i="8" s="1"/>
  <c r="L728" i="8" a="1"/>
  <c r="L728" i="8" s="1"/>
  <c r="K728" i="8" a="1"/>
  <c r="K728" i="8" s="1"/>
  <c r="D728" i="8"/>
  <c r="H728" i="8"/>
  <c r="E727" i="8"/>
  <c r="F727" i="8"/>
  <c r="A729" i="8"/>
  <c r="B729" i="8" s="1" a="1"/>
  <c r="B729" i="8" s="1"/>
  <c r="C728" i="8"/>
  <c r="G728" i="8" a="1"/>
  <c r="G728" i="8" s="1"/>
  <c r="I729" i="8" l="1"/>
  <c r="N729" i="8" a="1"/>
  <c r="N729" i="8" s="1"/>
  <c r="M729" i="8" a="1"/>
  <c r="M729" i="8" s="1"/>
  <c r="L729" i="8" a="1"/>
  <c r="L729" i="8" s="1"/>
  <c r="K729" i="8" a="1"/>
  <c r="K729" i="8" s="1"/>
  <c r="D729" i="8"/>
  <c r="H729" i="8"/>
  <c r="E728" i="8"/>
  <c r="F728" i="8"/>
  <c r="A730" i="8"/>
  <c r="B730" i="8" s="1" a="1"/>
  <c r="B730" i="8" s="1"/>
  <c r="C729" i="8"/>
  <c r="G729" i="8" a="1"/>
  <c r="G729" i="8" s="1"/>
  <c r="I730" i="8" l="1"/>
  <c r="N730" i="8" a="1"/>
  <c r="N730" i="8" s="1"/>
  <c r="M730" i="8" a="1"/>
  <c r="M730" i="8" s="1"/>
  <c r="L730" i="8" a="1"/>
  <c r="L730" i="8" s="1"/>
  <c r="K730" i="8" a="1"/>
  <c r="K730" i="8" s="1"/>
  <c r="D730" i="8"/>
  <c r="H730" i="8"/>
  <c r="E729" i="8"/>
  <c r="F729" i="8"/>
  <c r="A731" i="8"/>
  <c r="B731" i="8" s="1" a="1"/>
  <c r="B731" i="8" s="1"/>
  <c r="C730" i="8"/>
  <c r="G730" i="8" a="1"/>
  <c r="G730" i="8" s="1"/>
  <c r="I731" i="8" l="1"/>
  <c r="N731" i="8" a="1"/>
  <c r="N731" i="8" s="1"/>
  <c r="M731" i="8" a="1"/>
  <c r="M731" i="8" s="1"/>
  <c r="L731" i="8" a="1"/>
  <c r="L731" i="8" s="1"/>
  <c r="K731" i="8" a="1"/>
  <c r="K731" i="8" s="1"/>
  <c r="D731" i="8"/>
  <c r="H731" i="8"/>
  <c r="E730" i="8"/>
  <c r="F730" i="8"/>
  <c r="A732" i="8"/>
  <c r="B732" i="8" s="1" a="1"/>
  <c r="B732" i="8" s="1"/>
  <c r="C731" i="8"/>
  <c r="G731" i="8" a="1"/>
  <c r="G731" i="8" s="1"/>
  <c r="I732" i="8" l="1"/>
  <c r="N732" i="8" a="1"/>
  <c r="N732" i="8" s="1"/>
  <c r="M732" i="8" a="1"/>
  <c r="M732" i="8" s="1"/>
  <c r="L732" i="8" a="1"/>
  <c r="L732" i="8" s="1"/>
  <c r="K732" i="8" a="1"/>
  <c r="K732" i="8" s="1"/>
  <c r="D732" i="8"/>
  <c r="H732" i="8"/>
  <c r="E731" i="8"/>
  <c r="F731" i="8"/>
  <c r="A733" i="8"/>
  <c r="B733" i="8" s="1" a="1"/>
  <c r="B733" i="8" s="1"/>
  <c r="C732" i="8"/>
  <c r="I733" i="8" l="1"/>
  <c r="N733" i="8" a="1"/>
  <c r="N733" i="8" s="1"/>
  <c r="M733" i="8" a="1"/>
  <c r="M733" i="8" s="1"/>
  <c r="L733" i="8" a="1"/>
  <c r="L733" i="8" s="1"/>
  <c r="K733" i="8" a="1"/>
  <c r="K733" i="8" s="1"/>
  <c r="G732" i="8" a="1"/>
  <c r="G732" i="8" s="1"/>
  <c r="D733" i="8"/>
  <c r="H733" i="8"/>
  <c r="E732" i="8"/>
  <c r="F732" i="8"/>
  <c r="A734" i="8"/>
  <c r="B734" i="8" s="1" a="1"/>
  <c r="B734" i="8" s="1"/>
  <c r="C733" i="8"/>
  <c r="G733" i="8" a="1"/>
  <c r="G733" i="8" s="1"/>
  <c r="I734" i="8" l="1"/>
  <c r="N734" i="8" a="1"/>
  <c r="N734" i="8" s="1"/>
  <c r="M734" i="8" a="1"/>
  <c r="M734" i="8" s="1"/>
  <c r="L734" i="8" a="1"/>
  <c r="L734" i="8" s="1"/>
  <c r="K734" i="8" a="1"/>
  <c r="K734" i="8" s="1"/>
  <c r="D734" i="8"/>
  <c r="H734" i="8"/>
  <c r="E733" i="8"/>
  <c r="F733" i="8"/>
  <c r="A735" i="8"/>
  <c r="B735" i="8" s="1" a="1"/>
  <c r="B735" i="8" s="1"/>
  <c r="C734" i="8"/>
  <c r="G734" i="8" a="1"/>
  <c r="G734" i="8" s="1"/>
  <c r="I735" i="8" l="1"/>
  <c r="N735" i="8" a="1"/>
  <c r="N735" i="8" s="1"/>
  <c r="M735" i="8" a="1"/>
  <c r="M735" i="8" s="1"/>
  <c r="L735" i="8" a="1"/>
  <c r="L735" i="8" s="1"/>
  <c r="K735" i="8" a="1"/>
  <c r="K735" i="8" s="1"/>
  <c r="D735" i="8"/>
  <c r="H735" i="8"/>
  <c r="E734" i="8"/>
  <c r="F734" i="8"/>
  <c r="A736" i="8"/>
  <c r="B736" i="8" s="1" a="1"/>
  <c r="B736" i="8" s="1"/>
  <c r="C735" i="8"/>
  <c r="G735" i="8" a="1"/>
  <c r="G735" i="8" s="1"/>
  <c r="I736" i="8" l="1"/>
  <c r="N736" i="8" a="1"/>
  <c r="N736" i="8" s="1"/>
  <c r="M736" i="8" a="1"/>
  <c r="M736" i="8" s="1"/>
  <c r="K736" i="8" a="1"/>
  <c r="K736" i="8" s="1"/>
  <c r="L736" i="8" a="1"/>
  <c r="L736" i="8" s="1"/>
  <c r="D736" i="8"/>
  <c r="H736" i="8"/>
  <c r="E735" i="8"/>
  <c r="F735" i="8"/>
  <c r="A737" i="8"/>
  <c r="B737" i="8" s="1" a="1"/>
  <c r="B737" i="8" s="1"/>
  <c r="C736" i="8"/>
  <c r="G736" i="8" a="1"/>
  <c r="G736" i="8" s="1"/>
  <c r="I737" i="8" l="1"/>
  <c r="N737" i="8" a="1"/>
  <c r="N737" i="8" s="1"/>
  <c r="M737" i="8" a="1"/>
  <c r="M737" i="8" s="1"/>
  <c r="L737" i="8" a="1"/>
  <c r="L737" i="8" s="1"/>
  <c r="K737" i="8" a="1"/>
  <c r="K737" i="8" s="1"/>
  <c r="D737" i="8"/>
  <c r="H737" i="8"/>
  <c r="E736" i="8"/>
  <c r="F736" i="8"/>
  <c r="A738" i="8"/>
  <c r="B738" i="8" s="1" a="1"/>
  <c r="B738" i="8" s="1"/>
  <c r="C737" i="8"/>
  <c r="G737" i="8" a="1"/>
  <c r="G737" i="8" s="1"/>
  <c r="I738" i="8" l="1"/>
  <c r="N738" i="8" a="1"/>
  <c r="N738" i="8" s="1"/>
  <c r="M738" i="8" a="1"/>
  <c r="M738" i="8" s="1"/>
  <c r="L738" i="8" a="1"/>
  <c r="L738" i="8" s="1"/>
  <c r="K738" i="8" a="1"/>
  <c r="K738" i="8" s="1"/>
  <c r="D738" i="8"/>
  <c r="H738" i="8"/>
  <c r="E737" i="8"/>
  <c r="F737" i="8"/>
  <c r="A739" i="8"/>
  <c r="B739" i="8" s="1" a="1"/>
  <c r="B739" i="8" s="1"/>
  <c r="C738" i="8"/>
  <c r="G738" i="8" a="1"/>
  <c r="G738" i="8" s="1"/>
  <c r="I739" i="8" l="1"/>
  <c r="N739" i="8" a="1"/>
  <c r="N739" i="8" s="1"/>
  <c r="M739" i="8" a="1"/>
  <c r="M739" i="8" s="1"/>
  <c r="L739" i="8" a="1"/>
  <c r="L739" i="8" s="1"/>
  <c r="K739" i="8" a="1"/>
  <c r="K739" i="8" s="1"/>
  <c r="D739" i="8"/>
  <c r="H739" i="8"/>
  <c r="E738" i="8"/>
  <c r="F738" i="8"/>
  <c r="A740" i="8"/>
  <c r="B740" i="8" s="1" a="1"/>
  <c r="B740" i="8" s="1"/>
  <c r="C739" i="8"/>
  <c r="G739" i="8" a="1"/>
  <c r="G739" i="8" s="1"/>
  <c r="I740" i="8" l="1"/>
  <c r="N740" i="8" a="1"/>
  <c r="N740" i="8" s="1"/>
  <c r="M740" i="8" a="1"/>
  <c r="M740" i="8" s="1"/>
  <c r="L740" i="8" a="1"/>
  <c r="L740" i="8" s="1"/>
  <c r="K740" i="8" a="1"/>
  <c r="K740" i="8" s="1"/>
  <c r="D740" i="8"/>
  <c r="H740" i="8"/>
  <c r="E739" i="8"/>
  <c r="F739" i="8"/>
  <c r="A741" i="8"/>
  <c r="B741" i="8" s="1" a="1"/>
  <c r="B741" i="8" s="1"/>
  <c r="C740" i="8"/>
  <c r="G740" i="8" a="1"/>
  <c r="G740" i="8" s="1"/>
  <c r="I741" i="8" l="1"/>
  <c r="N741" i="8" a="1"/>
  <c r="N741" i="8" s="1"/>
  <c r="L741" i="8" a="1"/>
  <c r="L741" i="8" s="1"/>
  <c r="M741" i="8" a="1"/>
  <c r="M741" i="8" s="1"/>
  <c r="K741" i="8" a="1"/>
  <c r="K741" i="8" s="1"/>
  <c r="D741" i="8"/>
  <c r="H741" i="8"/>
  <c r="E740" i="8"/>
  <c r="F740" i="8"/>
  <c r="C741" i="8"/>
  <c r="G741" i="8" a="1"/>
  <c r="G741" i="8" s="1"/>
  <c r="E741" i="8" l="1"/>
  <c r="F741" i="8"/>
  <c r="J25" i="8" l="1"/>
  <c r="J7" i="8"/>
  <c r="J17" i="8"/>
  <c r="J3" i="8"/>
  <c r="J5" i="8"/>
  <c r="J19" i="8"/>
  <c r="J20" i="8"/>
  <c r="J22" i="8"/>
  <c r="J16" i="8"/>
  <c r="J13" i="8"/>
  <c r="J32" i="8"/>
  <c r="J29" i="8"/>
  <c r="J23" i="8"/>
  <c r="J12" i="8"/>
  <c r="J26" i="8"/>
  <c r="J10" i="8"/>
  <c r="J11" i="8"/>
  <c r="J31" i="8"/>
  <c r="J9" i="8"/>
  <c r="J30" i="8"/>
  <c r="J15" i="8"/>
  <c r="J28" i="8"/>
  <c r="J6" i="8"/>
  <c r="J4" i="8"/>
  <c r="J21" i="8"/>
  <c r="J2" i="8"/>
  <c r="J24" i="8"/>
  <c r="J8" i="8"/>
  <c r="J18" i="8"/>
  <c r="J14" i="8"/>
  <c r="J27" i="8"/>
  <c r="J47" i="8"/>
  <c r="J58" i="8"/>
  <c r="J42" i="8"/>
  <c r="J50" i="8"/>
  <c r="J36" i="8"/>
  <c r="J37" i="8"/>
  <c r="J40" i="8"/>
  <c r="J55" i="8"/>
  <c r="J41" i="8"/>
  <c r="J51" i="8"/>
  <c r="J43" i="8"/>
  <c r="J35" i="8"/>
  <c r="J45" i="8"/>
  <c r="J48" i="8"/>
  <c r="J33" i="8"/>
  <c r="J39" i="8"/>
  <c r="J60" i="8"/>
  <c r="J59" i="8"/>
  <c r="J34" i="8"/>
  <c r="J46" i="8"/>
  <c r="J49" i="8"/>
  <c r="J56" i="8"/>
  <c r="J57" i="8"/>
  <c r="J38" i="8"/>
  <c r="J53" i="8"/>
  <c r="J44" i="8"/>
  <c r="J52" i="8"/>
  <c r="J54" i="8"/>
  <c r="J85" i="8"/>
  <c r="J71" i="8"/>
  <c r="J78" i="8"/>
  <c r="J66" i="8"/>
  <c r="J62" i="8"/>
  <c r="J81" i="8"/>
  <c r="J91" i="8"/>
  <c r="J88" i="8"/>
  <c r="J70" i="8"/>
  <c r="J73" i="8"/>
  <c r="J90" i="8"/>
  <c r="J89" i="8"/>
  <c r="J72" i="8"/>
  <c r="J63" i="8"/>
  <c r="J74" i="8"/>
  <c r="J83" i="8"/>
  <c r="J64" i="8"/>
  <c r="J69" i="8"/>
  <c r="J65" i="8"/>
  <c r="J61" i="8"/>
  <c r="J67" i="8"/>
  <c r="J79" i="8"/>
  <c r="J75" i="8"/>
  <c r="J68" i="8"/>
  <c r="J82" i="8"/>
  <c r="J84" i="8"/>
  <c r="J87" i="8"/>
  <c r="J80" i="8"/>
  <c r="J76" i="8"/>
  <c r="J77" i="8"/>
  <c r="J86" i="8"/>
  <c r="J110" i="8"/>
  <c r="J105" i="8"/>
  <c r="J117" i="8"/>
  <c r="J109" i="8"/>
  <c r="J98" i="8"/>
  <c r="J113" i="8"/>
  <c r="J108" i="8"/>
  <c r="J97" i="8"/>
  <c r="J94" i="8"/>
  <c r="J115" i="8"/>
  <c r="J114" i="8"/>
  <c r="J116" i="8"/>
  <c r="J104" i="8"/>
  <c r="J120" i="8"/>
  <c r="J93" i="8"/>
  <c r="J96" i="8"/>
  <c r="J95" i="8"/>
  <c r="J111" i="8"/>
  <c r="J121" i="8"/>
  <c r="J99" i="8"/>
  <c r="J112" i="8"/>
  <c r="J102" i="8"/>
  <c r="J103" i="8"/>
  <c r="J106" i="8"/>
  <c r="J100" i="8"/>
  <c r="J119" i="8"/>
  <c r="J107" i="8"/>
  <c r="J118" i="8"/>
  <c r="J92" i="8"/>
  <c r="J101" i="8"/>
  <c r="J131" i="8"/>
  <c r="J122" i="8"/>
  <c r="J128" i="8"/>
  <c r="J140" i="8"/>
  <c r="J124" i="8"/>
  <c r="J145" i="8"/>
  <c r="J135" i="8"/>
  <c r="J146" i="8"/>
  <c r="J134" i="8"/>
  <c r="J127" i="8"/>
  <c r="J129" i="8"/>
  <c r="J150" i="8"/>
  <c r="J143" i="8"/>
  <c r="J136" i="8"/>
  <c r="J132" i="8"/>
  <c r="J139" i="8"/>
  <c r="J125" i="8"/>
  <c r="J138" i="8"/>
  <c r="J123" i="8"/>
  <c r="J137" i="8"/>
  <c r="J133" i="8"/>
  <c r="J148" i="8"/>
  <c r="J149" i="8"/>
  <c r="J144" i="8"/>
  <c r="J130" i="8"/>
  <c r="J141" i="8"/>
  <c r="J126" i="8"/>
  <c r="J152" i="8"/>
  <c r="J142" i="8"/>
  <c r="J147" i="8"/>
  <c r="J151" i="8"/>
  <c r="J173" i="8"/>
  <c r="J154" i="8"/>
  <c r="J157" i="8"/>
  <c r="J158" i="8"/>
  <c r="J163" i="8"/>
  <c r="J166" i="8"/>
  <c r="J169" i="8"/>
  <c r="J162" i="8"/>
  <c r="J178" i="8"/>
  <c r="J182" i="8"/>
  <c r="J160" i="8"/>
  <c r="J175" i="8"/>
  <c r="J179" i="8"/>
  <c r="J159" i="8"/>
  <c r="J180" i="8"/>
  <c r="J167" i="8"/>
  <c r="J170" i="8"/>
  <c r="J177" i="8"/>
  <c r="J155" i="8"/>
  <c r="J153" i="8"/>
  <c r="J164" i="8"/>
  <c r="J156" i="8"/>
  <c r="J176" i="8"/>
  <c r="J171" i="8"/>
  <c r="J161" i="8"/>
  <c r="J174" i="8"/>
  <c r="J168" i="8"/>
  <c r="J181" i="8"/>
  <c r="J165" i="8"/>
  <c r="J172" i="8"/>
  <c r="J201" i="8"/>
  <c r="J190" i="8"/>
  <c r="J208" i="8"/>
  <c r="J193" i="8"/>
  <c r="J187" i="8"/>
  <c r="J191" i="8"/>
  <c r="J189" i="8"/>
  <c r="J204" i="8"/>
  <c r="J202" i="8"/>
  <c r="J186" i="8"/>
  <c r="J192" i="8"/>
  <c r="J209" i="8"/>
  <c r="J211" i="8"/>
  <c r="J212" i="8"/>
  <c r="J213" i="8"/>
  <c r="J196" i="8"/>
  <c r="J206" i="8"/>
  <c r="J198" i="8"/>
  <c r="J184" i="8"/>
  <c r="J195" i="8"/>
  <c r="J197" i="8"/>
  <c r="J188" i="8"/>
  <c r="J200" i="8"/>
  <c r="J207" i="8"/>
  <c r="J203" i="8"/>
  <c r="J205" i="8"/>
  <c r="J199" i="8"/>
  <c r="J185" i="8"/>
  <c r="J183" i="8"/>
  <c r="J194" i="8"/>
  <c r="J210" i="8"/>
  <c r="J229" i="8"/>
  <c r="J214" i="8"/>
  <c r="J228" i="8"/>
  <c r="J219" i="8"/>
  <c r="J237" i="8"/>
  <c r="J240" i="8"/>
  <c r="J217" i="8"/>
  <c r="J225" i="8"/>
  <c r="J220" i="8"/>
  <c r="J233" i="8"/>
  <c r="J231" i="8"/>
  <c r="J239" i="8"/>
  <c r="J222" i="8"/>
  <c r="J232" i="8"/>
  <c r="J215" i="8"/>
  <c r="J227" i="8"/>
  <c r="J216" i="8"/>
  <c r="J223" i="8"/>
  <c r="J243" i="8"/>
  <c r="J241" i="8"/>
  <c r="J244" i="8"/>
  <c r="J238" i="8"/>
  <c r="J242" i="8"/>
  <c r="J226" i="8"/>
  <c r="J234" i="8"/>
  <c r="J218" i="8"/>
  <c r="J230" i="8"/>
  <c r="J235" i="8"/>
  <c r="J224" i="8"/>
  <c r="J221" i="8"/>
  <c r="J236" i="8"/>
  <c r="J260" i="8"/>
  <c r="J255" i="8"/>
  <c r="J245" i="8"/>
  <c r="J258" i="8"/>
  <c r="J267" i="8"/>
  <c r="J251" i="8"/>
  <c r="J269" i="8"/>
  <c r="J271" i="8"/>
  <c r="J265" i="8"/>
  <c r="J247" i="8"/>
  <c r="J246" i="8"/>
  <c r="J252" i="8"/>
  <c r="J259" i="8"/>
  <c r="J256" i="8"/>
  <c r="J249" i="8"/>
  <c r="J248" i="8"/>
  <c r="J261" i="8"/>
  <c r="J257" i="8"/>
  <c r="J272" i="8"/>
  <c r="J270" i="8"/>
  <c r="J266" i="8"/>
  <c r="J264" i="8"/>
  <c r="J250" i="8"/>
  <c r="J263" i="8"/>
  <c r="J253" i="8"/>
  <c r="J262" i="8"/>
  <c r="J254" i="8"/>
  <c r="J274" i="8"/>
  <c r="J268" i="8"/>
  <c r="J273" i="8"/>
  <c r="J305" i="8"/>
  <c r="J285" i="8"/>
  <c r="J281" i="8"/>
  <c r="J279" i="8"/>
  <c r="J282" i="8"/>
  <c r="J296" i="8"/>
  <c r="J295" i="8"/>
  <c r="J278" i="8"/>
  <c r="J293" i="8"/>
  <c r="J283" i="8"/>
  <c r="J280" i="8"/>
  <c r="J300" i="8"/>
  <c r="J297" i="8"/>
  <c r="J299" i="8"/>
  <c r="J277" i="8"/>
  <c r="J286" i="8"/>
  <c r="J298" i="8"/>
  <c r="J301" i="8"/>
  <c r="J289" i="8"/>
  <c r="J304" i="8"/>
  <c r="J291" i="8"/>
  <c r="J287" i="8"/>
  <c r="J276" i="8"/>
  <c r="J275" i="8"/>
  <c r="J292" i="8"/>
  <c r="J288" i="8"/>
  <c r="J303" i="8"/>
  <c r="J284" i="8"/>
  <c r="J294" i="8"/>
  <c r="J302" i="8"/>
  <c r="J290" i="8"/>
  <c r="J326" i="8"/>
  <c r="J334" i="8"/>
  <c r="J309" i="8"/>
  <c r="J328" i="8"/>
  <c r="J335" i="8"/>
  <c r="J327" i="8"/>
  <c r="J333" i="8"/>
  <c r="J308" i="8"/>
  <c r="J329" i="8"/>
  <c r="J318" i="8"/>
  <c r="J323" i="8"/>
  <c r="J307" i="8"/>
  <c r="J324" i="8"/>
  <c r="J317" i="8"/>
  <c r="J320" i="8"/>
  <c r="J310" i="8"/>
  <c r="J325" i="8"/>
  <c r="J314" i="8"/>
  <c r="J322" i="8"/>
  <c r="J315" i="8"/>
  <c r="J312" i="8"/>
  <c r="J313" i="8"/>
  <c r="J321" i="8"/>
  <c r="J319" i="8"/>
  <c r="J330" i="8"/>
  <c r="J311" i="8"/>
  <c r="J331" i="8"/>
  <c r="J306" i="8"/>
  <c r="J316" i="8"/>
  <c r="J332" i="8"/>
  <c r="J360" i="8"/>
  <c r="J348" i="8"/>
  <c r="J359" i="8"/>
  <c r="J351" i="8"/>
  <c r="J364" i="8"/>
  <c r="J345" i="8"/>
  <c r="J352" i="8"/>
  <c r="J341" i="8"/>
  <c r="J346" i="8"/>
  <c r="J344" i="8"/>
  <c r="J355" i="8"/>
  <c r="J343" i="8"/>
  <c r="J340" i="8"/>
  <c r="J361" i="8"/>
  <c r="J358" i="8"/>
  <c r="J338" i="8"/>
  <c r="J342" i="8"/>
  <c r="J336" i="8"/>
  <c r="J363" i="8"/>
  <c r="J350" i="8"/>
  <c r="J347" i="8"/>
  <c r="J337" i="8"/>
  <c r="J354" i="8"/>
  <c r="J339" i="8"/>
  <c r="J349" i="8"/>
  <c r="J365" i="8"/>
  <c r="J356" i="8"/>
  <c r="J357" i="8"/>
  <c r="J353" i="8"/>
  <c r="J366" i="8"/>
  <c r="J362" i="8"/>
  <c r="J395" i="8"/>
  <c r="J380" i="8"/>
  <c r="J385" i="8"/>
  <c r="J389" i="8"/>
  <c r="J387" i="8"/>
  <c r="J374" i="8"/>
  <c r="J390" i="8"/>
  <c r="J377" i="8"/>
  <c r="J372" i="8"/>
  <c r="J367" i="8"/>
  <c r="J392" i="8"/>
  <c r="J397" i="8"/>
  <c r="J379" i="8"/>
  <c r="J368" i="8"/>
  <c r="J381" i="8"/>
  <c r="J391" i="8"/>
  <c r="J376" i="8"/>
  <c r="J373" i="8"/>
  <c r="J396" i="8"/>
  <c r="J370" i="8"/>
  <c r="J388" i="8"/>
  <c r="J386" i="8"/>
  <c r="J384" i="8"/>
  <c r="J375" i="8"/>
  <c r="J378" i="8"/>
  <c r="J382" i="8"/>
  <c r="J393" i="8"/>
  <c r="J371" i="8"/>
  <c r="J369" i="8"/>
  <c r="J394" i="8"/>
  <c r="J383" i="8"/>
  <c r="J412" i="8"/>
  <c r="J409" i="8"/>
  <c r="J405" i="8"/>
  <c r="J398" i="8"/>
  <c r="J403" i="8"/>
  <c r="J417" i="8"/>
  <c r="J406" i="8"/>
  <c r="J421" i="8"/>
  <c r="J410" i="8"/>
  <c r="J420" i="8"/>
  <c r="J408" i="8"/>
  <c r="J415" i="8"/>
  <c r="J413" i="8"/>
  <c r="J399" i="8"/>
  <c r="J418" i="8"/>
  <c r="J402" i="8"/>
  <c r="J419" i="8"/>
  <c r="J407" i="8"/>
  <c r="J425" i="8"/>
  <c r="J416" i="8"/>
  <c r="J414" i="8"/>
  <c r="J401" i="8"/>
  <c r="J400" i="8"/>
  <c r="J411" i="8"/>
  <c r="J404" i="8"/>
  <c r="J424" i="8"/>
  <c r="J423" i="8"/>
  <c r="J422" i="8"/>
  <c r="J433" i="8"/>
  <c r="J429" i="8"/>
  <c r="J455" i="8"/>
  <c r="J434" i="8"/>
  <c r="J439" i="8"/>
  <c r="J438" i="8"/>
  <c r="J454" i="8"/>
  <c r="J441" i="8"/>
  <c r="J428" i="8"/>
  <c r="J435" i="8"/>
  <c r="J450" i="8"/>
  <c r="J442" i="8"/>
  <c r="J456" i="8"/>
  <c r="J445" i="8"/>
  <c r="J426" i="8"/>
  <c r="J447" i="8"/>
  <c r="J448" i="8"/>
  <c r="J452" i="8"/>
  <c r="J432" i="8"/>
  <c r="J451" i="8"/>
  <c r="J431" i="8"/>
  <c r="J449" i="8"/>
  <c r="J436" i="8"/>
  <c r="J440" i="8"/>
  <c r="J453" i="8"/>
  <c r="J437" i="8"/>
  <c r="J443" i="8"/>
  <c r="J427" i="8"/>
  <c r="J444" i="8"/>
  <c r="J446" i="8"/>
  <c r="J430" i="8"/>
  <c r="J463" i="8"/>
  <c r="J480" i="8"/>
  <c r="J477" i="8"/>
  <c r="J484" i="8"/>
  <c r="J470" i="8"/>
  <c r="J460" i="8"/>
  <c r="J468" i="8"/>
  <c r="J472" i="8"/>
  <c r="J483" i="8"/>
  <c r="J465" i="8"/>
  <c r="J466" i="8"/>
  <c r="J478" i="8"/>
  <c r="J479" i="8"/>
  <c r="J461" i="8"/>
  <c r="J467" i="8"/>
  <c r="J475" i="8"/>
  <c r="J485" i="8"/>
  <c r="J464" i="8"/>
  <c r="J459" i="8"/>
  <c r="J476" i="8"/>
  <c r="J474" i="8"/>
  <c r="J457" i="8"/>
  <c r="J482" i="8"/>
  <c r="J458" i="8"/>
  <c r="J469" i="8"/>
  <c r="J481" i="8"/>
  <c r="J473" i="8"/>
  <c r="J471" i="8"/>
  <c r="J462" i="8"/>
  <c r="J486" i="8"/>
  <c r="J504" i="8"/>
  <c r="J489" i="8"/>
  <c r="J511" i="8"/>
  <c r="J501" i="8"/>
  <c r="J490" i="8"/>
  <c r="J512" i="8"/>
  <c r="J499" i="8"/>
  <c r="J515" i="8"/>
  <c r="J514" i="8"/>
  <c r="J510" i="8"/>
  <c r="J494" i="8"/>
  <c r="J506" i="8"/>
  <c r="J491" i="8"/>
  <c r="J500" i="8"/>
  <c r="J498" i="8"/>
  <c r="J497" i="8"/>
  <c r="J502" i="8"/>
  <c r="J487" i="8"/>
  <c r="J493" i="8"/>
  <c r="J517" i="8"/>
  <c r="J516" i="8"/>
  <c r="J492" i="8"/>
  <c r="J509" i="8"/>
  <c r="J507" i="8"/>
  <c r="J508" i="8"/>
  <c r="J496" i="8"/>
  <c r="J488" i="8"/>
  <c r="J505" i="8"/>
  <c r="J495" i="8"/>
  <c r="J513" i="8"/>
  <c r="J503" i="8"/>
  <c r="J535" i="8"/>
  <c r="J546" i="8"/>
  <c r="J522" i="8"/>
  <c r="J521" i="8"/>
  <c r="J533" i="8"/>
  <c r="J532" i="8"/>
  <c r="J530" i="8"/>
  <c r="J529" i="8"/>
  <c r="J542" i="8"/>
  <c r="J518" i="8"/>
  <c r="J525" i="8"/>
  <c r="J543" i="8"/>
  <c r="J541" i="8"/>
  <c r="J527" i="8"/>
  <c r="J534" i="8"/>
  <c r="J531" i="8"/>
  <c r="J538" i="8"/>
  <c r="J540" i="8"/>
  <c r="J523" i="8"/>
  <c r="J526" i="8"/>
  <c r="J544" i="8"/>
  <c r="J519" i="8"/>
  <c r="J520" i="8"/>
  <c r="J547" i="8"/>
  <c r="J537" i="8"/>
  <c r="J545" i="8"/>
  <c r="J528" i="8"/>
  <c r="J524" i="8"/>
  <c r="J536" i="8"/>
  <c r="J539" i="8"/>
  <c r="J566" i="8"/>
  <c r="J558" i="8"/>
  <c r="J578" i="8"/>
  <c r="J551" i="8"/>
  <c r="J552" i="8"/>
  <c r="J548" i="8"/>
  <c r="J555" i="8"/>
  <c r="J573" i="8"/>
  <c r="J570" i="8"/>
  <c r="J554" i="8"/>
  <c r="J568" i="8"/>
  <c r="J571" i="8"/>
  <c r="J553" i="8"/>
  <c r="J569" i="8"/>
  <c r="J561" i="8"/>
  <c r="J559" i="8"/>
  <c r="J567" i="8"/>
  <c r="J556" i="8"/>
  <c r="J572" i="8"/>
  <c r="J563" i="8"/>
  <c r="J565" i="8"/>
  <c r="J577" i="8"/>
  <c r="J576" i="8"/>
  <c r="J549" i="8"/>
  <c r="J574" i="8"/>
  <c r="J562" i="8"/>
  <c r="J575" i="8"/>
  <c r="J560" i="8"/>
  <c r="J564" i="8"/>
  <c r="J557" i="8"/>
  <c r="J550" i="8"/>
  <c r="J605" i="8"/>
  <c r="J579" i="8"/>
  <c r="J582" i="8"/>
  <c r="J596" i="8"/>
  <c r="J585" i="8"/>
  <c r="J606" i="8"/>
  <c r="J600" i="8"/>
  <c r="J590" i="8"/>
  <c r="J604" i="8"/>
  <c r="J580" i="8"/>
  <c r="J607" i="8"/>
  <c r="J584" i="8"/>
  <c r="J609" i="8"/>
  <c r="J602" i="8"/>
  <c r="J594" i="8"/>
  <c r="J597" i="8"/>
  <c r="J599" i="8"/>
  <c r="J591" i="8"/>
  <c r="J581" i="8"/>
  <c r="J608" i="8"/>
  <c r="J589" i="8"/>
  <c r="J592" i="8"/>
  <c r="J588" i="8"/>
  <c r="J593" i="8"/>
  <c r="J583" i="8"/>
  <c r="J598" i="8"/>
  <c r="J601" i="8"/>
  <c r="J603" i="8"/>
  <c r="J587" i="8"/>
  <c r="J586" i="8"/>
  <c r="J595" i="8"/>
  <c r="J628" i="8"/>
  <c r="J639" i="8"/>
  <c r="J630" i="8"/>
  <c r="J618" i="8"/>
  <c r="J623" i="8"/>
  <c r="J614" i="8"/>
  <c r="J631" i="8"/>
  <c r="J632" i="8"/>
  <c r="J619" i="8"/>
  <c r="J616" i="8"/>
  <c r="J627" i="8"/>
  <c r="J625" i="8"/>
  <c r="J629" i="8"/>
  <c r="J611" i="8"/>
  <c r="J622" i="8"/>
  <c r="J610" i="8"/>
  <c r="J635" i="8"/>
  <c r="J634" i="8"/>
  <c r="J613" i="8"/>
  <c r="J633" i="8"/>
  <c r="J621" i="8"/>
  <c r="J638" i="8"/>
  <c r="J636" i="8"/>
  <c r="J617" i="8"/>
  <c r="J624" i="8"/>
  <c r="J615" i="8"/>
  <c r="J620" i="8"/>
  <c r="J637" i="8"/>
  <c r="J612" i="8"/>
  <c r="J626" i="8"/>
  <c r="J669" i="8"/>
  <c r="J647" i="8"/>
  <c r="J665" i="8"/>
  <c r="J643" i="8"/>
  <c r="J668" i="8"/>
  <c r="J661" i="8"/>
  <c r="J640" i="8"/>
  <c r="J662" i="8"/>
  <c r="J666" i="8"/>
  <c r="J656" i="8"/>
  <c r="J649" i="8"/>
  <c r="J645" i="8"/>
  <c r="J652" i="8"/>
  <c r="J651" i="8"/>
  <c r="J670" i="8"/>
  <c r="J657" i="8"/>
  <c r="J641" i="8"/>
  <c r="J653" i="8"/>
  <c r="J648" i="8"/>
  <c r="J667" i="8"/>
  <c r="J663" i="8"/>
  <c r="J644" i="8"/>
  <c r="J646" i="8"/>
  <c r="J642" i="8"/>
  <c r="J654" i="8"/>
  <c r="J659" i="8"/>
  <c r="J660" i="8"/>
  <c r="J664" i="8"/>
  <c r="J650" i="8"/>
  <c r="J655" i="8"/>
  <c r="J658" i="8"/>
  <c r="J671" i="8"/>
  <c r="J675" i="8"/>
  <c r="J687" i="8"/>
  <c r="J699" i="8"/>
  <c r="J674" i="8"/>
  <c r="J686" i="8"/>
  <c r="J684" i="8"/>
  <c r="J695" i="8"/>
  <c r="J673" i="8"/>
  <c r="J685" i="8"/>
  <c r="J689" i="8"/>
  <c r="J692" i="8"/>
  <c r="J681" i="8"/>
  <c r="J688" i="8"/>
  <c r="J680" i="8"/>
  <c r="J690" i="8"/>
  <c r="J694" i="8"/>
  <c r="J696" i="8"/>
  <c r="J676" i="8"/>
  <c r="J677" i="8"/>
  <c r="J679" i="8"/>
  <c r="J672" i="8"/>
  <c r="J693" i="8"/>
  <c r="J683" i="8"/>
  <c r="J697" i="8"/>
  <c r="J698" i="8"/>
  <c r="J682" i="8"/>
  <c r="J700" i="8"/>
  <c r="J678" i="8"/>
  <c r="J691" i="8"/>
  <c r="J724" i="8"/>
  <c r="J715" i="8"/>
  <c r="J720" i="8"/>
  <c r="J718" i="8"/>
  <c r="J707" i="8"/>
  <c r="J710" i="8"/>
  <c r="J705" i="8"/>
  <c r="J726" i="8"/>
  <c r="J716" i="8"/>
  <c r="J731" i="8"/>
  <c r="J708" i="8"/>
  <c r="J714" i="8"/>
  <c r="J725" i="8"/>
  <c r="J717" i="8"/>
  <c r="J722" i="8"/>
  <c r="J719" i="8"/>
  <c r="J711" i="8"/>
  <c r="J701" i="8"/>
  <c r="J723" i="8"/>
  <c r="J713" i="8"/>
  <c r="J709" i="8"/>
  <c r="J728" i="8"/>
  <c r="J702" i="8"/>
  <c r="J706" i="8"/>
  <c r="J704" i="8"/>
  <c r="J721" i="8"/>
  <c r="J729" i="8"/>
  <c r="J727" i="8"/>
  <c r="J703" i="8"/>
  <c r="J712" i="8"/>
  <c r="J730" i="8"/>
  <c r="J738" i="8"/>
  <c r="J732" i="8"/>
  <c r="J733" i="8"/>
  <c r="J741" i="8"/>
  <c r="J735" i="8"/>
  <c r="J737" i="8"/>
  <c r="J740" i="8"/>
  <c r="J736" i="8"/>
  <c r="J734" i="8"/>
  <c r="J739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<sst xmlns="http://schemas.openxmlformats.org/spreadsheetml/2006/main" count="5646" uniqueCount="939">
  <si>
    <t>CustomerID</t>
  </si>
  <si>
    <t>Age</t>
  </si>
  <si>
    <t>Gender</t>
  </si>
  <si>
    <t>SubscriptionStart</t>
  </si>
  <si>
    <t>SubscriptionEnd</t>
  </si>
  <si>
    <t>DurationDays</t>
  </si>
  <si>
    <t>MonthsPaid</t>
  </si>
  <si>
    <t>SubType</t>
  </si>
  <si>
    <t>Tier</t>
  </si>
  <si>
    <t>TotalRevenue</t>
  </si>
  <si>
    <t>AgeGroup</t>
  </si>
  <si>
    <t>Region</t>
  </si>
  <si>
    <t>ReferralSource</t>
  </si>
  <si>
    <t>CancellationReason</t>
  </si>
  <si>
    <t>RevenueCategory</t>
  </si>
  <si>
    <t>AgeBracket</t>
  </si>
  <si>
    <t>ChurnStatus</t>
  </si>
  <si>
    <t>LifetimeValue</t>
  </si>
  <si>
    <t>CancellationDate</t>
  </si>
  <si>
    <t>NextBillingDate</t>
  </si>
  <si>
    <t>ContractEndDate</t>
  </si>
  <si>
    <t>RenewalCount</t>
  </si>
  <si>
    <t>CUST0001</t>
  </si>
  <si>
    <t>Male</t>
  </si>
  <si>
    <t>12-Month</t>
  </si>
  <si>
    <t>Premium</t>
  </si>
  <si>
    <t>Wales</t>
  </si>
  <si>
    <t>Friend</t>
  </si>
  <si>
    <t>CUST0002</t>
  </si>
  <si>
    <t>Monthly</t>
  </si>
  <si>
    <t>Basic</t>
  </si>
  <si>
    <t>England</t>
  </si>
  <si>
    <t>Search Engine</t>
  </si>
  <si>
    <t>CUST0003</t>
  </si>
  <si>
    <t>Northern Ireland</t>
  </si>
  <si>
    <t>Poor Experience</t>
  </si>
  <si>
    <t>CUST0004</t>
  </si>
  <si>
    <t>Female</t>
  </si>
  <si>
    <t>6-Month</t>
  </si>
  <si>
    <t>Standard</t>
  </si>
  <si>
    <t>Email Campaign</t>
  </si>
  <si>
    <t>Other</t>
  </si>
  <si>
    <t>CUST0005</t>
  </si>
  <si>
    <t>None</t>
  </si>
  <si>
    <t>Switched Service</t>
  </si>
  <si>
    <t>CUST0006</t>
  </si>
  <si>
    <t>CUST0007</t>
  </si>
  <si>
    <t>Too Expensive</t>
  </si>
  <si>
    <t>CUST0008</t>
  </si>
  <si>
    <t>Social Media</t>
  </si>
  <si>
    <t>No Longer Needed</t>
  </si>
  <si>
    <t>CUST0009</t>
  </si>
  <si>
    <t>Scotland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</si>
  <si>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</si>
  <si>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</si>
  <si>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</si>
  <si>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</si>
  <si>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</si>
  <si>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</si>
  <si>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</si>
  <si>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</si>
  <si>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</si>
  <si>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</si>
  <si>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</si>
  <si>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</si>
  <si>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</si>
  <si>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</si>
  <si>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</si>
  <si>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</si>
  <si>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</si>
  <si>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</si>
  <si>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</si>
  <si>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</si>
  <si>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</si>
  <si>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</si>
  <si>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</si>
  <si>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</si>
  <si>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</si>
  <si>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</si>
  <si>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</si>
  <si>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</si>
  <si>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</si>
  <si>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</si>
  <si>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</si>
  <si>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</si>
  <si>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</si>
  <si>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</si>
  <si>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</si>
  <si>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</si>
  <si>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</si>
  <si>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</si>
  <si>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</si>
  <si>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</si>
  <si>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</si>
  <si>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</si>
  <si>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</si>
  <si>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</si>
  <si>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</si>
  <si>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</si>
  <si>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</si>
  <si>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</si>
  <si>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</si>
  <si>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</si>
  <si>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</si>
  <si>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</si>
  <si>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</si>
  <si>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</si>
  <si>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</si>
  <si>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</si>
  <si>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</si>
  <si>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</si>
  <si>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</si>
  <si>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</si>
  <si>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</si>
  <si>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</si>
  <si>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</si>
  <si>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</si>
  <si>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</si>
  <si>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</si>
  <si>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</si>
  <si>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</si>
  <si>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</si>
  <si>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</si>
  <si>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</si>
  <si>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</si>
  <si>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</si>
  <si>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</si>
  <si>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</si>
  <si>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</si>
  <si>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</si>
  <si>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</si>
  <si>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</si>
  <si>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</si>
  <si>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</si>
  <si>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</si>
  <si>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</si>
  <si>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</si>
  <si>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</si>
  <si>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</si>
  <si>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</si>
  <si>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</si>
  <si>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</si>
  <si>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</si>
  <si>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</si>
  <si>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</si>
  <si>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</si>
  <si>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</si>
  <si>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</si>
  <si>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</si>
  <si>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</si>
  <si>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</si>
  <si>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</si>
  <si>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</si>
  <si>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</si>
  <si>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</si>
  <si>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</si>
  <si>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</si>
  <si>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</si>
  <si>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</si>
  <si>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</si>
  <si>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</si>
  <si>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</si>
  <si>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</si>
  <si>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</si>
  <si>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</si>
  <si>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</si>
  <si>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</si>
  <si>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</si>
  <si>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</si>
  <si>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</si>
  <si>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</si>
  <si>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</si>
  <si>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</si>
  <si>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</si>
  <si>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</si>
  <si>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</si>
  <si>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</si>
  <si>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</si>
  <si>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</si>
  <si>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</si>
  <si>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</si>
  <si>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</si>
  <si>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</si>
  <si>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</si>
  <si>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</si>
  <si>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</si>
  <si>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</si>
  <si>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</si>
  <si>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</si>
  <si>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</si>
  <si>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</si>
  <si>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</si>
  <si>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</si>
  <si>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</si>
  <si>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</si>
  <si>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</si>
  <si>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</si>
  <si>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</si>
  <si>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</si>
  <si>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</si>
  <si>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</si>
  <si>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</si>
  <si>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</si>
  <si>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</si>
  <si>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</si>
  <si>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</si>
  <si>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</si>
  <si>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</si>
  <si>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</si>
  <si>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</si>
  <si>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</si>
  <si>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</si>
  <si>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</si>
  <si>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</si>
  <si>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</si>
  <si>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</si>
  <si>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</si>
  <si>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</si>
  <si>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</si>
  <si>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</si>
  <si>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</si>
  <si>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</si>
  <si>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</si>
  <si>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</si>
  <si>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</si>
  <si>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</si>
  <si>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</si>
  <si>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</si>
  <si>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</si>
  <si>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</si>
  <si>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</si>
  <si>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</si>
  <si>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</si>
  <si>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</si>
  <si>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</si>
  <si>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</si>
  <si>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</si>
  <si>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</si>
  <si>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</si>
  <si>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</si>
  <si>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</si>
  <si>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</si>
  <si>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</si>
  <si>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</si>
  <si>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</si>
  <si>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</si>
  <si>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</si>
  <si>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</si>
  <si>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</si>
  <si>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</si>
  <si>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</si>
  <si>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</si>
  <si>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</si>
  <si>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</si>
  <si>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</si>
  <si>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</si>
  <si>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</si>
  <si>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</si>
  <si>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</si>
  <si>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</si>
  <si>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</si>
  <si>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</si>
  <si>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</si>
  <si>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</si>
  <si>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</si>
  <si>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</si>
  <si>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</si>
  <si>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</si>
  <si>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</si>
  <si>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</si>
  <si>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</si>
  <si>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</si>
  <si>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</si>
  <si>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</si>
  <si>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</si>
  <si>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</si>
  <si>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</si>
  <si>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</si>
  <si>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</si>
  <si>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</si>
  <si>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</si>
  <si>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</si>
  <si>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</si>
  <si>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</si>
  <si>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</si>
  <si>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</si>
  <si>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</si>
  <si>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</si>
  <si>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</si>
  <si>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</si>
  <si>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</si>
  <si>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</si>
  <si>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</si>
  <si>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</si>
  <si>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</si>
  <si>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</si>
  <si>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</si>
  <si>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</si>
  <si>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</si>
  <si>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</si>
  <si>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</si>
  <si>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</si>
  <si>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</si>
  <si>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</si>
  <si>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</si>
  <si>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</si>
  <si>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</si>
  <si>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</si>
  <si>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</si>
  <si>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</si>
  <si>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</si>
  <si>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</si>
  <si>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</si>
  <si>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</si>
  <si>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</si>
  <si>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</si>
  <si>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</si>
  <si>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</si>
  <si>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</si>
  <si>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</si>
  <si>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</si>
  <si>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</si>
  <si>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</si>
  <si>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</si>
  <si>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</si>
  <si>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</si>
  <si>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</si>
  <si>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</si>
  <si>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</si>
  <si>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</si>
  <si>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</si>
  <si>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</si>
  <si>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</si>
  <si>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</si>
  <si>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</si>
  <si>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</si>
  <si>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</si>
  <si>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</si>
  <si>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</si>
  <si>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</si>
  <si>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</si>
  <si>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</si>
  <si>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</si>
  <si>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</si>
  <si>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</si>
  <si>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</si>
  <si>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</si>
  <si>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</si>
  <si>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</si>
  <si>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</si>
  <si>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</si>
  <si>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</si>
  <si>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</si>
  <si>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</si>
  <si>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</si>
  <si>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</si>
  <si>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</si>
  <si>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</si>
  <si>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</si>
  <si>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</si>
  <si>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</si>
  <si>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</si>
  <si>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</si>
  <si>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</si>
  <si>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</si>
  <si>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</si>
  <si>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</si>
  <si>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</si>
  <si>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</si>
  <si>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</si>
  <si>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</si>
  <si>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</si>
  <si>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</si>
  <si>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</si>
  <si>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</si>
  <si>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</si>
  <si>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</si>
  <si>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</si>
  <si>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</si>
  <si>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</si>
  <si>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</si>
  <si>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</si>
  <si>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</si>
  <si>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</si>
  <si>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</si>
  <si>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</si>
  <si>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</si>
  <si>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</si>
  <si>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</si>
  <si>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</si>
  <si>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</si>
  <si>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</si>
  <si>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</si>
  <si>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</si>
  <si>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</si>
  <si>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</si>
  <si>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</si>
  <si>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</si>
  <si>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</si>
  <si>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</si>
  <si>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</si>
  <si>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</si>
  <si>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</si>
  <si>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</si>
  <si>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</si>
  <si>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</si>
  <si>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</si>
  <si>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</si>
  <si>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</si>
  <si>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</si>
  <si>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</si>
  <si>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</si>
  <si>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</si>
  <si>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</si>
  <si>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</si>
  <si>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</si>
  <si>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</si>
  <si>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</si>
  <si>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</si>
  <si>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</si>
  <si>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</si>
  <si>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</si>
  <si>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</si>
  <si>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</si>
  <si>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</si>
  <si>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</si>
  <si>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</si>
  <si>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</si>
  <si>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</si>
  <si>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</si>
  <si>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</si>
  <si>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</si>
  <si>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</si>
  <si>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</si>
  <si>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</si>
  <si>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</si>
  <si>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</si>
  <si>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</si>
  <si>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</si>
  <si>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</si>
  <si>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</si>
  <si>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</si>
  <si>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</si>
  <si>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</si>
  <si>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</si>
  <si>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</si>
  <si>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</si>
  <si>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</si>
  <si>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</si>
  <si>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</si>
  <si>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</si>
  <si>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</si>
  <si>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</si>
  <si>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</si>
  <si>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</si>
  <si>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</si>
  <si>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</si>
  <si>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</si>
  <si>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</si>
  <si>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</si>
  <si>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</si>
  <si>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</si>
  <si>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</si>
  <si>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</si>
  <si>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</si>
  <si>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</si>
  <si>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</si>
  <si>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</si>
  <si>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</si>
  <si>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</si>
  <si>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</si>
  <si>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</si>
  <si>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</si>
  <si>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</si>
  <si>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</si>
  <si>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</si>
  <si>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</si>
  <si>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</si>
  <si>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</si>
  <si>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</si>
  <si>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</si>
  <si>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</si>
  <si>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</si>
  <si>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</si>
  <si>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</si>
  <si>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</si>
  <si>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</si>
  <si>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</si>
  <si>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</si>
  <si>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</si>
  <si>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</si>
  <si>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</si>
  <si>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</si>
  <si>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</si>
  <si>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</si>
  <si>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</si>
  <si>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</si>
  <si>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</si>
  <si>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</si>
  <si>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</si>
  <si>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</si>
  <si>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</si>
  <si>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</si>
  <si>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</si>
  <si>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</si>
  <si>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</si>
  <si>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</si>
  <si>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</si>
  <si>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</si>
  <si>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</si>
  <si>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</si>
  <si>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</si>
  <si>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</si>
  <si>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</si>
  <si>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</si>
  <si>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</si>
  <si>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</si>
  <si>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</si>
  <si>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</si>
  <si>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</si>
  <si>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</si>
  <si>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</si>
  <si>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</si>
  <si>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</si>
  <si>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</si>
  <si>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</si>
  <si>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</si>
  <si>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</si>
  <si>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</si>
  <si>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</si>
  <si>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</si>
  <si>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</si>
  <si>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</si>
  <si>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</si>
  <si>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</si>
  <si>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</si>
  <si>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</si>
  <si>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</si>
  <si>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</si>
  <si>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</si>
  <si>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</si>
  <si>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</si>
  <si>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</si>
  <si>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</si>
  <si>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</si>
  <si>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</si>
  <si>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</si>
  <si>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</si>
  <si>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</si>
  <si>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</si>
  <si>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</si>
  <si>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</si>
  <si>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</si>
  <si>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</si>
  <si>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</si>
  <si>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</si>
  <si>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</si>
  <si>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</si>
  <si>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</si>
  <si>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</si>
  <si>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</si>
  <si>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</si>
  <si>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</si>
  <si>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</si>
  <si>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</si>
  <si>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</si>
  <si>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</si>
  <si>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</si>
  <si>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</si>
  <si>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</si>
  <si>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</si>
  <si>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</si>
  <si>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</si>
  <si>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</si>
  <si>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</si>
  <si>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</si>
  <si>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</si>
  <si>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</si>
  <si>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</si>
  <si>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</si>
  <si>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</si>
  <si>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</si>
  <si>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</si>
  <si>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</si>
  <si>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</si>
  <si>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</si>
  <si>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</si>
  <si>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</si>
  <si>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</si>
  <si>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</si>
  <si>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</si>
  <si>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</si>
  <si>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</si>
  <si>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</si>
  <si>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</si>
  <si>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</si>
  <si>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</si>
  <si>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</si>
  <si>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</si>
  <si>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</si>
  <si>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</si>
  <si>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</si>
  <si>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</si>
  <si>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</si>
  <si>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</si>
  <si>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</si>
  <si>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</si>
  <si>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</si>
  <si>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</si>
  <si>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</si>
  <si>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</si>
  <si>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</si>
  <si>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</si>
  <si>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</si>
  <si>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</si>
  <si>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</si>
  <si>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</si>
  <si>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</si>
  <si>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</si>
  <si>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</si>
  <si>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</si>
  <si>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</si>
  <si>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</si>
  <si>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</si>
  <si>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</si>
  <si>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</si>
  <si>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</si>
  <si>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</si>
  <si>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</si>
  <si>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</si>
  <si>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</si>
  <si>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</si>
  <si>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</si>
  <si>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</si>
  <si>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</si>
  <si>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</si>
  <si>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</si>
  <si>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</si>
  <si>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</si>
  <si>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</si>
  <si>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</si>
  <si>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</si>
  <si>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</si>
  <si>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</si>
  <si>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</si>
  <si>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</si>
  <si>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</si>
  <si>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</si>
  <si>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</si>
  <si>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</si>
  <si>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</si>
  <si>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</si>
  <si>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</si>
  <si>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</si>
  <si>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</si>
  <si>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</si>
  <si>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</si>
  <si>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</si>
  <si>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</si>
  <si>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</si>
  <si>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</si>
  <si>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</si>
  <si>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</si>
  <si>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</si>
  <si>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</si>
  <si>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</si>
  <si>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</si>
  <si>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</si>
  <si>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</si>
  <si>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</si>
  <si>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</si>
  <si>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</si>
  <si>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</si>
  <si>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</si>
  <si>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</si>
  <si>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</si>
  <si>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</si>
  <si>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</si>
  <si>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</si>
  <si>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</si>
  <si>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</si>
  <si>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</si>
  <si>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</si>
  <si>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</si>
  <si>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</si>
  <si>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</si>
  <si>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</si>
  <si>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</si>
  <si>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</si>
  <si>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</si>
  <si>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</si>
  <si>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</si>
  <si>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</si>
  <si>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</si>
  <si>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</si>
  <si>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</si>
  <si>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</si>
  <si>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</si>
  <si>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</si>
  <si>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</si>
  <si>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</si>
  <si>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</si>
  <si>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</si>
  <si>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</si>
  <si>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</si>
  <si>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</si>
  <si>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</si>
  <si>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</si>
  <si>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</si>
  <si>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</si>
  <si>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</si>
  <si>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</si>
  <si>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</si>
  <si>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</si>
  <si>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</si>
  <si>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</si>
  <si>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</si>
  <si>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</si>
  <si>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</si>
  <si>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</si>
  <si>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</si>
  <si>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</si>
  <si>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</si>
  <si>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</si>
  <si>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</si>
  <si>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</si>
  <si>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</si>
  <si>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</si>
  <si>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</si>
  <si>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</si>
  <si>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</si>
  <si>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</si>
  <si>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</si>
  <si>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</si>
  <si>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</si>
  <si>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</si>
  <si>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</si>
  <si>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</si>
  <si>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</si>
  <si>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</si>
  <si>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</si>
  <si>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</si>
  <si>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</si>
  <si>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</si>
  <si>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</si>
  <si>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</si>
  <si>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</si>
  <si>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</si>
  <si>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</si>
  <si>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</si>
  <si>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</si>
  <si>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</si>
  <si>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</si>
  <si>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</si>
  <si>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</si>
  <si>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</si>
  <si>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</si>
  <si>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</si>
  <si>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</si>
  <si>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</si>
  <si>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</si>
  <si>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</si>
  <si>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</si>
  <si>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</si>
  <si>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</si>
  <si>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</si>
  <si>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</si>
  <si>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</si>
  <si>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</si>
  <si>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</si>
  <si>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</si>
  <si>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</si>
  <si>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</si>
  <si>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</si>
  <si>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</si>
  <si>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</si>
  <si>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</si>
  <si>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</si>
  <si>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</si>
  <si>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</si>
  <si>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</si>
  <si>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</si>
  <si>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</si>
  <si>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</si>
  <si>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</si>
  <si>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</si>
  <si>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</si>
  <si>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</si>
  <si>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</si>
  <si>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</si>
  <si>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</si>
  <si>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</si>
  <si>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</si>
  <si>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</si>
  <si>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</si>
  <si>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</si>
  <si>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</si>
  <si>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</si>
  <si>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</si>
  <si>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</si>
  <si>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</si>
  <si>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</si>
  <si>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</si>
  <si>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</si>
  <si>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</si>
  <si>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</si>
  <si>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</si>
  <si>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</si>
  <si>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</si>
  <si>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</si>
  <si>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</si>
  <si>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</si>
  <si>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</si>
  <si>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</si>
  <si>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</si>
  <si>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</si>
  <si>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</si>
  <si>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</si>
  <si>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</si>
  <si>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</si>
  <si>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</si>
  <si>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</si>
  <si>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</si>
  <si>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</si>
  <si>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</si>
  <si>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</si>
  <si>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</si>
  <si>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</si>
  <si>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</si>
  <si>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</si>
  <si>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</si>
  <si>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</si>
  <si>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</si>
  <si>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</si>
  <si>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</si>
  <si>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</si>
  <si>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</si>
  <si>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</si>
  <si>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</si>
  <si>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</si>
  <si>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</si>
  <si>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</si>
  <si>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</si>
  <si>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</si>
  <si>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Discounted</t>
  </si>
  <si>
    <t>Formula</t>
  </si>
  <si>
    <t>MonthsPaid &gt; 12</t>
  </si>
  <si>
    <t>Ends When</t>
  </si>
  <si>
    <t>10% off for first 12 months of ANY subscription</t>
  </si>
  <si>
    <t>First-Year Discount</t>
  </si>
  <si>
    <t>Description</t>
  </si>
  <si>
    <t>Rule</t>
  </si>
  <si>
    <t>First-Year Discount Rules</t>
  </si>
  <si>
    <t>33% off</t>
  </si>
  <si>
    <t>25% off</t>
  </si>
  <si>
    <t>Effective Monthly Price Formula</t>
  </si>
  <si>
    <t>Subtype Discount</t>
  </si>
  <si>
    <t>Contract Length (Months)</t>
  </si>
  <si>
    <t>SubType Discounts</t>
  </si>
  <si>
    <t>Monthly Price (£)</t>
  </si>
  <si>
    <t>Tier Pricing</t>
  </si>
  <si>
    <t>Subscription Pricing &amp; Billing Rules</t>
  </si>
  <si>
    <t>=[@MonthlyPrice]</t>
  </si>
  <si>
    <t>=[@MonthlyPrice]*0.75</t>
  </si>
  <si>
    <t>=[@MonthlyPrice]*(2/3)</t>
  </si>
  <si>
    <t>=IF([@MonthsPaid]&lt;=12, [@Discounted]*0.9, [@Discounted])</t>
  </si>
  <si>
    <t>Active Customers</t>
  </si>
  <si>
    <t>Cancelled Customers</t>
  </si>
  <si>
    <t>Total Revenue</t>
  </si>
  <si>
    <t>Average Revenue per Customer (ARPU)</t>
  </si>
  <si>
    <t>Average Age</t>
  </si>
  <si>
    <t>Figures</t>
  </si>
  <si>
    <t>Metrics</t>
  </si>
  <si>
    <t>Average Lifetime Value</t>
  </si>
  <si>
    <t>Row Labels</t>
  </si>
  <si>
    <t>Grand Total</t>
  </si>
  <si>
    <t>Sum of TotalRevenue</t>
  </si>
  <si>
    <t>Column Labels</t>
  </si>
  <si>
    <t>Active</t>
  </si>
  <si>
    <t>Cancelled</t>
  </si>
  <si>
    <t>(All)</t>
  </si>
  <si>
    <t>Adult</t>
  </si>
  <si>
    <t>Elderly</t>
  </si>
  <si>
    <t>Mature Adult</t>
  </si>
  <si>
    <t>Teenager</t>
  </si>
  <si>
    <t>Young Adult</t>
  </si>
  <si>
    <t>Total Percentage of Grand Total</t>
  </si>
  <si>
    <t>Percentage of Grand Total</t>
  </si>
  <si>
    <t>Total Customer Count</t>
  </si>
  <si>
    <t>Customer Count</t>
  </si>
  <si>
    <t>Total Customers</t>
  </si>
  <si>
    <t>Customers</t>
  </si>
  <si>
    <t>Revenue Analytics Dashboard</t>
  </si>
  <si>
    <t>•Tier</t>
  </si>
  <si>
    <t>•Region</t>
  </si>
  <si>
    <t>•Customer</t>
  </si>
  <si>
    <t>•Age Group</t>
  </si>
  <si>
    <t>•Time</t>
  </si>
  <si>
    <t>Senior</t>
  </si>
  <si>
    <t>Instances</t>
  </si>
  <si>
    <t>Sum of Months Paid</t>
  </si>
  <si>
    <t>(blank)</t>
  </si>
  <si>
    <t>Count of ChurnStatus</t>
  </si>
  <si>
    <t>EffectiveEndDate</t>
  </si>
  <si>
    <t>Date</t>
  </si>
  <si>
    <t>ActiveSubscribers</t>
  </si>
  <si>
    <t>NewSubscribers</t>
  </si>
  <si>
    <t>Cancellations</t>
  </si>
  <si>
    <t>NetChange</t>
  </si>
  <si>
    <t>CumulativeSubscribers</t>
  </si>
  <si>
    <t>AverageSubscriberAge</t>
  </si>
  <si>
    <t>CumulativeRevenue</t>
  </si>
  <si>
    <t>Month</t>
  </si>
  <si>
    <t>MonthlyAverage</t>
  </si>
  <si>
    <t>ActiveEngland</t>
  </si>
  <si>
    <t>Active Scotland</t>
  </si>
  <si>
    <t>ActiveWales</t>
  </si>
  <si>
    <t>ActiveNorthernIreland</t>
  </si>
  <si>
    <t>ActiveFlagToday</t>
  </si>
  <si>
    <t>AsOfDate1</t>
  </si>
  <si>
    <t>AsOfDate2</t>
  </si>
  <si>
    <t>AsOfDate3</t>
  </si>
  <si>
    <t>AsOfDate4</t>
  </si>
  <si>
    <t>AsOfDate5</t>
  </si>
  <si>
    <t>ActiveOn_AsOfDate1</t>
  </si>
  <si>
    <t>ActiveOn_AsOfDate2</t>
  </si>
  <si>
    <t>ActiveOn_AsOfDate3</t>
  </si>
  <si>
    <t>ActiveOn_AsOfDate4</t>
  </si>
  <si>
    <t>ActiveOn_AsOfDate5</t>
  </si>
  <si>
    <t>Timeline Dashboard</t>
  </si>
  <si>
    <t>Active Subscribers Over Time</t>
  </si>
  <si>
    <t>Timeline simulation ends 2024-01-10 because last new subscriber joins on 31st December 2023</t>
  </si>
  <si>
    <t>New Subscribers vs Cancellations</t>
  </si>
  <si>
    <t>Net Change &amp; Cumulative Subscribers</t>
  </si>
  <si>
    <t>Active Subscribers by Region</t>
  </si>
  <si>
    <t>Average Active Subscriber Age Over Time</t>
  </si>
  <si>
    <t>Active Subscibers by Gender Over Time</t>
  </si>
  <si>
    <t>ActiveMale</t>
  </si>
  <si>
    <t>ActiveFemale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</si>
</sst>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yyyy\-mm\-dd;@"/>
    <numFmt numFmtId="166" formatCode="&quot;£&quot;#,##0.00"/>
    <numFmt numFmtId="167" formatCode="0.0"/>
    <numFmt numFmtId="168" formatCode="&quot;£&quot;#,##0"/>
    <numFmt numFmtId="169" formatCode="mmmm"/>
  </numFmts>
  <fonts count="12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  <font>
      <i/>
      <sz val="11"/>
      <color theme="1"/>
      <name val="Arial Unicode MS"/>
    </font>
    <font>
      <b/>
      <u/>
      <sz val="24"/>
      <color rgb="FF0070C0"/>
      <name val="Calibri"/>
      <family val="2"/>
      <scheme val="minor"/>
    </font>
    <font>
      <b/>
      <sz val="24"/>
      <color rgb="FF0070C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D9E1F2"/>
        <bgColor rgb="FFD9E1F2"/>
      </patternFill>
    </fill>
    <fill>
      <patternFill patternType="solid">
        <fgColor rgb="FFF8CBAD"/>
        <bgColor rgb="FFF8CBAD"/>
      </patternFill>
    </fill>
    <fill>
      <patternFill patternType="solid">
        <fgColor rgb="FFBDD7EE"/>
        <bgColor rgb="FFBDD7EE"/>
      </patternFill>
    </fill>
    <fill>
      <patternFill patternType="solid">
        <fgColor rgb="FF1F4E78"/>
        <bgColor rgb="FF1F4E78"/>
      </patternFill>
    </fill>
    <fill>
      <patternFill patternType="solid">
        <fgColor rgb="FF00E7E2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 applyAlignment="1">
      <alignment horizontal="center"/>
    </xf>
    <xf numFmtId="0" fontId="0" fillId="0" borderId="2" xfId="0" applyBorder="1"/>
    <xf numFmtId="0" fontId="1" fillId="2" borderId="2" xfId="0" applyFont="1" applyFill="1" applyBorder="1"/>
    <xf numFmtId="0" fontId="1" fillId="3" borderId="0" xfId="0" applyFont="1" applyFill="1"/>
    <xf numFmtId="0" fontId="1" fillId="4" borderId="2" xfId="0" applyFont="1" applyFill="1" applyBorder="1"/>
    <xf numFmtId="0" fontId="1" fillId="5" borderId="2" xfId="0" applyFont="1" applyFill="1" applyBorder="1"/>
    <xf numFmtId="0" fontId="0" fillId="0" borderId="2" xfId="0" applyBorder="1" applyAlignment="1">
      <alignment horizont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66" fontId="6" fillId="0" borderId="0" xfId="0" applyNumberFormat="1" applyFont="1" applyAlignment="1">
      <alignment vertical="center" wrapText="1"/>
    </xf>
    <xf numFmtId="167" fontId="6" fillId="0" borderId="0" xfId="0" applyNumberFormat="1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8" fontId="0" fillId="0" borderId="0" xfId="0" applyNumberFormat="1"/>
    <xf numFmtId="10" fontId="0" fillId="0" borderId="0" xfId="0" applyNumberFormat="1"/>
    <xf numFmtId="0" fontId="0" fillId="0" borderId="7" xfId="0" applyBorder="1"/>
    <xf numFmtId="10" fontId="0" fillId="0" borderId="8" xfId="0" applyNumberFormat="1" applyBorder="1"/>
    <xf numFmtId="0" fontId="0" fillId="0" borderId="9" xfId="0" applyBorder="1"/>
    <xf numFmtId="10" fontId="0" fillId="0" borderId="10" xfId="0" applyNumberFormat="1" applyBorder="1"/>
    <xf numFmtId="10" fontId="0" fillId="0" borderId="11" xfId="0" applyNumberFormat="1" applyBorder="1"/>
    <xf numFmtId="0" fontId="0" fillId="0" borderId="12" xfId="0" applyBorder="1"/>
    <xf numFmtId="10" fontId="0" fillId="0" borderId="13" xfId="0" applyNumberFormat="1" applyBorder="1"/>
    <xf numFmtId="0" fontId="0" fillId="0" borderId="14" xfId="0" applyBorder="1"/>
    <xf numFmtId="10" fontId="0" fillId="0" borderId="14" xfId="0" applyNumberFormat="1" applyBorder="1"/>
    <xf numFmtId="0" fontId="2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left" indent="1"/>
    </xf>
    <xf numFmtId="0" fontId="0" fillId="0" borderId="13" xfId="0" applyBorder="1"/>
    <xf numFmtId="0" fontId="0" fillId="0" borderId="5" xfId="0" applyBorder="1"/>
    <xf numFmtId="10" fontId="0" fillId="0" borderId="6" xfId="0" applyNumberFormat="1" applyBorder="1"/>
    <xf numFmtId="0" fontId="0" fillId="0" borderId="4" xfId="0" applyBorder="1"/>
    <xf numFmtId="10" fontId="0" fillId="0" borderId="4" xfId="0" applyNumberFormat="1" applyBorder="1"/>
    <xf numFmtId="0" fontId="0" fillId="0" borderId="11" xfId="0" applyBorder="1"/>
    <xf numFmtId="0" fontId="0" fillId="0" borderId="15" xfId="0" applyBorder="1"/>
    <xf numFmtId="0" fontId="0" fillId="0" borderId="1" xfId="0" applyBorder="1"/>
    <xf numFmtId="1" fontId="0" fillId="0" borderId="0" xfId="0" applyNumberFormat="1"/>
    <xf numFmtId="1" fontId="0" fillId="0" borderId="0" xfId="0" applyNumberFormat="1" applyAlignment="1">
      <alignment horizontal="center"/>
    </xf>
    <xf numFmtId="14" fontId="0" fillId="0" borderId="0" xfId="0" applyNumberFormat="1"/>
    <xf numFmtId="165" fontId="0" fillId="0" borderId="0" xfId="0" applyNumberFormat="1"/>
    <xf numFmtId="2" fontId="0" fillId="0" borderId="0" xfId="0" applyNumberFormat="1"/>
    <xf numFmtId="169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0" fontId="10" fillId="7" borderId="12" xfId="0" applyFont="1" applyFill="1" applyBorder="1"/>
    <xf numFmtId="0" fontId="10" fillId="7" borderId="14" xfId="0" applyFont="1" applyFill="1" applyBorder="1"/>
    <xf numFmtId="0" fontId="2" fillId="7" borderId="13" xfId="0" applyFont="1" applyFill="1" applyBorder="1"/>
    <xf numFmtId="0" fontId="9" fillId="7" borderId="12" xfId="0" applyFont="1" applyFill="1" applyBorder="1"/>
    <xf numFmtId="0" fontId="0" fillId="7" borderId="14" xfId="0" applyFill="1" applyBorder="1"/>
    <xf numFmtId="0" fontId="0" fillId="7" borderId="13" xfId="0" applyFill="1" applyBorder="1"/>
    <xf numFmtId="0" fontId="9" fillId="7" borderId="3" xfId="0" applyFont="1" applyFill="1" applyBorder="1"/>
    <xf numFmtId="0" fontId="0" fillId="7" borderId="12" xfId="0" applyFill="1" applyBorder="1"/>
    <xf numFmtId="0" fontId="8" fillId="0" borderId="1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1" fillId="8" borderId="12" xfId="0" applyFont="1" applyFill="1" applyBorder="1" applyAlignment="1">
      <alignment horizontal="center"/>
    </xf>
    <xf numFmtId="0" fontId="11" fillId="8" borderId="14" xfId="0" applyFont="1" applyFill="1" applyBorder="1" applyAlignment="1">
      <alignment horizontal="center"/>
    </xf>
    <xf numFmtId="0" fontId="11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72"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b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65" formatCode="yyyy\-mm\-dd;@"/>
    </dxf>
    <dxf>
      <numFmt numFmtId="166" formatCode="&quot;£&quot;#,##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yyyy\-mm\-dd;@"/>
    </dxf>
    <dxf>
      <numFmt numFmtId="165" formatCode="yyyy\-mm\-dd;@"/>
    </dxf>
    <dxf>
      <numFmt numFmtId="165" formatCode="yyyy\-mm\-dd;@"/>
    </dxf>
    <dxf>
      <alignment horizontal="center"/>
    </dxf>
    <dxf>
      <alignment horizontal="center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65" formatCode="yyyy\-mm\-dd;@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yyyy\-mm\-dd;@"/>
      <alignment horizontal="center" textRotation="0" wrapText="0" indent="0" justifyLastLine="0" shrinkToFit="0" readingOrder="0"/>
    </dxf>
    <dxf>
      <numFmt numFmtId="165" formatCode="yyyy\-mm\-dd;@"/>
      <alignment horizontal="center" textRotation="0" wrapText="0" indent="0" justifyLastLine="0" shrinkToFit="0" readingOrder="0"/>
    </dxf>
    <dxf>
      <numFmt numFmtId="165" formatCode="yyyy\-mm\-dd;@"/>
      <alignment horizontal="center" textRotation="0" wrapText="0" indent="0" justifyLastLine="0" shrinkToFit="0" readingOrder="0"/>
    </dxf>
    <dxf>
      <numFmt numFmtId="166" formatCode="&quot;£&quot;#,##0.00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166" formatCode="&quot;£&quot;#,##0.00"/>
      <alignment horizontal="center" textRotation="0" wrapText="0" indent="0" justifyLastLine="0" shrinkToFit="0" readingOrder="0"/>
    </dxf>
    <dxf>
      <numFmt numFmtId="166" formatCode="&quot;£&quot;#,##0.00"/>
      <alignment horizontal="center" textRotation="0" wrapText="0" indent="0" justifyLastLine="0" shrinkToFit="0" readingOrder="0"/>
    </dxf>
    <dxf>
      <numFmt numFmtId="166" formatCode="&quot;£&quot;#,##0.00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165" formatCode="yyyy\-mm\-dd;@"/>
      <alignment horizontal="center" textRotation="0" wrapText="0" indent="0" justifyLastLine="0" shrinkToFit="0" readingOrder="0"/>
    </dxf>
    <dxf>
      <numFmt numFmtId="165" formatCode="yyyy\-mm\-dd;@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00E7E2"/>
      <color rgb="FF333333"/>
      <color rgb="FF6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Data Project.xlsx]Revenue Analytics Dashboard!PivotTable4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by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Analytics Dashboard'!$C$7:$C$8</c:f>
              <c:strCache>
                <c:ptCount val="1"/>
                <c:pt idx="0">
                  <c:v>12-Month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Analytics Dashboard'!$B$9:$B$12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'Revenue Analytics Dashboard'!$C$9:$C$12</c:f>
              <c:numCache>
                <c:formatCode>"£"#,##0</c:formatCode>
                <c:ptCount val="3"/>
                <c:pt idx="0">
                  <c:v>15168</c:v>
                </c:pt>
                <c:pt idx="1">
                  <c:v>23817.599999999969</c:v>
                </c:pt>
                <c:pt idx="2">
                  <c:v>32540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0-4FC6-98C8-86D11A0413EF}"/>
            </c:ext>
          </c:extLst>
        </c:ser>
        <c:ser>
          <c:idx val="1"/>
          <c:order val="1"/>
          <c:tx>
            <c:strRef>
              <c:f>'Revenue Analytics Dashboard'!$D$7:$D$8</c:f>
              <c:strCache>
                <c:ptCount val="1"/>
                <c:pt idx="0">
                  <c:v>6-Month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Analytics Dashboard'!$B$9:$B$12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'Revenue Analytics Dashboard'!$D$9:$D$12</c:f>
              <c:numCache>
                <c:formatCode>"£"#,##0</c:formatCode>
                <c:ptCount val="3"/>
                <c:pt idx="0">
                  <c:v>6547.5</c:v>
                </c:pt>
                <c:pt idx="1">
                  <c:v>13113.899999999985</c:v>
                </c:pt>
                <c:pt idx="2">
                  <c:v>15221.25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D0-4FC6-98C8-86D11A0413EF}"/>
            </c:ext>
          </c:extLst>
        </c:ser>
        <c:ser>
          <c:idx val="2"/>
          <c:order val="2"/>
          <c:tx>
            <c:strRef>
              <c:f>'Revenue Analytics Dashboard'!$E$7:$E$8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Analytics Dashboard'!$B$9:$B$12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'Revenue Analytics Dashboard'!$E$9:$E$12</c:f>
              <c:numCache>
                <c:formatCode>"£"#,##0</c:formatCode>
                <c:ptCount val="3"/>
                <c:pt idx="0">
                  <c:v>8502</c:v>
                </c:pt>
                <c:pt idx="1">
                  <c:v>16941.600000000009</c:v>
                </c:pt>
                <c:pt idx="2">
                  <c:v>25350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D0-4FC6-98C8-86D11A0413E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02893504"/>
        <c:axId val="1702896384"/>
      </c:barChart>
      <c:catAx>
        <c:axId val="170289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96384"/>
        <c:crosses val="autoZero"/>
        <c:auto val="1"/>
        <c:lblAlgn val="ctr"/>
        <c:lblOffset val="100"/>
        <c:noMultiLvlLbl val="0"/>
      </c:catAx>
      <c:valAx>
        <c:axId val="17028963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crossAx val="1702893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[Subscription Data Project.xlsx]Revenue Analytics Dashboard!PivotTable5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Analytics Dashboard'!$L$7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Analytics Dashboard'!$K$8:$K$12</c:f>
              <c:strCache>
                <c:ptCount val="4"/>
                <c:pt idx="0">
                  <c:v>England</c:v>
                </c:pt>
                <c:pt idx="1">
                  <c:v>Scotland</c:v>
                </c:pt>
                <c:pt idx="2">
                  <c:v>Wales</c:v>
                </c:pt>
                <c:pt idx="3">
                  <c:v>Northern Ireland</c:v>
                </c:pt>
              </c:strCache>
            </c:strRef>
          </c:cat>
          <c:val>
            <c:numRef>
              <c:f>'Revenue Analytics Dashboard'!$L$8:$L$12</c:f>
              <c:numCache>
                <c:formatCode>"£"#,##0</c:formatCode>
                <c:ptCount val="4"/>
                <c:pt idx="0">
                  <c:v>34644.449999999983</c:v>
                </c:pt>
                <c:pt idx="1">
                  <c:v>32335.799999999992</c:v>
                </c:pt>
                <c:pt idx="2">
                  <c:v>50270.39999999998</c:v>
                </c:pt>
                <c:pt idx="3">
                  <c:v>39951.199999999968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B-46F3-87AB-5789E9868D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71436256"/>
        <c:axId val="1671427136"/>
      </c:barChart>
      <c:catAx>
        <c:axId val="1671436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427136"/>
        <c:crosses val="autoZero"/>
        <c:auto val="1"/>
        <c:lblAlgn val="ctr"/>
        <c:lblOffset val="100"/>
        <c:noMultiLvlLbl val="0"/>
      </c:catAx>
      <c:valAx>
        <c:axId val="1671427136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crossAx val="16714362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Data Project.xlsx]Revenue Analytics Dashboard!PivotTable6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Top 10 Customers by Revenue</a:t>
            </a:r>
          </a:p>
        </c:rich>
      </c:tx>
      <c:layout>
        <c:manualLayout>
          <c:xMode val="edge"/>
          <c:yMode val="edge"/>
          <c:x val="0.35107655971776447"/>
          <c:y val="6.60542432195975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Analytics Dashboard'!$L$36:$L$37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'Revenue Analytics Dashboard'!$K$38:$K$60</c:f>
              <c:multiLvlStrCache>
                <c:ptCount val="11"/>
                <c:lvl>
                  <c:pt idx="0">
                    <c:v>Scotland</c:v>
                  </c:pt>
                  <c:pt idx="1">
                    <c:v>Northern Ireland</c:v>
                  </c:pt>
                  <c:pt idx="2">
                    <c:v>Wales</c:v>
                  </c:pt>
                  <c:pt idx="3">
                    <c:v>Scotland</c:v>
                  </c:pt>
                  <c:pt idx="4">
                    <c:v>Wales</c:v>
                  </c:pt>
                  <c:pt idx="5">
                    <c:v>England</c:v>
                  </c:pt>
                  <c:pt idx="6">
                    <c:v>Wales</c:v>
                  </c:pt>
                  <c:pt idx="7">
                    <c:v>Northern Ireland</c:v>
                  </c:pt>
                  <c:pt idx="8">
                    <c:v>Wales</c:v>
                  </c:pt>
                  <c:pt idx="9">
                    <c:v>Wales</c:v>
                  </c:pt>
                  <c:pt idx="10">
                    <c:v>Scotland</c:v>
                  </c:pt>
                </c:lvl>
                <c:lvl>
                  <c:pt idx="0">
                    <c:v>CUST0404</c:v>
                  </c:pt>
                  <c:pt idx="1">
                    <c:v>CUST0691</c:v>
                  </c:pt>
                  <c:pt idx="2">
                    <c:v>CUST0382</c:v>
                  </c:pt>
                  <c:pt idx="3">
                    <c:v>CUST0217</c:v>
                  </c:pt>
                  <c:pt idx="4">
                    <c:v>CUST0199</c:v>
                  </c:pt>
                  <c:pt idx="5">
                    <c:v>CUST0576</c:v>
                  </c:pt>
                  <c:pt idx="6">
                    <c:v>CUST0045</c:v>
                  </c:pt>
                  <c:pt idx="7">
                    <c:v>CUST0490</c:v>
                  </c:pt>
                  <c:pt idx="8">
                    <c:v>CUST0241</c:v>
                  </c:pt>
                  <c:pt idx="9">
                    <c:v>CUST0590</c:v>
                  </c:pt>
                  <c:pt idx="10">
                    <c:v>CUST0053</c:v>
                  </c:pt>
                </c:lvl>
              </c:multiLvlStrCache>
            </c:multiLvlStrRef>
          </c:cat>
          <c:val>
            <c:numRef>
              <c:f>'Revenue Analytics Dashboard'!$L$38:$L$60</c:f>
              <c:numCache>
                <c:formatCode>"£"#,##0</c:formatCode>
                <c:ptCount val="11"/>
                <c:pt idx="1">
                  <c:v>922.5</c:v>
                </c:pt>
                <c:pt idx="3">
                  <c:v>947.5</c:v>
                </c:pt>
                <c:pt idx="5">
                  <c:v>1047.5</c:v>
                </c:pt>
                <c:pt idx="6">
                  <c:v>1047.5</c:v>
                </c:pt>
                <c:pt idx="7">
                  <c:v>1072.5</c:v>
                </c:pt>
                <c:pt idx="9">
                  <c:v>1097.5</c:v>
                </c:pt>
                <c:pt idx="10">
                  <c:v>1097.5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90-482A-9E46-9AB63E320DC4}"/>
            </c:ext>
          </c:extLst>
        </c:ser>
        <c:ser>
          <c:idx val="1"/>
          <c:order val="1"/>
          <c:tx>
            <c:strRef>
              <c:f>'Revenue Analytics Dashboard'!$M$36:$M$37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'Revenue Analytics Dashboard'!$K$38:$K$60</c:f>
              <c:multiLvlStrCache>
                <c:ptCount val="11"/>
                <c:lvl>
                  <c:pt idx="0">
                    <c:v>Scotland</c:v>
                  </c:pt>
                  <c:pt idx="1">
                    <c:v>Northern Ireland</c:v>
                  </c:pt>
                  <c:pt idx="2">
                    <c:v>Wales</c:v>
                  </c:pt>
                  <c:pt idx="3">
                    <c:v>Scotland</c:v>
                  </c:pt>
                  <c:pt idx="4">
                    <c:v>Wales</c:v>
                  </c:pt>
                  <c:pt idx="5">
                    <c:v>England</c:v>
                  </c:pt>
                  <c:pt idx="6">
                    <c:v>Wales</c:v>
                  </c:pt>
                  <c:pt idx="7">
                    <c:v>Northern Ireland</c:v>
                  </c:pt>
                  <c:pt idx="8">
                    <c:v>Wales</c:v>
                  </c:pt>
                  <c:pt idx="9">
                    <c:v>Wales</c:v>
                  </c:pt>
                  <c:pt idx="10">
                    <c:v>Scotland</c:v>
                  </c:pt>
                </c:lvl>
                <c:lvl>
                  <c:pt idx="0">
                    <c:v>CUST0404</c:v>
                  </c:pt>
                  <c:pt idx="1">
                    <c:v>CUST0691</c:v>
                  </c:pt>
                  <c:pt idx="2">
                    <c:v>CUST0382</c:v>
                  </c:pt>
                  <c:pt idx="3">
                    <c:v>CUST0217</c:v>
                  </c:pt>
                  <c:pt idx="4">
                    <c:v>CUST0199</c:v>
                  </c:pt>
                  <c:pt idx="5">
                    <c:v>CUST0576</c:v>
                  </c:pt>
                  <c:pt idx="6">
                    <c:v>CUST0045</c:v>
                  </c:pt>
                  <c:pt idx="7">
                    <c:v>CUST0490</c:v>
                  </c:pt>
                  <c:pt idx="8">
                    <c:v>CUST0241</c:v>
                  </c:pt>
                  <c:pt idx="9">
                    <c:v>CUST0590</c:v>
                  </c:pt>
                  <c:pt idx="10">
                    <c:v>CUST0053</c:v>
                  </c:pt>
                </c:lvl>
              </c:multiLvlStrCache>
            </c:multiLvlStrRef>
          </c:cat>
          <c:val>
            <c:numRef>
              <c:f>'Revenue Analytics Dashboard'!$M$38:$M$60</c:f>
              <c:numCache>
                <c:formatCode>"£"#,##0</c:formatCode>
                <c:ptCount val="11"/>
                <c:pt idx="0">
                  <c:v>922.5</c:v>
                </c:pt>
                <c:pt idx="2">
                  <c:v>947.5</c:v>
                </c:pt>
                <c:pt idx="4">
                  <c:v>947.5</c:v>
                </c:pt>
                <c:pt idx="8">
                  <c:v>1072.5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90-482A-9E46-9AB63E320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61013504"/>
        <c:axId val="1661008224"/>
      </c:barChart>
      <c:catAx>
        <c:axId val="1661013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008224"/>
        <c:crosses val="autoZero"/>
        <c:auto val="1"/>
        <c:lblAlgn val="ctr"/>
        <c:lblOffset val="100"/>
        <c:noMultiLvlLbl val="0"/>
      </c:catAx>
      <c:valAx>
        <c:axId val="166100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01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Data Project.xlsx]Revenue Analytics Dashboard!PivotTable7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Revenue by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Analytics Dashboard'!$C$36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'Revenue Analytics Dashboard'!$B$37:$B$42</c:f>
              <c:strCache>
                <c:ptCount val="5"/>
                <c:pt idx="0">
                  <c:v>Adult</c:v>
                </c:pt>
                <c:pt idx="1">
                  <c:v>Mature Adult</c:v>
                </c:pt>
                <c:pt idx="2">
                  <c:v>Senior</c:v>
                </c:pt>
                <c:pt idx="3">
                  <c:v>Young Adult</c:v>
                </c:pt>
                <c:pt idx="4">
                  <c:v>Elderly</c:v>
                </c:pt>
              </c:strCache>
            </c:strRef>
          </c:cat>
          <c:val>
            <c:numRef>
              <c:f>'Revenue Analytics Dashboard'!$C$37:$C$42</c:f>
              <c:numCache>
                <c:formatCode>"£"#,##0.00</c:formatCode>
                <c:ptCount val="5"/>
                <c:pt idx="0">
                  <c:v>68392.199999999983</c:v>
                </c:pt>
                <c:pt idx="1">
                  <c:v>29134.549999999996</c:v>
                </c:pt>
                <c:pt idx="2">
                  <c:v>28355.19999999999</c:v>
                </c:pt>
                <c:pt idx="3">
                  <c:v>18533.900000000001</c:v>
                </c:pt>
                <c:pt idx="4">
                  <c:v>12786.000000000002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D7-469E-BD5B-365122CCB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1200768"/>
        <c:axId val="1741201248"/>
      </c:barChart>
      <c:catAx>
        <c:axId val="174120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201248"/>
        <c:crosses val="autoZero"/>
        <c:auto val="1"/>
        <c:lblAlgn val="ctr"/>
        <c:lblOffset val="100"/>
        <c:noMultiLvlLbl val="0"/>
      </c:catAx>
      <c:valAx>
        <c:axId val="174120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2007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Data Project.xlsx]Revenue Analytics Dashboard!PivotTable8</c:name>
    <c:fmtId val="0"/>
  </c:pivotSource>
  <c:chart>
    <c:title>
      <c:layout>
        <c:manualLayout>
          <c:xMode val="edge"/>
          <c:yMode val="edge"/>
          <c:x val="0.33717819637066682"/>
          <c:y val="3.075634295713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2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18315262820263598"/>
          <c:y val="0.12017059924971892"/>
          <c:w val="0.56090111193188441"/>
          <c:h val="0.81114763557444858"/>
        </c:manualLayout>
      </c:layout>
      <c:pieChart>
        <c:varyColors val="1"/>
        <c:ser>
          <c:idx val="0"/>
          <c:order val="0"/>
          <c:tx>
            <c:strRef>
              <c:f>'Revenue Analytics Dashboard'!$S$7</c:f>
              <c:strCache>
                <c:ptCount val="1"/>
                <c:pt idx="0">
                  <c:v>Sum of Months Paid</c:v>
                </c:pt>
              </c:strCache>
            </c:strRef>
          </c:tx>
          <c:explosion val="10"/>
          <c:dPt>
            <c:idx val="0"/>
            <c:bubble3D val="0"/>
            <c:explosion val="1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1F16-46AD-AA69-60DC8EE07EBE}"/>
              </c:ext>
            </c:extLst>
          </c:dPt>
          <c:dPt>
            <c:idx val="1"/>
            <c:bubble3D val="0"/>
            <c:explosion val="1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1F16-46AD-AA69-60DC8EE07EBE}"/>
              </c:ext>
            </c:extLst>
          </c:dPt>
          <c:dPt>
            <c:idx val="2"/>
            <c:bubble3D val="0"/>
            <c:explosion val="2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F16-46AD-AA69-60DC8EE07E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Analytics Dashboard'!$R$8:$R$11</c:f>
              <c:strCache>
                <c:ptCount val="3"/>
                <c:pt idx="0">
                  <c:v>12-Month</c:v>
                </c:pt>
                <c:pt idx="1">
                  <c:v>6-Month</c:v>
                </c:pt>
                <c:pt idx="2">
                  <c:v>Monthly</c:v>
                </c:pt>
              </c:strCache>
            </c:strRef>
          </c:cat>
          <c:val>
            <c:numRef>
              <c:f>'Revenue Analytics Dashboard'!$S$8:$S$11</c:f>
              <c:numCache>
                <c:formatCode>General</c:formatCode>
                <c:ptCount val="3"/>
                <c:pt idx="0">
                  <c:v>6720</c:v>
                </c:pt>
                <c:pt idx="1">
                  <c:v>2796</c:v>
                </c:pt>
                <c:pt idx="2">
                  <c:v>3097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6-46AD-AA69-60DC8EE07EBE}"/>
            </c:ext>
          </c:extLst>
        </c:ser>
        <c:ser>
          <c:idx val="1"/>
          <c:order val="1"/>
          <c:tx>
            <c:strRef>
              <c:f>'Revenue Analytics Dashboard'!$T$7</c:f>
              <c:strCache>
                <c:ptCount val="1"/>
                <c:pt idx="0">
                  <c:v>Instances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8BF4-4FDB-AA75-2667F444C23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8BF4-4FDB-AA75-2667F444C23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8BF4-4FDB-AA75-2667F444C2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Analytics Dashboard'!$R$8:$R$11</c:f>
              <c:strCache>
                <c:ptCount val="3"/>
                <c:pt idx="0">
                  <c:v>12-Month</c:v>
                </c:pt>
                <c:pt idx="1">
                  <c:v>6-Month</c:v>
                </c:pt>
                <c:pt idx="2">
                  <c:v>Monthly</c:v>
                </c:pt>
              </c:strCache>
            </c:strRef>
          </c:cat>
          <c:val>
            <c:numRef>
              <c:f>'Revenue Analytics Dashboard'!$T$8:$T$11</c:f>
              <c:numCache>
                <c:formatCode>General</c:formatCode>
                <c:ptCount val="3"/>
                <c:pt idx="0">
                  <c:v>423</c:v>
                </c:pt>
                <c:pt idx="1">
                  <c:v>180</c:v>
                </c:pt>
                <c:pt idx="2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16-46AD-AA69-60DC8EE07E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Data Project.xlsx]Revenue Analytics Dashboard!PivotTable9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u="sng"/>
              <a:t>Cancellation Reasons</a:t>
            </a:r>
            <a:r>
              <a:rPr lang="en-GB" u="sng" baseline="0"/>
              <a:t> by Age Group</a:t>
            </a:r>
            <a:endParaRPr lang="en-GB" u="sng"/>
          </a:p>
        </c:rich>
      </c:tx>
      <c:layout>
        <c:manualLayout>
          <c:xMode val="edge"/>
          <c:yMode val="edge"/>
          <c:x val="0.33129621839604662"/>
          <c:y val="0.118219597550306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181177123707807"/>
          <c:y val="4.2465223097112863E-2"/>
          <c:w val="0.75574123330499821"/>
          <c:h val="0.62373950131233591"/>
        </c:manualLayout>
      </c:layout>
      <c:areaChart>
        <c:grouping val="standard"/>
        <c:varyColors val="0"/>
        <c:ser>
          <c:idx val="0"/>
          <c:order val="0"/>
          <c:tx>
            <c:strRef>
              <c:f>'Revenue Analytics Dashboard'!$S$36:$S$37</c:f>
              <c:strCache>
                <c:ptCount val="1"/>
                <c:pt idx="0">
                  <c:v>Young Adult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'Revenue Analytics Dashboard'!$R$38:$R$44</c:f>
              <c:strCache>
                <c:ptCount val="6"/>
                <c:pt idx="0">
                  <c:v>No Longer Needed</c:v>
                </c:pt>
                <c:pt idx="1">
                  <c:v>Other</c:v>
                </c:pt>
                <c:pt idx="2">
                  <c:v>Poor Experience</c:v>
                </c:pt>
                <c:pt idx="3">
                  <c:v>Switched Service</c:v>
                </c:pt>
                <c:pt idx="4">
                  <c:v>Too Expensive</c:v>
                </c:pt>
                <c:pt idx="5">
                  <c:v>(blank)</c:v>
                </c:pt>
              </c:strCache>
            </c:strRef>
          </c:cat>
          <c:val>
            <c:numRef>
              <c:f>'Revenue Analytics Dashboard'!$S$38:$S$44</c:f>
              <c:numCache>
                <c:formatCode>General</c:formatCode>
                <c:ptCount val="6"/>
                <c:pt idx="0">
                  <c:v>19</c:v>
                </c:pt>
                <c:pt idx="1">
                  <c:v>16</c:v>
                </c:pt>
                <c:pt idx="2">
                  <c:v>13</c:v>
                </c:pt>
                <c:pt idx="3">
                  <c:v>15</c:v>
                </c:pt>
                <c:pt idx="4">
                  <c:v>15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A-4FD8-AA08-0BE2EF962413}"/>
            </c:ext>
          </c:extLst>
        </c:ser>
        <c:ser>
          <c:idx val="1"/>
          <c:order val="1"/>
          <c:tx>
            <c:strRef>
              <c:f>'Revenue Analytics Dashboard'!$T$36:$T$37</c:f>
              <c:strCache>
                <c:ptCount val="1"/>
                <c:pt idx="0">
                  <c:v>Adult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'Revenue Analytics Dashboard'!$R$38:$R$44</c:f>
              <c:strCache>
                <c:ptCount val="6"/>
                <c:pt idx="0">
                  <c:v>No Longer Needed</c:v>
                </c:pt>
                <c:pt idx="1">
                  <c:v>Other</c:v>
                </c:pt>
                <c:pt idx="2">
                  <c:v>Poor Experience</c:v>
                </c:pt>
                <c:pt idx="3">
                  <c:v>Switched Service</c:v>
                </c:pt>
                <c:pt idx="4">
                  <c:v>Too Expensive</c:v>
                </c:pt>
                <c:pt idx="5">
                  <c:v>(blank)</c:v>
                </c:pt>
              </c:strCache>
            </c:strRef>
          </c:cat>
          <c:val>
            <c:numRef>
              <c:f>'Revenue Analytics Dashboard'!$T$38:$T$44</c:f>
              <c:numCache>
                <c:formatCode>General</c:formatCode>
                <c:ptCount val="6"/>
                <c:pt idx="0">
                  <c:v>55</c:v>
                </c:pt>
                <c:pt idx="1">
                  <c:v>50</c:v>
                </c:pt>
                <c:pt idx="2">
                  <c:v>50</c:v>
                </c:pt>
                <c:pt idx="3">
                  <c:v>54</c:v>
                </c:pt>
                <c:pt idx="4">
                  <c:v>53</c:v>
                </c:pt>
                <c:pt idx="5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C-E43A-4FD8-AA08-0BE2EF962413}"/>
            </c:ext>
          </c:extLst>
        </c:ser>
        <c:ser>
          <c:idx val="2"/>
          <c:order val="2"/>
          <c:tx>
            <c:strRef>
              <c:f>'Revenue Analytics Dashboard'!$U$36:$U$37</c:f>
              <c:strCache>
                <c:ptCount val="1"/>
                <c:pt idx="0">
                  <c:v>Mature Adult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'Revenue Analytics Dashboard'!$R$38:$R$44</c:f>
              <c:strCache>
                <c:ptCount val="6"/>
                <c:pt idx="0">
                  <c:v>No Longer Needed</c:v>
                </c:pt>
                <c:pt idx="1">
                  <c:v>Other</c:v>
                </c:pt>
                <c:pt idx="2">
                  <c:v>Poor Experience</c:v>
                </c:pt>
                <c:pt idx="3">
                  <c:v>Switched Service</c:v>
                </c:pt>
                <c:pt idx="4">
                  <c:v>Too Expensive</c:v>
                </c:pt>
                <c:pt idx="5">
                  <c:v>(blank)</c:v>
                </c:pt>
              </c:strCache>
            </c:strRef>
          </c:cat>
          <c:val>
            <c:numRef>
              <c:f>'Revenue Analytics Dashboard'!$U$38:$U$44</c:f>
              <c:numCache>
                <c:formatCode>General</c:formatCode>
                <c:ptCount val="6"/>
                <c:pt idx="0">
                  <c:v>19</c:v>
                </c:pt>
                <c:pt idx="1">
                  <c:v>18</c:v>
                </c:pt>
                <c:pt idx="2">
                  <c:v>22</c:v>
                </c:pt>
                <c:pt idx="3">
                  <c:v>20</c:v>
                </c:pt>
                <c:pt idx="4">
                  <c:v>16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D-E43A-4FD8-AA08-0BE2EF962413}"/>
            </c:ext>
          </c:extLst>
        </c:ser>
        <c:ser>
          <c:idx val="3"/>
          <c:order val="3"/>
          <c:tx>
            <c:strRef>
              <c:f>'Revenue Analytics Dashboard'!$V$36:$V$37</c:f>
              <c:strCache>
                <c:ptCount val="1"/>
                <c:pt idx="0">
                  <c:v>Senior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'Revenue Analytics Dashboard'!$R$38:$R$44</c:f>
              <c:strCache>
                <c:ptCount val="6"/>
                <c:pt idx="0">
                  <c:v>No Longer Needed</c:v>
                </c:pt>
                <c:pt idx="1">
                  <c:v>Other</c:v>
                </c:pt>
                <c:pt idx="2">
                  <c:v>Poor Experience</c:v>
                </c:pt>
                <c:pt idx="3">
                  <c:v>Switched Service</c:v>
                </c:pt>
                <c:pt idx="4">
                  <c:v>Too Expensive</c:v>
                </c:pt>
                <c:pt idx="5">
                  <c:v>(blank)</c:v>
                </c:pt>
              </c:strCache>
            </c:strRef>
          </c:cat>
          <c:val>
            <c:numRef>
              <c:f>'Revenue Analytics Dashboard'!$V$38:$V$44</c:f>
              <c:numCache>
                <c:formatCode>General</c:formatCode>
                <c:ptCount val="6"/>
                <c:pt idx="0">
                  <c:v>24</c:v>
                </c:pt>
                <c:pt idx="1">
                  <c:v>23</c:v>
                </c:pt>
                <c:pt idx="2">
                  <c:v>21</c:v>
                </c:pt>
                <c:pt idx="3">
                  <c:v>22</c:v>
                </c:pt>
                <c:pt idx="4">
                  <c:v>20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E-E43A-4FD8-AA08-0BE2EF962413}"/>
            </c:ext>
          </c:extLst>
        </c:ser>
        <c:ser>
          <c:idx val="4"/>
          <c:order val="4"/>
          <c:tx>
            <c:strRef>
              <c:f>'Revenue Analytics Dashboard'!$W$36:$W$37</c:f>
              <c:strCache>
                <c:ptCount val="1"/>
                <c:pt idx="0">
                  <c:v>Elderly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'Revenue Analytics Dashboard'!$R$38:$R$44</c:f>
              <c:strCache>
                <c:ptCount val="6"/>
                <c:pt idx="0">
                  <c:v>No Longer Needed</c:v>
                </c:pt>
                <c:pt idx="1">
                  <c:v>Other</c:v>
                </c:pt>
                <c:pt idx="2">
                  <c:v>Poor Experience</c:v>
                </c:pt>
                <c:pt idx="3">
                  <c:v>Switched Service</c:v>
                </c:pt>
                <c:pt idx="4">
                  <c:v>Too Expensive</c:v>
                </c:pt>
                <c:pt idx="5">
                  <c:v>(blank)</c:v>
                </c:pt>
              </c:strCache>
            </c:strRef>
          </c:cat>
          <c:val>
            <c:numRef>
              <c:f>'Revenue Analytics Dashboard'!$W$38:$W$44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F-E43A-4FD8-AA08-0BE2EF962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205568"/>
        <c:axId val="1741200288"/>
      </c:areaChart>
      <c:catAx>
        <c:axId val="1741205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200288"/>
        <c:crosses val="autoZero"/>
        <c:auto val="1"/>
        <c:lblAlgn val="ctr"/>
        <c:lblOffset val="100"/>
        <c:noMultiLvlLbl val="0"/>
      </c:catAx>
      <c:valAx>
        <c:axId val="174120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Instances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205568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819114608982128"/>
          <c:y val="1.2664041994750658E-2"/>
          <c:w val="0.63638283161480746"/>
          <c:h val="0.104023622047244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'Active Timeline'!$B$1</c:f>
              <c:strCache>
                <c:ptCount val="1"/>
                <c:pt idx="0">
                  <c:v>ActiveSubscribers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28575" cap="rnd">
                <a:solidFill>
                  <a:schemeClr val="accent1">
                    <a:alpha val="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numRef>
              <c:f>'Active Timeline'!$A$2:$A$741</c:f>
              <c:numCache>
                <c:formatCode>yyyy\-mm\-dd;@</c:formatCode>
                <c:ptCount val="740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</c:numCache>
            </c:numRef>
          </c:cat>
          <c:val>
            <c:numRef>
              <c:f>'Active Timeline'!$B$2:$B$741</c:f>
              <c:numCache>
                <c:formatCode>0</c:formatCode>
                <c:ptCount val="740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11</c:v>
                </c:pt>
                <c:pt idx="15">
                  <c:v>13</c:v>
                </c:pt>
                <c:pt idx="16">
                  <c:v>13</c:v>
                </c:pt>
                <c:pt idx="17">
                  <c:v>15</c:v>
                </c:pt>
                <c:pt idx="18">
                  <c:v>17</c:v>
                </c:pt>
                <c:pt idx="19">
                  <c:v>18</c:v>
                </c:pt>
                <c:pt idx="20">
                  <c:v>18</c:v>
                </c:pt>
                <c:pt idx="21">
                  <c:v>20</c:v>
                </c:pt>
                <c:pt idx="22">
                  <c:v>20</c:v>
                </c:pt>
                <c:pt idx="23">
                  <c:v>22</c:v>
                </c:pt>
                <c:pt idx="24">
                  <c:v>22</c:v>
                </c:pt>
                <c:pt idx="25">
                  <c:v>23</c:v>
                </c:pt>
                <c:pt idx="26">
                  <c:v>23</c:v>
                </c:pt>
                <c:pt idx="27">
                  <c:v>25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27</c:v>
                </c:pt>
                <c:pt idx="32">
                  <c:v>28</c:v>
                </c:pt>
                <c:pt idx="33">
                  <c:v>28</c:v>
                </c:pt>
                <c:pt idx="34">
                  <c:v>30</c:v>
                </c:pt>
                <c:pt idx="35">
                  <c:v>31</c:v>
                </c:pt>
                <c:pt idx="36">
                  <c:v>31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36</c:v>
                </c:pt>
                <c:pt idx="45">
                  <c:v>37</c:v>
                </c:pt>
                <c:pt idx="46">
                  <c:v>38</c:v>
                </c:pt>
                <c:pt idx="47">
                  <c:v>39</c:v>
                </c:pt>
                <c:pt idx="48">
                  <c:v>41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41</c:v>
                </c:pt>
                <c:pt idx="54">
                  <c:v>43</c:v>
                </c:pt>
                <c:pt idx="55">
                  <c:v>45</c:v>
                </c:pt>
                <c:pt idx="56">
                  <c:v>45</c:v>
                </c:pt>
                <c:pt idx="57">
                  <c:v>47</c:v>
                </c:pt>
                <c:pt idx="58">
                  <c:v>47</c:v>
                </c:pt>
                <c:pt idx="59">
                  <c:v>48</c:v>
                </c:pt>
                <c:pt idx="60">
                  <c:v>48</c:v>
                </c:pt>
                <c:pt idx="61">
                  <c:v>48</c:v>
                </c:pt>
                <c:pt idx="62">
                  <c:v>49</c:v>
                </c:pt>
                <c:pt idx="63">
                  <c:v>49</c:v>
                </c:pt>
                <c:pt idx="64">
                  <c:v>50</c:v>
                </c:pt>
                <c:pt idx="65">
                  <c:v>52</c:v>
                </c:pt>
                <c:pt idx="66">
                  <c:v>53</c:v>
                </c:pt>
                <c:pt idx="67">
                  <c:v>54</c:v>
                </c:pt>
                <c:pt idx="68">
                  <c:v>56</c:v>
                </c:pt>
                <c:pt idx="69">
                  <c:v>57</c:v>
                </c:pt>
                <c:pt idx="70">
                  <c:v>58</c:v>
                </c:pt>
                <c:pt idx="71">
                  <c:v>59</c:v>
                </c:pt>
                <c:pt idx="72">
                  <c:v>59</c:v>
                </c:pt>
                <c:pt idx="73">
                  <c:v>61</c:v>
                </c:pt>
                <c:pt idx="74">
                  <c:v>62</c:v>
                </c:pt>
                <c:pt idx="75">
                  <c:v>62</c:v>
                </c:pt>
                <c:pt idx="76">
                  <c:v>64</c:v>
                </c:pt>
                <c:pt idx="77">
                  <c:v>63</c:v>
                </c:pt>
                <c:pt idx="78">
                  <c:v>63</c:v>
                </c:pt>
                <c:pt idx="79">
                  <c:v>63</c:v>
                </c:pt>
                <c:pt idx="80">
                  <c:v>64</c:v>
                </c:pt>
                <c:pt idx="81">
                  <c:v>64</c:v>
                </c:pt>
                <c:pt idx="82">
                  <c:v>65</c:v>
                </c:pt>
                <c:pt idx="83">
                  <c:v>67</c:v>
                </c:pt>
                <c:pt idx="84">
                  <c:v>69</c:v>
                </c:pt>
                <c:pt idx="85">
                  <c:v>70</c:v>
                </c:pt>
                <c:pt idx="86">
                  <c:v>73</c:v>
                </c:pt>
                <c:pt idx="87">
                  <c:v>73</c:v>
                </c:pt>
                <c:pt idx="88">
                  <c:v>72</c:v>
                </c:pt>
                <c:pt idx="89">
                  <c:v>73</c:v>
                </c:pt>
                <c:pt idx="90">
                  <c:v>75</c:v>
                </c:pt>
                <c:pt idx="91">
                  <c:v>76</c:v>
                </c:pt>
                <c:pt idx="92">
                  <c:v>76</c:v>
                </c:pt>
                <c:pt idx="93">
                  <c:v>77</c:v>
                </c:pt>
                <c:pt idx="94">
                  <c:v>78</c:v>
                </c:pt>
                <c:pt idx="95">
                  <c:v>79</c:v>
                </c:pt>
                <c:pt idx="96">
                  <c:v>81</c:v>
                </c:pt>
                <c:pt idx="97">
                  <c:v>82</c:v>
                </c:pt>
                <c:pt idx="98">
                  <c:v>82</c:v>
                </c:pt>
                <c:pt idx="99">
                  <c:v>82</c:v>
                </c:pt>
                <c:pt idx="100">
                  <c:v>83</c:v>
                </c:pt>
                <c:pt idx="101">
                  <c:v>83</c:v>
                </c:pt>
                <c:pt idx="102">
                  <c:v>83</c:v>
                </c:pt>
                <c:pt idx="103">
                  <c:v>84</c:v>
                </c:pt>
                <c:pt idx="104">
                  <c:v>84</c:v>
                </c:pt>
                <c:pt idx="105">
                  <c:v>84</c:v>
                </c:pt>
                <c:pt idx="106">
                  <c:v>84</c:v>
                </c:pt>
                <c:pt idx="107">
                  <c:v>86</c:v>
                </c:pt>
                <c:pt idx="108">
                  <c:v>87</c:v>
                </c:pt>
                <c:pt idx="109">
                  <c:v>87</c:v>
                </c:pt>
                <c:pt idx="110">
                  <c:v>89</c:v>
                </c:pt>
                <c:pt idx="111">
                  <c:v>90</c:v>
                </c:pt>
                <c:pt idx="112">
                  <c:v>91</c:v>
                </c:pt>
                <c:pt idx="113">
                  <c:v>93</c:v>
                </c:pt>
                <c:pt idx="114">
                  <c:v>93</c:v>
                </c:pt>
                <c:pt idx="115">
                  <c:v>94</c:v>
                </c:pt>
                <c:pt idx="116">
                  <c:v>94</c:v>
                </c:pt>
                <c:pt idx="117">
                  <c:v>94</c:v>
                </c:pt>
                <c:pt idx="118">
                  <c:v>95</c:v>
                </c:pt>
                <c:pt idx="119">
                  <c:v>96</c:v>
                </c:pt>
                <c:pt idx="120">
                  <c:v>97</c:v>
                </c:pt>
                <c:pt idx="121">
                  <c:v>98</c:v>
                </c:pt>
                <c:pt idx="122">
                  <c:v>99</c:v>
                </c:pt>
                <c:pt idx="123">
                  <c:v>99</c:v>
                </c:pt>
                <c:pt idx="124">
                  <c:v>100</c:v>
                </c:pt>
                <c:pt idx="125">
                  <c:v>101</c:v>
                </c:pt>
                <c:pt idx="126">
                  <c:v>102</c:v>
                </c:pt>
                <c:pt idx="127">
                  <c:v>105</c:v>
                </c:pt>
                <c:pt idx="128">
                  <c:v>105</c:v>
                </c:pt>
                <c:pt idx="129">
                  <c:v>106</c:v>
                </c:pt>
                <c:pt idx="130">
                  <c:v>107</c:v>
                </c:pt>
                <c:pt idx="131">
                  <c:v>107</c:v>
                </c:pt>
                <c:pt idx="132">
                  <c:v>109</c:v>
                </c:pt>
                <c:pt idx="133">
                  <c:v>109</c:v>
                </c:pt>
                <c:pt idx="134">
                  <c:v>109</c:v>
                </c:pt>
                <c:pt idx="135">
                  <c:v>110</c:v>
                </c:pt>
                <c:pt idx="136">
                  <c:v>111</c:v>
                </c:pt>
                <c:pt idx="137">
                  <c:v>111</c:v>
                </c:pt>
                <c:pt idx="138">
                  <c:v>113</c:v>
                </c:pt>
                <c:pt idx="139">
                  <c:v>112</c:v>
                </c:pt>
                <c:pt idx="140">
                  <c:v>113</c:v>
                </c:pt>
                <c:pt idx="141">
                  <c:v>115</c:v>
                </c:pt>
                <c:pt idx="142">
                  <c:v>116</c:v>
                </c:pt>
                <c:pt idx="143">
                  <c:v>118</c:v>
                </c:pt>
                <c:pt idx="144">
                  <c:v>118</c:v>
                </c:pt>
                <c:pt idx="145">
                  <c:v>118</c:v>
                </c:pt>
                <c:pt idx="146">
                  <c:v>119</c:v>
                </c:pt>
                <c:pt idx="147">
                  <c:v>120</c:v>
                </c:pt>
                <c:pt idx="148">
                  <c:v>120</c:v>
                </c:pt>
                <c:pt idx="149">
                  <c:v>121</c:v>
                </c:pt>
                <c:pt idx="150">
                  <c:v>123</c:v>
                </c:pt>
                <c:pt idx="151">
                  <c:v>125</c:v>
                </c:pt>
                <c:pt idx="152">
                  <c:v>126</c:v>
                </c:pt>
                <c:pt idx="153">
                  <c:v>126</c:v>
                </c:pt>
                <c:pt idx="154">
                  <c:v>127</c:v>
                </c:pt>
                <c:pt idx="155">
                  <c:v>129</c:v>
                </c:pt>
                <c:pt idx="156">
                  <c:v>131</c:v>
                </c:pt>
                <c:pt idx="157">
                  <c:v>131</c:v>
                </c:pt>
                <c:pt idx="158">
                  <c:v>132</c:v>
                </c:pt>
                <c:pt idx="159">
                  <c:v>132</c:v>
                </c:pt>
                <c:pt idx="160">
                  <c:v>135</c:v>
                </c:pt>
                <c:pt idx="161">
                  <c:v>135</c:v>
                </c:pt>
                <c:pt idx="162">
                  <c:v>136</c:v>
                </c:pt>
                <c:pt idx="163">
                  <c:v>135</c:v>
                </c:pt>
                <c:pt idx="164">
                  <c:v>135</c:v>
                </c:pt>
                <c:pt idx="165">
                  <c:v>136</c:v>
                </c:pt>
                <c:pt idx="166">
                  <c:v>138</c:v>
                </c:pt>
                <c:pt idx="167">
                  <c:v>140</c:v>
                </c:pt>
                <c:pt idx="168">
                  <c:v>140</c:v>
                </c:pt>
                <c:pt idx="169">
                  <c:v>142</c:v>
                </c:pt>
                <c:pt idx="170">
                  <c:v>142</c:v>
                </c:pt>
                <c:pt idx="171">
                  <c:v>143</c:v>
                </c:pt>
                <c:pt idx="172">
                  <c:v>143</c:v>
                </c:pt>
                <c:pt idx="173">
                  <c:v>143</c:v>
                </c:pt>
                <c:pt idx="174">
                  <c:v>143</c:v>
                </c:pt>
                <c:pt idx="175">
                  <c:v>142</c:v>
                </c:pt>
                <c:pt idx="176">
                  <c:v>142</c:v>
                </c:pt>
                <c:pt idx="177">
                  <c:v>143</c:v>
                </c:pt>
                <c:pt idx="178">
                  <c:v>144</c:v>
                </c:pt>
                <c:pt idx="179">
                  <c:v>147</c:v>
                </c:pt>
                <c:pt idx="180">
                  <c:v>147</c:v>
                </c:pt>
                <c:pt idx="181">
                  <c:v>147</c:v>
                </c:pt>
                <c:pt idx="182">
                  <c:v>148</c:v>
                </c:pt>
                <c:pt idx="183">
                  <c:v>147</c:v>
                </c:pt>
                <c:pt idx="184">
                  <c:v>148</c:v>
                </c:pt>
                <c:pt idx="185">
                  <c:v>149</c:v>
                </c:pt>
                <c:pt idx="186">
                  <c:v>148</c:v>
                </c:pt>
                <c:pt idx="187">
                  <c:v>150</c:v>
                </c:pt>
                <c:pt idx="188">
                  <c:v>151</c:v>
                </c:pt>
                <c:pt idx="189">
                  <c:v>152</c:v>
                </c:pt>
                <c:pt idx="190">
                  <c:v>153</c:v>
                </c:pt>
                <c:pt idx="191">
                  <c:v>153</c:v>
                </c:pt>
                <c:pt idx="192">
                  <c:v>154</c:v>
                </c:pt>
                <c:pt idx="193">
                  <c:v>157</c:v>
                </c:pt>
                <c:pt idx="194">
                  <c:v>157</c:v>
                </c:pt>
                <c:pt idx="195">
                  <c:v>157</c:v>
                </c:pt>
                <c:pt idx="196">
                  <c:v>158</c:v>
                </c:pt>
                <c:pt idx="197">
                  <c:v>158</c:v>
                </c:pt>
                <c:pt idx="198">
                  <c:v>159</c:v>
                </c:pt>
                <c:pt idx="199">
                  <c:v>160</c:v>
                </c:pt>
                <c:pt idx="200">
                  <c:v>159</c:v>
                </c:pt>
                <c:pt idx="201">
                  <c:v>160</c:v>
                </c:pt>
                <c:pt idx="202">
                  <c:v>162</c:v>
                </c:pt>
                <c:pt idx="203">
                  <c:v>163</c:v>
                </c:pt>
                <c:pt idx="204">
                  <c:v>164</c:v>
                </c:pt>
                <c:pt idx="205">
                  <c:v>165</c:v>
                </c:pt>
                <c:pt idx="206">
                  <c:v>165</c:v>
                </c:pt>
                <c:pt idx="207">
                  <c:v>168</c:v>
                </c:pt>
                <c:pt idx="208">
                  <c:v>169</c:v>
                </c:pt>
                <c:pt idx="209">
                  <c:v>169</c:v>
                </c:pt>
                <c:pt idx="210">
                  <c:v>170</c:v>
                </c:pt>
                <c:pt idx="211">
                  <c:v>170</c:v>
                </c:pt>
                <c:pt idx="212">
                  <c:v>170</c:v>
                </c:pt>
                <c:pt idx="213">
                  <c:v>169</c:v>
                </c:pt>
                <c:pt idx="214">
                  <c:v>170</c:v>
                </c:pt>
                <c:pt idx="215">
                  <c:v>169</c:v>
                </c:pt>
                <c:pt idx="216">
                  <c:v>171</c:v>
                </c:pt>
                <c:pt idx="217">
                  <c:v>173</c:v>
                </c:pt>
                <c:pt idx="218">
                  <c:v>173</c:v>
                </c:pt>
                <c:pt idx="219">
                  <c:v>173</c:v>
                </c:pt>
                <c:pt idx="220">
                  <c:v>173</c:v>
                </c:pt>
                <c:pt idx="221">
                  <c:v>174</c:v>
                </c:pt>
                <c:pt idx="222">
                  <c:v>176</c:v>
                </c:pt>
                <c:pt idx="223">
                  <c:v>177</c:v>
                </c:pt>
                <c:pt idx="224">
                  <c:v>177</c:v>
                </c:pt>
                <c:pt idx="225">
                  <c:v>179</c:v>
                </c:pt>
                <c:pt idx="226">
                  <c:v>179</c:v>
                </c:pt>
                <c:pt idx="227">
                  <c:v>178</c:v>
                </c:pt>
                <c:pt idx="228">
                  <c:v>178</c:v>
                </c:pt>
                <c:pt idx="229">
                  <c:v>177</c:v>
                </c:pt>
                <c:pt idx="230">
                  <c:v>179</c:v>
                </c:pt>
                <c:pt idx="231">
                  <c:v>180</c:v>
                </c:pt>
                <c:pt idx="232">
                  <c:v>180</c:v>
                </c:pt>
                <c:pt idx="233">
                  <c:v>183</c:v>
                </c:pt>
                <c:pt idx="234">
                  <c:v>184</c:v>
                </c:pt>
                <c:pt idx="235">
                  <c:v>185</c:v>
                </c:pt>
                <c:pt idx="236">
                  <c:v>187</c:v>
                </c:pt>
                <c:pt idx="237">
                  <c:v>189</c:v>
                </c:pt>
                <c:pt idx="238">
                  <c:v>189</c:v>
                </c:pt>
                <c:pt idx="239">
                  <c:v>191</c:v>
                </c:pt>
                <c:pt idx="240">
                  <c:v>191</c:v>
                </c:pt>
                <c:pt idx="241">
                  <c:v>191</c:v>
                </c:pt>
                <c:pt idx="242">
                  <c:v>192</c:v>
                </c:pt>
                <c:pt idx="243">
                  <c:v>194</c:v>
                </c:pt>
                <c:pt idx="244">
                  <c:v>195</c:v>
                </c:pt>
                <c:pt idx="245">
                  <c:v>196</c:v>
                </c:pt>
                <c:pt idx="246">
                  <c:v>196</c:v>
                </c:pt>
                <c:pt idx="247">
                  <c:v>196</c:v>
                </c:pt>
                <c:pt idx="248">
                  <c:v>195</c:v>
                </c:pt>
                <c:pt idx="249">
                  <c:v>196</c:v>
                </c:pt>
                <c:pt idx="250">
                  <c:v>197</c:v>
                </c:pt>
                <c:pt idx="251">
                  <c:v>198</c:v>
                </c:pt>
                <c:pt idx="252">
                  <c:v>198</c:v>
                </c:pt>
                <c:pt idx="253">
                  <c:v>200</c:v>
                </c:pt>
                <c:pt idx="254">
                  <c:v>200</c:v>
                </c:pt>
                <c:pt idx="255">
                  <c:v>200</c:v>
                </c:pt>
                <c:pt idx="256">
                  <c:v>202</c:v>
                </c:pt>
                <c:pt idx="257">
                  <c:v>205</c:v>
                </c:pt>
                <c:pt idx="258">
                  <c:v>205</c:v>
                </c:pt>
                <c:pt idx="259">
                  <c:v>205</c:v>
                </c:pt>
                <c:pt idx="260">
                  <c:v>206</c:v>
                </c:pt>
                <c:pt idx="261">
                  <c:v>206</c:v>
                </c:pt>
                <c:pt idx="262">
                  <c:v>208</c:v>
                </c:pt>
                <c:pt idx="263">
                  <c:v>209</c:v>
                </c:pt>
                <c:pt idx="264">
                  <c:v>209</c:v>
                </c:pt>
                <c:pt idx="265">
                  <c:v>210</c:v>
                </c:pt>
                <c:pt idx="266">
                  <c:v>210</c:v>
                </c:pt>
                <c:pt idx="267">
                  <c:v>210</c:v>
                </c:pt>
                <c:pt idx="268">
                  <c:v>210</c:v>
                </c:pt>
                <c:pt idx="269">
                  <c:v>211</c:v>
                </c:pt>
                <c:pt idx="270">
                  <c:v>210</c:v>
                </c:pt>
                <c:pt idx="271">
                  <c:v>211</c:v>
                </c:pt>
                <c:pt idx="272">
                  <c:v>212</c:v>
                </c:pt>
                <c:pt idx="273">
                  <c:v>214</c:v>
                </c:pt>
                <c:pt idx="274">
                  <c:v>213</c:v>
                </c:pt>
                <c:pt idx="275">
                  <c:v>216</c:v>
                </c:pt>
                <c:pt idx="276">
                  <c:v>216</c:v>
                </c:pt>
                <c:pt idx="277">
                  <c:v>218</c:v>
                </c:pt>
                <c:pt idx="278">
                  <c:v>218</c:v>
                </c:pt>
                <c:pt idx="279">
                  <c:v>219</c:v>
                </c:pt>
                <c:pt idx="280">
                  <c:v>219</c:v>
                </c:pt>
                <c:pt idx="281">
                  <c:v>219</c:v>
                </c:pt>
                <c:pt idx="282">
                  <c:v>220</c:v>
                </c:pt>
                <c:pt idx="283">
                  <c:v>222</c:v>
                </c:pt>
                <c:pt idx="284">
                  <c:v>222</c:v>
                </c:pt>
                <c:pt idx="285">
                  <c:v>223</c:v>
                </c:pt>
                <c:pt idx="286">
                  <c:v>224</c:v>
                </c:pt>
                <c:pt idx="287">
                  <c:v>224</c:v>
                </c:pt>
                <c:pt idx="288">
                  <c:v>226</c:v>
                </c:pt>
                <c:pt idx="289">
                  <c:v>227</c:v>
                </c:pt>
                <c:pt idx="290">
                  <c:v>227</c:v>
                </c:pt>
                <c:pt idx="291">
                  <c:v>227</c:v>
                </c:pt>
                <c:pt idx="292">
                  <c:v>227</c:v>
                </c:pt>
                <c:pt idx="293">
                  <c:v>228</c:v>
                </c:pt>
                <c:pt idx="294">
                  <c:v>230</c:v>
                </c:pt>
                <c:pt idx="295">
                  <c:v>233</c:v>
                </c:pt>
                <c:pt idx="296">
                  <c:v>233</c:v>
                </c:pt>
                <c:pt idx="297">
                  <c:v>234</c:v>
                </c:pt>
                <c:pt idx="298">
                  <c:v>234</c:v>
                </c:pt>
                <c:pt idx="299">
                  <c:v>237</c:v>
                </c:pt>
                <c:pt idx="300">
                  <c:v>238</c:v>
                </c:pt>
                <c:pt idx="301">
                  <c:v>240</c:v>
                </c:pt>
                <c:pt idx="302">
                  <c:v>241</c:v>
                </c:pt>
                <c:pt idx="303">
                  <c:v>240</c:v>
                </c:pt>
                <c:pt idx="304">
                  <c:v>241</c:v>
                </c:pt>
                <c:pt idx="305">
                  <c:v>244</c:v>
                </c:pt>
                <c:pt idx="306">
                  <c:v>244</c:v>
                </c:pt>
                <c:pt idx="307">
                  <c:v>245</c:v>
                </c:pt>
                <c:pt idx="308">
                  <c:v>246</c:v>
                </c:pt>
                <c:pt idx="309">
                  <c:v>247</c:v>
                </c:pt>
                <c:pt idx="310">
                  <c:v>248</c:v>
                </c:pt>
                <c:pt idx="311">
                  <c:v>249</c:v>
                </c:pt>
                <c:pt idx="312">
                  <c:v>250</c:v>
                </c:pt>
                <c:pt idx="313">
                  <c:v>251</c:v>
                </c:pt>
                <c:pt idx="314">
                  <c:v>253</c:v>
                </c:pt>
                <c:pt idx="315">
                  <c:v>253</c:v>
                </c:pt>
                <c:pt idx="316">
                  <c:v>254</c:v>
                </c:pt>
                <c:pt idx="317">
                  <c:v>255</c:v>
                </c:pt>
                <c:pt idx="318">
                  <c:v>257</c:v>
                </c:pt>
                <c:pt idx="319">
                  <c:v>256</c:v>
                </c:pt>
                <c:pt idx="320">
                  <c:v>257</c:v>
                </c:pt>
                <c:pt idx="321">
                  <c:v>258</c:v>
                </c:pt>
                <c:pt idx="322">
                  <c:v>259</c:v>
                </c:pt>
                <c:pt idx="323">
                  <c:v>259</c:v>
                </c:pt>
                <c:pt idx="324">
                  <c:v>261</c:v>
                </c:pt>
                <c:pt idx="325">
                  <c:v>262</c:v>
                </c:pt>
                <c:pt idx="326">
                  <c:v>262</c:v>
                </c:pt>
                <c:pt idx="327">
                  <c:v>265</c:v>
                </c:pt>
                <c:pt idx="328">
                  <c:v>267</c:v>
                </c:pt>
                <c:pt idx="329">
                  <c:v>268</c:v>
                </c:pt>
                <c:pt idx="330">
                  <c:v>268</c:v>
                </c:pt>
                <c:pt idx="331">
                  <c:v>268</c:v>
                </c:pt>
                <c:pt idx="332">
                  <c:v>269</c:v>
                </c:pt>
                <c:pt idx="333">
                  <c:v>270</c:v>
                </c:pt>
                <c:pt idx="334">
                  <c:v>270</c:v>
                </c:pt>
                <c:pt idx="335">
                  <c:v>271</c:v>
                </c:pt>
                <c:pt idx="336">
                  <c:v>272</c:v>
                </c:pt>
                <c:pt idx="337">
                  <c:v>271</c:v>
                </c:pt>
                <c:pt idx="338">
                  <c:v>274</c:v>
                </c:pt>
                <c:pt idx="339">
                  <c:v>274</c:v>
                </c:pt>
                <c:pt idx="340">
                  <c:v>274</c:v>
                </c:pt>
                <c:pt idx="341">
                  <c:v>273</c:v>
                </c:pt>
                <c:pt idx="342">
                  <c:v>273</c:v>
                </c:pt>
                <c:pt idx="343">
                  <c:v>276</c:v>
                </c:pt>
                <c:pt idx="344">
                  <c:v>278</c:v>
                </c:pt>
                <c:pt idx="345">
                  <c:v>281</c:v>
                </c:pt>
                <c:pt idx="346">
                  <c:v>281</c:v>
                </c:pt>
                <c:pt idx="347">
                  <c:v>283</c:v>
                </c:pt>
                <c:pt idx="348">
                  <c:v>285</c:v>
                </c:pt>
                <c:pt idx="349">
                  <c:v>286</c:v>
                </c:pt>
                <c:pt idx="350">
                  <c:v>290</c:v>
                </c:pt>
                <c:pt idx="351">
                  <c:v>291</c:v>
                </c:pt>
                <c:pt idx="352">
                  <c:v>292</c:v>
                </c:pt>
                <c:pt idx="353">
                  <c:v>295</c:v>
                </c:pt>
                <c:pt idx="354">
                  <c:v>296</c:v>
                </c:pt>
                <c:pt idx="355">
                  <c:v>297</c:v>
                </c:pt>
                <c:pt idx="356">
                  <c:v>298</c:v>
                </c:pt>
                <c:pt idx="357">
                  <c:v>301</c:v>
                </c:pt>
                <c:pt idx="358">
                  <c:v>304</c:v>
                </c:pt>
                <c:pt idx="359">
                  <c:v>306</c:v>
                </c:pt>
                <c:pt idx="360">
                  <c:v>306</c:v>
                </c:pt>
                <c:pt idx="361">
                  <c:v>306</c:v>
                </c:pt>
                <c:pt idx="362">
                  <c:v>305</c:v>
                </c:pt>
                <c:pt idx="363">
                  <c:v>307</c:v>
                </c:pt>
                <c:pt idx="364">
                  <c:v>310</c:v>
                </c:pt>
                <c:pt idx="365">
                  <c:v>309</c:v>
                </c:pt>
                <c:pt idx="366">
                  <c:v>308</c:v>
                </c:pt>
                <c:pt idx="367">
                  <c:v>308</c:v>
                </c:pt>
                <c:pt idx="368">
                  <c:v>308</c:v>
                </c:pt>
                <c:pt idx="369">
                  <c:v>309</c:v>
                </c:pt>
                <c:pt idx="370">
                  <c:v>309</c:v>
                </c:pt>
                <c:pt idx="371">
                  <c:v>312</c:v>
                </c:pt>
                <c:pt idx="372">
                  <c:v>312</c:v>
                </c:pt>
                <c:pt idx="373">
                  <c:v>312</c:v>
                </c:pt>
                <c:pt idx="374">
                  <c:v>313</c:v>
                </c:pt>
                <c:pt idx="375">
                  <c:v>314</c:v>
                </c:pt>
                <c:pt idx="376">
                  <c:v>312</c:v>
                </c:pt>
                <c:pt idx="377">
                  <c:v>312</c:v>
                </c:pt>
                <c:pt idx="378">
                  <c:v>313</c:v>
                </c:pt>
                <c:pt idx="379">
                  <c:v>313</c:v>
                </c:pt>
                <c:pt idx="380">
                  <c:v>313</c:v>
                </c:pt>
                <c:pt idx="381">
                  <c:v>314</c:v>
                </c:pt>
                <c:pt idx="382">
                  <c:v>314</c:v>
                </c:pt>
                <c:pt idx="383">
                  <c:v>314</c:v>
                </c:pt>
                <c:pt idx="384">
                  <c:v>314</c:v>
                </c:pt>
                <c:pt idx="385">
                  <c:v>315</c:v>
                </c:pt>
                <c:pt idx="386">
                  <c:v>315</c:v>
                </c:pt>
                <c:pt idx="387">
                  <c:v>316</c:v>
                </c:pt>
                <c:pt idx="388">
                  <c:v>314</c:v>
                </c:pt>
                <c:pt idx="389">
                  <c:v>315</c:v>
                </c:pt>
                <c:pt idx="390">
                  <c:v>315</c:v>
                </c:pt>
                <c:pt idx="391">
                  <c:v>316</c:v>
                </c:pt>
                <c:pt idx="392">
                  <c:v>317</c:v>
                </c:pt>
                <c:pt idx="393">
                  <c:v>321</c:v>
                </c:pt>
                <c:pt idx="394">
                  <c:v>322</c:v>
                </c:pt>
                <c:pt idx="395">
                  <c:v>320</c:v>
                </c:pt>
                <c:pt idx="396">
                  <c:v>319</c:v>
                </c:pt>
                <c:pt idx="397">
                  <c:v>318</c:v>
                </c:pt>
                <c:pt idx="398">
                  <c:v>316</c:v>
                </c:pt>
                <c:pt idx="399">
                  <c:v>318</c:v>
                </c:pt>
                <c:pt idx="400">
                  <c:v>319</c:v>
                </c:pt>
                <c:pt idx="401">
                  <c:v>321</c:v>
                </c:pt>
                <c:pt idx="402">
                  <c:v>322</c:v>
                </c:pt>
                <c:pt idx="403">
                  <c:v>323</c:v>
                </c:pt>
                <c:pt idx="404">
                  <c:v>325</c:v>
                </c:pt>
                <c:pt idx="405">
                  <c:v>325</c:v>
                </c:pt>
                <c:pt idx="406">
                  <c:v>326</c:v>
                </c:pt>
                <c:pt idx="407">
                  <c:v>326</c:v>
                </c:pt>
                <c:pt idx="408">
                  <c:v>328</c:v>
                </c:pt>
                <c:pt idx="409">
                  <c:v>331</c:v>
                </c:pt>
                <c:pt idx="410">
                  <c:v>332</c:v>
                </c:pt>
                <c:pt idx="411">
                  <c:v>331</c:v>
                </c:pt>
                <c:pt idx="412">
                  <c:v>331</c:v>
                </c:pt>
                <c:pt idx="413">
                  <c:v>330</c:v>
                </c:pt>
                <c:pt idx="414">
                  <c:v>328</c:v>
                </c:pt>
                <c:pt idx="415">
                  <c:v>327</c:v>
                </c:pt>
                <c:pt idx="416">
                  <c:v>326</c:v>
                </c:pt>
                <c:pt idx="417">
                  <c:v>325</c:v>
                </c:pt>
                <c:pt idx="418">
                  <c:v>325</c:v>
                </c:pt>
                <c:pt idx="419">
                  <c:v>325</c:v>
                </c:pt>
                <c:pt idx="420">
                  <c:v>325</c:v>
                </c:pt>
                <c:pt idx="421">
                  <c:v>326</c:v>
                </c:pt>
                <c:pt idx="422">
                  <c:v>327</c:v>
                </c:pt>
                <c:pt idx="423">
                  <c:v>329</c:v>
                </c:pt>
                <c:pt idx="424">
                  <c:v>329</c:v>
                </c:pt>
                <c:pt idx="425">
                  <c:v>330</c:v>
                </c:pt>
                <c:pt idx="426">
                  <c:v>332</c:v>
                </c:pt>
                <c:pt idx="427">
                  <c:v>333</c:v>
                </c:pt>
                <c:pt idx="428">
                  <c:v>334</c:v>
                </c:pt>
                <c:pt idx="429">
                  <c:v>336</c:v>
                </c:pt>
                <c:pt idx="430">
                  <c:v>336</c:v>
                </c:pt>
                <c:pt idx="431">
                  <c:v>336</c:v>
                </c:pt>
                <c:pt idx="432">
                  <c:v>337</c:v>
                </c:pt>
                <c:pt idx="433">
                  <c:v>337</c:v>
                </c:pt>
                <c:pt idx="434">
                  <c:v>339</c:v>
                </c:pt>
                <c:pt idx="435">
                  <c:v>342</c:v>
                </c:pt>
                <c:pt idx="436">
                  <c:v>343</c:v>
                </c:pt>
                <c:pt idx="437">
                  <c:v>342</c:v>
                </c:pt>
                <c:pt idx="438">
                  <c:v>344</c:v>
                </c:pt>
                <c:pt idx="439">
                  <c:v>344</c:v>
                </c:pt>
                <c:pt idx="440">
                  <c:v>344</c:v>
                </c:pt>
                <c:pt idx="441">
                  <c:v>343</c:v>
                </c:pt>
                <c:pt idx="442">
                  <c:v>343</c:v>
                </c:pt>
                <c:pt idx="443">
                  <c:v>346</c:v>
                </c:pt>
                <c:pt idx="444">
                  <c:v>347</c:v>
                </c:pt>
                <c:pt idx="445">
                  <c:v>345</c:v>
                </c:pt>
                <c:pt idx="446">
                  <c:v>345</c:v>
                </c:pt>
                <c:pt idx="447">
                  <c:v>344</c:v>
                </c:pt>
                <c:pt idx="448">
                  <c:v>346</c:v>
                </c:pt>
                <c:pt idx="449">
                  <c:v>346</c:v>
                </c:pt>
                <c:pt idx="450">
                  <c:v>349</c:v>
                </c:pt>
                <c:pt idx="451">
                  <c:v>348</c:v>
                </c:pt>
                <c:pt idx="452">
                  <c:v>351</c:v>
                </c:pt>
                <c:pt idx="453">
                  <c:v>352</c:v>
                </c:pt>
                <c:pt idx="454">
                  <c:v>354</c:v>
                </c:pt>
                <c:pt idx="455">
                  <c:v>354</c:v>
                </c:pt>
                <c:pt idx="456">
                  <c:v>353</c:v>
                </c:pt>
                <c:pt idx="457">
                  <c:v>352</c:v>
                </c:pt>
                <c:pt idx="458">
                  <c:v>352</c:v>
                </c:pt>
                <c:pt idx="459">
                  <c:v>352</c:v>
                </c:pt>
                <c:pt idx="460">
                  <c:v>354</c:v>
                </c:pt>
                <c:pt idx="461">
                  <c:v>354</c:v>
                </c:pt>
                <c:pt idx="462">
                  <c:v>355</c:v>
                </c:pt>
                <c:pt idx="463">
                  <c:v>355</c:v>
                </c:pt>
                <c:pt idx="464">
                  <c:v>355</c:v>
                </c:pt>
                <c:pt idx="465">
                  <c:v>356</c:v>
                </c:pt>
                <c:pt idx="466">
                  <c:v>356</c:v>
                </c:pt>
                <c:pt idx="467">
                  <c:v>357</c:v>
                </c:pt>
                <c:pt idx="468">
                  <c:v>355</c:v>
                </c:pt>
                <c:pt idx="469">
                  <c:v>355</c:v>
                </c:pt>
                <c:pt idx="470">
                  <c:v>356</c:v>
                </c:pt>
                <c:pt idx="471">
                  <c:v>356</c:v>
                </c:pt>
                <c:pt idx="472">
                  <c:v>358</c:v>
                </c:pt>
                <c:pt idx="473">
                  <c:v>359</c:v>
                </c:pt>
                <c:pt idx="474">
                  <c:v>360</c:v>
                </c:pt>
                <c:pt idx="475">
                  <c:v>362</c:v>
                </c:pt>
                <c:pt idx="476">
                  <c:v>361</c:v>
                </c:pt>
                <c:pt idx="477">
                  <c:v>362</c:v>
                </c:pt>
                <c:pt idx="478">
                  <c:v>363</c:v>
                </c:pt>
                <c:pt idx="479">
                  <c:v>362</c:v>
                </c:pt>
                <c:pt idx="480">
                  <c:v>361</c:v>
                </c:pt>
                <c:pt idx="481">
                  <c:v>360</c:v>
                </c:pt>
                <c:pt idx="482">
                  <c:v>360</c:v>
                </c:pt>
                <c:pt idx="483">
                  <c:v>363</c:v>
                </c:pt>
                <c:pt idx="484">
                  <c:v>364</c:v>
                </c:pt>
                <c:pt idx="485">
                  <c:v>363</c:v>
                </c:pt>
                <c:pt idx="486">
                  <c:v>363</c:v>
                </c:pt>
                <c:pt idx="487">
                  <c:v>361</c:v>
                </c:pt>
                <c:pt idx="488">
                  <c:v>363</c:v>
                </c:pt>
                <c:pt idx="489">
                  <c:v>365</c:v>
                </c:pt>
                <c:pt idx="490">
                  <c:v>363</c:v>
                </c:pt>
                <c:pt idx="491">
                  <c:v>364</c:v>
                </c:pt>
                <c:pt idx="492">
                  <c:v>363</c:v>
                </c:pt>
                <c:pt idx="493">
                  <c:v>365</c:v>
                </c:pt>
                <c:pt idx="494">
                  <c:v>368</c:v>
                </c:pt>
                <c:pt idx="495">
                  <c:v>369</c:v>
                </c:pt>
                <c:pt idx="496">
                  <c:v>371</c:v>
                </c:pt>
                <c:pt idx="497">
                  <c:v>370</c:v>
                </c:pt>
                <c:pt idx="498">
                  <c:v>374</c:v>
                </c:pt>
                <c:pt idx="499">
                  <c:v>375</c:v>
                </c:pt>
                <c:pt idx="500">
                  <c:v>376</c:v>
                </c:pt>
                <c:pt idx="501">
                  <c:v>375</c:v>
                </c:pt>
                <c:pt idx="502">
                  <c:v>376</c:v>
                </c:pt>
                <c:pt idx="503">
                  <c:v>376</c:v>
                </c:pt>
                <c:pt idx="504">
                  <c:v>379</c:v>
                </c:pt>
                <c:pt idx="505">
                  <c:v>379</c:v>
                </c:pt>
                <c:pt idx="506">
                  <c:v>379</c:v>
                </c:pt>
                <c:pt idx="507">
                  <c:v>378</c:v>
                </c:pt>
                <c:pt idx="508">
                  <c:v>379</c:v>
                </c:pt>
                <c:pt idx="509">
                  <c:v>380</c:v>
                </c:pt>
                <c:pt idx="510">
                  <c:v>382</c:v>
                </c:pt>
                <c:pt idx="511">
                  <c:v>383</c:v>
                </c:pt>
                <c:pt idx="512">
                  <c:v>382</c:v>
                </c:pt>
                <c:pt idx="513">
                  <c:v>383</c:v>
                </c:pt>
                <c:pt idx="514">
                  <c:v>380</c:v>
                </c:pt>
                <c:pt idx="515">
                  <c:v>380</c:v>
                </c:pt>
                <c:pt idx="516">
                  <c:v>380</c:v>
                </c:pt>
                <c:pt idx="517">
                  <c:v>380</c:v>
                </c:pt>
                <c:pt idx="518">
                  <c:v>382</c:v>
                </c:pt>
                <c:pt idx="519">
                  <c:v>380</c:v>
                </c:pt>
                <c:pt idx="520">
                  <c:v>380</c:v>
                </c:pt>
                <c:pt idx="521">
                  <c:v>380</c:v>
                </c:pt>
                <c:pt idx="522">
                  <c:v>379</c:v>
                </c:pt>
                <c:pt idx="523">
                  <c:v>379</c:v>
                </c:pt>
                <c:pt idx="524">
                  <c:v>381</c:v>
                </c:pt>
                <c:pt idx="525">
                  <c:v>383</c:v>
                </c:pt>
                <c:pt idx="526">
                  <c:v>384</c:v>
                </c:pt>
                <c:pt idx="527">
                  <c:v>382</c:v>
                </c:pt>
                <c:pt idx="528">
                  <c:v>383</c:v>
                </c:pt>
                <c:pt idx="529">
                  <c:v>383</c:v>
                </c:pt>
                <c:pt idx="530">
                  <c:v>383</c:v>
                </c:pt>
                <c:pt idx="531">
                  <c:v>383</c:v>
                </c:pt>
                <c:pt idx="532">
                  <c:v>385</c:v>
                </c:pt>
                <c:pt idx="533">
                  <c:v>387</c:v>
                </c:pt>
                <c:pt idx="534">
                  <c:v>387</c:v>
                </c:pt>
                <c:pt idx="535">
                  <c:v>386</c:v>
                </c:pt>
                <c:pt idx="536">
                  <c:v>387</c:v>
                </c:pt>
                <c:pt idx="537">
                  <c:v>387</c:v>
                </c:pt>
                <c:pt idx="538">
                  <c:v>386</c:v>
                </c:pt>
                <c:pt idx="539">
                  <c:v>384</c:v>
                </c:pt>
                <c:pt idx="540">
                  <c:v>382</c:v>
                </c:pt>
                <c:pt idx="541">
                  <c:v>384</c:v>
                </c:pt>
                <c:pt idx="542">
                  <c:v>383</c:v>
                </c:pt>
                <c:pt idx="543">
                  <c:v>383</c:v>
                </c:pt>
                <c:pt idx="544">
                  <c:v>384</c:v>
                </c:pt>
                <c:pt idx="545">
                  <c:v>386</c:v>
                </c:pt>
                <c:pt idx="546">
                  <c:v>387</c:v>
                </c:pt>
                <c:pt idx="547">
                  <c:v>388</c:v>
                </c:pt>
                <c:pt idx="548">
                  <c:v>388</c:v>
                </c:pt>
                <c:pt idx="549">
                  <c:v>386</c:v>
                </c:pt>
                <c:pt idx="550">
                  <c:v>384</c:v>
                </c:pt>
                <c:pt idx="551">
                  <c:v>383</c:v>
                </c:pt>
                <c:pt idx="552">
                  <c:v>384</c:v>
                </c:pt>
                <c:pt idx="553">
                  <c:v>383</c:v>
                </c:pt>
                <c:pt idx="554">
                  <c:v>384</c:v>
                </c:pt>
                <c:pt idx="555">
                  <c:v>386</c:v>
                </c:pt>
                <c:pt idx="556">
                  <c:v>386</c:v>
                </c:pt>
                <c:pt idx="557">
                  <c:v>385</c:v>
                </c:pt>
                <c:pt idx="558">
                  <c:v>386</c:v>
                </c:pt>
                <c:pt idx="559">
                  <c:v>385</c:v>
                </c:pt>
                <c:pt idx="560">
                  <c:v>387</c:v>
                </c:pt>
                <c:pt idx="561">
                  <c:v>388</c:v>
                </c:pt>
                <c:pt idx="562">
                  <c:v>387</c:v>
                </c:pt>
                <c:pt idx="563">
                  <c:v>387</c:v>
                </c:pt>
                <c:pt idx="564">
                  <c:v>385</c:v>
                </c:pt>
                <c:pt idx="565">
                  <c:v>385</c:v>
                </c:pt>
                <c:pt idx="566">
                  <c:v>385</c:v>
                </c:pt>
                <c:pt idx="567">
                  <c:v>387</c:v>
                </c:pt>
                <c:pt idx="568">
                  <c:v>386</c:v>
                </c:pt>
                <c:pt idx="569">
                  <c:v>385</c:v>
                </c:pt>
                <c:pt idx="570">
                  <c:v>386</c:v>
                </c:pt>
                <c:pt idx="571">
                  <c:v>387</c:v>
                </c:pt>
                <c:pt idx="572">
                  <c:v>388</c:v>
                </c:pt>
                <c:pt idx="573">
                  <c:v>391</c:v>
                </c:pt>
                <c:pt idx="574">
                  <c:v>394</c:v>
                </c:pt>
                <c:pt idx="575">
                  <c:v>396</c:v>
                </c:pt>
                <c:pt idx="576">
                  <c:v>396</c:v>
                </c:pt>
                <c:pt idx="577">
                  <c:v>398</c:v>
                </c:pt>
                <c:pt idx="578">
                  <c:v>398</c:v>
                </c:pt>
                <c:pt idx="579">
                  <c:v>401</c:v>
                </c:pt>
                <c:pt idx="580">
                  <c:v>403</c:v>
                </c:pt>
                <c:pt idx="581">
                  <c:v>403</c:v>
                </c:pt>
                <c:pt idx="582">
                  <c:v>401</c:v>
                </c:pt>
                <c:pt idx="583">
                  <c:v>401</c:v>
                </c:pt>
                <c:pt idx="584">
                  <c:v>398</c:v>
                </c:pt>
                <c:pt idx="585">
                  <c:v>398</c:v>
                </c:pt>
                <c:pt idx="586">
                  <c:v>396</c:v>
                </c:pt>
                <c:pt idx="587">
                  <c:v>396</c:v>
                </c:pt>
                <c:pt idx="588">
                  <c:v>399</c:v>
                </c:pt>
                <c:pt idx="589">
                  <c:v>398</c:v>
                </c:pt>
                <c:pt idx="590">
                  <c:v>399</c:v>
                </c:pt>
                <c:pt idx="591">
                  <c:v>401</c:v>
                </c:pt>
                <c:pt idx="592">
                  <c:v>400</c:v>
                </c:pt>
                <c:pt idx="593">
                  <c:v>400</c:v>
                </c:pt>
                <c:pt idx="594">
                  <c:v>398</c:v>
                </c:pt>
                <c:pt idx="595">
                  <c:v>397</c:v>
                </c:pt>
                <c:pt idx="596">
                  <c:v>399</c:v>
                </c:pt>
                <c:pt idx="597">
                  <c:v>398</c:v>
                </c:pt>
                <c:pt idx="598">
                  <c:v>401</c:v>
                </c:pt>
                <c:pt idx="599">
                  <c:v>403</c:v>
                </c:pt>
                <c:pt idx="600">
                  <c:v>402</c:v>
                </c:pt>
                <c:pt idx="601">
                  <c:v>405</c:v>
                </c:pt>
                <c:pt idx="602">
                  <c:v>407</c:v>
                </c:pt>
                <c:pt idx="603">
                  <c:v>408</c:v>
                </c:pt>
                <c:pt idx="604">
                  <c:v>406</c:v>
                </c:pt>
                <c:pt idx="605">
                  <c:v>407</c:v>
                </c:pt>
                <c:pt idx="606">
                  <c:v>407</c:v>
                </c:pt>
                <c:pt idx="607">
                  <c:v>407</c:v>
                </c:pt>
                <c:pt idx="608">
                  <c:v>408</c:v>
                </c:pt>
                <c:pt idx="609">
                  <c:v>407</c:v>
                </c:pt>
                <c:pt idx="610">
                  <c:v>405</c:v>
                </c:pt>
                <c:pt idx="611">
                  <c:v>404</c:v>
                </c:pt>
                <c:pt idx="612">
                  <c:v>402</c:v>
                </c:pt>
                <c:pt idx="613">
                  <c:v>403</c:v>
                </c:pt>
                <c:pt idx="614">
                  <c:v>402</c:v>
                </c:pt>
                <c:pt idx="615">
                  <c:v>400</c:v>
                </c:pt>
                <c:pt idx="616">
                  <c:v>400</c:v>
                </c:pt>
                <c:pt idx="617">
                  <c:v>400</c:v>
                </c:pt>
                <c:pt idx="618">
                  <c:v>398</c:v>
                </c:pt>
                <c:pt idx="619">
                  <c:v>398</c:v>
                </c:pt>
                <c:pt idx="620">
                  <c:v>397</c:v>
                </c:pt>
                <c:pt idx="621">
                  <c:v>397</c:v>
                </c:pt>
                <c:pt idx="622">
                  <c:v>397</c:v>
                </c:pt>
                <c:pt idx="623">
                  <c:v>397</c:v>
                </c:pt>
                <c:pt idx="624">
                  <c:v>397</c:v>
                </c:pt>
                <c:pt idx="625">
                  <c:v>396</c:v>
                </c:pt>
                <c:pt idx="626">
                  <c:v>398</c:v>
                </c:pt>
                <c:pt idx="627">
                  <c:v>398</c:v>
                </c:pt>
                <c:pt idx="628">
                  <c:v>398</c:v>
                </c:pt>
                <c:pt idx="629">
                  <c:v>397</c:v>
                </c:pt>
                <c:pt idx="630">
                  <c:v>399</c:v>
                </c:pt>
                <c:pt idx="631">
                  <c:v>400</c:v>
                </c:pt>
                <c:pt idx="632">
                  <c:v>398</c:v>
                </c:pt>
                <c:pt idx="633">
                  <c:v>397</c:v>
                </c:pt>
                <c:pt idx="634">
                  <c:v>396</c:v>
                </c:pt>
                <c:pt idx="635">
                  <c:v>398</c:v>
                </c:pt>
                <c:pt idx="636">
                  <c:v>398</c:v>
                </c:pt>
                <c:pt idx="637">
                  <c:v>401</c:v>
                </c:pt>
                <c:pt idx="638">
                  <c:v>400</c:v>
                </c:pt>
                <c:pt idx="639">
                  <c:v>402</c:v>
                </c:pt>
                <c:pt idx="640">
                  <c:v>402</c:v>
                </c:pt>
                <c:pt idx="641">
                  <c:v>402</c:v>
                </c:pt>
                <c:pt idx="642">
                  <c:v>404</c:v>
                </c:pt>
                <c:pt idx="643">
                  <c:v>405</c:v>
                </c:pt>
                <c:pt idx="644">
                  <c:v>403</c:v>
                </c:pt>
                <c:pt idx="645">
                  <c:v>402</c:v>
                </c:pt>
                <c:pt idx="646">
                  <c:v>402</c:v>
                </c:pt>
                <c:pt idx="647">
                  <c:v>402</c:v>
                </c:pt>
                <c:pt idx="648">
                  <c:v>403</c:v>
                </c:pt>
                <c:pt idx="649">
                  <c:v>404</c:v>
                </c:pt>
                <c:pt idx="650">
                  <c:v>403</c:v>
                </c:pt>
                <c:pt idx="651">
                  <c:v>404</c:v>
                </c:pt>
                <c:pt idx="652">
                  <c:v>405</c:v>
                </c:pt>
                <c:pt idx="653">
                  <c:v>406</c:v>
                </c:pt>
                <c:pt idx="654">
                  <c:v>407</c:v>
                </c:pt>
                <c:pt idx="655">
                  <c:v>407</c:v>
                </c:pt>
                <c:pt idx="656">
                  <c:v>407</c:v>
                </c:pt>
                <c:pt idx="657">
                  <c:v>407</c:v>
                </c:pt>
                <c:pt idx="658">
                  <c:v>408</c:v>
                </c:pt>
                <c:pt idx="659">
                  <c:v>410</c:v>
                </c:pt>
                <c:pt idx="660">
                  <c:v>412</c:v>
                </c:pt>
                <c:pt idx="661">
                  <c:v>412</c:v>
                </c:pt>
                <c:pt idx="662">
                  <c:v>411</c:v>
                </c:pt>
                <c:pt idx="663">
                  <c:v>411</c:v>
                </c:pt>
                <c:pt idx="664">
                  <c:v>414</c:v>
                </c:pt>
                <c:pt idx="665">
                  <c:v>413</c:v>
                </c:pt>
                <c:pt idx="666">
                  <c:v>414</c:v>
                </c:pt>
                <c:pt idx="667">
                  <c:v>417</c:v>
                </c:pt>
                <c:pt idx="668">
                  <c:v>418</c:v>
                </c:pt>
                <c:pt idx="669">
                  <c:v>418</c:v>
                </c:pt>
                <c:pt idx="670">
                  <c:v>418</c:v>
                </c:pt>
                <c:pt idx="671">
                  <c:v>417</c:v>
                </c:pt>
                <c:pt idx="672">
                  <c:v>417</c:v>
                </c:pt>
                <c:pt idx="673">
                  <c:v>417</c:v>
                </c:pt>
                <c:pt idx="674">
                  <c:v>418</c:v>
                </c:pt>
                <c:pt idx="675">
                  <c:v>418</c:v>
                </c:pt>
                <c:pt idx="676">
                  <c:v>418</c:v>
                </c:pt>
                <c:pt idx="677">
                  <c:v>417</c:v>
                </c:pt>
                <c:pt idx="678">
                  <c:v>418</c:v>
                </c:pt>
                <c:pt idx="679">
                  <c:v>418</c:v>
                </c:pt>
                <c:pt idx="680">
                  <c:v>417</c:v>
                </c:pt>
                <c:pt idx="681">
                  <c:v>416</c:v>
                </c:pt>
                <c:pt idx="682">
                  <c:v>417</c:v>
                </c:pt>
                <c:pt idx="683">
                  <c:v>417</c:v>
                </c:pt>
                <c:pt idx="684">
                  <c:v>417</c:v>
                </c:pt>
                <c:pt idx="685">
                  <c:v>414</c:v>
                </c:pt>
                <c:pt idx="686">
                  <c:v>413</c:v>
                </c:pt>
                <c:pt idx="687">
                  <c:v>416</c:v>
                </c:pt>
                <c:pt idx="688">
                  <c:v>413</c:v>
                </c:pt>
                <c:pt idx="689">
                  <c:v>413</c:v>
                </c:pt>
                <c:pt idx="690">
                  <c:v>413</c:v>
                </c:pt>
                <c:pt idx="691">
                  <c:v>412</c:v>
                </c:pt>
                <c:pt idx="692">
                  <c:v>415</c:v>
                </c:pt>
                <c:pt idx="693">
                  <c:v>414</c:v>
                </c:pt>
                <c:pt idx="694">
                  <c:v>415</c:v>
                </c:pt>
                <c:pt idx="695">
                  <c:v>415</c:v>
                </c:pt>
                <c:pt idx="696">
                  <c:v>414</c:v>
                </c:pt>
                <c:pt idx="697">
                  <c:v>417</c:v>
                </c:pt>
                <c:pt idx="698">
                  <c:v>417</c:v>
                </c:pt>
                <c:pt idx="699">
                  <c:v>416</c:v>
                </c:pt>
                <c:pt idx="700">
                  <c:v>416</c:v>
                </c:pt>
                <c:pt idx="701">
                  <c:v>418</c:v>
                </c:pt>
                <c:pt idx="702">
                  <c:v>420</c:v>
                </c:pt>
                <c:pt idx="703">
                  <c:v>421</c:v>
                </c:pt>
                <c:pt idx="704">
                  <c:v>418</c:v>
                </c:pt>
                <c:pt idx="705">
                  <c:v>415</c:v>
                </c:pt>
                <c:pt idx="706">
                  <c:v>413</c:v>
                </c:pt>
                <c:pt idx="707">
                  <c:v>413</c:v>
                </c:pt>
                <c:pt idx="708">
                  <c:v>411</c:v>
                </c:pt>
                <c:pt idx="709">
                  <c:v>410</c:v>
                </c:pt>
                <c:pt idx="710">
                  <c:v>410</c:v>
                </c:pt>
                <c:pt idx="711">
                  <c:v>409</c:v>
                </c:pt>
                <c:pt idx="712">
                  <c:v>412</c:v>
                </c:pt>
                <c:pt idx="713">
                  <c:v>412</c:v>
                </c:pt>
                <c:pt idx="714">
                  <c:v>408</c:v>
                </c:pt>
                <c:pt idx="715">
                  <c:v>408</c:v>
                </c:pt>
                <c:pt idx="716">
                  <c:v>409</c:v>
                </c:pt>
                <c:pt idx="717">
                  <c:v>409</c:v>
                </c:pt>
                <c:pt idx="718">
                  <c:v>407</c:v>
                </c:pt>
                <c:pt idx="719">
                  <c:v>407</c:v>
                </c:pt>
                <c:pt idx="720">
                  <c:v>407</c:v>
                </c:pt>
                <c:pt idx="721">
                  <c:v>407</c:v>
                </c:pt>
                <c:pt idx="722">
                  <c:v>406</c:v>
                </c:pt>
                <c:pt idx="723">
                  <c:v>408</c:v>
                </c:pt>
                <c:pt idx="724">
                  <c:v>409</c:v>
                </c:pt>
                <c:pt idx="725">
                  <c:v>407</c:v>
                </c:pt>
                <c:pt idx="726">
                  <c:v>408</c:v>
                </c:pt>
                <c:pt idx="727">
                  <c:v>410</c:v>
                </c:pt>
                <c:pt idx="728">
                  <c:v>408</c:v>
                </c:pt>
                <c:pt idx="729">
                  <c:v>411</c:v>
                </c:pt>
                <c:pt idx="730">
                  <c:v>411</c:v>
                </c:pt>
                <c:pt idx="731">
                  <c:v>411</c:v>
                </c:pt>
                <c:pt idx="732">
                  <c:v>407</c:v>
                </c:pt>
                <c:pt idx="733">
                  <c:v>407</c:v>
                </c:pt>
                <c:pt idx="734">
                  <c:v>407</c:v>
                </c:pt>
                <c:pt idx="735">
                  <c:v>407</c:v>
                </c:pt>
                <c:pt idx="736">
                  <c:v>407</c:v>
                </c:pt>
                <c:pt idx="737">
                  <c:v>407</c:v>
                </c:pt>
                <c:pt idx="738">
                  <c:v>407</c:v>
                </c:pt>
                <c:pt idx="739">
                  <c:v>407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1F6-407E-B2A2-9FC524769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71824912"/>
        <c:axId val="1971825392"/>
      </c:lineChart>
      <c:dateAx>
        <c:axId val="1971824912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825392"/>
        <c:crosses val="autoZero"/>
        <c:auto val="1"/>
        <c:lblOffset val="100"/>
        <c:baseTimeUnit val="days"/>
      </c:dateAx>
      <c:valAx>
        <c:axId val="19718253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Active Subscriber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82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434490346439228E-2"/>
          <c:y val="6.3330707694469773E-2"/>
          <c:w val="0.92387533775820252"/>
          <c:h val="0.769245123578761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'Active Timeline'!$C$1</c:f>
              <c:strCache>
                <c:ptCount val="1"/>
                <c:pt idx="0">
                  <c:v>NewSubscribers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accent5">
                  <a:shade val="76000"/>
                  <a:alpha val="28000"/>
                </a:schemeClr>
              </a:solidFill>
            </a:ln>
            <a:effectLst/>
          </c:spPr>
          <c:invertIfNegative val="0"/>
          <c:cat>
            <c:numRef>
              <c:f>'Active Timeline'!$A$2:$A$741</c:f>
              <c:numCache>
                <c:formatCode>yyyy\-mm\-dd;@</c:formatCode>
                <c:ptCount val="740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</c:numCache>
            </c:numRef>
          </c:cat>
          <c:val>
            <c:numRef>
              <c:f>'Active Timeline'!$C$2:$C$741</c:f>
              <c:numCache>
                <c:formatCode>0</c:formatCode>
                <c:ptCount val="740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2</c:v>
                </c:pt>
                <c:pt idx="84">
                  <c:v>2</c:v>
                </c:pt>
                <c:pt idx="85">
                  <c:v>1</c:v>
                </c:pt>
                <c:pt idx="86">
                  <c:v>3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2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</c:v>
                </c:pt>
                <c:pt idx="108">
                  <c:v>1</c:v>
                </c:pt>
                <c:pt idx="109">
                  <c:v>0</c:v>
                </c:pt>
                <c:pt idx="110">
                  <c:v>2</c:v>
                </c:pt>
                <c:pt idx="111">
                  <c:v>1</c:v>
                </c:pt>
                <c:pt idx="112">
                  <c:v>1</c:v>
                </c:pt>
                <c:pt idx="113">
                  <c:v>2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2</c:v>
                </c:pt>
                <c:pt idx="127">
                  <c:v>3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2</c:v>
                </c:pt>
                <c:pt idx="139">
                  <c:v>0</c:v>
                </c:pt>
                <c:pt idx="140">
                  <c:v>1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2</c:v>
                </c:pt>
                <c:pt idx="151">
                  <c:v>2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2</c:v>
                </c:pt>
                <c:pt idx="156">
                  <c:v>2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3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2</c:v>
                </c:pt>
                <c:pt idx="167">
                  <c:v>2</c:v>
                </c:pt>
                <c:pt idx="168">
                  <c:v>0</c:v>
                </c:pt>
                <c:pt idx="169">
                  <c:v>2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3</c:v>
                </c:pt>
                <c:pt idx="180">
                  <c:v>0</c:v>
                </c:pt>
                <c:pt idx="181">
                  <c:v>2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2</c:v>
                </c:pt>
                <c:pt idx="187">
                  <c:v>2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3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3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3</c:v>
                </c:pt>
                <c:pt idx="208">
                  <c:v>1</c:v>
                </c:pt>
                <c:pt idx="209">
                  <c:v>0</c:v>
                </c:pt>
                <c:pt idx="210">
                  <c:v>2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2</c:v>
                </c:pt>
                <c:pt idx="217">
                  <c:v>3</c:v>
                </c:pt>
                <c:pt idx="218">
                  <c:v>0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2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2</c:v>
                </c:pt>
                <c:pt idx="231">
                  <c:v>1</c:v>
                </c:pt>
                <c:pt idx="232">
                  <c:v>0</c:v>
                </c:pt>
                <c:pt idx="233">
                  <c:v>3</c:v>
                </c:pt>
                <c:pt idx="234">
                  <c:v>1</c:v>
                </c:pt>
                <c:pt idx="235">
                  <c:v>1</c:v>
                </c:pt>
                <c:pt idx="236">
                  <c:v>2</c:v>
                </c:pt>
                <c:pt idx="237">
                  <c:v>2</c:v>
                </c:pt>
                <c:pt idx="238">
                  <c:v>1</c:v>
                </c:pt>
                <c:pt idx="239">
                  <c:v>2</c:v>
                </c:pt>
                <c:pt idx="240">
                  <c:v>0</c:v>
                </c:pt>
                <c:pt idx="241">
                  <c:v>0</c:v>
                </c:pt>
                <c:pt idx="242">
                  <c:v>1</c:v>
                </c:pt>
                <c:pt idx="243">
                  <c:v>2</c:v>
                </c:pt>
                <c:pt idx="244">
                  <c:v>1</c:v>
                </c:pt>
                <c:pt idx="245">
                  <c:v>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2</c:v>
                </c:pt>
                <c:pt idx="254">
                  <c:v>1</c:v>
                </c:pt>
                <c:pt idx="255">
                  <c:v>1</c:v>
                </c:pt>
                <c:pt idx="256">
                  <c:v>2</c:v>
                </c:pt>
                <c:pt idx="257">
                  <c:v>3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2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1</c:v>
                </c:pt>
                <c:pt idx="273">
                  <c:v>2</c:v>
                </c:pt>
                <c:pt idx="274">
                  <c:v>0</c:v>
                </c:pt>
                <c:pt idx="275">
                  <c:v>3</c:v>
                </c:pt>
                <c:pt idx="276">
                  <c:v>0</c:v>
                </c:pt>
                <c:pt idx="277">
                  <c:v>2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2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3</c:v>
                </c:pt>
                <c:pt idx="289">
                  <c:v>1</c:v>
                </c:pt>
                <c:pt idx="290">
                  <c:v>0</c:v>
                </c:pt>
                <c:pt idx="291">
                  <c:v>1</c:v>
                </c:pt>
                <c:pt idx="292">
                  <c:v>0</c:v>
                </c:pt>
                <c:pt idx="293">
                  <c:v>2</c:v>
                </c:pt>
                <c:pt idx="294">
                  <c:v>2</c:v>
                </c:pt>
                <c:pt idx="295">
                  <c:v>3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3</c:v>
                </c:pt>
                <c:pt idx="300">
                  <c:v>1</c:v>
                </c:pt>
                <c:pt idx="301">
                  <c:v>2</c:v>
                </c:pt>
                <c:pt idx="302">
                  <c:v>1</c:v>
                </c:pt>
                <c:pt idx="303">
                  <c:v>0</c:v>
                </c:pt>
                <c:pt idx="304">
                  <c:v>1</c:v>
                </c:pt>
                <c:pt idx="305">
                  <c:v>3</c:v>
                </c:pt>
                <c:pt idx="306">
                  <c:v>0</c:v>
                </c:pt>
                <c:pt idx="307">
                  <c:v>1</c:v>
                </c:pt>
                <c:pt idx="308">
                  <c:v>2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2</c:v>
                </c:pt>
                <c:pt idx="315">
                  <c:v>0</c:v>
                </c:pt>
                <c:pt idx="316">
                  <c:v>1</c:v>
                </c:pt>
                <c:pt idx="317">
                  <c:v>1</c:v>
                </c:pt>
                <c:pt idx="318">
                  <c:v>2</c:v>
                </c:pt>
                <c:pt idx="319">
                  <c:v>0</c:v>
                </c:pt>
                <c:pt idx="320">
                  <c:v>1</c:v>
                </c:pt>
                <c:pt idx="321">
                  <c:v>1</c:v>
                </c:pt>
                <c:pt idx="322">
                  <c:v>2</c:v>
                </c:pt>
                <c:pt idx="323">
                  <c:v>1</c:v>
                </c:pt>
                <c:pt idx="324">
                  <c:v>4</c:v>
                </c:pt>
                <c:pt idx="325">
                  <c:v>2</c:v>
                </c:pt>
                <c:pt idx="326">
                  <c:v>1</c:v>
                </c:pt>
                <c:pt idx="327">
                  <c:v>3</c:v>
                </c:pt>
                <c:pt idx="328">
                  <c:v>3</c:v>
                </c:pt>
                <c:pt idx="329">
                  <c:v>1</c:v>
                </c:pt>
                <c:pt idx="330">
                  <c:v>1</c:v>
                </c:pt>
                <c:pt idx="331">
                  <c:v>0</c:v>
                </c:pt>
                <c:pt idx="332">
                  <c:v>1</c:v>
                </c:pt>
                <c:pt idx="333">
                  <c:v>1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3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3</c:v>
                </c:pt>
                <c:pt idx="344">
                  <c:v>2</c:v>
                </c:pt>
                <c:pt idx="345">
                  <c:v>3</c:v>
                </c:pt>
                <c:pt idx="346">
                  <c:v>1</c:v>
                </c:pt>
                <c:pt idx="347">
                  <c:v>2</c:v>
                </c:pt>
                <c:pt idx="348">
                  <c:v>3</c:v>
                </c:pt>
                <c:pt idx="349">
                  <c:v>1</c:v>
                </c:pt>
                <c:pt idx="350">
                  <c:v>4</c:v>
                </c:pt>
                <c:pt idx="351">
                  <c:v>1</c:v>
                </c:pt>
                <c:pt idx="352">
                  <c:v>1</c:v>
                </c:pt>
                <c:pt idx="353">
                  <c:v>4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2</c:v>
                </c:pt>
                <c:pt idx="364">
                  <c:v>3</c:v>
                </c:pt>
                <c:pt idx="365">
                  <c:v>0</c:v>
                </c:pt>
                <c:pt idx="366">
                  <c:v>0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0</c:v>
                </c:pt>
                <c:pt idx="371">
                  <c:v>3</c:v>
                </c:pt>
                <c:pt idx="372">
                  <c:v>1</c:v>
                </c:pt>
                <c:pt idx="373">
                  <c:v>0</c:v>
                </c:pt>
                <c:pt idx="374">
                  <c:v>1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1</c:v>
                </c:pt>
                <c:pt idx="380">
                  <c:v>0</c:v>
                </c:pt>
                <c:pt idx="381">
                  <c:v>2</c:v>
                </c:pt>
                <c:pt idx="382">
                  <c:v>2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0</c:v>
                </c:pt>
                <c:pt idx="389">
                  <c:v>1</c:v>
                </c:pt>
                <c:pt idx="390">
                  <c:v>0</c:v>
                </c:pt>
                <c:pt idx="391">
                  <c:v>2</c:v>
                </c:pt>
                <c:pt idx="392">
                  <c:v>1</c:v>
                </c:pt>
                <c:pt idx="393">
                  <c:v>4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1</c:v>
                </c:pt>
                <c:pt idx="399">
                  <c:v>2</c:v>
                </c:pt>
                <c:pt idx="400">
                  <c:v>1</c:v>
                </c:pt>
                <c:pt idx="401">
                  <c:v>2</c:v>
                </c:pt>
                <c:pt idx="402">
                  <c:v>2</c:v>
                </c:pt>
                <c:pt idx="403">
                  <c:v>1</c:v>
                </c:pt>
                <c:pt idx="404">
                  <c:v>2</c:v>
                </c:pt>
                <c:pt idx="405">
                  <c:v>2</c:v>
                </c:pt>
                <c:pt idx="406">
                  <c:v>1</c:v>
                </c:pt>
                <c:pt idx="407">
                  <c:v>0</c:v>
                </c:pt>
                <c:pt idx="408">
                  <c:v>2</c:v>
                </c:pt>
                <c:pt idx="409">
                  <c:v>3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1</c:v>
                </c:pt>
                <c:pt idx="417">
                  <c:v>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3</c:v>
                </c:pt>
                <c:pt idx="424">
                  <c:v>0</c:v>
                </c:pt>
                <c:pt idx="425">
                  <c:v>1</c:v>
                </c:pt>
                <c:pt idx="426">
                  <c:v>2</c:v>
                </c:pt>
                <c:pt idx="427">
                  <c:v>2</c:v>
                </c:pt>
                <c:pt idx="428">
                  <c:v>1</c:v>
                </c:pt>
                <c:pt idx="429">
                  <c:v>2</c:v>
                </c:pt>
                <c:pt idx="430">
                  <c:v>1</c:v>
                </c:pt>
                <c:pt idx="431">
                  <c:v>1</c:v>
                </c:pt>
                <c:pt idx="432">
                  <c:v>2</c:v>
                </c:pt>
                <c:pt idx="433">
                  <c:v>1</c:v>
                </c:pt>
                <c:pt idx="434">
                  <c:v>3</c:v>
                </c:pt>
                <c:pt idx="435">
                  <c:v>3</c:v>
                </c:pt>
                <c:pt idx="436">
                  <c:v>1</c:v>
                </c:pt>
                <c:pt idx="437">
                  <c:v>1</c:v>
                </c:pt>
                <c:pt idx="438">
                  <c:v>2</c:v>
                </c:pt>
                <c:pt idx="439">
                  <c:v>1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2</c:v>
                </c:pt>
                <c:pt idx="448">
                  <c:v>3</c:v>
                </c:pt>
                <c:pt idx="449">
                  <c:v>0</c:v>
                </c:pt>
                <c:pt idx="450">
                  <c:v>3</c:v>
                </c:pt>
                <c:pt idx="451">
                  <c:v>1</c:v>
                </c:pt>
                <c:pt idx="452">
                  <c:v>4</c:v>
                </c:pt>
                <c:pt idx="453">
                  <c:v>1</c:v>
                </c:pt>
                <c:pt idx="454">
                  <c:v>2</c:v>
                </c:pt>
                <c:pt idx="455">
                  <c:v>1</c:v>
                </c:pt>
                <c:pt idx="456">
                  <c:v>1</c:v>
                </c:pt>
                <c:pt idx="457">
                  <c:v>2</c:v>
                </c:pt>
                <c:pt idx="458">
                  <c:v>0</c:v>
                </c:pt>
                <c:pt idx="459">
                  <c:v>1</c:v>
                </c:pt>
                <c:pt idx="460">
                  <c:v>4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2</c:v>
                </c:pt>
                <c:pt idx="465">
                  <c:v>2</c:v>
                </c:pt>
                <c:pt idx="466">
                  <c:v>0</c:v>
                </c:pt>
                <c:pt idx="467">
                  <c:v>1</c:v>
                </c:pt>
                <c:pt idx="468">
                  <c:v>1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2</c:v>
                </c:pt>
                <c:pt idx="473">
                  <c:v>1</c:v>
                </c:pt>
                <c:pt idx="474">
                  <c:v>2</c:v>
                </c:pt>
                <c:pt idx="475">
                  <c:v>2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2</c:v>
                </c:pt>
                <c:pt idx="481">
                  <c:v>1</c:v>
                </c:pt>
                <c:pt idx="482">
                  <c:v>1</c:v>
                </c:pt>
                <c:pt idx="483">
                  <c:v>4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6</c:v>
                </c:pt>
                <c:pt idx="489">
                  <c:v>2</c:v>
                </c:pt>
                <c:pt idx="490">
                  <c:v>0</c:v>
                </c:pt>
                <c:pt idx="491">
                  <c:v>2</c:v>
                </c:pt>
                <c:pt idx="492">
                  <c:v>0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0</c:v>
                </c:pt>
                <c:pt idx="498">
                  <c:v>4</c:v>
                </c:pt>
                <c:pt idx="499">
                  <c:v>2</c:v>
                </c:pt>
                <c:pt idx="500">
                  <c:v>1</c:v>
                </c:pt>
                <c:pt idx="501">
                  <c:v>0</c:v>
                </c:pt>
                <c:pt idx="502">
                  <c:v>2</c:v>
                </c:pt>
                <c:pt idx="503">
                  <c:v>1</c:v>
                </c:pt>
                <c:pt idx="504">
                  <c:v>3</c:v>
                </c:pt>
                <c:pt idx="505">
                  <c:v>0</c:v>
                </c:pt>
                <c:pt idx="506">
                  <c:v>0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2</c:v>
                </c:pt>
                <c:pt idx="511">
                  <c:v>2</c:v>
                </c:pt>
                <c:pt idx="512">
                  <c:v>1</c:v>
                </c:pt>
                <c:pt idx="513">
                  <c:v>1</c:v>
                </c:pt>
                <c:pt idx="514">
                  <c:v>0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2</c:v>
                </c:pt>
                <c:pt idx="519">
                  <c:v>0</c:v>
                </c:pt>
                <c:pt idx="520">
                  <c:v>1</c:v>
                </c:pt>
                <c:pt idx="521">
                  <c:v>1</c:v>
                </c:pt>
                <c:pt idx="522">
                  <c:v>0</c:v>
                </c:pt>
                <c:pt idx="523">
                  <c:v>1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1</c:v>
                </c:pt>
                <c:pt idx="528">
                  <c:v>2</c:v>
                </c:pt>
                <c:pt idx="529">
                  <c:v>2</c:v>
                </c:pt>
                <c:pt idx="530">
                  <c:v>1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0</c:v>
                </c:pt>
                <c:pt idx="535">
                  <c:v>0</c:v>
                </c:pt>
                <c:pt idx="536">
                  <c:v>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2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1</c:v>
                </c:pt>
                <c:pt idx="554">
                  <c:v>3</c:v>
                </c:pt>
                <c:pt idx="555">
                  <c:v>2</c:v>
                </c:pt>
                <c:pt idx="556">
                  <c:v>1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3</c:v>
                </c:pt>
                <c:pt idx="561">
                  <c:v>1</c:v>
                </c:pt>
                <c:pt idx="562">
                  <c:v>1</c:v>
                </c:pt>
                <c:pt idx="563">
                  <c:v>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2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2</c:v>
                </c:pt>
                <c:pt idx="572">
                  <c:v>2</c:v>
                </c:pt>
                <c:pt idx="573">
                  <c:v>3</c:v>
                </c:pt>
                <c:pt idx="574">
                  <c:v>4</c:v>
                </c:pt>
                <c:pt idx="575">
                  <c:v>2</c:v>
                </c:pt>
                <c:pt idx="576">
                  <c:v>0</c:v>
                </c:pt>
                <c:pt idx="577">
                  <c:v>3</c:v>
                </c:pt>
                <c:pt idx="578">
                  <c:v>1</c:v>
                </c:pt>
                <c:pt idx="579">
                  <c:v>3</c:v>
                </c:pt>
                <c:pt idx="580">
                  <c:v>2</c:v>
                </c:pt>
                <c:pt idx="581">
                  <c:v>1</c:v>
                </c:pt>
                <c:pt idx="582">
                  <c:v>0</c:v>
                </c:pt>
                <c:pt idx="583">
                  <c:v>2</c:v>
                </c:pt>
                <c:pt idx="584">
                  <c:v>0</c:v>
                </c:pt>
                <c:pt idx="585">
                  <c:v>0</c:v>
                </c:pt>
                <c:pt idx="586">
                  <c:v>1</c:v>
                </c:pt>
                <c:pt idx="587">
                  <c:v>0</c:v>
                </c:pt>
                <c:pt idx="588">
                  <c:v>3</c:v>
                </c:pt>
                <c:pt idx="589">
                  <c:v>0</c:v>
                </c:pt>
                <c:pt idx="590">
                  <c:v>1</c:v>
                </c:pt>
                <c:pt idx="591">
                  <c:v>3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2</c:v>
                </c:pt>
                <c:pt idx="597">
                  <c:v>0</c:v>
                </c:pt>
                <c:pt idx="598">
                  <c:v>3</c:v>
                </c:pt>
                <c:pt idx="599">
                  <c:v>2</c:v>
                </c:pt>
                <c:pt idx="600">
                  <c:v>1</c:v>
                </c:pt>
                <c:pt idx="601">
                  <c:v>3</c:v>
                </c:pt>
                <c:pt idx="602">
                  <c:v>2</c:v>
                </c:pt>
                <c:pt idx="603">
                  <c:v>2</c:v>
                </c:pt>
                <c:pt idx="604">
                  <c:v>0</c:v>
                </c:pt>
                <c:pt idx="605">
                  <c:v>3</c:v>
                </c:pt>
                <c:pt idx="606">
                  <c:v>2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1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1</c:v>
                </c:pt>
                <c:pt idx="624">
                  <c:v>2</c:v>
                </c:pt>
                <c:pt idx="625">
                  <c:v>0</c:v>
                </c:pt>
                <c:pt idx="626">
                  <c:v>2</c:v>
                </c:pt>
                <c:pt idx="627">
                  <c:v>0</c:v>
                </c:pt>
                <c:pt idx="628">
                  <c:v>1</c:v>
                </c:pt>
                <c:pt idx="629">
                  <c:v>1</c:v>
                </c:pt>
                <c:pt idx="630">
                  <c:v>2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2</c:v>
                </c:pt>
                <c:pt idx="636">
                  <c:v>2</c:v>
                </c:pt>
                <c:pt idx="637">
                  <c:v>3</c:v>
                </c:pt>
                <c:pt idx="638">
                  <c:v>1</c:v>
                </c:pt>
                <c:pt idx="639">
                  <c:v>2</c:v>
                </c:pt>
                <c:pt idx="640">
                  <c:v>0</c:v>
                </c:pt>
                <c:pt idx="641">
                  <c:v>1</c:v>
                </c:pt>
                <c:pt idx="642">
                  <c:v>2</c:v>
                </c:pt>
                <c:pt idx="643">
                  <c:v>2</c:v>
                </c:pt>
                <c:pt idx="644">
                  <c:v>0</c:v>
                </c:pt>
                <c:pt idx="645">
                  <c:v>0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0</c:v>
                </c:pt>
                <c:pt idx="651">
                  <c:v>1</c:v>
                </c:pt>
                <c:pt idx="652">
                  <c:v>1</c:v>
                </c:pt>
                <c:pt idx="653">
                  <c:v>2</c:v>
                </c:pt>
                <c:pt idx="654">
                  <c:v>2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2</c:v>
                </c:pt>
                <c:pt idx="660">
                  <c:v>3</c:v>
                </c:pt>
                <c:pt idx="661">
                  <c:v>0</c:v>
                </c:pt>
                <c:pt idx="662">
                  <c:v>0</c:v>
                </c:pt>
                <c:pt idx="663">
                  <c:v>1</c:v>
                </c:pt>
                <c:pt idx="664">
                  <c:v>3</c:v>
                </c:pt>
                <c:pt idx="665">
                  <c:v>1</c:v>
                </c:pt>
                <c:pt idx="666">
                  <c:v>2</c:v>
                </c:pt>
                <c:pt idx="667">
                  <c:v>3</c:v>
                </c:pt>
                <c:pt idx="668">
                  <c:v>2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2</c:v>
                </c:pt>
                <c:pt idx="673">
                  <c:v>0</c:v>
                </c:pt>
                <c:pt idx="674">
                  <c:v>3</c:v>
                </c:pt>
                <c:pt idx="675">
                  <c:v>2</c:v>
                </c:pt>
                <c:pt idx="676">
                  <c:v>0</c:v>
                </c:pt>
                <c:pt idx="677">
                  <c:v>0</c:v>
                </c:pt>
                <c:pt idx="678">
                  <c:v>2</c:v>
                </c:pt>
                <c:pt idx="679">
                  <c:v>0</c:v>
                </c:pt>
                <c:pt idx="680">
                  <c:v>1</c:v>
                </c:pt>
                <c:pt idx="681">
                  <c:v>0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0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3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1</c:v>
                </c:pt>
                <c:pt idx="697">
                  <c:v>4</c:v>
                </c:pt>
                <c:pt idx="698">
                  <c:v>0</c:v>
                </c:pt>
                <c:pt idx="699">
                  <c:v>1</c:v>
                </c:pt>
                <c:pt idx="700">
                  <c:v>1</c:v>
                </c:pt>
                <c:pt idx="701">
                  <c:v>2</c:v>
                </c:pt>
                <c:pt idx="702">
                  <c:v>2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1</c:v>
                </c:pt>
                <c:pt idx="711">
                  <c:v>0</c:v>
                </c:pt>
                <c:pt idx="712">
                  <c:v>3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0</c:v>
                </c:pt>
                <c:pt idx="720">
                  <c:v>1</c:v>
                </c:pt>
                <c:pt idx="721">
                  <c:v>0</c:v>
                </c:pt>
                <c:pt idx="722">
                  <c:v>1</c:v>
                </c:pt>
                <c:pt idx="723">
                  <c:v>2</c:v>
                </c:pt>
                <c:pt idx="724">
                  <c:v>2</c:v>
                </c:pt>
                <c:pt idx="725">
                  <c:v>0</c:v>
                </c:pt>
                <c:pt idx="726">
                  <c:v>1</c:v>
                </c:pt>
                <c:pt idx="727">
                  <c:v>2</c:v>
                </c:pt>
                <c:pt idx="728">
                  <c:v>0</c:v>
                </c:pt>
                <c:pt idx="729">
                  <c:v>3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8-4E35-B91B-A6CFDA893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axId val="1971729872"/>
        <c:axId val="1971732752"/>
      </c:barChart>
      <c:lineChart>
        <c:grouping val="standard"/>
        <c:varyColors val="0"/>
        <c:ser>
          <c:idx val="1"/>
          <c:order val="1"/>
          <c:tx>
            <c:strRef>
              <c:f>'Active Timeline'!$D$1</c:f>
              <c:strCache>
                <c:ptCount val="1"/>
                <c:pt idx="0">
                  <c:v>Cancellations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'Active Timeline'!$A$2:$A$741</c:f>
              <c:numCache>
                <c:formatCode>yyyy\-mm\-dd;@</c:formatCode>
                <c:ptCount val="740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</c:numCache>
            </c:numRef>
          </c:cat>
          <c:val>
            <c:numRef>
              <c:f>'Active Timeline'!$D$2:$D$741</c:f>
              <c:numCache>
                <c:formatCode>0</c:formatCode>
                <c:ptCount val="7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2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2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1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1</c:v>
                </c:pt>
                <c:pt idx="226">
                  <c:v>2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2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2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1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2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1</c:v>
                </c:pt>
                <c:pt idx="381">
                  <c:v>2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2</c:v>
                </c:pt>
                <c:pt idx="395">
                  <c:v>1</c:v>
                </c:pt>
                <c:pt idx="396">
                  <c:v>1</c:v>
                </c:pt>
                <c:pt idx="397">
                  <c:v>3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2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</c:v>
                </c:pt>
                <c:pt idx="411">
                  <c:v>0</c:v>
                </c:pt>
                <c:pt idx="412">
                  <c:v>1</c:v>
                </c:pt>
                <c:pt idx="413">
                  <c:v>2</c:v>
                </c:pt>
                <c:pt idx="414">
                  <c:v>3</c:v>
                </c:pt>
                <c:pt idx="415">
                  <c:v>2</c:v>
                </c:pt>
                <c:pt idx="416">
                  <c:v>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1</c:v>
                </c:pt>
                <c:pt idx="427">
                  <c:v>0</c:v>
                </c:pt>
                <c:pt idx="428">
                  <c:v>0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0</c:v>
                </c:pt>
                <c:pt idx="435">
                  <c:v>0</c:v>
                </c:pt>
                <c:pt idx="436">
                  <c:v>2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1</c:v>
                </c:pt>
                <c:pt idx="443">
                  <c:v>0</c:v>
                </c:pt>
                <c:pt idx="444">
                  <c:v>2</c:v>
                </c:pt>
                <c:pt idx="445">
                  <c:v>0</c:v>
                </c:pt>
                <c:pt idx="446">
                  <c:v>3</c:v>
                </c:pt>
                <c:pt idx="447">
                  <c:v>1</c:v>
                </c:pt>
                <c:pt idx="448">
                  <c:v>0</c:v>
                </c:pt>
                <c:pt idx="449">
                  <c:v>0</c:v>
                </c:pt>
                <c:pt idx="450">
                  <c:v>2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1</c:v>
                </c:pt>
                <c:pt idx="455">
                  <c:v>2</c:v>
                </c:pt>
                <c:pt idx="456">
                  <c:v>3</c:v>
                </c:pt>
                <c:pt idx="457">
                  <c:v>0</c:v>
                </c:pt>
                <c:pt idx="458">
                  <c:v>1</c:v>
                </c:pt>
                <c:pt idx="459">
                  <c:v>2</c:v>
                </c:pt>
                <c:pt idx="460">
                  <c:v>1</c:v>
                </c:pt>
                <c:pt idx="461">
                  <c:v>0</c:v>
                </c:pt>
                <c:pt idx="462">
                  <c:v>1</c:v>
                </c:pt>
                <c:pt idx="463">
                  <c:v>2</c:v>
                </c:pt>
                <c:pt idx="464">
                  <c:v>1</c:v>
                </c:pt>
                <c:pt idx="465">
                  <c:v>0</c:v>
                </c:pt>
                <c:pt idx="466">
                  <c:v>0</c:v>
                </c:pt>
                <c:pt idx="467">
                  <c:v>3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1</c:v>
                </c:pt>
                <c:pt idx="474">
                  <c:v>0</c:v>
                </c:pt>
                <c:pt idx="475">
                  <c:v>2</c:v>
                </c:pt>
                <c:pt idx="476">
                  <c:v>0</c:v>
                </c:pt>
                <c:pt idx="477">
                  <c:v>0</c:v>
                </c:pt>
                <c:pt idx="478">
                  <c:v>2</c:v>
                </c:pt>
                <c:pt idx="479">
                  <c:v>3</c:v>
                </c:pt>
                <c:pt idx="480">
                  <c:v>2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2</c:v>
                </c:pt>
                <c:pt idx="487">
                  <c:v>4</c:v>
                </c:pt>
                <c:pt idx="488">
                  <c:v>0</c:v>
                </c:pt>
                <c:pt idx="489">
                  <c:v>2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1</c:v>
                </c:pt>
                <c:pt idx="497">
                  <c:v>0</c:v>
                </c:pt>
                <c:pt idx="498">
                  <c:v>1</c:v>
                </c:pt>
                <c:pt idx="499">
                  <c:v>0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2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2</c:v>
                </c:pt>
                <c:pt idx="512">
                  <c:v>0</c:v>
                </c:pt>
                <c:pt idx="513">
                  <c:v>3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0</c:v>
                </c:pt>
                <c:pt idx="524">
                  <c:v>0</c:v>
                </c:pt>
                <c:pt idx="525">
                  <c:v>1</c:v>
                </c:pt>
                <c:pt idx="526">
                  <c:v>3</c:v>
                </c:pt>
                <c:pt idx="527">
                  <c:v>1</c:v>
                </c:pt>
                <c:pt idx="528">
                  <c:v>2</c:v>
                </c:pt>
                <c:pt idx="529">
                  <c:v>1</c:v>
                </c:pt>
                <c:pt idx="530">
                  <c:v>2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1</c:v>
                </c:pt>
                <c:pt idx="535">
                  <c:v>1</c:v>
                </c:pt>
                <c:pt idx="536">
                  <c:v>0</c:v>
                </c:pt>
                <c:pt idx="537">
                  <c:v>1</c:v>
                </c:pt>
                <c:pt idx="538">
                  <c:v>2</c:v>
                </c:pt>
                <c:pt idx="539">
                  <c:v>2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3</c:v>
                </c:pt>
                <c:pt idx="549">
                  <c:v>3</c:v>
                </c:pt>
                <c:pt idx="550">
                  <c:v>1</c:v>
                </c:pt>
                <c:pt idx="551">
                  <c:v>0</c:v>
                </c:pt>
                <c:pt idx="552">
                  <c:v>2</c:v>
                </c:pt>
                <c:pt idx="553">
                  <c:v>2</c:v>
                </c:pt>
                <c:pt idx="554">
                  <c:v>0</c:v>
                </c:pt>
                <c:pt idx="555">
                  <c:v>1</c:v>
                </c:pt>
                <c:pt idx="556">
                  <c:v>1</c:v>
                </c:pt>
                <c:pt idx="557">
                  <c:v>0</c:v>
                </c:pt>
                <c:pt idx="558">
                  <c:v>1</c:v>
                </c:pt>
                <c:pt idx="559">
                  <c:v>1</c:v>
                </c:pt>
                <c:pt idx="560">
                  <c:v>0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2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1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2</c:v>
                </c:pt>
                <c:pt idx="582">
                  <c:v>2</c:v>
                </c:pt>
                <c:pt idx="583">
                  <c:v>3</c:v>
                </c:pt>
                <c:pt idx="584">
                  <c:v>0</c:v>
                </c:pt>
                <c:pt idx="585">
                  <c:v>3</c:v>
                </c:pt>
                <c:pt idx="586">
                  <c:v>0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1</c:v>
                </c:pt>
                <c:pt idx="591">
                  <c:v>1</c:v>
                </c:pt>
                <c:pt idx="592">
                  <c:v>0</c:v>
                </c:pt>
                <c:pt idx="593">
                  <c:v>2</c:v>
                </c:pt>
                <c:pt idx="594">
                  <c:v>1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1</c:v>
                </c:pt>
                <c:pt idx="614">
                  <c:v>2</c:v>
                </c:pt>
                <c:pt idx="615">
                  <c:v>0</c:v>
                </c:pt>
                <c:pt idx="616">
                  <c:v>1</c:v>
                </c:pt>
                <c:pt idx="617">
                  <c:v>2</c:v>
                </c:pt>
                <c:pt idx="618">
                  <c:v>0</c:v>
                </c:pt>
                <c:pt idx="619">
                  <c:v>1</c:v>
                </c:pt>
                <c:pt idx="620">
                  <c:v>1</c:v>
                </c:pt>
                <c:pt idx="621">
                  <c:v>0</c:v>
                </c:pt>
                <c:pt idx="622">
                  <c:v>1</c:v>
                </c:pt>
                <c:pt idx="623">
                  <c:v>2</c:v>
                </c:pt>
                <c:pt idx="624">
                  <c:v>1</c:v>
                </c:pt>
                <c:pt idx="625">
                  <c:v>0</c:v>
                </c:pt>
                <c:pt idx="626">
                  <c:v>0</c:v>
                </c:pt>
                <c:pt idx="627">
                  <c:v>1</c:v>
                </c:pt>
                <c:pt idx="628">
                  <c:v>2</c:v>
                </c:pt>
                <c:pt idx="629">
                  <c:v>0</c:v>
                </c:pt>
                <c:pt idx="630">
                  <c:v>0</c:v>
                </c:pt>
                <c:pt idx="631">
                  <c:v>2</c:v>
                </c:pt>
                <c:pt idx="632">
                  <c:v>1</c:v>
                </c:pt>
                <c:pt idx="633">
                  <c:v>1</c:v>
                </c:pt>
                <c:pt idx="634">
                  <c:v>0</c:v>
                </c:pt>
                <c:pt idx="635">
                  <c:v>2</c:v>
                </c:pt>
                <c:pt idx="636">
                  <c:v>0</c:v>
                </c:pt>
                <c:pt idx="637">
                  <c:v>2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1</c:v>
                </c:pt>
                <c:pt idx="643">
                  <c:v>2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1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1</c:v>
                </c:pt>
                <c:pt idx="660">
                  <c:v>0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2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1</c:v>
                </c:pt>
                <c:pt idx="669">
                  <c:v>0</c:v>
                </c:pt>
                <c:pt idx="670">
                  <c:v>1</c:v>
                </c:pt>
                <c:pt idx="671">
                  <c:v>2</c:v>
                </c:pt>
                <c:pt idx="672">
                  <c:v>0</c:v>
                </c:pt>
                <c:pt idx="673">
                  <c:v>2</c:v>
                </c:pt>
                <c:pt idx="674">
                  <c:v>2</c:v>
                </c:pt>
                <c:pt idx="675">
                  <c:v>0</c:v>
                </c:pt>
                <c:pt idx="676">
                  <c:v>1</c:v>
                </c:pt>
                <c:pt idx="677">
                  <c:v>1</c:v>
                </c:pt>
                <c:pt idx="678">
                  <c:v>0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4</c:v>
                </c:pt>
                <c:pt idx="685">
                  <c:v>2</c:v>
                </c:pt>
                <c:pt idx="686">
                  <c:v>0</c:v>
                </c:pt>
                <c:pt idx="687">
                  <c:v>3</c:v>
                </c:pt>
                <c:pt idx="688">
                  <c:v>1</c:v>
                </c:pt>
                <c:pt idx="689">
                  <c:v>1</c:v>
                </c:pt>
                <c:pt idx="690">
                  <c:v>2</c:v>
                </c:pt>
                <c:pt idx="691">
                  <c:v>0</c:v>
                </c:pt>
                <c:pt idx="692">
                  <c:v>1</c:v>
                </c:pt>
                <c:pt idx="693">
                  <c:v>0</c:v>
                </c:pt>
                <c:pt idx="694">
                  <c:v>0</c:v>
                </c:pt>
                <c:pt idx="695">
                  <c:v>2</c:v>
                </c:pt>
                <c:pt idx="696">
                  <c:v>1</c:v>
                </c:pt>
                <c:pt idx="697">
                  <c:v>0</c:v>
                </c:pt>
                <c:pt idx="698">
                  <c:v>2</c:v>
                </c:pt>
                <c:pt idx="699">
                  <c:v>1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3</c:v>
                </c:pt>
                <c:pt idx="704">
                  <c:v>3</c:v>
                </c:pt>
                <c:pt idx="705">
                  <c:v>2</c:v>
                </c:pt>
                <c:pt idx="706">
                  <c:v>0</c:v>
                </c:pt>
                <c:pt idx="707">
                  <c:v>2</c:v>
                </c:pt>
                <c:pt idx="708">
                  <c:v>2</c:v>
                </c:pt>
                <c:pt idx="709">
                  <c:v>1</c:v>
                </c:pt>
                <c:pt idx="710">
                  <c:v>1</c:v>
                </c:pt>
                <c:pt idx="711">
                  <c:v>0</c:v>
                </c:pt>
                <c:pt idx="712">
                  <c:v>1</c:v>
                </c:pt>
                <c:pt idx="713">
                  <c:v>5</c:v>
                </c:pt>
                <c:pt idx="714">
                  <c:v>1</c:v>
                </c:pt>
                <c:pt idx="715">
                  <c:v>0</c:v>
                </c:pt>
                <c:pt idx="716">
                  <c:v>1</c:v>
                </c:pt>
                <c:pt idx="717">
                  <c:v>3</c:v>
                </c:pt>
                <c:pt idx="718">
                  <c:v>0</c:v>
                </c:pt>
                <c:pt idx="719">
                  <c:v>1</c:v>
                </c:pt>
                <c:pt idx="720">
                  <c:v>0</c:v>
                </c:pt>
                <c:pt idx="721">
                  <c:v>2</c:v>
                </c:pt>
                <c:pt idx="722">
                  <c:v>0</c:v>
                </c:pt>
                <c:pt idx="723">
                  <c:v>1</c:v>
                </c:pt>
                <c:pt idx="724">
                  <c:v>2</c:v>
                </c:pt>
                <c:pt idx="725">
                  <c:v>0</c:v>
                </c:pt>
                <c:pt idx="726">
                  <c:v>0</c:v>
                </c:pt>
                <c:pt idx="727">
                  <c:v>2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4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38-4E35-B91B-A6CFDA893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729872"/>
        <c:axId val="1971732752"/>
      </c:lineChart>
      <c:dateAx>
        <c:axId val="1971729872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732752"/>
        <c:crosses val="autoZero"/>
        <c:auto val="1"/>
        <c:lblOffset val="100"/>
        <c:baseTimeUnit val="days"/>
      </c:dateAx>
      <c:valAx>
        <c:axId val="197173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72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89000"/>
          </a:schemeClr>
        </a:gs>
        <a:gs pos="23000">
          <a:schemeClr val="accent1">
            <a:lumMod val="89000"/>
          </a:schemeClr>
        </a:gs>
        <a:gs pos="69000">
          <a:schemeClr val="accent1">
            <a:lumMod val="75000"/>
          </a:schemeClr>
        </a:gs>
        <a:gs pos="97000">
          <a:schemeClr val="accent1">
            <a:lumMod val="7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'Active Timeline'!$E$1</c:f>
              <c:strCache>
                <c:ptCount val="1"/>
                <c:pt idx="0">
                  <c:v>NetChange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>
                  <a:alpha val="43000"/>
                </a:schemeClr>
              </a:solidFill>
            </a:ln>
            <a:effectLst/>
          </c:spPr>
          <c:invertIfNegative val="0"/>
          <c:cat>
            <c:numRef>
              <c:f>'Active Timeline'!$A$2:$A$741</c:f>
              <c:numCache>
                <c:formatCode>yyyy\-mm\-dd;@</c:formatCode>
                <c:ptCount val="740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</c:numCache>
            </c:numRef>
          </c:cat>
          <c:val>
            <c:numRef>
              <c:f>'Active Timeline'!$E$2:$E$741</c:f>
              <c:numCache>
                <c:formatCode>0</c:formatCode>
                <c:ptCount val="740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2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2</c:v>
                </c:pt>
                <c:pt idx="84">
                  <c:v>2</c:v>
                </c:pt>
                <c:pt idx="85">
                  <c:v>1</c:v>
                </c:pt>
                <c:pt idx="86">
                  <c:v>2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2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</c:v>
                </c:pt>
                <c:pt idx="108">
                  <c:v>1</c:v>
                </c:pt>
                <c:pt idx="109">
                  <c:v>0</c:v>
                </c:pt>
                <c:pt idx="110">
                  <c:v>2</c:v>
                </c:pt>
                <c:pt idx="111">
                  <c:v>1</c:v>
                </c:pt>
                <c:pt idx="112">
                  <c:v>1</c:v>
                </c:pt>
                <c:pt idx="113">
                  <c:v>2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2</c:v>
                </c:pt>
                <c:pt idx="127">
                  <c:v>3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2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2</c:v>
                </c:pt>
                <c:pt idx="151">
                  <c:v>2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2</c:v>
                </c:pt>
                <c:pt idx="156">
                  <c:v>2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2</c:v>
                </c:pt>
                <c:pt idx="167">
                  <c:v>2</c:v>
                </c:pt>
                <c:pt idx="168">
                  <c:v>0</c:v>
                </c:pt>
                <c:pt idx="169">
                  <c:v>2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-1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3</c:v>
                </c:pt>
                <c:pt idx="180">
                  <c:v>-2</c:v>
                </c:pt>
                <c:pt idx="181">
                  <c:v>2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-2</c:v>
                </c:pt>
                <c:pt idx="186">
                  <c:v>2</c:v>
                </c:pt>
                <c:pt idx="187">
                  <c:v>2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3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2</c:v>
                </c:pt>
                <c:pt idx="199">
                  <c:v>-1</c:v>
                </c:pt>
                <c:pt idx="200">
                  <c:v>1</c:v>
                </c:pt>
                <c:pt idx="201">
                  <c:v>0</c:v>
                </c:pt>
                <c:pt idx="202">
                  <c:v>3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3</c:v>
                </c:pt>
                <c:pt idx="208">
                  <c:v>1</c:v>
                </c:pt>
                <c:pt idx="209">
                  <c:v>-1</c:v>
                </c:pt>
                <c:pt idx="210">
                  <c:v>2</c:v>
                </c:pt>
                <c:pt idx="211">
                  <c:v>-1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3</c:v>
                </c:pt>
                <c:pt idx="218">
                  <c:v>-1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2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-1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2</c:v>
                </c:pt>
                <c:pt idx="231">
                  <c:v>1</c:v>
                </c:pt>
                <c:pt idx="232">
                  <c:v>0</c:v>
                </c:pt>
                <c:pt idx="233">
                  <c:v>3</c:v>
                </c:pt>
                <c:pt idx="234">
                  <c:v>1</c:v>
                </c:pt>
                <c:pt idx="235">
                  <c:v>1</c:v>
                </c:pt>
                <c:pt idx="236">
                  <c:v>2</c:v>
                </c:pt>
                <c:pt idx="237">
                  <c:v>1</c:v>
                </c:pt>
                <c:pt idx="238">
                  <c:v>1</c:v>
                </c:pt>
                <c:pt idx="239">
                  <c:v>2</c:v>
                </c:pt>
                <c:pt idx="240">
                  <c:v>0</c:v>
                </c:pt>
                <c:pt idx="241">
                  <c:v>0</c:v>
                </c:pt>
                <c:pt idx="242">
                  <c:v>1</c:v>
                </c:pt>
                <c:pt idx="243">
                  <c:v>2</c:v>
                </c:pt>
                <c:pt idx="244">
                  <c:v>0</c:v>
                </c:pt>
                <c:pt idx="245">
                  <c:v>2</c:v>
                </c:pt>
                <c:pt idx="246">
                  <c:v>0</c:v>
                </c:pt>
                <c:pt idx="247">
                  <c:v>-1</c:v>
                </c:pt>
                <c:pt idx="248">
                  <c:v>0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1</c:v>
                </c:pt>
                <c:pt idx="256">
                  <c:v>2</c:v>
                </c:pt>
                <c:pt idx="257">
                  <c:v>3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2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-1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3</c:v>
                </c:pt>
                <c:pt idx="276">
                  <c:v>0</c:v>
                </c:pt>
                <c:pt idx="277">
                  <c:v>2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3</c:v>
                </c:pt>
                <c:pt idx="289">
                  <c:v>1</c:v>
                </c:pt>
                <c:pt idx="290">
                  <c:v>-1</c:v>
                </c:pt>
                <c:pt idx="291">
                  <c:v>1</c:v>
                </c:pt>
                <c:pt idx="292">
                  <c:v>-1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1</c:v>
                </c:pt>
                <c:pt idx="297">
                  <c:v>0</c:v>
                </c:pt>
                <c:pt idx="298">
                  <c:v>1</c:v>
                </c:pt>
                <c:pt idx="299">
                  <c:v>3</c:v>
                </c:pt>
                <c:pt idx="300">
                  <c:v>1</c:v>
                </c:pt>
                <c:pt idx="301">
                  <c:v>2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3</c:v>
                </c:pt>
                <c:pt idx="306">
                  <c:v>0</c:v>
                </c:pt>
                <c:pt idx="307">
                  <c:v>0</c:v>
                </c:pt>
                <c:pt idx="308">
                  <c:v>2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2</c:v>
                </c:pt>
                <c:pt idx="315">
                  <c:v>0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-1</c:v>
                </c:pt>
                <c:pt idx="324">
                  <c:v>3</c:v>
                </c:pt>
                <c:pt idx="325">
                  <c:v>1</c:v>
                </c:pt>
                <c:pt idx="326">
                  <c:v>1</c:v>
                </c:pt>
                <c:pt idx="327">
                  <c:v>2</c:v>
                </c:pt>
                <c:pt idx="328">
                  <c:v>3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1</c:v>
                </c:pt>
                <c:pt idx="333">
                  <c:v>1</c:v>
                </c:pt>
                <c:pt idx="334">
                  <c:v>0</c:v>
                </c:pt>
                <c:pt idx="335">
                  <c:v>1</c:v>
                </c:pt>
                <c:pt idx="336">
                  <c:v>-1</c:v>
                </c:pt>
                <c:pt idx="337">
                  <c:v>1</c:v>
                </c:pt>
                <c:pt idx="338">
                  <c:v>2</c:v>
                </c:pt>
                <c:pt idx="339">
                  <c:v>1</c:v>
                </c:pt>
                <c:pt idx="340">
                  <c:v>-1</c:v>
                </c:pt>
                <c:pt idx="341">
                  <c:v>0</c:v>
                </c:pt>
                <c:pt idx="342">
                  <c:v>0</c:v>
                </c:pt>
                <c:pt idx="343">
                  <c:v>3</c:v>
                </c:pt>
                <c:pt idx="344">
                  <c:v>2</c:v>
                </c:pt>
                <c:pt idx="345">
                  <c:v>2</c:v>
                </c:pt>
                <c:pt idx="346">
                  <c:v>1</c:v>
                </c:pt>
                <c:pt idx="347">
                  <c:v>1</c:v>
                </c:pt>
                <c:pt idx="348">
                  <c:v>3</c:v>
                </c:pt>
                <c:pt idx="349">
                  <c:v>1</c:v>
                </c:pt>
                <c:pt idx="350">
                  <c:v>4</c:v>
                </c:pt>
                <c:pt idx="351">
                  <c:v>1</c:v>
                </c:pt>
                <c:pt idx="352">
                  <c:v>0</c:v>
                </c:pt>
                <c:pt idx="353">
                  <c:v>4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3</c:v>
                </c:pt>
                <c:pt idx="358">
                  <c:v>2</c:v>
                </c:pt>
                <c:pt idx="359">
                  <c:v>3</c:v>
                </c:pt>
                <c:pt idx="360">
                  <c:v>-1</c:v>
                </c:pt>
                <c:pt idx="361">
                  <c:v>0</c:v>
                </c:pt>
                <c:pt idx="362">
                  <c:v>0</c:v>
                </c:pt>
                <c:pt idx="363">
                  <c:v>2</c:v>
                </c:pt>
                <c:pt idx="364">
                  <c:v>2</c:v>
                </c:pt>
                <c:pt idx="365">
                  <c:v>-1</c:v>
                </c:pt>
                <c:pt idx="366">
                  <c:v>-1</c:v>
                </c:pt>
                <c:pt idx="367">
                  <c:v>0</c:v>
                </c:pt>
                <c:pt idx="368">
                  <c:v>0</c:v>
                </c:pt>
                <c:pt idx="369">
                  <c:v>2</c:v>
                </c:pt>
                <c:pt idx="370">
                  <c:v>0</c:v>
                </c:pt>
                <c:pt idx="371">
                  <c:v>2</c:v>
                </c:pt>
                <c:pt idx="372">
                  <c:v>1</c:v>
                </c:pt>
                <c:pt idx="373">
                  <c:v>0</c:v>
                </c:pt>
                <c:pt idx="374">
                  <c:v>1</c:v>
                </c:pt>
                <c:pt idx="375">
                  <c:v>-1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-1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1</c:v>
                </c:pt>
                <c:pt idx="387">
                  <c:v>-1</c:v>
                </c:pt>
                <c:pt idx="388">
                  <c:v>0</c:v>
                </c:pt>
                <c:pt idx="389">
                  <c:v>1</c:v>
                </c:pt>
                <c:pt idx="390">
                  <c:v>-1</c:v>
                </c:pt>
                <c:pt idx="391">
                  <c:v>2</c:v>
                </c:pt>
                <c:pt idx="392">
                  <c:v>1</c:v>
                </c:pt>
                <c:pt idx="393">
                  <c:v>4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-3</c:v>
                </c:pt>
                <c:pt idx="398">
                  <c:v>1</c:v>
                </c:pt>
                <c:pt idx="399">
                  <c:v>2</c:v>
                </c:pt>
                <c:pt idx="400">
                  <c:v>1</c:v>
                </c:pt>
                <c:pt idx="401">
                  <c:v>1</c:v>
                </c:pt>
                <c:pt idx="402">
                  <c:v>2</c:v>
                </c:pt>
                <c:pt idx="403">
                  <c:v>1</c:v>
                </c:pt>
                <c:pt idx="404">
                  <c:v>0</c:v>
                </c:pt>
                <c:pt idx="405">
                  <c:v>2</c:v>
                </c:pt>
                <c:pt idx="406">
                  <c:v>1</c:v>
                </c:pt>
                <c:pt idx="407">
                  <c:v>0</c:v>
                </c:pt>
                <c:pt idx="408">
                  <c:v>2</c:v>
                </c:pt>
                <c:pt idx="409">
                  <c:v>3</c:v>
                </c:pt>
                <c:pt idx="410">
                  <c:v>0</c:v>
                </c:pt>
                <c:pt idx="411">
                  <c:v>0</c:v>
                </c:pt>
                <c:pt idx="412">
                  <c:v>-1</c:v>
                </c:pt>
                <c:pt idx="413">
                  <c:v>-2</c:v>
                </c:pt>
                <c:pt idx="414">
                  <c:v>-3</c:v>
                </c:pt>
                <c:pt idx="415">
                  <c:v>0</c:v>
                </c:pt>
                <c:pt idx="416">
                  <c:v>-1</c:v>
                </c:pt>
                <c:pt idx="417">
                  <c:v>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3</c:v>
                </c:pt>
                <c:pt idx="424">
                  <c:v>0</c:v>
                </c:pt>
                <c:pt idx="425">
                  <c:v>1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1</c:v>
                </c:pt>
                <c:pt idx="430">
                  <c:v>0</c:v>
                </c:pt>
                <c:pt idx="431">
                  <c:v>0</c:v>
                </c:pt>
                <c:pt idx="432">
                  <c:v>1</c:v>
                </c:pt>
                <c:pt idx="433">
                  <c:v>0</c:v>
                </c:pt>
                <c:pt idx="434">
                  <c:v>3</c:v>
                </c:pt>
                <c:pt idx="435">
                  <c:v>3</c:v>
                </c:pt>
                <c:pt idx="436">
                  <c:v>-1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-1</c:v>
                </c:pt>
                <c:pt idx="441">
                  <c:v>0</c:v>
                </c:pt>
                <c:pt idx="442">
                  <c:v>-1</c:v>
                </c:pt>
                <c:pt idx="443">
                  <c:v>4</c:v>
                </c:pt>
                <c:pt idx="444">
                  <c:v>-1</c:v>
                </c:pt>
                <c:pt idx="445">
                  <c:v>0</c:v>
                </c:pt>
                <c:pt idx="446">
                  <c:v>-3</c:v>
                </c:pt>
                <c:pt idx="447">
                  <c:v>1</c:v>
                </c:pt>
                <c:pt idx="448">
                  <c:v>3</c:v>
                </c:pt>
                <c:pt idx="449">
                  <c:v>0</c:v>
                </c:pt>
                <c:pt idx="450">
                  <c:v>1</c:v>
                </c:pt>
                <c:pt idx="451">
                  <c:v>0</c:v>
                </c:pt>
                <c:pt idx="452">
                  <c:v>4</c:v>
                </c:pt>
                <c:pt idx="453">
                  <c:v>1</c:v>
                </c:pt>
                <c:pt idx="454">
                  <c:v>1</c:v>
                </c:pt>
                <c:pt idx="455">
                  <c:v>-1</c:v>
                </c:pt>
                <c:pt idx="456">
                  <c:v>-2</c:v>
                </c:pt>
                <c:pt idx="457">
                  <c:v>2</c:v>
                </c:pt>
                <c:pt idx="458">
                  <c:v>-1</c:v>
                </c:pt>
                <c:pt idx="459">
                  <c:v>-1</c:v>
                </c:pt>
                <c:pt idx="460">
                  <c:v>3</c:v>
                </c:pt>
                <c:pt idx="461">
                  <c:v>1</c:v>
                </c:pt>
                <c:pt idx="462">
                  <c:v>0</c:v>
                </c:pt>
                <c:pt idx="463">
                  <c:v>-1</c:v>
                </c:pt>
                <c:pt idx="464">
                  <c:v>1</c:v>
                </c:pt>
                <c:pt idx="465">
                  <c:v>2</c:v>
                </c:pt>
                <c:pt idx="466">
                  <c:v>0</c:v>
                </c:pt>
                <c:pt idx="467">
                  <c:v>-2</c:v>
                </c:pt>
                <c:pt idx="468">
                  <c:v>1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2</c:v>
                </c:pt>
                <c:pt idx="473">
                  <c:v>0</c:v>
                </c:pt>
                <c:pt idx="474">
                  <c:v>2</c:v>
                </c:pt>
                <c:pt idx="475">
                  <c:v>0</c:v>
                </c:pt>
                <c:pt idx="476">
                  <c:v>1</c:v>
                </c:pt>
                <c:pt idx="477">
                  <c:v>1</c:v>
                </c:pt>
                <c:pt idx="478">
                  <c:v>-1</c:v>
                </c:pt>
                <c:pt idx="479">
                  <c:v>-2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4</c:v>
                </c:pt>
                <c:pt idx="484">
                  <c:v>0</c:v>
                </c:pt>
                <c:pt idx="485">
                  <c:v>0</c:v>
                </c:pt>
                <c:pt idx="486">
                  <c:v>-2</c:v>
                </c:pt>
                <c:pt idx="487">
                  <c:v>-4</c:v>
                </c:pt>
                <c:pt idx="488">
                  <c:v>6</c:v>
                </c:pt>
                <c:pt idx="489">
                  <c:v>0</c:v>
                </c:pt>
                <c:pt idx="490">
                  <c:v>-1</c:v>
                </c:pt>
                <c:pt idx="491">
                  <c:v>1</c:v>
                </c:pt>
                <c:pt idx="492">
                  <c:v>-1</c:v>
                </c:pt>
                <c:pt idx="493">
                  <c:v>3</c:v>
                </c:pt>
                <c:pt idx="494">
                  <c:v>3</c:v>
                </c:pt>
                <c:pt idx="495">
                  <c:v>0</c:v>
                </c:pt>
                <c:pt idx="496">
                  <c:v>2</c:v>
                </c:pt>
                <c:pt idx="497">
                  <c:v>0</c:v>
                </c:pt>
                <c:pt idx="498">
                  <c:v>3</c:v>
                </c:pt>
                <c:pt idx="499">
                  <c:v>2</c:v>
                </c:pt>
                <c:pt idx="500">
                  <c:v>0</c:v>
                </c:pt>
                <c:pt idx="501">
                  <c:v>-1</c:v>
                </c:pt>
                <c:pt idx="502">
                  <c:v>1</c:v>
                </c:pt>
                <c:pt idx="503">
                  <c:v>1</c:v>
                </c:pt>
                <c:pt idx="504">
                  <c:v>3</c:v>
                </c:pt>
                <c:pt idx="505">
                  <c:v>0</c:v>
                </c:pt>
                <c:pt idx="506">
                  <c:v>-2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0</c:v>
                </c:pt>
                <c:pt idx="512">
                  <c:v>1</c:v>
                </c:pt>
                <c:pt idx="513">
                  <c:v>-2</c:v>
                </c:pt>
                <c:pt idx="514">
                  <c:v>-1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-1</c:v>
                </c:pt>
                <c:pt idx="520">
                  <c:v>0</c:v>
                </c:pt>
                <c:pt idx="521">
                  <c:v>0</c:v>
                </c:pt>
                <c:pt idx="522">
                  <c:v>-1</c:v>
                </c:pt>
                <c:pt idx="523">
                  <c:v>1</c:v>
                </c:pt>
                <c:pt idx="524">
                  <c:v>2</c:v>
                </c:pt>
                <c:pt idx="525">
                  <c:v>1</c:v>
                </c:pt>
                <c:pt idx="526">
                  <c:v>-1</c:v>
                </c:pt>
                <c:pt idx="527">
                  <c:v>0</c:v>
                </c:pt>
                <c:pt idx="528">
                  <c:v>0</c:v>
                </c:pt>
                <c:pt idx="529">
                  <c:v>1</c:v>
                </c:pt>
                <c:pt idx="530">
                  <c:v>-1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-1</c:v>
                </c:pt>
                <c:pt idx="535">
                  <c:v>-1</c:v>
                </c:pt>
                <c:pt idx="536">
                  <c:v>2</c:v>
                </c:pt>
                <c:pt idx="537">
                  <c:v>-1</c:v>
                </c:pt>
                <c:pt idx="538">
                  <c:v>-2</c:v>
                </c:pt>
                <c:pt idx="539">
                  <c:v>-2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2</c:v>
                </c:pt>
                <c:pt idx="546">
                  <c:v>1</c:v>
                </c:pt>
                <c:pt idx="547">
                  <c:v>0</c:v>
                </c:pt>
                <c:pt idx="548">
                  <c:v>-2</c:v>
                </c:pt>
                <c:pt idx="549">
                  <c:v>-2</c:v>
                </c:pt>
                <c:pt idx="550">
                  <c:v>0</c:v>
                </c:pt>
                <c:pt idx="551">
                  <c:v>0</c:v>
                </c:pt>
                <c:pt idx="552">
                  <c:v>-1</c:v>
                </c:pt>
                <c:pt idx="553">
                  <c:v>-1</c:v>
                </c:pt>
                <c:pt idx="554">
                  <c:v>3</c:v>
                </c:pt>
                <c:pt idx="555">
                  <c:v>1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-1</c:v>
                </c:pt>
                <c:pt idx="560">
                  <c:v>3</c:v>
                </c:pt>
                <c:pt idx="561">
                  <c:v>-1</c:v>
                </c:pt>
                <c:pt idx="562">
                  <c:v>-1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2</c:v>
                </c:pt>
                <c:pt idx="573">
                  <c:v>2</c:v>
                </c:pt>
                <c:pt idx="574">
                  <c:v>4</c:v>
                </c:pt>
                <c:pt idx="575">
                  <c:v>2</c:v>
                </c:pt>
                <c:pt idx="576">
                  <c:v>-1</c:v>
                </c:pt>
                <c:pt idx="577">
                  <c:v>2</c:v>
                </c:pt>
                <c:pt idx="578">
                  <c:v>1</c:v>
                </c:pt>
                <c:pt idx="579">
                  <c:v>3</c:v>
                </c:pt>
                <c:pt idx="580">
                  <c:v>1</c:v>
                </c:pt>
                <c:pt idx="581">
                  <c:v>-1</c:v>
                </c:pt>
                <c:pt idx="582">
                  <c:v>-2</c:v>
                </c:pt>
                <c:pt idx="583">
                  <c:v>-1</c:v>
                </c:pt>
                <c:pt idx="584">
                  <c:v>0</c:v>
                </c:pt>
                <c:pt idx="585">
                  <c:v>-3</c:v>
                </c:pt>
                <c:pt idx="586">
                  <c:v>1</c:v>
                </c:pt>
                <c:pt idx="587">
                  <c:v>0</c:v>
                </c:pt>
                <c:pt idx="588">
                  <c:v>2</c:v>
                </c:pt>
                <c:pt idx="589">
                  <c:v>0</c:v>
                </c:pt>
                <c:pt idx="590">
                  <c:v>0</c:v>
                </c:pt>
                <c:pt idx="591">
                  <c:v>2</c:v>
                </c:pt>
                <c:pt idx="592">
                  <c:v>0</c:v>
                </c:pt>
                <c:pt idx="593">
                  <c:v>-2</c:v>
                </c:pt>
                <c:pt idx="594">
                  <c:v>-1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3</c:v>
                </c:pt>
                <c:pt idx="599">
                  <c:v>0</c:v>
                </c:pt>
                <c:pt idx="600">
                  <c:v>1</c:v>
                </c:pt>
                <c:pt idx="601">
                  <c:v>3</c:v>
                </c:pt>
                <c:pt idx="602">
                  <c:v>1</c:v>
                </c:pt>
                <c:pt idx="603">
                  <c:v>0</c:v>
                </c:pt>
                <c:pt idx="604">
                  <c:v>-2</c:v>
                </c:pt>
                <c:pt idx="605">
                  <c:v>1</c:v>
                </c:pt>
                <c:pt idx="606">
                  <c:v>2</c:v>
                </c:pt>
                <c:pt idx="607">
                  <c:v>0</c:v>
                </c:pt>
                <c:pt idx="608">
                  <c:v>0</c:v>
                </c:pt>
                <c:pt idx="609">
                  <c:v>-2</c:v>
                </c:pt>
                <c:pt idx="610">
                  <c:v>-1</c:v>
                </c:pt>
                <c:pt idx="611">
                  <c:v>-2</c:v>
                </c:pt>
                <c:pt idx="612">
                  <c:v>0</c:v>
                </c:pt>
                <c:pt idx="613">
                  <c:v>0</c:v>
                </c:pt>
                <c:pt idx="614">
                  <c:v>-2</c:v>
                </c:pt>
                <c:pt idx="615">
                  <c:v>0</c:v>
                </c:pt>
                <c:pt idx="616">
                  <c:v>-1</c:v>
                </c:pt>
                <c:pt idx="617">
                  <c:v>-1</c:v>
                </c:pt>
                <c:pt idx="618">
                  <c:v>0</c:v>
                </c:pt>
                <c:pt idx="619">
                  <c:v>-1</c:v>
                </c:pt>
                <c:pt idx="620">
                  <c:v>-1</c:v>
                </c:pt>
                <c:pt idx="621">
                  <c:v>1</c:v>
                </c:pt>
                <c:pt idx="622">
                  <c:v>-1</c:v>
                </c:pt>
                <c:pt idx="623">
                  <c:v>-1</c:v>
                </c:pt>
                <c:pt idx="624">
                  <c:v>1</c:v>
                </c:pt>
                <c:pt idx="625">
                  <c:v>0</c:v>
                </c:pt>
                <c:pt idx="626">
                  <c:v>2</c:v>
                </c:pt>
                <c:pt idx="627">
                  <c:v>-1</c:v>
                </c:pt>
                <c:pt idx="628">
                  <c:v>-1</c:v>
                </c:pt>
                <c:pt idx="629">
                  <c:v>1</c:v>
                </c:pt>
                <c:pt idx="630">
                  <c:v>2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0</c:v>
                </c:pt>
                <c:pt idx="635">
                  <c:v>0</c:v>
                </c:pt>
                <c:pt idx="636">
                  <c:v>2</c:v>
                </c:pt>
                <c:pt idx="637">
                  <c:v>1</c:v>
                </c:pt>
                <c:pt idx="638">
                  <c:v>1</c:v>
                </c:pt>
                <c:pt idx="639">
                  <c:v>2</c:v>
                </c:pt>
                <c:pt idx="640">
                  <c:v>-1</c:v>
                </c:pt>
                <c:pt idx="641">
                  <c:v>1</c:v>
                </c:pt>
                <c:pt idx="642">
                  <c:v>1</c:v>
                </c:pt>
                <c:pt idx="643">
                  <c:v>0</c:v>
                </c:pt>
                <c:pt idx="644">
                  <c:v>-1</c:v>
                </c:pt>
                <c:pt idx="645">
                  <c:v>-1</c:v>
                </c:pt>
                <c:pt idx="646">
                  <c:v>0</c:v>
                </c:pt>
                <c:pt idx="647">
                  <c:v>1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1</c:v>
                </c:pt>
                <c:pt idx="652">
                  <c:v>0</c:v>
                </c:pt>
                <c:pt idx="653">
                  <c:v>1</c:v>
                </c:pt>
                <c:pt idx="654">
                  <c:v>1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3</c:v>
                </c:pt>
                <c:pt idx="661">
                  <c:v>-1</c:v>
                </c:pt>
                <c:pt idx="662">
                  <c:v>-1</c:v>
                </c:pt>
                <c:pt idx="663">
                  <c:v>1</c:v>
                </c:pt>
                <c:pt idx="664">
                  <c:v>1</c:v>
                </c:pt>
                <c:pt idx="665">
                  <c:v>0</c:v>
                </c:pt>
                <c:pt idx="666">
                  <c:v>2</c:v>
                </c:pt>
                <c:pt idx="667">
                  <c:v>2</c:v>
                </c:pt>
                <c:pt idx="668">
                  <c:v>1</c:v>
                </c:pt>
                <c:pt idx="669">
                  <c:v>1</c:v>
                </c:pt>
                <c:pt idx="670">
                  <c:v>-1</c:v>
                </c:pt>
                <c:pt idx="671">
                  <c:v>-2</c:v>
                </c:pt>
                <c:pt idx="672">
                  <c:v>2</c:v>
                </c:pt>
                <c:pt idx="673">
                  <c:v>-2</c:v>
                </c:pt>
                <c:pt idx="674">
                  <c:v>1</c:v>
                </c:pt>
                <c:pt idx="675">
                  <c:v>2</c:v>
                </c:pt>
                <c:pt idx="676">
                  <c:v>-1</c:v>
                </c:pt>
                <c:pt idx="677">
                  <c:v>-1</c:v>
                </c:pt>
                <c:pt idx="678">
                  <c:v>2</c:v>
                </c:pt>
                <c:pt idx="679">
                  <c:v>-2</c:v>
                </c:pt>
                <c:pt idx="680">
                  <c:v>0</c:v>
                </c:pt>
                <c:pt idx="681">
                  <c:v>0</c:v>
                </c:pt>
                <c:pt idx="682">
                  <c:v>1</c:v>
                </c:pt>
                <c:pt idx="683">
                  <c:v>0</c:v>
                </c:pt>
                <c:pt idx="684">
                  <c:v>-4</c:v>
                </c:pt>
                <c:pt idx="685">
                  <c:v>-1</c:v>
                </c:pt>
                <c:pt idx="686">
                  <c:v>1</c:v>
                </c:pt>
                <c:pt idx="687">
                  <c:v>0</c:v>
                </c:pt>
                <c:pt idx="688">
                  <c:v>-1</c:v>
                </c:pt>
                <c:pt idx="689">
                  <c:v>0</c:v>
                </c:pt>
                <c:pt idx="690">
                  <c:v>-1</c:v>
                </c:pt>
                <c:pt idx="691">
                  <c:v>1</c:v>
                </c:pt>
                <c:pt idx="692">
                  <c:v>2</c:v>
                </c:pt>
                <c:pt idx="693">
                  <c:v>0</c:v>
                </c:pt>
                <c:pt idx="694">
                  <c:v>1</c:v>
                </c:pt>
                <c:pt idx="695">
                  <c:v>-2</c:v>
                </c:pt>
                <c:pt idx="696">
                  <c:v>0</c:v>
                </c:pt>
                <c:pt idx="697">
                  <c:v>4</c:v>
                </c:pt>
                <c:pt idx="698">
                  <c:v>-2</c:v>
                </c:pt>
                <c:pt idx="699">
                  <c:v>0</c:v>
                </c:pt>
                <c:pt idx="700">
                  <c:v>1</c:v>
                </c:pt>
                <c:pt idx="701">
                  <c:v>2</c:v>
                </c:pt>
                <c:pt idx="702">
                  <c:v>2</c:v>
                </c:pt>
                <c:pt idx="703">
                  <c:v>-2</c:v>
                </c:pt>
                <c:pt idx="704">
                  <c:v>-3</c:v>
                </c:pt>
                <c:pt idx="705">
                  <c:v>-2</c:v>
                </c:pt>
                <c:pt idx="706">
                  <c:v>0</c:v>
                </c:pt>
                <c:pt idx="707">
                  <c:v>-2</c:v>
                </c:pt>
                <c:pt idx="708">
                  <c:v>-2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2</c:v>
                </c:pt>
                <c:pt idx="713">
                  <c:v>-4</c:v>
                </c:pt>
                <c:pt idx="714">
                  <c:v>0</c:v>
                </c:pt>
                <c:pt idx="715">
                  <c:v>1</c:v>
                </c:pt>
                <c:pt idx="716">
                  <c:v>0</c:v>
                </c:pt>
                <c:pt idx="717">
                  <c:v>-2</c:v>
                </c:pt>
                <c:pt idx="718">
                  <c:v>1</c:v>
                </c:pt>
                <c:pt idx="719">
                  <c:v>-1</c:v>
                </c:pt>
                <c:pt idx="720">
                  <c:v>1</c:v>
                </c:pt>
                <c:pt idx="721">
                  <c:v>-2</c:v>
                </c:pt>
                <c:pt idx="722">
                  <c:v>1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0</c:v>
                </c:pt>
                <c:pt idx="728">
                  <c:v>0</c:v>
                </c:pt>
                <c:pt idx="729">
                  <c:v>3</c:v>
                </c:pt>
                <c:pt idx="730">
                  <c:v>0</c:v>
                </c:pt>
                <c:pt idx="731">
                  <c:v>-4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2-4546-B206-51BBACFDF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918944"/>
        <c:axId val="664916544"/>
      </c:barChart>
      <c:lineChart>
        <c:grouping val="standard"/>
        <c:varyColors val="0"/>
        <c:ser>
          <c:idx val="1"/>
          <c:order val="1"/>
          <c:tx>
            <c:strRef>
              <c:f>'Active Timeline'!$F$1</c:f>
              <c:strCache>
                <c:ptCount val="1"/>
                <c:pt idx="0">
                  <c:v>CumulativeSubscribers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'Active Timeline'!$A$2:$A$741</c:f>
              <c:numCache>
                <c:formatCode>yyyy\-mm\-dd;@</c:formatCode>
                <c:ptCount val="740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</c:numCache>
            </c:numRef>
          </c:cat>
          <c:val>
            <c:numRef>
              <c:f>'Active Timeline'!$F$2:$F$741</c:f>
              <c:numCache>
                <c:formatCode>0</c:formatCode>
                <c:ptCount val="740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11</c:v>
                </c:pt>
                <c:pt idx="15">
                  <c:v>13</c:v>
                </c:pt>
                <c:pt idx="16">
                  <c:v>13</c:v>
                </c:pt>
                <c:pt idx="17">
                  <c:v>15</c:v>
                </c:pt>
                <c:pt idx="18">
                  <c:v>17</c:v>
                </c:pt>
                <c:pt idx="19">
                  <c:v>18</c:v>
                </c:pt>
                <c:pt idx="20">
                  <c:v>18</c:v>
                </c:pt>
                <c:pt idx="21">
                  <c:v>20</c:v>
                </c:pt>
                <c:pt idx="22">
                  <c:v>20</c:v>
                </c:pt>
                <c:pt idx="23">
                  <c:v>22</c:v>
                </c:pt>
                <c:pt idx="24">
                  <c:v>22</c:v>
                </c:pt>
                <c:pt idx="25">
                  <c:v>23</c:v>
                </c:pt>
                <c:pt idx="26">
                  <c:v>23</c:v>
                </c:pt>
                <c:pt idx="27">
                  <c:v>25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27</c:v>
                </c:pt>
                <c:pt idx="32">
                  <c:v>28</c:v>
                </c:pt>
                <c:pt idx="33">
                  <c:v>28</c:v>
                </c:pt>
                <c:pt idx="34">
                  <c:v>30</c:v>
                </c:pt>
                <c:pt idx="35">
                  <c:v>31</c:v>
                </c:pt>
                <c:pt idx="36">
                  <c:v>31</c:v>
                </c:pt>
                <c:pt idx="37">
                  <c:v>33</c:v>
                </c:pt>
                <c:pt idx="38">
                  <c:v>34</c:v>
                </c:pt>
                <c:pt idx="39">
                  <c:v>35</c:v>
                </c:pt>
                <c:pt idx="40">
                  <c:v>35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38</c:v>
                </c:pt>
                <c:pt idx="45">
                  <c:v>40</c:v>
                </c:pt>
                <c:pt idx="46">
                  <c:v>42</c:v>
                </c:pt>
                <c:pt idx="47">
                  <c:v>43</c:v>
                </c:pt>
                <c:pt idx="48">
                  <c:v>46</c:v>
                </c:pt>
                <c:pt idx="49">
                  <c:v>46</c:v>
                </c:pt>
                <c:pt idx="50">
                  <c:v>46</c:v>
                </c:pt>
                <c:pt idx="51">
                  <c:v>46</c:v>
                </c:pt>
                <c:pt idx="52">
                  <c:v>46</c:v>
                </c:pt>
                <c:pt idx="53">
                  <c:v>47</c:v>
                </c:pt>
                <c:pt idx="54">
                  <c:v>49</c:v>
                </c:pt>
                <c:pt idx="55">
                  <c:v>51</c:v>
                </c:pt>
                <c:pt idx="56">
                  <c:v>52</c:v>
                </c:pt>
                <c:pt idx="57">
                  <c:v>54</c:v>
                </c:pt>
                <c:pt idx="58">
                  <c:v>54</c:v>
                </c:pt>
                <c:pt idx="59">
                  <c:v>55</c:v>
                </c:pt>
                <c:pt idx="60">
                  <c:v>55</c:v>
                </c:pt>
                <c:pt idx="61">
                  <c:v>55</c:v>
                </c:pt>
                <c:pt idx="62">
                  <c:v>56</c:v>
                </c:pt>
                <c:pt idx="63">
                  <c:v>56</c:v>
                </c:pt>
                <c:pt idx="64">
                  <c:v>57</c:v>
                </c:pt>
                <c:pt idx="65">
                  <c:v>59</c:v>
                </c:pt>
                <c:pt idx="66">
                  <c:v>60</c:v>
                </c:pt>
                <c:pt idx="67">
                  <c:v>61</c:v>
                </c:pt>
                <c:pt idx="68">
                  <c:v>63</c:v>
                </c:pt>
                <c:pt idx="69">
                  <c:v>64</c:v>
                </c:pt>
                <c:pt idx="70">
                  <c:v>65</c:v>
                </c:pt>
                <c:pt idx="71">
                  <c:v>66</c:v>
                </c:pt>
                <c:pt idx="72">
                  <c:v>66</c:v>
                </c:pt>
                <c:pt idx="73">
                  <c:v>68</c:v>
                </c:pt>
                <c:pt idx="74">
                  <c:v>69</c:v>
                </c:pt>
                <c:pt idx="75">
                  <c:v>69</c:v>
                </c:pt>
                <c:pt idx="76">
                  <c:v>71</c:v>
                </c:pt>
                <c:pt idx="77">
                  <c:v>71</c:v>
                </c:pt>
                <c:pt idx="78">
                  <c:v>71</c:v>
                </c:pt>
                <c:pt idx="79">
                  <c:v>71</c:v>
                </c:pt>
                <c:pt idx="80">
                  <c:v>72</c:v>
                </c:pt>
                <c:pt idx="81">
                  <c:v>72</c:v>
                </c:pt>
                <c:pt idx="82">
                  <c:v>73</c:v>
                </c:pt>
                <c:pt idx="83">
                  <c:v>75</c:v>
                </c:pt>
                <c:pt idx="84">
                  <c:v>77</c:v>
                </c:pt>
                <c:pt idx="85">
                  <c:v>78</c:v>
                </c:pt>
                <c:pt idx="86">
                  <c:v>81</c:v>
                </c:pt>
                <c:pt idx="87">
                  <c:v>82</c:v>
                </c:pt>
                <c:pt idx="88">
                  <c:v>82</c:v>
                </c:pt>
                <c:pt idx="89">
                  <c:v>83</c:v>
                </c:pt>
                <c:pt idx="90">
                  <c:v>85</c:v>
                </c:pt>
                <c:pt idx="91">
                  <c:v>86</c:v>
                </c:pt>
                <c:pt idx="92">
                  <c:v>86</c:v>
                </c:pt>
                <c:pt idx="93">
                  <c:v>87</c:v>
                </c:pt>
                <c:pt idx="94">
                  <c:v>88</c:v>
                </c:pt>
                <c:pt idx="95">
                  <c:v>89</c:v>
                </c:pt>
                <c:pt idx="96">
                  <c:v>91</c:v>
                </c:pt>
                <c:pt idx="97">
                  <c:v>92</c:v>
                </c:pt>
                <c:pt idx="98">
                  <c:v>92</c:v>
                </c:pt>
                <c:pt idx="99">
                  <c:v>92</c:v>
                </c:pt>
                <c:pt idx="100">
                  <c:v>93</c:v>
                </c:pt>
                <c:pt idx="101">
                  <c:v>93</c:v>
                </c:pt>
                <c:pt idx="102">
                  <c:v>93</c:v>
                </c:pt>
                <c:pt idx="103">
                  <c:v>94</c:v>
                </c:pt>
                <c:pt idx="104">
                  <c:v>94</c:v>
                </c:pt>
                <c:pt idx="105">
                  <c:v>94</c:v>
                </c:pt>
                <c:pt idx="106">
                  <c:v>94</c:v>
                </c:pt>
                <c:pt idx="107">
                  <c:v>96</c:v>
                </c:pt>
                <c:pt idx="108">
                  <c:v>97</c:v>
                </c:pt>
                <c:pt idx="109">
                  <c:v>97</c:v>
                </c:pt>
                <c:pt idx="110">
                  <c:v>99</c:v>
                </c:pt>
                <c:pt idx="111">
                  <c:v>100</c:v>
                </c:pt>
                <c:pt idx="112">
                  <c:v>101</c:v>
                </c:pt>
                <c:pt idx="113">
                  <c:v>103</c:v>
                </c:pt>
                <c:pt idx="114">
                  <c:v>103</c:v>
                </c:pt>
                <c:pt idx="115">
                  <c:v>104</c:v>
                </c:pt>
                <c:pt idx="116">
                  <c:v>104</c:v>
                </c:pt>
                <c:pt idx="117">
                  <c:v>104</c:v>
                </c:pt>
                <c:pt idx="118">
                  <c:v>105</c:v>
                </c:pt>
                <c:pt idx="119">
                  <c:v>106</c:v>
                </c:pt>
                <c:pt idx="120">
                  <c:v>107</c:v>
                </c:pt>
                <c:pt idx="121">
                  <c:v>108</c:v>
                </c:pt>
                <c:pt idx="122">
                  <c:v>109</c:v>
                </c:pt>
                <c:pt idx="123">
                  <c:v>109</c:v>
                </c:pt>
                <c:pt idx="124">
                  <c:v>110</c:v>
                </c:pt>
                <c:pt idx="125">
                  <c:v>111</c:v>
                </c:pt>
                <c:pt idx="126">
                  <c:v>113</c:v>
                </c:pt>
                <c:pt idx="127">
                  <c:v>116</c:v>
                </c:pt>
                <c:pt idx="128">
                  <c:v>116</c:v>
                </c:pt>
                <c:pt idx="129">
                  <c:v>117</c:v>
                </c:pt>
                <c:pt idx="130">
                  <c:v>118</c:v>
                </c:pt>
                <c:pt idx="131">
                  <c:v>118</c:v>
                </c:pt>
                <c:pt idx="132">
                  <c:v>120</c:v>
                </c:pt>
                <c:pt idx="133">
                  <c:v>120</c:v>
                </c:pt>
                <c:pt idx="134">
                  <c:v>120</c:v>
                </c:pt>
                <c:pt idx="135">
                  <c:v>121</c:v>
                </c:pt>
                <c:pt idx="136">
                  <c:v>122</c:v>
                </c:pt>
                <c:pt idx="137">
                  <c:v>122</c:v>
                </c:pt>
                <c:pt idx="138">
                  <c:v>124</c:v>
                </c:pt>
                <c:pt idx="139">
                  <c:v>124</c:v>
                </c:pt>
                <c:pt idx="140">
                  <c:v>125</c:v>
                </c:pt>
                <c:pt idx="141">
                  <c:v>127</c:v>
                </c:pt>
                <c:pt idx="142">
                  <c:v>129</c:v>
                </c:pt>
                <c:pt idx="143">
                  <c:v>131</c:v>
                </c:pt>
                <c:pt idx="144">
                  <c:v>132</c:v>
                </c:pt>
                <c:pt idx="145">
                  <c:v>132</c:v>
                </c:pt>
                <c:pt idx="146">
                  <c:v>133</c:v>
                </c:pt>
                <c:pt idx="147">
                  <c:v>134</c:v>
                </c:pt>
                <c:pt idx="148">
                  <c:v>134</c:v>
                </c:pt>
                <c:pt idx="149">
                  <c:v>135</c:v>
                </c:pt>
                <c:pt idx="150">
                  <c:v>137</c:v>
                </c:pt>
                <c:pt idx="151">
                  <c:v>139</c:v>
                </c:pt>
                <c:pt idx="152">
                  <c:v>140</c:v>
                </c:pt>
                <c:pt idx="153">
                  <c:v>140</c:v>
                </c:pt>
                <c:pt idx="154">
                  <c:v>141</c:v>
                </c:pt>
                <c:pt idx="155">
                  <c:v>143</c:v>
                </c:pt>
                <c:pt idx="156">
                  <c:v>145</c:v>
                </c:pt>
                <c:pt idx="157">
                  <c:v>145</c:v>
                </c:pt>
                <c:pt idx="158">
                  <c:v>146</c:v>
                </c:pt>
                <c:pt idx="159">
                  <c:v>146</c:v>
                </c:pt>
                <c:pt idx="160">
                  <c:v>149</c:v>
                </c:pt>
                <c:pt idx="161">
                  <c:v>149</c:v>
                </c:pt>
                <c:pt idx="162">
                  <c:v>150</c:v>
                </c:pt>
                <c:pt idx="163">
                  <c:v>150</c:v>
                </c:pt>
                <c:pt idx="164">
                  <c:v>150</c:v>
                </c:pt>
                <c:pt idx="165">
                  <c:v>151</c:v>
                </c:pt>
                <c:pt idx="166">
                  <c:v>153</c:v>
                </c:pt>
                <c:pt idx="167">
                  <c:v>155</c:v>
                </c:pt>
                <c:pt idx="168">
                  <c:v>155</c:v>
                </c:pt>
                <c:pt idx="169">
                  <c:v>157</c:v>
                </c:pt>
                <c:pt idx="170">
                  <c:v>157</c:v>
                </c:pt>
                <c:pt idx="171">
                  <c:v>158</c:v>
                </c:pt>
                <c:pt idx="172">
                  <c:v>158</c:v>
                </c:pt>
                <c:pt idx="173">
                  <c:v>158</c:v>
                </c:pt>
                <c:pt idx="174">
                  <c:v>158</c:v>
                </c:pt>
                <c:pt idx="175">
                  <c:v>158</c:v>
                </c:pt>
                <c:pt idx="176">
                  <c:v>158</c:v>
                </c:pt>
                <c:pt idx="177">
                  <c:v>159</c:v>
                </c:pt>
                <c:pt idx="178">
                  <c:v>160</c:v>
                </c:pt>
                <c:pt idx="179">
                  <c:v>163</c:v>
                </c:pt>
                <c:pt idx="180">
                  <c:v>163</c:v>
                </c:pt>
                <c:pt idx="181">
                  <c:v>165</c:v>
                </c:pt>
                <c:pt idx="182">
                  <c:v>166</c:v>
                </c:pt>
                <c:pt idx="183">
                  <c:v>166</c:v>
                </c:pt>
                <c:pt idx="184">
                  <c:v>167</c:v>
                </c:pt>
                <c:pt idx="185">
                  <c:v>168</c:v>
                </c:pt>
                <c:pt idx="186">
                  <c:v>170</c:v>
                </c:pt>
                <c:pt idx="187">
                  <c:v>172</c:v>
                </c:pt>
                <c:pt idx="188">
                  <c:v>173</c:v>
                </c:pt>
                <c:pt idx="189">
                  <c:v>174</c:v>
                </c:pt>
                <c:pt idx="190">
                  <c:v>175</c:v>
                </c:pt>
                <c:pt idx="191">
                  <c:v>175</c:v>
                </c:pt>
                <c:pt idx="192">
                  <c:v>176</c:v>
                </c:pt>
                <c:pt idx="193">
                  <c:v>179</c:v>
                </c:pt>
                <c:pt idx="194">
                  <c:v>179</c:v>
                </c:pt>
                <c:pt idx="195">
                  <c:v>179</c:v>
                </c:pt>
                <c:pt idx="196">
                  <c:v>180</c:v>
                </c:pt>
                <c:pt idx="197">
                  <c:v>181</c:v>
                </c:pt>
                <c:pt idx="198">
                  <c:v>183</c:v>
                </c:pt>
                <c:pt idx="199">
                  <c:v>184</c:v>
                </c:pt>
                <c:pt idx="200">
                  <c:v>185</c:v>
                </c:pt>
                <c:pt idx="201">
                  <c:v>186</c:v>
                </c:pt>
                <c:pt idx="202">
                  <c:v>189</c:v>
                </c:pt>
                <c:pt idx="203">
                  <c:v>190</c:v>
                </c:pt>
                <c:pt idx="204">
                  <c:v>191</c:v>
                </c:pt>
                <c:pt idx="205">
                  <c:v>192</c:v>
                </c:pt>
                <c:pt idx="206">
                  <c:v>192</c:v>
                </c:pt>
                <c:pt idx="207">
                  <c:v>195</c:v>
                </c:pt>
                <c:pt idx="208">
                  <c:v>196</c:v>
                </c:pt>
                <c:pt idx="209">
                  <c:v>196</c:v>
                </c:pt>
                <c:pt idx="210">
                  <c:v>198</c:v>
                </c:pt>
                <c:pt idx="211">
                  <c:v>198</c:v>
                </c:pt>
                <c:pt idx="212">
                  <c:v>199</c:v>
                </c:pt>
                <c:pt idx="213">
                  <c:v>199</c:v>
                </c:pt>
                <c:pt idx="214">
                  <c:v>200</c:v>
                </c:pt>
                <c:pt idx="215">
                  <c:v>200</c:v>
                </c:pt>
                <c:pt idx="216">
                  <c:v>202</c:v>
                </c:pt>
                <c:pt idx="217">
                  <c:v>205</c:v>
                </c:pt>
                <c:pt idx="218">
                  <c:v>205</c:v>
                </c:pt>
                <c:pt idx="219">
                  <c:v>206</c:v>
                </c:pt>
                <c:pt idx="220">
                  <c:v>207</c:v>
                </c:pt>
                <c:pt idx="221">
                  <c:v>208</c:v>
                </c:pt>
                <c:pt idx="222">
                  <c:v>210</c:v>
                </c:pt>
                <c:pt idx="223">
                  <c:v>211</c:v>
                </c:pt>
                <c:pt idx="224">
                  <c:v>212</c:v>
                </c:pt>
                <c:pt idx="225">
                  <c:v>214</c:v>
                </c:pt>
                <c:pt idx="226">
                  <c:v>215</c:v>
                </c:pt>
                <c:pt idx="227">
                  <c:v>216</c:v>
                </c:pt>
                <c:pt idx="228">
                  <c:v>217</c:v>
                </c:pt>
                <c:pt idx="229">
                  <c:v>217</c:v>
                </c:pt>
                <c:pt idx="230">
                  <c:v>219</c:v>
                </c:pt>
                <c:pt idx="231">
                  <c:v>220</c:v>
                </c:pt>
                <c:pt idx="232">
                  <c:v>220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227</c:v>
                </c:pt>
                <c:pt idx="237">
                  <c:v>229</c:v>
                </c:pt>
                <c:pt idx="238">
                  <c:v>230</c:v>
                </c:pt>
                <c:pt idx="239">
                  <c:v>232</c:v>
                </c:pt>
                <c:pt idx="240">
                  <c:v>232</c:v>
                </c:pt>
                <c:pt idx="241">
                  <c:v>232</c:v>
                </c:pt>
                <c:pt idx="242">
                  <c:v>233</c:v>
                </c:pt>
                <c:pt idx="243">
                  <c:v>235</c:v>
                </c:pt>
                <c:pt idx="244">
                  <c:v>236</c:v>
                </c:pt>
                <c:pt idx="245">
                  <c:v>238</c:v>
                </c:pt>
                <c:pt idx="246">
                  <c:v>238</c:v>
                </c:pt>
                <c:pt idx="247">
                  <c:v>238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241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247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251</c:v>
                </c:pt>
                <c:pt idx="261">
                  <c:v>251</c:v>
                </c:pt>
                <c:pt idx="262">
                  <c:v>253</c:v>
                </c:pt>
                <c:pt idx="263">
                  <c:v>254</c:v>
                </c:pt>
                <c:pt idx="264">
                  <c:v>255</c:v>
                </c:pt>
                <c:pt idx="265">
                  <c:v>256</c:v>
                </c:pt>
                <c:pt idx="266">
                  <c:v>256</c:v>
                </c:pt>
                <c:pt idx="267">
                  <c:v>257</c:v>
                </c:pt>
                <c:pt idx="268">
                  <c:v>257</c:v>
                </c:pt>
                <c:pt idx="269">
                  <c:v>258</c:v>
                </c:pt>
                <c:pt idx="270">
                  <c:v>258</c:v>
                </c:pt>
                <c:pt idx="271">
                  <c:v>259</c:v>
                </c:pt>
                <c:pt idx="272">
                  <c:v>260</c:v>
                </c:pt>
                <c:pt idx="273">
                  <c:v>262</c:v>
                </c:pt>
                <c:pt idx="274">
                  <c:v>262</c:v>
                </c:pt>
                <c:pt idx="275">
                  <c:v>265</c:v>
                </c:pt>
                <c:pt idx="276">
                  <c:v>265</c:v>
                </c:pt>
                <c:pt idx="277">
                  <c:v>267</c:v>
                </c:pt>
                <c:pt idx="278">
                  <c:v>267</c:v>
                </c:pt>
                <c:pt idx="279">
                  <c:v>268</c:v>
                </c:pt>
                <c:pt idx="280">
                  <c:v>268</c:v>
                </c:pt>
                <c:pt idx="281">
                  <c:v>268</c:v>
                </c:pt>
                <c:pt idx="282">
                  <c:v>269</c:v>
                </c:pt>
                <c:pt idx="283">
                  <c:v>271</c:v>
                </c:pt>
                <c:pt idx="284">
                  <c:v>272</c:v>
                </c:pt>
                <c:pt idx="285">
                  <c:v>273</c:v>
                </c:pt>
                <c:pt idx="286">
                  <c:v>274</c:v>
                </c:pt>
                <c:pt idx="287">
                  <c:v>275</c:v>
                </c:pt>
                <c:pt idx="288">
                  <c:v>278</c:v>
                </c:pt>
                <c:pt idx="289">
                  <c:v>279</c:v>
                </c:pt>
                <c:pt idx="290">
                  <c:v>279</c:v>
                </c:pt>
                <c:pt idx="291">
                  <c:v>280</c:v>
                </c:pt>
                <c:pt idx="292">
                  <c:v>280</c:v>
                </c:pt>
                <c:pt idx="293">
                  <c:v>282</c:v>
                </c:pt>
                <c:pt idx="294">
                  <c:v>284</c:v>
                </c:pt>
                <c:pt idx="295">
                  <c:v>287</c:v>
                </c:pt>
                <c:pt idx="296">
                  <c:v>288</c:v>
                </c:pt>
                <c:pt idx="297">
                  <c:v>289</c:v>
                </c:pt>
                <c:pt idx="298">
                  <c:v>290</c:v>
                </c:pt>
                <c:pt idx="299">
                  <c:v>293</c:v>
                </c:pt>
                <c:pt idx="300">
                  <c:v>294</c:v>
                </c:pt>
                <c:pt idx="301">
                  <c:v>296</c:v>
                </c:pt>
                <c:pt idx="302">
                  <c:v>297</c:v>
                </c:pt>
                <c:pt idx="303">
                  <c:v>297</c:v>
                </c:pt>
                <c:pt idx="304">
                  <c:v>298</c:v>
                </c:pt>
                <c:pt idx="305">
                  <c:v>301</c:v>
                </c:pt>
                <c:pt idx="306">
                  <c:v>301</c:v>
                </c:pt>
                <c:pt idx="307">
                  <c:v>302</c:v>
                </c:pt>
                <c:pt idx="308">
                  <c:v>304</c:v>
                </c:pt>
                <c:pt idx="309">
                  <c:v>305</c:v>
                </c:pt>
                <c:pt idx="310">
                  <c:v>306</c:v>
                </c:pt>
                <c:pt idx="311">
                  <c:v>307</c:v>
                </c:pt>
                <c:pt idx="312">
                  <c:v>308</c:v>
                </c:pt>
                <c:pt idx="313">
                  <c:v>309</c:v>
                </c:pt>
                <c:pt idx="314">
                  <c:v>311</c:v>
                </c:pt>
                <c:pt idx="315">
                  <c:v>311</c:v>
                </c:pt>
                <c:pt idx="316">
                  <c:v>312</c:v>
                </c:pt>
                <c:pt idx="317">
                  <c:v>313</c:v>
                </c:pt>
                <c:pt idx="318">
                  <c:v>315</c:v>
                </c:pt>
                <c:pt idx="319">
                  <c:v>315</c:v>
                </c:pt>
                <c:pt idx="320">
                  <c:v>316</c:v>
                </c:pt>
                <c:pt idx="321">
                  <c:v>317</c:v>
                </c:pt>
                <c:pt idx="322">
                  <c:v>319</c:v>
                </c:pt>
                <c:pt idx="323">
                  <c:v>320</c:v>
                </c:pt>
                <c:pt idx="324">
                  <c:v>324</c:v>
                </c:pt>
                <c:pt idx="325">
                  <c:v>326</c:v>
                </c:pt>
                <c:pt idx="326">
                  <c:v>327</c:v>
                </c:pt>
                <c:pt idx="327">
                  <c:v>330</c:v>
                </c:pt>
                <c:pt idx="328">
                  <c:v>333</c:v>
                </c:pt>
                <c:pt idx="329">
                  <c:v>334</c:v>
                </c:pt>
                <c:pt idx="330">
                  <c:v>335</c:v>
                </c:pt>
                <c:pt idx="331">
                  <c:v>335</c:v>
                </c:pt>
                <c:pt idx="332">
                  <c:v>336</c:v>
                </c:pt>
                <c:pt idx="333">
                  <c:v>337</c:v>
                </c:pt>
                <c:pt idx="334">
                  <c:v>337</c:v>
                </c:pt>
                <c:pt idx="335">
                  <c:v>338</c:v>
                </c:pt>
                <c:pt idx="336">
                  <c:v>339</c:v>
                </c:pt>
                <c:pt idx="337">
                  <c:v>340</c:v>
                </c:pt>
                <c:pt idx="338">
                  <c:v>343</c:v>
                </c:pt>
                <c:pt idx="339">
                  <c:v>344</c:v>
                </c:pt>
                <c:pt idx="340">
                  <c:v>344</c:v>
                </c:pt>
                <c:pt idx="341">
                  <c:v>344</c:v>
                </c:pt>
                <c:pt idx="342">
                  <c:v>344</c:v>
                </c:pt>
                <c:pt idx="343">
                  <c:v>347</c:v>
                </c:pt>
                <c:pt idx="344">
                  <c:v>349</c:v>
                </c:pt>
                <c:pt idx="345">
                  <c:v>352</c:v>
                </c:pt>
                <c:pt idx="346">
                  <c:v>353</c:v>
                </c:pt>
                <c:pt idx="347">
                  <c:v>355</c:v>
                </c:pt>
                <c:pt idx="348">
                  <c:v>358</c:v>
                </c:pt>
                <c:pt idx="349">
                  <c:v>359</c:v>
                </c:pt>
                <c:pt idx="350">
                  <c:v>363</c:v>
                </c:pt>
                <c:pt idx="351">
                  <c:v>364</c:v>
                </c:pt>
                <c:pt idx="352">
                  <c:v>365</c:v>
                </c:pt>
                <c:pt idx="353">
                  <c:v>369</c:v>
                </c:pt>
                <c:pt idx="354">
                  <c:v>370</c:v>
                </c:pt>
                <c:pt idx="355">
                  <c:v>371</c:v>
                </c:pt>
                <c:pt idx="356">
                  <c:v>372</c:v>
                </c:pt>
                <c:pt idx="357">
                  <c:v>375</c:v>
                </c:pt>
                <c:pt idx="358">
                  <c:v>378</c:v>
                </c:pt>
                <c:pt idx="359">
                  <c:v>381</c:v>
                </c:pt>
                <c:pt idx="360">
                  <c:v>381</c:v>
                </c:pt>
                <c:pt idx="361">
                  <c:v>382</c:v>
                </c:pt>
                <c:pt idx="362">
                  <c:v>382</c:v>
                </c:pt>
                <c:pt idx="363">
                  <c:v>384</c:v>
                </c:pt>
                <c:pt idx="364">
                  <c:v>387</c:v>
                </c:pt>
                <c:pt idx="365">
                  <c:v>387</c:v>
                </c:pt>
                <c:pt idx="366">
                  <c:v>387</c:v>
                </c:pt>
                <c:pt idx="367">
                  <c:v>388</c:v>
                </c:pt>
                <c:pt idx="368">
                  <c:v>389</c:v>
                </c:pt>
                <c:pt idx="369">
                  <c:v>391</c:v>
                </c:pt>
                <c:pt idx="370">
                  <c:v>391</c:v>
                </c:pt>
                <c:pt idx="371">
                  <c:v>394</c:v>
                </c:pt>
                <c:pt idx="372">
                  <c:v>395</c:v>
                </c:pt>
                <c:pt idx="373">
                  <c:v>395</c:v>
                </c:pt>
                <c:pt idx="374">
                  <c:v>396</c:v>
                </c:pt>
                <c:pt idx="375">
                  <c:v>397</c:v>
                </c:pt>
                <c:pt idx="376">
                  <c:v>397</c:v>
                </c:pt>
                <c:pt idx="377">
                  <c:v>397</c:v>
                </c:pt>
                <c:pt idx="378">
                  <c:v>398</c:v>
                </c:pt>
                <c:pt idx="379">
                  <c:v>399</c:v>
                </c:pt>
                <c:pt idx="380">
                  <c:v>399</c:v>
                </c:pt>
                <c:pt idx="381">
                  <c:v>401</c:v>
                </c:pt>
                <c:pt idx="382">
                  <c:v>403</c:v>
                </c:pt>
                <c:pt idx="383">
                  <c:v>404</c:v>
                </c:pt>
                <c:pt idx="384">
                  <c:v>405</c:v>
                </c:pt>
                <c:pt idx="385">
                  <c:v>406</c:v>
                </c:pt>
                <c:pt idx="386">
                  <c:v>407</c:v>
                </c:pt>
                <c:pt idx="387">
                  <c:v>408</c:v>
                </c:pt>
                <c:pt idx="388">
                  <c:v>408</c:v>
                </c:pt>
                <c:pt idx="389">
                  <c:v>409</c:v>
                </c:pt>
                <c:pt idx="390">
                  <c:v>409</c:v>
                </c:pt>
                <c:pt idx="391">
                  <c:v>411</c:v>
                </c:pt>
                <c:pt idx="392">
                  <c:v>412</c:v>
                </c:pt>
                <c:pt idx="393">
                  <c:v>416</c:v>
                </c:pt>
                <c:pt idx="394">
                  <c:v>417</c:v>
                </c:pt>
                <c:pt idx="395">
                  <c:v>417</c:v>
                </c:pt>
                <c:pt idx="396">
                  <c:v>417</c:v>
                </c:pt>
                <c:pt idx="397">
                  <c:v>417</c:v>
                </c:pt>
                <c:pt idx="398">
                  <c:v>418</c:v>
                </c:pt>
                <c:pt idx="399">
                  <c:v>420</c:v>
                </c:pt>
                <c:pt idx="400">
                  <c:v>421</c:v>
                </c:pt>
                <c:pt idx="401">
                  <c:v>423</c:v>
                </c:pt>
                <c:pt idx="402">
                  <c:v>425</c:v>
                </c:pt>
                <c:pt idx="403">
                  <c:v>426</c:v>
                </c:pt>
                <c:pt idx="404">
                  <c:v>428</c:v>
                </c:pt>
                <c:pt idx="405">
                  <c:v>430</c:v>
                </c:pt>
                <c:pt idx="406">
                  <c:v>431</c:v>
                </c:pt>
                <c:pt idx="407">
                  <c:v>431</c:v>
                </c:pt>
                <c:pt idx="408">
                  <c:v>433</c:v>
                </c:pt>
                <c:pt idx="409">
                  <c:v>436</c:v>
                </c:pt>
                <c:pt idx="410">
                  <c:v>437</c:v>
                </c:pt>
                <c:pt idx="411">
                  <c:v>437</c:v>
                </c:pt>
                <c:pt idx="412">
                  <c:v>437</c:v>
                </c:pt>
                <c:pt idx="413">
                  <c:v>437</c:v>
                </c:pt>
                <c:pt idx="414">
                  <c:v>437</c:v>
                </c:pt>
                <c:pt idx="415">
                  <c:v>439</c:v>
                </c:pt>
                <c:pt idx="416">
                  <c:v>440</c:v>
                </c:pt>
                <c:pt idx="417">
                  <c:v>441</c:v>
                </c:pt>
                <c:pt idx="418">
                  <c:v>441</c:v>
                </c:pt>
                <c:pt idx="419">
                  <c:v>441</c:v>
                </c:pt>
                <c:pt idx="420">
                  <c:v>441</c:v>
                </c:pt>
                <c:pt idx="421">
                  <c:v>442</c:v>
                </c:pt>
                <c:pt idx="422">
                  <c:v>443</c:v>
                </c:pt>
                <c:pt idx="423">
                  <c:v>446</c:v>
                </c:pt>
                <c:pt idx="424">
                  <c:v>446</c:v>
                </c:pt>
                <c:pt idx="425">
                  <c:v>447</c:v>
                </c:pt>
                <c:pt idx="426">
                  <c:v>449</c:v>
                </c:pt>
                <c:pt idx="427">
                  <c:v>451</c:v>
                </c:pt>
                <c:pt idx="428">
                  <c:v>452</c:v>
                </c:pt>
                <c:pt idx="429">
                  <c:v>454</c:v>
                </c:pt>
                <c:pt idx="430">
                  <c:v>455</c:v>
                </c:pt>
                <c:pt idx="431">
                  <c:v>456</c:v>
                </c:pt>
                <c:pt idx="432">
                  <c:v>458</c:v>
                </c:pt>
                <c:pt idx="433">
                  <c:v>459</c:v>
                </c:pt>
                <c:pt idx="434">
                  <c:v>462</c:v>
                </c:pt>
                <c:pt idx="435">
                  <c:v>465</c:v>
                </c:pt>
                <c:pt idx="436">
                  <c:v>466</c:v>
                </c:pt>
                <c:pt idx="437">
                  <c:v>467</c:v>
                </c:pt>
                <c:pt idx="438">
                  <c:v>469</c:v>
                </c:pt>
                <c:pt idx="439">
                  <c:v>470</c:v>
                </c:pt>
                <c:pt idx="440">
                  <c:v>470</c:v>
                </c:pt>
                <c:pt idx="441">
                  <c:v>470</c:v>
                </c:pt>
                <c:pt idx="442">
                  <c:v>470</c:v>
                </c:pt>
                <c:pt idx="443">
                  <c:v>474</c:v>
                </c:pt>
                <c:pt idx="444">
                  <c:v>475</c:v>
                </c:pt>
                <c:pt idx="445">
                  <c:v>475</c:v>
                </c:pt>
                <c:pt idx="446">
                  <c:v>475</c:v>
                </c:pt>
                <c:pt idx="447">
                  <c:v>477</c:v>
                </c:pt>
                <c:pt idx="448">
                  <c:v>480</c:v>
                </c:pt>
                <c:pt idx="449">
                  <c:v>480</c:v>
                </c:pt>
                <c:pt idx="450">
                  <c:v>483</c:v>
                </c:pt>
                <c:pt idx="451">
                  <c:v>484</c:v>
                </c:pt>
                <c:pt idx="452">
                  <c:v>488</c:v>
                </c:pt>
                <c:pt idx="453">
                  <c:v>489</c:v>
                </c:pt>
                <c:pt idx="454">
                  <c:v>491</c:v>
                </c:pt>
                <c:pt idx="455">
                  <c:v>492</c:v>
                </c:pt>
                <c:pt idx="456">
                  <c:v>493</c:v>
                </c:pt>
                <c:pt idx="457">
                  <c:v>495</c:v>
                </c:pt>
                <c:pt idx="458">
                  <c:v>495</c:v>
                </c:pt>
                <c:pt idx="459">
                  <c:v>496</c:v>
                </c:pt>
                <c:pt idx="460">
                  <c:v>500</c:v>
                </c:pt>
                <c:pt idx="461">
                  <c:v>501</c:v>
                </c:pt>
                <c:pt idx="462">
                  <c:v>502</c:v>
                </c:pt>
                <c:pt idx="463">
                  <c:v>503</c:v>
                </c:pt>
                <c:pt idx="464">
                  <c:v>505</c:v>
                </c:pt>
                <c:pt idx="465">
                  <c:v>507</c:v>
                </c:pt>
                <c:pt idx="466">
                  <c:v>507</c:v>
                </c:pt>
                <c:pt idx="467">
                  <c:v>508</c:v>
                </c:pt>
                <c:pt idx="468">
                  <c:v>509</c:v>
                </c:pt>
                <c:pt idx="469">
                  <c:v>509</c:v>
                </c:pt>
                <c:pt idx="470">
                  <c:v>510</c:v>
                </c:pt>
                <c:pt idx="471">
                  <c:v>510</c:v>
                </c:pt>
                <c:pt idx="472">
                  <c:v>512</c:v>
                </c:pt>
                <c:pt idx="473">
                  <c:v>513</c:v>
                </c:pt>
                <c:pt idx="474">
                  <c:v>515</c:v>
                </c:pt>
                <c:pt idx="475">
                  <c:v>517</c:v>
                </c:pt>
                <c:pt idx="476">
                  <c:v>518</c:v>
                </c:pt>
                <c:pt idx="477">
                  <c:v>519</c:v>
                </c:pt>
                <c:pt idx="478">
                  <c:v>520</c:v>
                </c:pt>
                <c:pt idx="479">
                  <c:v>521</c:v>
                </c:pt>
                <c:pt idx="480">
                  <c:v>523</c:v>
                </c:pt>
                <c:pt idx="481">
                  <c:v>524</c:v>
                </c:pt>
                <c:pt idx="482">
                  <c:v>525</c:v>
                </c:pt>
                <c:pt idx="483">
                  <c:v>529</c:v>
                </c:pt>
                <c:pt idx="484">
                  <c:v>530</c:v>
                </c:pt>
                <c:pt idx="485">
                  <c:v>530</c:v>
                </c:pt>
                <c:pt idx="486">
                  <c:v>530</c:v>
                </c:pt>
                <c:pt idx="487">
                  <c:v>530</c:v>
                </c:pt>
                <c:pt idx="488">
                  <c:v>536</c:v>
                </c:pt>
                <c:pt idx="489">
                  <c:v>538</c:v>
                </c:pt>
                <c:pt idx="490">
                  <c:v>538</c:v>
                </c:pt>
                <c:pt idx="491">
                  <c:v>540</c:v>
                </c:pt>
                <c:pt idx="492">
                  <c:v>540</c:v>
                </c:pt>
                <c:pt idx="493">
                  <c:v>543</c:v>
                </c:pt>
                <c:pt idx="494">
                  <c:v>546</c:v>
                </c:pt>
                <c:pt idx="495">
                  <c:v>547</c:v>
                </c:pt>
                <c:pt idx="496">
                  <c:v>550</c:v>
                </c:pt>
                <c:pt idx="497">
                  <c:v>550</c:v>
                </c:pt>
                <c:pt idx="498">
                  <c:v>554</c:v>
                </c:pt>
                <c:pt idx="499">
                  <c:v>556</c:v>
                </c:pt>
                <c:pt idx="500">
                  <c:v>557</c:v>
                </c:pt>
                <c:pt idx="501">
                  <c:v>557</c:v>
                </c:pt>
                <c:pt idx="502">
                  <c:v>559</c:v>
                </c:pt>
                <c:pt idx="503">
                  <c:v>560</c:v>
                </c:pt>
                <c:pt idx="504">
                  <c:v>563</c:v>
                </c:pt>
                <c:pt idx="505">
                  <c:v>563</c:v>
                </c:pt>
                <c:pt idx="506">
                  <c:v>563</c:v>
                </c:pt>
                <c:pt idx="507">
                  <c:v>564</c:v>
                </c:pt>
                <c:pt idx="508">
                  <c:v>565</c:v>
                </c:pt>
                <c:pt idx="509">
                  <c:v>566</c:v>
                </c:pt>
                <c:pt idx="510">
                  <c:v>568</c:v>
                </c:pt>
                <c:pt idx="511">
                  <c:v>570</c:v>
                </c:pt>
                <c:pt idx="512">
                  <c:v>571</c:v>
                </c:pt>
                <c:pt idx="513">
                  <c:v>572</c:v>
                </c:pt>
                <c:pt idx="514">
                  <c:v>572</c:v>
                </c:pt>
                <c:pt idx="515">
                  <c:v>573</c:v>
                </c:pt>
                <c:pt idx="516">
                  <c:v>573</c:v>
                </c:pt>
                <c:pt idx="517">
                  <c:v>573</c:v>
                </c:pt>
                <c:pt idx="518">
                  <c:v>575</c:v>
                </c:pt>
                <c:pt idx="519">
                  <c:v>575</c:v>
                </c:pt>
                <c:pt idx="520">
                  <c:v>576</c:v>
                </c:pt>
                <c:pt idx="521">
                  <c:v>577</c:v>
                </c:pt>
                <c:pt idx="522">
                  <c:v>577</c:v>
                </c:pt>
                <c:pt idx="523">
                  <c:v>578</c:v>
                </c:pt>
                <c:pt idx="524">
                  <c:v>580</c:v>
                </c:pt>
                <c:pt idx="525">
                  <c:v>582</c:v>
                </c:pt>
                <c:pt idx="526">
                  <c:v>584</c:v>
                </c:pt>
                <c:pt idx="527">
                  <c:v>585</c:v>
                </c:pt>
                <c:pt idx="528">
                  <c:v>587</c:v>
                </c:pt>
                <c:pt idx="529">
                  <c:v>589</c:v>
                </c:pt>
                <c:pt idx="530">
                  <c:v>590</c:v>
                </c:pt>
                <c:pt idx="531">
                  <c:v>592</c:v>
                </c:pt>
                <c:pt idx="532">
                  <c:v>594</c:v>
                </c:pt>
                <c:pt idx="533">
                  <c:v>596</c:v>
                </c:pt>
                <c:pt idx="534">
                  <c:v>596</c:v>
                </c:pt>
                <c:pt idx="535">
                  <c:v>596</c:v>
                </c:pt>
                <c:pt idx="536">
                  <c:v>598</c:v>
                </c:pt>
                <c:pt idx="537">
                  <c:v>598</c:v>
                </c:pt>
                <c:pt idx="538">
                  <c:v>598</c:v>
                </c:pt>
                <c:pt idx="539">
                  <c:v>598</c:v>
                </c:pt>
                <c:pt idx="540">
                  <c:v>598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601</c:v>
                </c:pt>
                <c:pt idx="545">
                  <c:v>603</c:v>
                </c:pt>
                <c:pt idx="546">
                  <c:v>604</c:v>
                </c:pt>
                <c:pt idx="547">
                  <c:v>605</c:v>
                </c:pt>
                <c:pt idx="548">
                  <c:v>606</c:v>
                </c:pt>
                <c:pt idx="549">
                  <c:v>607</c:v>
                </c:pt>
                <c:pt idx="550">
                  <c:v>608</c:v>
                </c:pt>
                <c:pt idx="551">
                  <c:v>608</c:v>
                </c:pt>
                <c:pt idx="552">
                  <c:v>609</c:v>
                </c:pt>
                <c:pt idx="553">
                  <c:v>610</c:v>
                </c:pt>
                <c:pt idx="554">
                  <c:v>613</c:v>
                </c:pt>
                <c:pt idx="555">
                  <c:v>615</c:v>
                </c:pt>
                <c:pt idx="556">
                  <c:v>616</c:v>
                </c:pt>
                <c:pt idx="557">
                  <c:v>616</c:v>
                </c:pt>
                <c:pt idx="558">
                  <c:v>617</c:v>
                </c:pt>
                <c:pt idx="559">
                  <c:v>617</c:v>
                </c:pt>
                <c:pt idx="560">
                  <c:v>620</c:v>
                </c:pt>
                <c:pt idx="561">
                  <c:v>621</c:v>
                </c:pt>
                <c:pt idx="562">
                  <c:v>622</c:v>
                </c:pt>
                <c:pt idx="563">
                  <c:v>624</c:v>
                </c:pt>
                <c:pt idx="564">
                  <c:v>624</c:v>
                </c:pt>
                <c:pt idx="565">
                  <c:v>624</c:v>
                </c:pt>
                <c:pt idx="566">
                  <c:v>624</c:v>
                </c:pt>
                <c:pt idx="567">
                  <c:v>626</c:v>
                </c:pt>
                <c:pt idx="568">
                  <c:v>627</c:v>
                </c:pt>
                <c:pt idx="569">
                  <c:v>627</c:v>
                </c:pt>
                <c:pt idx="570">
                  <c:v>628</c:v>
                </c:pt>
                <c:pt idx="571">
                  <c:v>630</c:v>
                </c:pt>
                <c:pt idx="572">
                  <c:v>632</c:v>
                </c:pt>
                <c:pt idx="573">
                  <c:v>635</c:v>
                </c:pt>
                <c:pt idx="574">
                  <c:v>639</c:v>
                </c:pt>
                <c:pt idx="575">
                  <c:v>641</c:v>
                </c:pt>
                <c:pt idx="576">
                  <c:v>641</c:v>
                </c:pt>
                <c:pt idx="577">
                  <c:v>644</c:v>
                </c:pt>
                <c:pt idx="578">
                  <c:v>645</c:v>
                </c:pt>
                <c:pt idx="579">
                  <c:v>648</c:v>
                </c:pt>
                <c:pt idx="580">
                  <c:v>650</c:v>
                </c:pt>
                <c:pt idx="581">
                  <c:v>651</c:v>
                </c:pt>
                <c:pt idx="582">
                  <c:v>651</c:v>
                </c:pt>
                <c:pt idx="583">
                  <c:v>653</c:v>
                </c:pt>
                <c:pt idx="584">
                  <c:v>653</c:v>
                </c:pt>
                <c:pt idx="585">
                  <c:v>653</c:v>
                </c:pt>
                <c:pt idx="586">
                  <c:v>654</c:v>
                </c:pt>
                <c:pt idx="587">
                  <c:v>654</c:v>
                </c:pt>
                <c:pt idx="588">
                  <c:v>657</c:v>
                </c:pt>
                <c:pt idx="589">
                  <c:v>657</c:v>
                </c:pt>
                <c:pt idx="590">
                  <c:v>658</c:v>
                </c:pt>
                <c:pt idx="591">
                  <c:v>661</c:v>
                </c:pt>
                <c:pt idx="592">
                  <c:v>661</c:v>
                </c:pt>
                <c:pt idx="593">
                  <c:v>661</c:v>
                </c:pt>
                <c:pt idx="594">
                  <c:v>661</c:v>
                </c:pt>
                <c:pt idx="595">
                  <c:v>661</c:v>
                </c:pt>
                <c:pt idx="596">
                  <c:v>663</c:v>
                </c:pt>
                <c:pt idx="597">
                  <c:v>663</c:v>
                </c:pt>
                <c:pt idx="598">
                  <c:v>666</c:v>
                </c:pt>
                <c:pt idx="599">
                  <c:v>668</c:v>
                </c:pt>
                <c:pt idx="600">
                  <c:v>669</c:v>
                </c:pt>
                <c:pt idx="601">
                  <c:v>672</c:v>
                </c:pt>
                <c:pt idx="602">
                  <c:v>674</c:v>
                </c:pt>
                <c:pt idx="603">
                  <c:v>676</c:v>
                </c:pt>
                <c:pt idx="604">
                  <c:v>676</c:v>
                </c:pt>
                <c:pt idx="605">
                  <c:v>679</c:v>
                </c:pt>
                <c:pt idx="606">
                  <c:v>681</c:v>
                </c:pt>
                <c:pt idx="607">
                  <c:v>681</c:v>
                </c:pt>
                <c:pt idx="608">
                  <c:v>682</c:v>
                </c:pt>
                <c:pt idx="609">
                  <c:v>682</c:v>
                </c:pt>
                <c:pt idx="610">
                  <c:v>682</c:v>
                </c:pt>
                <c:pt idx="611">
                  <c:v>682</c:v>
                </c:pt>
                <c:pt idx="612">
                  <c:v>682</c:v>
                </c:pt>
                <c:pt idx="613">
                  <c:v>683</c:v>
                </c:pt>
                <c:pt idx="614">
                  <c:v>683</c:v>
                </c:pt>
                <c:pt idx="615">
                  <c:v>683</c:v>
                </c:pt>
                <c:pt idx="616">
                  <c:v>683</c:v>
                </c:pt>
                <c:pt idx="617">
                  <c:v>684</c:v>
                </c:pt>
                <c:pt idx="618">
                  <c:v>684</c:v>
                </c:pt>
                <c:pt idx="619">
                  <c:v>684</c:v>
                </c:pt>
                <c:pt idx="620">
                  <c:v>684</c:v>
                </c:pt>
                <c:pt idx="621">
                  <c:v>685</c:v>
                </c:pt>
                <c:pt idx="622">
                  <c:v>685</c:v>
                </c:pt>
                <c:pt idx="623">
                  <c:v>686</c:v>
                </c:pt>
                <c:pt idx="624">
                  <c:v>688</c:v>
                </c:pt>
                <c:pt idx="625">
                  <c:v>688</c:v>
                </c:pt>
                <c:pt idx="626">
                  <c:v>690</c:v>
                </c:pt>
                <c:pt idx="627">
                  <c:v>690</c:v>
                </c:pt>
                <c:pt idx="628">
                  <c:v>691</c:v>
                </c:pt>
                <c:pt idx="629">
                  <c:v>692</c:v>
                </c:pt>
                <c:pt idx="630">
                  <c:v>694</c:v>
                </c:pt>
                <c:pt idx="631">
                  <c:v>695</c:v>
                </c:pt>
                <c:pt idx="632">
                  <c:v>695</c:v>
                </c:pt>
                <c:pt idx="633">
                  <c:v>695</c:v>
                </c:pt>
                <c:pt idx="634">
                  <c:v>695</c:v>
                </c:pt>
                <c:pt idx="635">
                  <c:v>697</c:v>
                </c:pt>
                <c:pt idx="636">
                  <c:v>699</c:v>
                </c:pt>
                <c:pt idx="637">
                  <c:v>702</c:v>
                </c:pt>
                <c:pt idx="638">
                  <c:v>703</c:v>
                </c:pt>
                <c:pt idx="639">
                  <c:v>705</c:v>
                </c:pt>
                <c:pt idx="640">
                  <c:v>705</c:v>
                </c:pt>
                <c:pt idx="641">
                  <c:v>706</c:v>
                </c:pt>
                <c:pt idx="642">
                  <c:v>708</c:v>
                </c:pt>
                <c:pt idx="643">
                  <c:v>710</c:v>
                </c:pt>
                <c:pt idx="644">
                  <c:v>710</c:v>
                </c:pt>
                <c:pt idx="645">
                  <c:v>710</c:v>
                </c:pt>
                <c:pt idx="646">
                  <c:v>711</c:v>
                </c:pt>
                <c:pt idx="647">
                  <c:v>712</c:v>
                </c:pt>
                <c:pt idx="648">
                  <c:v>713</c:v>
                </c:pt>
                <c:pt idx="649">
                  <c:v>714</c:v>
                </c:pt>
                <c:pt idx="650">
                  <c:v>714</c:v>
                </c:pt>
                <c:pt idx="651">
                  <c:v>715</c:v>
                </c:pt>
                <c:pt idx="652">
                  <c:v>716</c:v>
                </c:pt>
                <c:pt idx="653">
                  <c:v>718</c:v>
                </c:pt>
                <c:pt idx="654">
                  <c:v>720</c:v>
                </c:pt>
                <c:pt idx="655">
                  <c:v>721</c:v>
                </c:pt>
                <c:pt idx="656">
                  <c:v>722</c:v>
                </c:pt>
                <c:pt idx="657">
                  <c:v>723</c:v>
                </c:pt>
                <c:pt idx="658">
                  <c:v>724</c:v>
                </c:pt>
                <c:pt idx="659">
                  <c:v>726</c:v>
                </c:pt>
                <c:pt idx="660">
                  <c:v>729</c:v>
                </c:pt>
                <c:pt idx="661">
                  <c:v>729</c:v>
                </c:pt>
                <c:pt idx="662">
                  <c:v>729</c:v>
                </c:pt>
                <c:pt idx="663">
                  <c:v>730</c:v>
                </c:pt>
                <c:pt idx="664">
                  <c:v>733</c:v>
                </c:pt>
                <c:pt idx="665">
                  <c:v>734</c:v>
                </c:pt>
                <c:pt idx="666">
                  <c:v>736</c:v>
                </c:pt>
                <c:pt idx="667">
                  <c:v>739</c:v>
                </c:pt>
                <c:pt idx="668">
                  <c:v>741</c:v>
                </c:pt>
                <c:pt idx="669">
                  <c:v>742</c:v>
                </c:pt>
                <c:pt idx="670">
                  <c:v>742</c:v>
                </c:pt>
                <c:pt idx="671">
                  <c:v>742</c:v>
                </c:pt>
                <c:pt idx="672">
                  <c:v>744</c:v>
                </c:pt>
                <c:pt idx="673">
                  <c:v>744</c:v>
                </c:pt>
                <c:pt idx="674">
                  <c:v>747</c:v>
                </c:pt>
                <c:pt idx="675">
                  <c:v>749</c:v>
                </c:pt>
                <c:pt idx="676">
                  <c:v>749</c:v>
                </c:pt>
                <c:pt idx="677">
                  <c:v>749</c:v>
                </c:pt>
                <c:pt idx="678">
                  <c:v>751</c:v>
                </c:pt>
                <c:pt idx="679">
                  <c:v>751</c:v>
                </c:pt>
                <c:pt idx="680">
                  <c:v>752</c:v>
                </c:pt>
                <c:pt idx="681">
                  <c:v>752</c:v>
                </c:pt>
                <c:pt idx="682">
                  <c:v>753</c:v>
                </c:pt>
                <c:pt idx="683">
                  <c:v>753</c:v>
                </c:pt>
                <c:pt idx="684">
                  <c:v>753</c:v>
                </c:pt>
                <c:pt idx="685">
                  <c:v>754</c:v>
                </c:pt>
                <c:pt idx="686">
                  <c:v>755</c:v>
                </c:pt>
                <c:pt idx="687">
                  <c:v>758</c:v>
                </c:pt>
                <c:pt idx="688">
                  <c:v>758</c:v>
                </c:pt>
                <c:pt idx="689">
                  <c:v>759</c:v>
                </c:pt>
                <c:pt idx="690">
                  <c:v>760</c:v>
                </c:pt>
                <c:pt idx="691">
                  <c:v>761</c:v>
                </c:pt>
                <c:pt idx="692">
                  <c:v>764</c:v>
                </c:pt>
                <c:pt idx="693">
                  <c:v>764</c:v>
                </c:pt>
                <c:pt idx="694">
                  <c:v>765</c:v>
                </c:pt>
                <c:pt idx="695">
                  <c:v>765</c:v>
                </c:pt>
                <c:pt idx="696">
                  <c:v>766</c:v>
                </c:pt>
                <c:pt idx="697">
                  <c:v>770</c:v>
                </c:pt>
                <c:pt idx="698">
                  <c:v>770</c:v>
                </c:pt>
                <c:pt idx="699">
                  <c:v>771</c:v>
                </c:pt>
                <c:pt idx="700">
                  <c:v>772</c:v>
                </c:pt>
                <c:pt idx="701">
                  <c:v>774</c:v>
                </c:pt>
                <c:pt idx="702">
                  <c:v>776</c:v>
                </c:pt>
                <c:pt idx="703">
                  <c:v>777</c:v>
                </c:pt>
                <c:pt idx="704">
                  <c:v>777</c:v>
                </c:pt>
                <c:pt idx="705">
                  <c:v>777</c:v>
                </c:pt>
                <c:pt idx="706">
                  <c:v>777</c:v>
                </c:pt>
                <c:pt idx="707">
                  <c:v>777</c:v>
                </c:pt>
                <c:pt idx="708">
                  <c:v>777</c:v>
                </c:pt>
                <c:pt idx="709">
                  <c:v>778</c:v>
                </c:pt>
                <c:pt idx="710">
                  <c:v>779</c:v>
                </c:pt>
                <c:pt idx="711">
                  <c:v>779</c:v>
                </c:pt>
                <c:pt idx="712">
                  <c:v>782</c:v>
                </c:pt>
                <c:pt idx="713">
                  <c:v>783</c:v>
                </c:pt>
                <c:pt idx="714">
                  <c:v>784</c:v>
                </c:pt>
                <c:pt idx="715">
                  <c:v>785</c:v>
                </c:pt>
                <c:pt idx="716">
                  <c:v>786</c:v>
                </c:pt>
                <c:pt idx="717">
                  <c:v>787</c:v>
                </c:pt>
                <c:pt idx="718">
                  <c:v>788</c:v>
                </c:pt>
                <c:pt idx="719">
                  <c:v>788</c:v>
                </c:pt>
                <c:pt idx="720">
                  <c:v>789</c:v>
                </c:pt>
                <c:pt idx="721">
                  <c:v>789</c:v>
                </c:pt>
                <c:pt idx="722">
                  <c:v>790</c:v>
                </c:pt>
                <c:pt idx="723">
                  <c:v>792</c:v>
                </c:pt>
                <c:pt idx="724">
                  <c:v>794</c:v>
                </c:pt>
                <c:pt idx="725">
                  <c:v>794</c:v>
                </c:pt>
                <c:pt idx="726">
                  <c:v>795</c:v>
                </c:pt>
                <c:pt idx="727">
                  <c:v>797</c:v>
                </c:pt>
                <c:pt idx="728">
                  <c:v>797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4A2-4546-B206-51BBACFDF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9716496"/>
        <c:axId val="1819708336"/>
      </c:lineChart>
      <c:dateAx>
        <c:axId val="664918944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916544"/>
        <c:crosses val="autoZero"/>
        <c:auto val="1"/>
        <c:lblOffset val="100"/>
        <c:baseTimeUnit val="days"/>
      </c:dateAx>
      <c:valAx>
        <c:axId val="66491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918944"/>
        <c:crosses val="autoZero"/>
        <c:crossBetween val="between"/>
      </c:valAx>
      <c:valAx>
        <c:axId val="181970833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716496"/>
        <c:crosses val="max"/>
        <c:crossBetween val="between"/>
      </c:valAx>
      <c:dateAx>
        <c:axId val="1819716496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819708336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96347284045729"/>
          <c:y val="6.7488713910761222E-2"/>
          <c:w val="0.34416437843008391"/>
          <c:h val="4.9844619422572178E-2"/>
        </c:manualLayout>
      </c:layout>
      <c:overlay val="0"/>
      <c:spPr>
        <a:solidFill>
          <a:srgbClr val="333333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89000"/>
          </a:schemeClr>
        </a:gs>
        <a:gs pos="23000">
          <a:schemeClr val="accent1">
            <a:lumMod val="89000"/>
          </a:schemeClr>
        </a:gs>
        <a:gs pos="69000">
          <a:schemeClr val="accent1">
            <a:lumMod val="75000"/>
          </a:schemeClr>
        </a:gs>
        <a:gs pos="97000">
          <a:schemeClr val="accent1">
            <a:lumMod val="70000"/>
          </a:schemeClr>
        </a:gs>
      </a:gsLst>
      <a:path path="circle">
        <a:fillToRect l="50000" t="50000" r="50000" b="50000"/>
      </a:path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'Active Timeline'!$K$1</c:f>
              <c:strCache>
                <c:ptCount val="1"/>
                <c:pt idx="0">
                  <c:v>ActiveEngland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'Active Timeline'!$A$2:$A$741</c:f>
              <c:numCache>
                <c:formatCode>yyyy\-mm\-dd;@</c:formatCode>
                <c:ptCount val="740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</c:numCache>
            </c:numRef>
          </c:cat>
          <c:val>
            <c:numRef>
              <c:f>'Active Timeline'!$K$2:$K$741</c:f>
              <c:numCache>
                <c:formatCode>0</c:formatCode>
                <c:ptCount val="7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7</c:v>
                </c:pt>
                <c:pt idx="26">
                  <c:v>7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8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10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13</c:v>
                </c:pt>
                <c:pt idx="54">
                  <c:v>13</c:v>
                </c:pt>
                <c:pt idx="55">
                  <c:v>14</c:v>
                </c:pt>
                <c:pt idx="56">
                  <c:v>13</c:v>
                </c:pt>
                <c:pt idx="57">
                  <c:v>13</c:v>
                </c:pt>
                <c:pt idx="58">
                  <c:v>13</c:v>
                </c:pt>
                <c:pt idx="59">
                  <c:v>13</c:v>
                </c:pt>
                <c:pt idx="60">
                  <c:v>13</c:v>
                </c:pt>
                <c:pt idx="61">
                  <c:v>13</c:v>
                </c:pt>
                <c:pt idx="62">
                  <c:v>13</c:v>
                </c:pt>
                <c:pt idx="63">
                  <c:v>13</c:v>
                </c:pt>
                <c:pt idx="64">
                  <c:v>13</c:v>
                </c:pt>
                <c:pt idx="65">
                  <c:v>13</c:v>
                </c:pt>
                <c:pt idx="66">
                  <c:v>14</c:v>
                </c:pt>
                <c:pt idx="67">
                  <c:v>14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17</c:v>
                </c:pt>
                <c:pt idx="87">
                  <c:v>17</c:v>
                </c:pt>
                <c:pt idx="88">
                  <c:v>17</c:v>
                </c:pt>
                <c:pt idx="89">
                  <c:v>17</c:v>
                </c:pt>
                <c:pt idx="90">
                  <c:v>17</c:v>
                </c:pt>
                <c:pt idx="91">
                  <c:v>17</c:v>
                </c:pt>
                <c:pt idx="92">
                  <c:v>17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19</c:v>
                </c:pt>
                <c:pt idx="120">
                  <c:v>19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22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27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28</c:v>
                </c:pt>
                <c:pt idx="157">
                  <c:v>28</c:v>
                </c:pt>
                <c:pt idx="158">
                  <c:v>29</c:v>
                </c:pt>
                <c:pt idx="159">
                  <c:v>29</c:v>
                </c:pt>
                <c:pt idx="160">
                  <c:v>29</c:v>
                </c:pt>
                <c:pt idx="161">
                  <c:v>29</c:v>
                </c:pt>
                <c:pt idx="162">
                  <c:v>29</c:v>
                </c:pt>
                <c:pt idx="163">
                  <c:v>29</c:v>
                </c:pt>
                <c:pt idx="164">
                  <c:v>29</c:v>
                </c:pt>
                <c:pt idx="165">
                  <c:v>29</c:v>
                </c:pt>
                <c:pt idx="166">
                  <c:v>30</c:v>
                </c:pt>
                <c:pt idx="167">
                  <c:v>31</c:v>
                </c:pt>
                <c:pt idx="168">
                  <c:v>31</c:v>
                </c:pt>
                <c:pt idx="169">
                  <c:v>32</c:v>
                </c:pt>
                <c:pt idx="170">
                  <c:v>32</c:v>
                </c:pt>
                <c:pt idx="171">
                  <c:v>33</c:v>
                </c:pt>
                <c:pt idx="172">
                  <c:v>33</c:v>
                </c:pt>
                <c:pt idx="173">
                  <c:v>33</c:v>
                </c:pt>
                <c:pt idx="174">
                  <c:v>33</c:v>
                </c:pt>
                <c:pt idx="175">
                  <c:v>33</c:v>
                </c:pt>
                <c:pt idx="176">
                  <c:v>33</c:v>
                </c:pt>
                <c:pt idx="177">
                  <c:v>34</c:v>
                </c:pt>
                <c:pt idx="178">
                  <c:v>34</c:v>
                </c:pt>
                <c:pt idx="179">
                  <c:v>34</c:v>
                </c:pt>
                <c:pt idx="180">
                  <c:v>34</c:v>
                </c:pt>
                <c:pt idx="181">
                  <c:v>34</c:v>
                </c:pt>
                <c:pt idx="182">
                  <c:v>34</c:v>
                </c:pt>
                <c:pt idx="183">
                  <c:v>34</c:v>
                </c:pt>
                <c:pt idx="184">
                  <c:v>35</c:v>
                </c:pt>
                <c:pt idx="185">
                  <c:v>35</c:v>
                </c:pt>
                <c:pt idx="186">
                  <c:v>36</c:v>
                </c:pt>
                <c:pt idx="187">
                  <c:v>37</c:v>
                </c:pt>
                <c:pt idx="188">
                  <c:v>38</c:v>
                </c:pt>
                <c:pt idx="189">
                  <c:v>38</c:v>
                </c:pt>
                <c:pt idx="190">
                  <c:v>38</c:v>
                </c:pt>
                <c:pt idx="191">
                  <c:v>38</c:v>
                </c:pt>
                <c:pt idx="192">
                  <c:v>38</c:v>
                </c:pt>
                <c:pt idx="193">
                  <c:v>40</c:v>
                </c:pt>
                <c:pt idx="194">
                  <c:v>40</c:v>
                </c:pt>
                <c:pt idx="195">
                  <c:v>40</c:v>
                </c:pt>
                <c:pt idx="196">
                  <c:v>41</c:v>
                </c:pt>
                <c:pt idx="197">
                  <c:v>41</c:v>
                </c:pt>
                <c:pt idx="198">
                  <c:v>41</c:v>
                </c:pt>
                <c:pt idx="199">
                  <c:v>41</c:v>
                </c:pt>
                <c:pt idx="200">
                  <c:v>40</c:v>
                </c:pt>
                <c:pt idx="201">
                  <c:v>40</c:v>
                </c:pt>
                <c:pt idx="202">
                  <c:v>39</c:v>
                </c:pt>
                <c:pt idx="203">
                  <c:v>40</c:v>
                </c:pt>
                <c:pt idx="204">
                  <c:v>40</c:v>
                </c:pt>
                <c:pt idx="205">
                  <c:v>40</c:v>
                </c:pt>
                <c:pt idx="206">
                  <c:v>40</c:v>
                </c:pt>
                <c:pt idx="207">
                  <c:v>40</c:v>
                </c:pt>
                <c:pt idx="208">
                  <c:v>40</c:v>
                </c:pt>
                <c:pt idx="209">
                  <c:v>40</c:v>
                </c:pt>
                <c:pt idx="210">
                  <c:v>42</c:v>
                </c:pt>
                <c:pt idx="211">
                  <c:v>42</c:v>
                </c:pt>
                <c:pt idx="212">
                  <c:v>41</c:v>
                </c:pt>
                <c:pt idx="213">
                  <c:v>41</c:v>
                </c:pt>
                <c:pt idx="214">
                  <c:v>41</c:v>
                </c:pt>
                <c:pt idx="215">
                  <c:v>41</c:v>
                </c:pt>
                <c:pt idx="216">
                  <c:v>41</c:v>
                </c:pt>
                <c:pt idx="217">
                  <c:v>42</c:v>
                </c:pt>
                <c:pt idx="218">
                  <c:v>42</c:v>
                </c:pt>
                <c:pt idx="219">
                  <c:v>43</c:v>
                </c:pt>
                <c:pt idx="220">
                  <c:v>43</c:v>
                </c:pt>
                <c:pt idx="221">
                  <c:v>44</c:v>
                </c:pt>
                <c:pt idx="222">
                  <c:v>45</c:v>
                </c:pt>
                <c:pt idx="223">
                  <c:v>45</c:v>
                </c:pt>
                <c:pt idx="224">
                  <c:v>45</c:v>
                </c:pt>
                <c:pt idx="225">
                  <c:v>46</c:v>
                </c:pt>
                <c:pt idx="226">
                  <c:v>45</c:v>
                </c:pt>
                <c:pt idx="227">
                  <c:v>44</c:v>
                </c:pt>
                <c:pt idx="228">
                  <c:v>45</c:v>
                </c:pt>
                <c:pt idx="229">
                  <c:v>45</c:v>
                </c:pt>
                <c:pt idx="230">
                  <c:v>45</c:v>
                </c:pt>
                <c:pt idx="231">
                  <c:v>45</c:v>
                </c:pt>
                <c:pt idx="232">
                  <c:v>45</c:v>
                </c:pt>
                <c:pt idx="233">
                  <c:v>47</c:v>
                </c:pt>
                <c:pt idx="234">
                  <c:v>47</c:v>
                </c:pt>
                <c:pt idx="235">
                  <c:v>47</c:v>
                </c:pt>
                <c:pt idx="236">
                  <c:v>47</c:v>
                </c:pt>
                <c:pt idx="237">
                  <c:v>48</c:v>
                </c:pt>
                <c:pt idx="238">
                  <c:v>48</c:v>
                </c:pt>
                <c:pt idx="239">
                  <c:v>48</c:v>
                </c:pt>
                <c:pt idx="240">
                  <c:v>48</c:v>
                </c:pt>
                <c:pt idx="241">
                  <c:v>48</c:v>
                </c:pt>
                <c:pt idx="242">
                  <c:v>48</c:v>
                </c:pt>
                <c:pt idx="243">
                  <c:v>48</c:v>
                </c:pt>
                <c:pt idx="244">
                  <c:v>49</c:v>
                </c:pt>
                <c:pt idx="245">
                  <c:v>49</c:v>
                </c:pt>
                <c:pt idx="246">
                  <c:v>49</c:v>
                </c:pt>
                <c:pt idx="247">
                  <c:v>49</c:v>
                </c:pt>
                <c:pt idx="248">
                  <c:v>49</c:v>
                </c:pt>
                <c:pt idx="249">
                  <c:v>49</c:v>
                </c:pt>
                <c:pt idx="250">
                  <c:v>49</c:v>
                </c:pt>
                <c:pt idx="251">
                  <c:v>49</c:v>
                </c:pt>
                <c:pt idx="252">
                  <c:v>49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51</c:v>
                </c:pt>
                <c:pt idx="257">
                  <c:v>52</c:v>
                </c:pt>
                <c:pt idx="258">
                  <c:v>52</c:v>
                </c:pt>
                <c:pt idx="259">
                  <c:v>52</c:v>
                </c:pt>
                <c:pt idx="260">
                  <c:v>52</c:v>
                </c:pt>
                <c:pt idx="261">
                  <c:v>52</c:v>
                </c:pt>
                <c:pt idx="262">
                  <c:v>52</c:v>
                </c:pt>
                <c:pt idx="263">
                  <c:v>52</c:v>
                </c:pt>
                <c:pt idx="264">
                  <c:v>53</c:v>
                </c:pt>
                <c:pt idx="265">
                  <c:v>54</c:v>
                </c:pt>
                <c:pt idx="266">
                  <c:v>54</c:v>
                </c:pt>
                <c:pt idx="267">
                  <c:v>54</c:v>
                </c:pt>
                <c:pt idx="268">
                  <c:v>54</c:v>
                </c:pt>
                <c:pt idx="269">
                  <c:v>54</c:v>
                </c:pt>
                <c:pt idx="270">
                  <c:v>54</c:v>
                </c:pt>
                <c:pt idx="271">
                  <c:v>54</c:v>
                </c:pt>
                <c:pt idx="272">
                  <c:v>55</c:v>
                </c:pt>
                <c:pt idx="273">
                  <c:v>55</c:v>
                </c:pt>
                <c:pt idx="274">
                  <c:v>55</c:v>
                </c:pt>
                <c:pt idx="275">
                  <c:v>55</c:v>
                </c:pt>
                <c:pt idx="276">
                  <c:v>55</c:v>
                </c:pt>
                <c:pt idx="277">
                  <c:v>55</c:v>
                </c:pt>
                <c:pt idx="278">
                  <c:v>55</c:v>
                </c:pt>
                <c:pt idx="279">
                  <c:v>55</c:v>
                </c:pt>
                <c:pt idx="280">
                  <c:v>55</c:v>
                </c:pt>
                <c:pt idx="281">
                  <c:v>55</c:v>
                </c:pt>
                <c:pt idx="282">
                  <c:v>55</c:v>
                </c:pt>
                <c:pt idx="283">
                  <c:v>55</c:v>
                </c:pt>
                <c:pt idx="284">
                  <c:v>55</c:v>
                </c:pt>
                <c:pt idx="285">
                  <c:v>55</c:v>
                </c:pt>
                <c:pt idx="286">
                  <c:v>55</c:v>
                </c:pt>
                <c:pt idx="287">
                  <c:v>55</c:v>
                </c:pt>
                <c:pt idx="288">
                  <c:v>55</c:v>
                </c:pt>
                <c:pt idx="289">
                  <c:v>55</c:v>
                </c:pt>
                <c:pt idx="290">
                  <c:v>55</c:v>
                </c:pt>
                <c:pt idx="291">
                  <c:v>55</c:v>
                </c:pt>
                <c:pt idx="292">
                  <c:v>55</c:v>
                </c:pt>
                <c:pt idx="293">
                  <c:v>55</c:v>
                </c:pt>
                <c:pt idx="294">
                  <c:v>55</c:v>
                </c:pt>
                <c:pt idx="295">
                  <c:v>56</c:v>
                </c:pt>
                <c:pt idx="296">
                  <c:v>55</c:v>
                </c:pt>
                <c:pt idx="297">
                  <c:v>55</c:v>
                </c:pt>
                <c:pt idx="298">
                  <c:v>55</c:v>
                </c:pt>
                <c:pt idx="299">
                  <c:v>55</c:v>
                </c:pt>
                <c:pt idx="300">
                  <c:v>55</c:v>
                </c:pt>
                <c:pt idx="301">
                  <c:v>56</c:v>
                </c:pt>
                <c:pt idx="302">
                  <c:v>57</c:v>
                </c:pt>
                <c:pt idx="303">
                  <c:v>57</c:v>
                </c:pt>
                <c:pt idx="304">
                  <c:v>58</c:v>
                </c:pt>
                <c:pt idx="305">
                  <c:v>59</c:v>
                </c:pt>
                <c:pt idx="306">
                  <c:v>59</c:v>
                </c:pt>
                <c:pt idx="307">
                  <c:v>59</c:v>
                </c:pt>
                <c:pt idx="308">
                  <c:v>59</c:v>
                </c:pt>
                <c:pt idx="309">
                  <c:v>59</c:v>
                </c:pt>
                <c:pt idx="310">
                  <c:v>59</c:v>
                </c:pt>
                <c:pt idx="311">
                  <c:v>59</c:v>
                </c:pt>
                <c:pt idx="312">
                  <c:v>59</c:v>
                </c:pt>
                <c:pt idx="313">
                  <c:v>60</c:v>
                </c:pt>
                <c:pt idx="314">
                  <c:v>62</c:v>
                </c:pt>
                <c:pt idx="315">
                  <c:v>62</c:v>
                </c:pt>
                <c:pt idx="316">
                  <c:v>63</c:v>
                </c:pt>
                <c:pt idx="317">
                  <c:v>63</c:v>
                </c:pt>
                <c:pt idx="318">
                  <c:v>64</c:v>
                </c:pt>
                <c:pt idx="319">
                  <c:v>64</c:v>
                </c:pt>
                <c:pt idx="320">
                  <c:v>64</c:v>
                </c:pt>
                <c:pt idx="321">
                  <c:v>65</c:v>
                </c:pt>
                <c:pt idx="322">
                  <c:v>66</c:v>
                </c:pt>
                <c:pt idx="323">
                  <c:v>66</c:v>
                </c:pt>
                <c:pt idx="324">
                  <c:v>66</c:v>
                </c:pt>
                <c:pt idx="325">
                  <c:v>66</c:v>
                </c:pt>
                <c:pt idx="326">
                  <c:v>66</c:v>
                </c:pt>
                <c:pt idx="327">
                  <c:v>68</c:v>
                </c:pt>
                <c:pt idx="328">
                  <c:v>68</c:v>
                </c:pt>
                <c:pt idx="329">
                  <c:v>68</c:v>
                </c:pt>
                <c:pt idx="330">
                  <c:v>68</c:v>
                </c:pt>
                <c:pt idx="331">
                  <c:v>68</c:v>
                </c:pt>
                <c:pt idx="332">
                  <c:v>68</c:v>
                </c:pt>
                <c:pt idx="333">
                  <c:v>68</c:v>
                </c:pt>
                <c:pt idx="334">
                  <c:v>68</c:v>
                </c:pt>
                <c:pt idx="335">
                  <c:v>68</c:v>
                </c:pt>
                <c:pt idx="336">
                  <c:v>68</c:v>
                </c:pt>
                <c:pt idx="337">
                  <c:v>67</c:v>
                </c:pt>
                <c:pt idx="338">
                  <c:v>69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71</c:v>
                </c:pt>
                <c:pt idx="345">
                  <c:v>72</c:v>
                </c:pt>
                <c:pt idx="346">
                  <c:v>72</c:v>
                </c:pt>
                <c:pt idx="347">
                  <c:v>72</c:v>
                </c:pt>
                <c:pt idx="348">
                  <c:v>72</c:v>
                </c:pt>
                <c:pt idx="349">
                  <c:v>72</c:v>
                </c:pt>
                <c:pt idx="350">
                  <c:v>72</c:v>
                </c:pt>
                <c:pt idx="351">
                  <c:v>72</c:v>
                </c:pt>
                <c:pt idx="352">
                  <c:v>73</c:v>
                </c:pt>
                <c:pt idx="353">
                  <c:v>73</c:v>
                </c:pt>
                <c:pt idx="354">
                  <c:v>73</c:v>
                </c:pt>
                <c:pt idx="355">
                  <c:v>73</c:v>
                </c:pt>
                <c:pt idx="356">
                  <c:v>74</c:v>
                </c:pt>
                <c:pt idx="357">
                  <c:v>75</c:v>
                </c:pt>
                <c:pt idx="358">
                  <c:v>75</c:v>
                </c:pt>
                <c:pt idx="359">
                  <c:v>75</c:v>
                </c:pt>
                <c:pt idx="360">
                  <c:v>75</c:v>
                </c:pt>
                <c:pt idx="361">
                  <c:v>75</c:v>
                </c:pt>
                <c:pt idx="362">
                  <c:v>75</c:v>
                </c:pt>
                <c:pt idx="363">
                  <c:v>75</c:v>
                </c:pt>
                <c:pt idx="364">
                  <c:v>75</c:v>
                </c:pt>
                <c:pt idx="365">
                  <c:v>74</c:v>
                </c:pt>
                <c:pt idx="366">
                  <c:v>74</c:v>
                </c:pt>
                <c:pt idx="367">
                  <c:v>73</c:v>
                </c:pt>
                <c:pt idx="368">
                  <c:v>72</c:v>
                </c:pt>
                <c:pt idx="369">
                  <c:v>72</c:v>
                </c:pt>
                <c:pt idx="370">
                  <c:v>72</c:v>
                </c:pt>
                <c:pt idx="371">
                  <c:v>72</c:v>
                </c:pt>
                <c:pt idx="372">
                  <c:v>73</c:v>
                </c:pt>
                <c:pt idx="373">
                  <c:v>73</c:v>
                </c:pt>
                <c:pt idx="374">
                  <c:v>73</c:v>
                </c:pt>
                <c:pt idx="375">
                  <c:v>73</c:v>
                </c:pt>
                <c:pt idx="376">
                  <c:v>71</c:v>
                </c:pt>
                <c:pt idx="377">
                  <c:v>71</c:v>
                </c:pt>
                <c:pt idx="378">
                  <c:v>72</c:v>
                </c:pt>
                <c:pt idx="379">
                  <c:v>71</c:v>
                </c:pt>
                <c:pt idx="380">
                  <c:v>71</c:v>
                </c:pt>
                <c:pt idx="381">
                  <c:v>72</c:v>
                </c:pt>
                <c:pt idx="382">
                  <c:v>72</c:v>
                </c:pt>
                <c:pt idx="383">
                  <c:v>73</c:v>
                </c:pt>
                <c:pt idx="384">
                  <c:v>73</c:v>
                </c:pt>
                <c:pt idx="385">
                  <c:v>73</c:v>
                </c:pt>
                <c:pt idx="386">
                  <c:v>73</c:v>
                </c:pt>
                <c:pt idx="387">
                  <c:v>73</c:v>
                </c:pt>
                <c:pt idx="388">
                  <c:v>72</c:v>
                </c:pt>
                <c:pt idx="389">
                  <c:v>72</c:v>
                </c:pt>
                <c:pt idx="390">
                  <c:v>72</c:v>
                </c:pt>
                <c:pt idx="391">
                  <c:v>72</c:v>
                </c:pt>
                <c:pt idx="392">
                  <c:v>72</c:v>
                </c:pt>
                <c:pt idx="393">
                  <c:v>73</c:v>
                </c:pt>
                <c:pt idx="394">
                  <c:v>73</c:v>
                </c:pt>
                <c:pt idx="395">
                  <c:v>72</c:v>
                </c:pt>
                <c:pt idx="396">
                  <c:v>72</c:v>
                </c:pt>
                <c:pt idx="397">
                  <c:v>72</c:v>
                </c:pt>
                <c:pt idx="398">
                  <c:v>72</c:v>
                </c:pt>
                <c:pt idx="399">
                  <c:v>72</c:v>
                </c:pt>
                <c:pt idx="400">
                  <c:v>73</c:v>
                </c:pt>
                <c:pt idx="401">
                  <c:v>74</c:v>
                </c:pt>
                <c:pt idx="402">
                  <c:v>75</c:v>
                </c:pt>
                <c:pt idx="403">
                  <c:v>76</c:v>
                </c:pt>
                <c:pt idx="404">
                  <c:v>76</c:v>
                </c:pt>
                <c:pt idx="405">
                  <c:v>75</c:v>
                </c:pt>
                <c:pt idx="406">
                  <c:v>75</c:v>
                </c:pt>
                <c:pt idx="407">
                  <c:v>75</c:v>
                </c:pt>
                <c:pt idx="408">
                  <c:v>75</c:v>
                </c:pt>
                <c:pt idx="409">
                  <c:v>78</c:v>
                </c:pt>
                <c:pt idx="410">
                  <c:v>79</c:v>
                </c:pt>
                <c:pt idx="411">
                  <c:v>79</c:v>
                </c:pt>
                <c:pt idx="412">
                  <c:v>79</c:v>
                </c:pt>
                <c:pt idx="413">
                  <c:v>79</c:v>
                </c:pt>
                <c:pt idx="414">
                  <c:v>77</c:v>
                </c:pt>
                <c:pt idx="415">
                  <c:v>77</c:v>
                </c:pt>
                <c:pt idx="416">
                  <c:v>76</c:v>
                </c:pt>
                <c:pt idx="417">
                  <c:v>76</c:v>
                </c:pt>
                <c:pt idx="418">
                  <c:v>76</c:v>
                </c:pt>
                <c:pt idx="419">
                  <c:v>76</c:v>
                </c:pt>
                <c:pt idx="420">
                  <c:v>76</c:v>
                </c:pt>
                <c:pt idx="421">
                  <c:v>77</c:v>
                </c:pt>
                <c:pt idx="422">
                  <c:v>77</c:v>
                </c:pt>
                <c:pt idx="423">
                  <c:v>78</c:v>
                </c:pt>
                <c:pt idx="424">
                  <c:v>78</c:v>
                </c:pt>
                <c:pt idx="425">
                  <c:v>78</c:v>
                </c:pt>
                <c:pt idx="426">
                  <c:v>78</c:v>
                </c:pt>
                <c:pt idx="427">
                  <c:v>78</c:v>
                </c:pt>
                <c:pt idx="428">
                  <c:v>78</c:v>
                </c:pt>
                <c:pt idx="429">
                  <c:v>79</c:v>
                </c:pt>
                <c:pt idx="430">
                  <c:v>79</c:v>
                </c:pt>
                <c:pt idx="431">
                  <c:v>80</c:v>
                </c:pt>
                <c:pt idx="432">
                  <c:v>81</c:v>
                </c:pt>
                <c:pt idx="433">
                  <c:v>81</c:v>
                </c:pt>
                <c:pt idx="434">
                  <c:v>83</c:v>
                </c:pt>
                <c:pt idx="435">
                  <c:v>83</c:v>
                </c:pt>
                <c:pt idx="436">
                  <c:v>83</c:v>
                </c:pt>
                <c:pt idx="437">
                  <c:v>83</c:v>
                </c:pt>
                <c:pt idx="438">
                  <c:v>84</c:v>
                </c:pt>
                <c:pt idx="439">
                  <c:v>85</c:v>
                </c:pt>
                <c:pt idx="440">
                  <c:v>85</c:v>
                </c:pt>
                <c:pt idx="441">
                  <c:v>85</c:v>
                </c:pt>
                <c:pt idx="442">
                  <c:v>85</c:v>
                </c:pt>
                <c:pt idx="443">
                  <c:v>86</c:v>
                </c:pt>
                <c:pt idx="444">
                  <c:v>87</c:v>
                </c:pt>
                <c:pt idx="445">
                  <c:v>87</c:v>
                </c:pt>
                <c:pt idx="446">
                  <c:v>87</c:v>
                </c:pt>
                <c:pt idx="447">
                  <c:v>86</c:v>
                </c:pt>
                <c:pt idx="448">
                  <c:v>87</c:v>
                </c:pt>
                <c:pt idx="449">
                  <c:v>87</c:v>
                </c:pt>
                <c:pt idx="450">
                  <c:v>87</c:v>
                </c:pt>
                <c:pt idx="451">
                  <c:v>87</c:v>
                </c:pt>
                <c:pt idx="452">
                  <c:v>87</c:v>
                </c:pt>
                <c:pt idx="453">
                  <c:v>87</c:v>
                </c:pt>
                <c:pt idx="454">
                  <c:v>87</c:v>
                </c:pt>
                <c:pt idx="455">
                  <c:v>88</c:v>
                </c:pt>
                <c:pt idx="456">
                  <c:v>88</c:v>
                </c:pt>
                <c:pt idx="457">
                  <c:v>88</c:v>
                </c:pt>
                <c:pt idx="458">
                  <c:v>88</c:v>
                </c:pt>
                <c:pt idx="459">
                  <c:v>88</c:v>
                </c:pt>
                <c:pt idx="460">
                  <c:v>89</c:v>
                </c:pt>
                <c:pt idx="461">
                  <c:v>89</c:v>
                </c:pt>
                <c:pt idx="462">
                  <c:v>89</c:v>
                </c:pt>
                <c:pt idx="463">
                  <c:v>89</c:v>
                </c:pt>
                <c:pt idx="464">
                  <c:v>90</c:v>
                </c:pt>
                <c:pt idx="465">
                  <c:v>91</c:v>
                </c:pt>
                <c:pt idx="466">
                  <c:v>91</c:v>
                </c:pt>
                <c:pt idx="467">
                  <c:v>91</c:v>
                </c:pt>
                <c:pt idx="468">
                  <c:v>91</c:v>
                </c:pt>
                <c:pt idx="469">
                  <c:v>91</c:v>
                </c:pt>
                <c:pt idx="470">
                  <c:v>92</c:v>
                </c:pt>
                <c:pt idx="471">
                  <c:v>92</c:v>
                </c:pt>
                <c:pt idx="472">
                  <c:v>93</c:v>
                </c:pt>
                <c:pt idx="473">
                  <c:v>94</c:v>
                </c:pt>
                <c:pt idx="474">
                  <c:v>94</c:v>
                </c:pt>
                <c:pt idx="475">
                  <c:v>94</c:v>
                </c:pt>
                <c:pt idx="476">
                  <c:v>94</c:v>
                </c:pt>
                <c:pt idx="477">
                  <c:v>94</c:v>
                </c:pt>
                <c:pt idx="478">
                  <c:v>94</c:v>
                </c:pt>
                <c:pt idx="479">
                  <c:v>95</c:v>
                </c:pt>
                <c:pt idx="480">
                  <c:v>94</c:v>
                </c:pt>
                <c:pt idx="481">
                  <c:v>95</c:v>
                </c:pt>
                <c:pt idx="482">
                  <c:v>96</c:v>
                </c:pt>
                <c:pt idx="483">
                  <c:v>99</c:v>
                </c:pt>
                <c:pt idx="484">
                  <c:v>99</c:v>
                </c:pt>
                <c:pt idx="485">
                  <c:v>99</c:v>
                </c:pt>
                <c:pt idx="486">
                  <c:v>99</c:v>
                </c:pt>
                <c:pt idx="487">
                  <c:v>97</c:v>
                </c:pt>
                <c:pt idx="488">
                  <c:v>99</c:v>
                </c:pt>
                <c:pt idx="489">
                  <c:v>99</c:v>
                </c:pt>
                <c:pt idx="490">
                  <c:v>99</c:v>
                </c:pt>
                <c:pt idx="491">
                  <c:v>99</c:v>
                </c:pt>
                <c:pt idx="492">
                  <c:v>99</c:v>
                </c:pt>
                <c:pt idx="493">
                  <c:v>100</c:v>
                </c:pt>
                <c:pt idx="494">
                  <c:v>102</c:v>
                </c:pt>
                <c:pt idx="495">
                  <c:v>102</c:v>
                </c:pt>
                <c:pt idx="496">
                  <c:v>102</c:v>
                </c:pt>
                <c:pt idx="497">
                  <c:v>101</c:v>
                </c:pt>
                <c:pt idx="498">
                  <c:v>102</c:v>
                </c:pt>
                <c:pt idx="499">
                  <c:v>102</c:v>
                </c:pt>
                <c:pt idx="500">
                  <c:v>102</c:v>
                </c:pt>
                <c:pt idx="501">
                  <c:v>102</c:v>
                </c:pt>
                <c:pt idx="502">
                  <c:v>102</c:v>
                </c:pt>
                <c:pt idx="503">
                  <c:v>103</c:v>
                </c:pt>
                <c:pt idx="504">
                  <c:v>103</c:v>
                </c:pt>
                <c:pt idx="505">
                  <c:v>103</c:v>
                </c:pt>
                <c:pt idx="506">
                  <c:v>103</c:v>
                </c:pt>
                <c:pt idx="507">
                  <c:v>102</c:v>
                </c:pt>
                <c:pt idx="508">
                  <c:v>102</c:v>
                </c:pt>
                <c:pt idx="509">
                  <c:v>102</c:v>
                </c:pt>
                <c:pt idx="510">
                  <c:v>103</c:v>
                </c:pt>
                <c:pt idx="511">
                  <c:v>102</c:v>
                </c:pt>
                <c:pt idx="512">
                  <c:v>102</c:v>
                </c:pt>
                <c:pt idx="513">
                  <c:v>103</c:v>
                </c:pt>
                <c:pt idx="514">
                  <c:v>102</c:v>
                </c:pt>
                <c:pt idx="515">
                  <c:v>103</c:v>
                </c:pt>
                <c:pt idx="516">
                  <c:v>103</c:v>
                </c:pt>
                <c:pt idx="517">
                  <c:v>103</c:v>
                </c:pt>
                <c:pt idx="518">
                  <c:v>103</c:v>
                </c:pt>
                <c:pt idx="519">
                  <c:v>101</c:v>
                </c:pt>
                <c:pt idx="520">
                  <c:v>101</c:v>
                </c:pt>
                <c:pt idx="521">
                  <c:v>101</c:v>
                </c:pt>
                <c:pt idx="522">
                  <c:v>101</c:v>
                </c:pt>
                <c:pt idx="523">
                  <c:v>101</c:v>
                </c:pt>
                <c:pt idx="524">
                  <c:v>101</c:v>
                </c:pt>
                <c:pt idx="525">
                  <c:v>101</c:v>
                </c:pt>
                <c:pt idx="526">
                  <c:v>101</c:v>
                </c:pt>
                <c:pt idx="527">
                  <c:v>100</c:v>
                </c:pt>
                <c:pt idx="528">
                  <c:v>101</c:v>
                </c:pt>
                <c:pt idx="529">
                  <c:v>101</c:v>
                </c:pt>
                <c:pt idx="530">
                  <c:v>101</c:v>
                </c:pt>
                <c:pt idx="531">
                  <c:v>102</c:v>
                </c:pt>
                <c:pt idx="532">
                  <c:v>103</c:v>
                </c:pt>
                <c:pt idx="533">
                  <c:v>103</c:v>
                </c:pt>
                <c:pt idx="534">
                  <c:v>103</c:v>
                </c:pt>
                <c:pt idx="535">
                  <c:v>103</c:v>
                </c:pt>
                <c:pt idx="536">
                  <c:v>103</c:v>
                </c:pt>
                <c:pt idx="537">
                  <c:v>103</c:v>
                </c:pt>
                <c:pt idx="538">
                  <c:v>102</c:v>
                </c:pt>
                <c:pt idx="539">
                  <c:v>102</c:v>
                </c:pt>
                <c:pt idx="540">
                  <c:v>102</c:v>
                </c:pt>
                <c:pt idx="541">
                  <c:v>102</c:v>
                </c:pt>
                <c:pt idx="542">
                  <c:v>102</c:v>
                </c:pt>
                <c:pt idx="543">
                  <c:v>102</c:v>
                </c:pt>
                <c:pt idx="544">
                  <c:v>102</c:v>
                </c:pt>
                <c:pt idx="545">
                  <c:v>102</c:v>
                </c:pt>
                <c:pt idx="546">
                  <c:v>102</c:v>
                </c:pt>
                <c:pt idx="547">
                  <c:v>102</c:v>
                </c:pt>
                <c:pt idx="548">
                  <c:v>102</c:v>
                </c:pt>
                <c:pt idx="549">
                  <c:v>101</c:v>
                </c:pt>
                <c:pt idx="550">
                  <c:v>102</c:v>
                </c:pt>
                <c:pt idx="551">
                  <c:v>102</c:v>
                </c:pt>
                <c:pt idx="552">
                  <c:v>102</c:v>
                </c:pt>
                <c:pt idx="553">
                  <c:v>102</c:v>
                </c:pt>
                <c:pt idx="554">
                  <c:v>101</c:v>
                </c:pt>
                <c:pt idx="555">
                  <c:v>102</c:v>
                </c:pt>
                <c:pt idx="556">
                  <c:v>102</c:v>
                </c:pt>
                <c:pt idx="557">
                  <c:v>102</c:v>
                </c:pt>
                <c:pt idx="558">
                  <c:v>103</c:v>
                </c:pt>
                <c:pt idx="559">
                  <c:v>102</c:v>
                </c:pt>
                <c:pt idx="560">
                  <c:v>103</c:v>
                </c:pt>
                <c:pt idx="561">
                  <c:v>103</c:v>
                </c:pt>
                <c:pt idx="562">
                  <c:v>103</c:v>
                </c:pt>
                <c:pt idx="563">
                  <c:v>103</c:v>
                </c:pt>
                <c:pt idx="564">
                  <c:v>101</c:v>
                </c:pt>
                <c:pt idx="565">
                  <c:v>101</c:v>
                </c:pt>
                <c:pt idx="566">
                  <c:v>101</c:v>
                </c:pt>
                <c:pt idx="567">
                  <c:v>103</c:v>
                </c:pt>
                <c:pt idx="568">
                  <c:v>104</c:v>
                </c:pt>
                <c:pt idx="569">
                  <c:v>104</c:v>
                </c:pt>
                <c:pt idx="570">
                  <c:v>105</c:v>
                </c:pt>
                <c:pt idx="571">
                  <c:v>105</c:v>
                </c:pt>
                <c:pt idx="572">
                  <c:v>106</c:v>
                </c:pt>
                <c:pt idx="573">
                  <c:v>106</c:v>
                </c:pt>
                <c:pt idx="574">
                  <c:v>107</c:v>
                </c:pt>
                <c:pt idx="575">
                  <c:v>108</c:v>
                </c:pt>
                <c:pt idx="576">
                  <c:v>108</c:v>
                </c:pt>
                <c:pt idx="577">
                  <c:v>109</c:v>
                </c:pt>
                <c:pt idx="578">
                  <c:v>108</c:v>
                </c:pt>
                <c:pt idx="579">
                  <c:v>108</c:v>
                </c:pt>
                <c:pt idx="580">
                  <c:v>108</c:v>
                </c:pt>
                <c:pt idx="581">
                  <c:v>107</c:v>
                </c:pt>
                <c:pt idx="582">
                  <c:v>106</c:v>
                </c:pt>
                <c:pt idx="583">
                  <c:v>106</c:v>
                </c:pt>
                <c:pt idx="584">
                  <c:v>104</c:v>
                </c:pt>
                <c:pt idx="585">
                  <c:v>104</c:v>
                </c:pt>
                <c:pt idx="586">
                  <c:v>103</c:v>
                </c:pt>
                <c:pt idx="587">
                  <c:v>103</c:v>
                </c:pt>
                <c:pt idx="588">
                  <c:v>104</c:v>
                </c:pt>
                <c:pt idx="589">
                  <c:v>103</c:v>
                </c:pt>
                <c:pt idx="590">
                  <c:v>103</c:v>
                </c:pt>
                <c:pt idx="591">
                  <c:v>104</c:v>
                </c:pt>
                <c:pt idx="592">
                  <c:v>104</c:v>
                </c:pt>
                <c:pt idx="593">
                  <c:v>104</c:v>
                </c:pt>
                <c:pt idx="594">
                  <c:v>104</c:v>
                </c:pt>
                <c:pt idx="595">
                  <c:v>104</c:v>
                </c:pt>
                <c:pt idx="596">
                  <c:v>104</c:v>
                </c:pt>
                <c:pt idx="597">
                  <c:v>104</c:v>
                </c:pt>
                <c:pt idx="598">
                  <c:v>106</c:v>
                </c:pt>
                <c:pt idx="599">
                  <c:v>106</c:v>
                </c:pt>
                <c:pt idx="600">
                  <c:v>106</c:v>
                </c:pt>
                <c:pt idx="601">
                  <c:v>107</c:v>
                </c:pt>
                <c:pt idx="602">
                  <c:v>107</c:v>
                </c:pt>
                <c:pt idx="603">
                  <c:v>107</c:v>
                </c:pt>
                <c:pt idx="604">
                  <c:v>107</c:v>
                </c:pt>
                <c:pt idx="605">
                  <c:v>106</c:v>
                </c:pt>
                <c:pt idx="606">
                  <c:v>107</c:v>
                </c:pt>
                <c:pt idx="607">
                  <c:v>107</c:v>
                </c:pt>
                <c:pt idx="608">
                  <c:v>107</c:v>
                </c:pt>
                <c:pt idx="609">
                  <c:v>107</c:v>
                </c:pt>
                <c:pt idx="610">
                  <c:v>107</c:v>
                </c:pt>
                <c:pt idx="611">
                  <c:v>107</c:v>
                </c:pt>
                <c:pt idx="612">
                  <c:v>106</c:v>
                </c:pt>
                <c:pt idx="613">
                  <c:v>107</c:v>
                </c:pt>
                <c:pt idx="614">
                  <c:v>106</c:v>
                </c:pt>
                <c:pt idx="615">
                  <c:v>105</c:v>
                </c:pt>
                <c:pt idx="616">
                  <c:v>105</c:v>
                </c:pt>
                <c:pt idx="617">
                  <c:v>105</c:v>
                </c:pt>
                <c:pt idx="618">
                  <c:v>105</c:v>
                </c:pt>
                <c:pt idx="619">
                  <c:v>105</c:v>
                </c:pt>
                <c:pt idx="620">
                  <c:v>104</c:v>
                </c:pt>
                <c:pt idx="621">
                  <c:v>104</c:v>
                </c:pt>
                <c:pt idx="622">
                  <c:v>104</c:v>
                </c:pt>
                <c:pt idx="623">
                  <c:v>105</c:v>
                </c:pt>
                <c:pt idx="624">
                  <c:v>105</c:v>
                </c:pt>
                <c:pt idx="625">
                  <c:v>104</c:v>
                </c:pt>
                <c:pt idx="626">
                  <c:v>104</c:v>
                </c:pt>
                <c:pt idx="627">
                  <c:v>104</c:v>
                </c:pt>
                <c:pt idx="628">
                  <c:v>104</c:v>
                </c:pt>
                <c:pt idx="629">
                  <c:v>103</c:v>
                </c:pt>
                <c:pt idx="630">
                  <c:v>103</c:v>
                </c:pt>
                <c:pt idx="631">
                  <c:v>103</c:v>
                </c:pt>
                <c:pt idx="632">
                  <c:v>103</c:v>
                </c:pt>
                <c:pt idx="633">
                  <c:v>102</c:v>
                </c:pt>
                <c:pt idx="634">
                  <c:v>102</c:v>
                </c:pt>
                <c:pt idx="635">
                  <c:v>102</c:v>
                </c:pt>
                <c:pt idx="636">
                  <c:v>103</c:v>
                </c:pt>
                <c:pt idx="637">
                  <c:v>105</c:v>
                </c:pt>
                <c:pt idx="638">
                  <c:v>105</c:v>
                </c:pt>
                <c:pt idx="639">
                  <c:v>105</c:v>
                </c:pt>
                <c:pt idx="640">
                  <c:v>105</c:v>
                </c:pt>
                <c:pt idx="641">
                  <c:v>104</c:v>
                </c:pt>
                <c:pt idx="642">
                  <c:v>104</c:v>
                </c:pt>
                <c:pt idx="643">
                  <c:v>104</c:v>
                </c:pt>
                <c:pt idx="644">
                  <c:v>104</c:v>
                </c:pt>
                <c:pt idx="645">
                  <c:v>103</c:v>
                </c:pt>
                <c:pt idx="646">
                  <c:v>103</c:v>
                </c:pt>
                <c:pt idx="647">
                  <c:v>103</c:v>
                </c:pt>
                <c:pt idx="648">
                  <c:v>103</c:v>
                </c:pt>
                <c:pt idx="649">
                  <c:v>103</c:v>
                </c:pt>
                <c:pt idx="650">
                  <c:v>103</c:v>
                </c:pt>
                <c:pt idx="651">
                  <c:v>103</c:v>
                </c:pt>
                <c:pt idx="652">
                  <c:v>103</c:v>
                </c:pt>
                <c:pt idx="653">
                  <c:v>102</c:v>
                </c:pt>
                <c:pt idx="654">
                  <c:v>102</c:v>
                </c:pt>
                <c:pt idx="655">
                  <c:v>103</c:v>
                </c:pt>
                <c:pt idx="656">
                  <c:v>103</c:v>
                </c:pt>
                <c:pt idx="657">
                  <c:v>103</c:v>
                </c:pt>
                <c:pt idx="658">
                  <c:v>103</c:v>
                </c:pt>
                <c:pt idx="659">
                  <c:v>103</c:v>
                </c:pt>
                <c:pt idx="660">
                  <c:v>105</c:v>
                </c:pt>
                <c:pt idx="661">
                  <c:v>105</c:v>
                </c:pt>
                <c:pt idx="662">
                  <c:v>104</c:v>
                </c:pt>
                <c:pt idx="663">
                  <c:v>103</c:v>
                </c:pt>
                <c:pt idx="664">
                  <c:v>104</c:v>
                </c:pt>
                <c:pt idx="665">
                  <c:v>103</c:v>
                </c:pt>
                <c:pt idx="666">
                  <c:v>103</c:v>
                </c:pt>
                <c:pt idx="667">
                  <c:v>105</c:v>
                </c:pt>
                <c:pt idx="668">
                  <c:v>105</c:v>
                </c:pt>
                <c:pt idx="669">
                  <c:v>104</c:v>
                </c:pt>
                <c:pt idx="670">
                  <c:v>104</c:v>
                </c:pt>
                <c:pt idx="671">
                  <c:v>104</c:v>
                </c:pt>
                <c:pt idx="672">
                  <c:v>104</c:v>
                </c:pt>
                <c:pt idx="673">
                  <c:v>104</c:v>
                </c:pt>
                <c:pt idx="674">
                  <c:v>105</c:v>
                </c:pt>
                <c:pt idx="675">
                  <c:v>103</c:v>
                </c:pt>
                <c:pt idx="676">
                  <c:v>103</c:v>
                </c:pt>
                <c:pt idx="677">
                  <c:v>103</c:v>
                </c:pt>
                <c:pt idx="678">
                  <c:v>103</c:v>
                </c:pt>
                <c:pt idx="679">
                  <c:v>103</c:v>
                </c:pt>
                <c:pt idx="680">
                  <c:v>104</c:v>
                </c:pt>
                <c:pt idx="681">
                  <c:v>104</c:v>
                </c:pt>
                <c:pt idx="682">
                  <c:v>104</c:v>
                </c:pt>
                <c:pt idx="683">
                  <c:v>104</c:v>
                </c:pt>
                <c:pt idx="684">
                  <c:v>104</c:v>
                </c:pt>
                <c:pt idx="685">
                  <c:v>104</c:v>
                </c:pt>
                <c:pt idx="686">
                  <c:v>103</c:v>
                </c:pt>
                <c:pt idx="687">
                  <c:v>105</c:v>
                </c:pt>
                <c:pt idx="688">
                  <c:v>103</c:v>
                </c:pt>
                <c:pt idx="689">
                  <c:v>103</c:v>
                </c:pt>
                <c:pt idx="690">
                  <c:v>103</c:v>
                </c:pt>
                <c:pt idx="691">
                  <c:v>102</c:v>
                </c:pt>
                <c:pt idx="692">
                  <c:v>102</c:v>
                </c:pt>
                <c:pt idx="693">
                  <c:v>102</c:v>
                </c:pt>
                <c:pt idx="694">
                  <c:v>102</c:v>
                </c:pt>
                <c:pt idx="695">
                  <c:v>102</c:v>
                </c:pt>
                <c:pt idx="696">
                  <c:v>102</c:v>
                </c:pt>
                <c:pt idx="697">
                  <c:v>102</c:v>
                </c:pt>
                <c:pt idx="698">
                  <c:v>102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98</c:v>
                </c:pt>
                <c:pt idx="706">
                  <c:v>98</c:v>
                </c:pt>
                <c:pt idx="707">
                  <c:v>98</c:v>
                </c:pt>
                <c:pt idx="708">
                  <c:v>98</c:v>
                </c:pt>
                <c:pt idx="709">
                  <c:v>97</c:v>
                </c:pt>
                <c:pt idx="710">
                  <c:v>97</c:v>
                </c:pt>
                <c:pt idx="711">
                  <c:v>97</c:v>
                </c:pt>
                <c:pt idx="712">
                  <c:v>97</c:v>
                </c:pt>
                <c:pt idx="713">
                  <c:v>96</c:v>
                </c:pt>
                <c:pt idx="714">
                  <c:v>96</c:v>
                </c:pt>
                <c:pt idx="715">
                  <c:v>97</c:v>
                </c:pt>
                <c:pt idx="716">
                  <c:v>98</c:v>
                </c:pt>
                <c:pt idx="717">
                  <c:v>97</c:v>
                </c:pt>
                <c:pt idx="718">
                  <c:v>96</c:v>
                </c:pt>
                <c:pt idx="719">
                  <c:v>96</c:v>
                </c:pt>
                <c:pt idx="720">
                  <c:v>97</c:v>
                </c:pt>
                <c:pt idx="721">
                  <c:v>97</c:v>
                </c:pt>
                <c:pt idx="722">
                  <c:v>98</c:v>
                </c:pt>
                <c:pt idx="723">
                  <c:v>99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101</c:v>
                </c:pt>
                <c:pt idx="730">
                  <c:v>101</c:v>
                </c:pt>
                <c:pt idx="731">
                  <c:v>101</c:v>
                </c:pt>
                <c:pt idx="732">
                  <c:v>101</c:v>
                </c:pt>
                <c:pt idx="733">
                  <c:v>101</c:v>
                </c:pt>
                <c:pt idx="734">
                  <c:v>101</c:v>
                </c:pt>
                <c:pt idx="735">
                  <c:v>101</c:v>
                </c:pt>
                <c:pt idx="736">
                  <c:v>101</c:v>
                </c:pt>
                <c:pt idx="737">
                  <c:v>101</c:v>
                </c:pt>
                <c:pt idx="738">
                  <c:v>101</c:v>
                </c:pt>
                <c:pt idx="739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9A-4EB6-A21F-62BB5E9370CD}"/>
            </c:ext>
          </c:extLst>
        </c:ser>
        <c:ser>
          <c:idx val="1"/>
          <c:order val="1"/>
          <c:tx>
            <c:strRef>
              <c:f>'Active Timeline'!$L$1</c:f>
              <c:strCache>
                <c:ptCount val="1"/>
                <c:pt idx="0">
                  <c:v>Active Scotland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'Active Timeline'!$A$2:$A$741</c:f>
              <c:numCache>
                <c:formatCode>yyyy\-mm\-dd;@</c:formatCode>
                <c:ptCount val="740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</c:numCache>
            </c:numRef>
          </c:cat>
          <c:val>
            <c:numRef>
              <c:f>'Active Timeline'!$L$2:$L$741</c:f>
              <c:numCache>
                <c:formatCode>0</c:formatCode>
                <c:ptCount val="7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5</c:v>
                </c:pt>
                <c:pt idx="40">
                  <c:v>5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7</c:v>
                </c:pt>
                <c:pt idx="55">
                  <c:v>7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10</c:v>
                </c:pt>
                <c:pt idx="66">
                  <c:v>10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12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14</c:v>
                </c:pt>
                <c:pt idx="75">
                  <c:v>14</c:v>
                </c:pt>
                <c:pt idx="76">
                  <c:v>15</c:v>
                </c:pt>
                <c:pt idx="77">
                  <c:v>14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17</c:v>
                </c:pt>
                <c:pt idx="94">
                  <c:v>18</c:v>
                </c:pt>
                <c:pt idx="95">
                  <c:v>18</c:v>
                </c:pt>
                <c:pt idx="96">
                  <c:v>19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21</c:v>
                </c:pt>
                <c:pt idx="104">
                  <c:v>21</c:v>
                </c:pt>
                <c:pt idx="105">
                  <c:v>21</c:v>
                </c:pt>
                <c:pt idx="106">
                  <c:v>21</c:v>
                </c:pt>
                <c:pt idx="107">
                  <c:v>21</c:v>
                </c:pt>
                <c:pt idx="108">
                  <c:v>21</c:v>
                </c:pt>
                <c:pt idx="109">
                  <c:v>21</c:v>
                </c:pt>
                <c:pt idx="110">
                  <c:v>21</c:v>
                </c:pt>
                <c:pt idx="111">
                  <c:v>21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22</c:v>
                </c:pt>
                <c:pt idx="120">
                  <c:v>22</c:v>
                </c:pt>
                <c:pt idx="121">
                  <c:v>22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25</c:v>
                </c:pt>
                <c:pt idx="152">
                  <c:v>26</c:v>
                </c:pt>
                <c:pt idx="153">
                  <c:v>26</c:v>
                </c:pt>
                <c:pt idx="154">
                  <c:v>26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27</c:v>
                </c:pt>
                <c:pt idx="159">
                  <c:v>27</c:v>
                </c:pt>
                <c:pt idx="160">
                  <c:v>28</c:v>
                </c:pt>
                <c:pt idx="161">
                  <c:v>28</c:v>
                </c:pt>
                <c:pt idx="162">
                  <c:v>29</c:v>
                </c:pt>
                <c:pt idx="163">
                  <c:v>29</c:v>
                </c:pt>
                <c:pt idx="164">
                  <c:v>29</c:v>
                </c:pt>
                <c:pt idx="165">
                  <c:v>29</c:v>
                </c:pt>
                <c:pt idx="166">
                  <c:v>29</c:v>
                </c:pt>
                <c:pt idx="167">
                  <c:v>29</c:v>
                </c:pt>
                <c:pt idx="168">
                  <c:v>29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31</c:v>
                </c:pt>
                <c:pt idx="180">
                  <c:v>31</c:v>
                </c:pt>
                <c:pt idx="181">
                  <c:v>30</c:v>
                </c:pt>
                <c:pt idx="182">
                  <c:v>30</c:v>
                </c:pt>
                <c:pt idx="183">
                  <c:v>29</c:v>
                </c:pt>
                <c:pt idx="184">
                  <c:v>29</c:v>
                </c:pt>
                <c:pt idx="185">
                  <c:v>30</c:v>
                </c:pt>
                <c:pt idx="186">
                  <c:v>30</c:v>
                </c:pt>
                <c:pt idx="187">
                  <c:v>31</c:v>
                </c:pt>
                <c:pt idx="188">
                  <c:v>31</c:v>
                </c:pt>
                <c:pt idx="189">
                  <c:v>31</c:v>
                </c:pt>
                <c:pt idx="190">
                  <c:v>31</c:v>
                </c:pt>
                <c:pt idx="191">
                  <c:v>31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33</c:v>
                </c:pt>
                <c:pt idx="198">
                  <c:v>33</c:v>
                </c:pt>
                <c:pt idx="199">
                  <c:v>33</c:v>
                </c:pt>
                <c:pt idx="200">
                  <c:v>33</c:v>
                </c:pt>
                <c:pt idx="201">
                  <c:v>33</c:v>
                </c:pt>
                <c:pt idx="202">
                  <c:v>35</c:v>
                </c:pt>
                <c:pt idx="203">
                  <c:v>35</c:v>
                </c:pt>
                <c:pt idx="204">
                  <c:v>36</c:v>
                </c:pt>
                <c:pt idx="205">
                  <c:v>37</c:v>
                </c:pt>
                <c:pt idx="206">
                  <c:v>37</c:v>
                </c:pt>
                <c:pt idx="207">
                  <c:v>37</c:v>
                </c:pt>
                <c:pt idx="208">
                  <c:v>37</c:v>
                </c:pt>
                <c:pt idx="209">
                  <c:v>37</c:v>
                </c:pt>
                <c:pt idx="210">
                  <c:v>37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37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38</c:v>
                </c:pt>
                <c:pt idx="226">
                  <c:v>38</c:v>
                </c:pt>
                <c:pt idx="227">
                  <c:v>38</c:v>
                </c:pt>
                <c:pt idx="228">
                  <c:v>37</c:v>
                </c:pt>
                <c:pt idx="229">
                  <c:v>37</c:v>
                </c:pt>
                <c:pt idx="230">
                  <c:v>38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39</c:v>
                </c:pt>
                <c:pt idx="235">
                  <c:v>39</c:v>
                </c:pt>
                <c:pt idx="236">
                  <c:v>40</c:v>
                </c:pt>
                <c:pt idx="237">
                  <c:v>41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40</c:v>
                </c:pt>
                <c:pt idx="249">
                  <c:v>40</c:v>
                </c:pt>
                <c:pt idx="250">
                  <c:v>41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42</c:v>
                </c:pt>
                <c:pt idx="256">
                  <c:v>43</c:v>
                </c:pt>
                <c:pt idx="257">
                  <c:v>44</c:v>
                </c:pt>
                <c:pt idx="258">
                  <c:v>44</c:v>
                </c:pt>
                <c:pt idx="259">
                  <c:v>44</c:v>
                </c:pt>
                <c:pt idx="260">
                  <c:v>45</c:v>
                </c:pt>
                <c:pt idx="261">
                  <c:v>45</c:v>
                </c:pt>
                <c:pt idx="262">
                  <c:v>46</c:v>
                </c:pt>
                <c:pt idx="263">
                  <c:v>47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46</c:v>
                </c:pt>
                <c:pt idx="268">
                  <c:v>46</c:v>
                </c:pt>
                <c:pt idx="269">
                  <c:v>46</c:v>
                </c:pt>
                <c:pt idx="270">
                  <c:v>45</c:v>
                </c:pt>
                <c:pt idx="271">
                  <c:v>45</c:v>
                </c:pt>
                <c:pt idx="272">
                  <c:v>45</c:v>
                </c:pt>
                <c:pt idx="273">
                  <c:v>46</c:v>
                </c:pt>
                <c:pt idx="274">
                  <c:v>45</c:v>
                </c:pt>
                <c:pt idx="275">
                  <c:v>46</c:v>
                </c:pt>
                <c:pt idx="276">
                  <c:v>46</c:v>
                </c:pt>
                <c:pt idx="277">
                  <c:v>48</c:v>
                </c:pt>
                <c:pt idx="278">
                  <c:v>48</c:v>
                </c:pt>
                <c:pt idx="279">
                  <c:v>49</c:v>
                </c:pt>
                <c:pt idx="280">
                  <c:v>49</c:v>
                </c:pt>
                <c:pt idx="281">
                  <c:v>49</c:v>
                </c:pt>
                <c:pt idx="282">
                  <c:v>50</c:v>
                </c:pt>
                <c:pt idx="283">
                  <c:v>50</c:v>
                </c:pt>
                <c:pt idx="284">
                  <c:v>49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49</c:v>
                </c:pt>
                <c:pt idx="294">
                  <c:v>50</c:v>
                </c:pt>
                <c:pt idx="295">
                  <c:v>50</c:v>
                </c:pt>
                <c:pt idx="296">
                  <c:v>51</c:v>
                </c:pt>
                <c:pt idx="297">
                  <c:v>51</c:v>
                </c:pt>
                <c:pt idx="298">
                  <c:v>51</c:v>
                </c:pt>
                <c:pt idx="299">
                  <c:v>52</c:v>
                </c:pt>
                <c:pt idx="300">
                  <c:v>52</c:v>
                </c:pt>
                <c:pt idx="301">
                  <c:v>53</c:v>
                </c:pt>
                <c:pt idx="302">
                  <c:v>53</c:v>
                </c:pt>
                <c:pt idx="303">
                  <c:v>52</c:v>
                </c:pt>
                <c:pt idx="304">
                  <c:v>52</c:v>
                </c:pt>
                <c:pt idx="305">
                  <c:v>52</c:v>
                </c:pt>
                <c:pt idx="306">
                  <c:v>52</c:v>
                </c:pt>
                <c:pt idx="307">
                  <c:v>53</c:v>
                </c:pt>
                <c:pt idx="308">
                  <c:v>53</c:v>
                </c:pt>
                <c:pt idx="309">
                  <c:v>53</c:v>
                </c:pt>
                <c:pt idx="310">
                  <c:v>53</c:v>
                </c:pt>
                <c:pt idx="311">
                  <c:v>54</c:v>
                </c:pt>
                <c:pt idx="312">
                  <c:v>54</c:v>
                </c:pt>
                <c:pt idx="313">
                  <c:v>54</c:v>
                </c:pt>
                <c:pt idx="314">
                  <c:v>54</c:v>
                </c:pt>
                <c:pt idx="315">
                  <c:v>54</c:v>
                </c:pt>
                <c:pt idx="316">
                  <c:v>54</c:v>
                </c:pt>
                <c:pt idx="317">
                  <c:v>54</c:v>
                </c:pt>
                <c:pt idx="318">
                  <c:v>54</c:v>
                </c:pt>
                <c:pt idx="319">
                  <c:v>54</c:v>
                </c:pt>
                <c:pt idx="320">
                  <c:v>54</c:v>
                </c:pt>
                <c:pt idx="321">
                  <c:v>54</c:v>
                </c:pt>
                <c:pt idx="322">
                  <c:v>54</c:v>
                </c:pt>
                <c:pt idx="323">
                  <c:v>54</c:v>
                </c:pt>
                <c:pt idx="324">
                  <c:v>54</c:v>
                </c:pt>
                <c:pt idx="325">
                  <c:v>53</c:v>
                </c:pt>
                <c:pt idx="326">
                  <c:v>53</c:v>
                </c:pt>
                <c:pt idx="327">
                  <c:v>54</c:v>
                </c:pt>
                <c:pt idx="328">
                  <c:v>55</c:v>
                </c:pt>
                <c:pt idx="329">
                  <c:v>55</c:v>
                </c:pt>
                <c:pt idx="330">
                  <c:v>56</c:v>
                </c:pt>
                <c:pt idx="331">
                  <c:v>56</c:v>
                </c:pt>
                <c:pt idx="332">
                  <c:v>56</c:v>
                </c:pt>
                <c:pt idx="333">
                  <c:v>56</c:v>
                </c:pt>
                <c:pt idx="334">
                  <c:v>56</c:v>
                </c:pt>
                <c:pt idx="335">
                  <c:v>56</c:v>
                </c:pt>
                <c:pt idx="336">
                  <c:v>56</c:v>
                </c:pt>
                <c:pt idx="337">
                  <c:v>57</c:v>
                </c:pt>
                <c:pt idx="338">
                  <c:v>57</c:v>
                </c:pt>
                <c:pt idx="339">
                  <c:v>57</c:v>
                </c:pt>
                <c:pt idx="340">
                  <c:v>57</c:v>
                </c:pt>
                <c:pt idx="341">
                  <c:v>57</c:v>
                </c:pt>
                <c:pt idx="342">
                  <c:v>57</c:v>
                </c:pt>
                <c:pt idx="343">
                  <c:v>58</c:v>
                </c:pt>
                <c:pt idx="344">
                  <c:v>58</c:v>
                </c:pt>
                <c:pt idx="345">
                  <c:v>59</c:v>
                </c:pt>
                <c:pt idx="346">
                  <c:v>59</c:v>
                </c:pt>
                <c:pt idx="347">
                  <c:v>60</c:v>
                </c:pt>
                <c:pt idx="348">
                  <c:v>62</c:v>
                </c:pt>
                <c:pt idx="349">
                  <c:v>63</c:v>
                </c:pt>
                <c:pt idx="350">
                  <c:v>64</c:v>
                </c:pt>
                <c:pt idx="351">
                  <c:v>64</c:v>
                </c:pt>
                <c:pt idx="352">
                  <c:v>64</c:v>
                </c:pt>
                <c:pt idx="353">
                  <c:v>65</c:v>
                </c:pt>
                <c:pt idx="354">
                  <c:v>65</c:v>
                </c:pt>
                <c:pt idx="355">
                  <c:v>65</c:v>
                </c:pt>
                <c:pt idx="356">
                  <c:v>65</c:v>
                </c:pt>
                <c:pt idx="357">
                  <c:v>66</c:v>
                </c:pt>
                <c:pt idx="358">
                  <c:v>68</c:v>
                </c:pt>
                <c:pt idx="359">
                  <c:v>68</c:v>
                </c:pt>
                <c:pt idx="360">
                  <c:v>68</c:v>
                </c:pt>
                <c:pt idx="361">
                  <c:v>68</c:v>
                </c:pt>
                <c:pt idx="362">
                  <c:v>68</c:v>
                </c:pt>
                <c:pt idx="363">
                  <c:v>68</c:v>
                </c:pt>
                <c:pt idx="364">
                  <c:v>69</c:v>
                </c:pt>
                <c:pt idx="365">
                  <c:v>69</c:v>
                </c:pt>
                <c:pt idx="366">
                  <c:v>68</c:v>
                </c:pt>
                <c:pt idx="367">
                  <c:v>68</c:v>
                </c:pt>
                <c:pt idx="368">
                  <c:v>68</c:v>
                </c:pt>
                <c:pt idx="369">
                  <c:v>68</c:v>
                </c:pt>
                <c:pt idx="370">
                  <c:v>68</c:v>
                </c:pt>
                <c:pt idx="371">
                  <c:v>69</c:v>
                </c:pt>
                <c:pt idx="372">
                  <c:v>69</c:v>
                </c:pt>
                <c:pt idx="373">
                  <c:v>69</c:v>
                </c:pt>
                <c:pt idx="374">
                  <c:v>70</c:v>
                </c:pt>
                <c:pt idx="375">
                  <c:v>71</c:v>
                </c:pt>
                <c:pt idx="376">
                  <c:v>71</c:v>
                </c:pt>
                <c:pt idx="377">
                  <c:v>71</c:v>
                </c:pt>
                <c:pt idx="378">
                  <c:v>71</c:v>
                </c:pt>
                <c:pt idx="379">
                  <c:v>72</c:v>
                </c:pt>
                <c:pt idx="380">
                  <c:v>72</c:v>
                </c:pt>
                <c:pt idx="381">
                  <c:v>72</c:v>
                </c:pt>
                <c:pt idx="382">
                  <c:v>71</c:v>
                </c:pt>
                <c:pt idx="383">
                  <c:v>71</c:v>
                </c:pt>
                <c:pt idx="384">
                  <c:v>71</c:v>
                </c:pt>
                <c:pt idx="385">
                  <c:v>71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72</c:v>
                </c:pt>
                <c:pt idx="392">
                  <c:v>72</c:v>
                </c:pt>
                <c:pt idx="393">
                  <c:v>72</c:v>
                </c:pt>
                <c:pt idx="394">
                  <c:v>72</c:v>
                </c:pt>
                <c:pt idx="395">
                  <c:v>72</c:v>
                </c:pt>
                <c:pt idx="396">
                  <c:v>71</c:v>
                </c:pt>
                <c:pt idx="397">
                  <c:v>71</c:v>
                </c:pt>
                <c:pt idx="398">
                  <c:v>71</c:v>
                </c:pt>
                <c:pt idx="399">
                  <c:v>71</c:v>
                </c:pt>
                <c:pt idx="400">
                  <c:v>71</c:v>
                </c:pt>
                <c:pt idx="401">
                  <c:v>71</c:v>
                </c:pt>
                <c:pt idx="402">
                  <c:v>70</c:v>
                </c:pt>
                <c:pt idx="403">
                  <c:v>70</c:v>
                </c:pt>
                <c:pt idx="404">
                  <c:v>71</c:v>
                </c:pt>
                <c:pt idx="405">
                  <c:v>71</c:v>
                </c:pt>
                <c:pt idx="406">
                  <c:v>71</c:v>
                </c:pt>
                <c:pt idx="407">
                  <c:v>71</c:v>
                </c:pt>
                <c:pt idx="408">
                  <c:v>71</c:v>
                </c:pt>
                <c:pt idx="409">
                  <c:v>71</c:v>
                </c:pt>
                <c:pt idx="410">
                  <c:v>71</c:v>
                </c:pt>
                <c:pt idx="411">
                  <c:v>71</c:v>
                </c:pt>
                <c:pt idx="412">
                  <c:v>71</c:v>
                </c:pt>
                <c:pt idx="413">
                  <c:v>71</c:v>
                </c:pt>
                <c:pt idx="414">
                  <c:v>71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71</c:v>
                </c:pt>
                <c:pt idx="423">
                  <c:v>71</c:v>
                </c:pt>
                <c:pt idx="424">
                  <c:v>71</c:v>
                </c:pt>
                <c:pt idx="425">
                  <c:v>71</c:v>
                </c:pt>
                <c:pt idx="426">
                  <c:v>71</c:v>
                </c:pt>
                <c:pt idx="427">
                  <c:v>71</c:v>
                </c:pt>
                <c:pt idx="428">
                  <c:v>71</c:v>
                </c:pt>
                <c:pt idx="429">
                  <c:v>71</c:v>
                </c:pt>
                <c:pt idx="430">
                  <c:v>71</c:v>
                </c:pt>
                <c:pt idx="431">
                  <c:v>70</c:v>
                </c:pt>
                <c:pt idx="432">
                  <c:v>69</c:v>
                </c:pt>
                <c:pt idx="433">
                  <c:v>69</c:v>
                </c:pt>
                <c:pt idx="434">
                  <c:v>69</c:v>
                </c:pt>
                <c:pt idx="435">
                  <c:v>69</c:v>
                </c:pt>
                <c:pt idx="436">
                  <c:v>69</c:v>
                </c:pt>
                <c:pt idx="437">
                  <c:v>69</c:v>
                </c:pt>
                <c:pt idx="438">
                  <c:v>69</c:v>
                </c:pt>
                <c:pt idx="439">
                  <c:v>69</c:v>
                </c:pt>
                <c:pt idx="440">
                  <c:v>69</c:v>
                </c:pt>
                <c:pt idx="441">
                  <c:v>69</c:v>
                </c:pt>
                <c:pt idx="442">
                  <c:v>69</c:v>
                </c:pt>
                <c:pt idx="443">
                  <c:v>71</c:v>
                </c:pt>
                <c:pt idx="444">
                  <c:v>71</c:v>
                </c:pt>
                <c:pt idx="445">
                  <c:v>71</c:v>
                </c:pt>
                <c:pt idx="446">
                  <c:v>71</c:v>
                </c:pt>
                <c:pt idx="447">
                  <c:v>72</c:v>
                </c:pt>
                <c:pt idx="448">
                  <c:v>73</c:v>
                </c:pt>
                <c:pt idx="449">
                  <c:v>73</c:v>
                </c:pt>
                <c:pt idx="450">
                  <c:v>74</c:v>
                </c:pt>
                <c:pt idx="451">
                  <c:v>74</c:v>
                </c:pt>
                <c:pt idx="452">
                  <c:v>76</c:v>
                </c:pt>
                <c:pt idx="453">
                  <c:v>76</c:v>
                </c:pt>
                <c:pt idx="454">
                  <c:v>76</c:v>
                </c:pt>
                <c:pt idx="455">
                  <c:v>75</c:v>
                </c:pt>
                <c:pt idx="456">
                  <c:v>75</c:v>
                </c:pt>
                <c:pt idx="457">
                  <c:v>74</c:v>
                </c:pt>
                <c:pt idx="458">
                  <c:v>74</c:v>
                </c:pt>
                <c:pt idx="459">
                  <c:v>74</c:v>
                </c:pt>
                <c:pt idx="460">
                  <c:v>73</c:v>
                </c:pt>
                <c:pt idx="461">
                  <c:v>73</c:v>
                </c:pt>
                <c:pt idx="462">
                  <c:v>74</c:v>
                </c:pt>
                <c:pt idx="463">
                  <c:v>75</c:v>
                </c:pt>
                <c:pt idx="464">
                  <c:v>75</c:v>
                </c:pt>
                <c:pt idx="465">
                  <c:v>75</c:v>
                </c:pt>
                <c:pt idx="466">
                  <c:v>75</c:v>
                </c:pt>
                <c:pt idx="467">
                  <c:v>75</c:v>
                </c:pt>
                <c:pt idx="468">
                  <c:v>74</c:v>
                </c:pt>
                <c:pt idx="469">
                  <c:v>74</c:v>
                </c:pt>
                <c:pt idx="470">
                  <c:v>74</c:v>
                </c:pt>
                <c:pt idx="471">
                  <c:v>74</c:v>
                </c:pt>
                <c:pt idx="472">
                  <c:v>74</c:v>
                </c:pt>
                <c:pt idx="473">
                  <c:v>74</c:v>
                </c:pt>
                <c:pt idx="474">
                  <c:v>75</c:v>
                </c:pt>
                <c:pt idx="475">
                  <c:v>77</c:v>
                </c:pt>
                <c:pt idx="476">
                  <c:v>77</c:v>
                </c:pt>
                <c:pt idx="477">
                  <c:v>77</c:v>
                </c:pt>
                <c:pt idx="478">
                  <c:v>77</c:v>
                </c:pt>
                <c:pt idx="479">
                  <c:v>77</c:v>
                </c:pt>
                <c:pt idx="480">
                  <c:v>76</c:v>
                </c:pt>
                <c:pt idx="481">
                  <c:v>76</c:v>
                </c:pt>
                <c:pt idx="482">
                  <c:v>75</c:v>
                </c:pt>
                <c:pt idx="483">
                  <c:v>75</c:v>
                </c:pt>
                <c:pt idx="484">
                  <c:v>75</c:v>
                </c:pt>
                <c:pt idx="485">
                  <c:v>75</c:v>
                </c:pt>
                <c:pt idx="486">
                  <c:v>75</c:v>
                </c:pt>
                <c:pt idx="487">
                  <c:v>75</c:v>
                </c:pt>
                <c:pt idx="488">
                  <c:v>75</c:v>
                </c:pt>
                <c:pt idx="489">
                  <c:v>76</c:v>
                </c:pt>
                <c:pt idx="490">
                  <c:v>76</c:v>
                </c:pt>
                <c:pt idx="491">
                  <c:v>77</c:v>
                </c:pt>
                <c:pt idx="492">
                  <c:v>77</c:v>
                </c:pt>
                <c:pt idx="493">
                  <c:v>77</c:v>
                </c:pt>
                <c:pt idx="494">
                  <c:v>78</c:v>
                </c:pt>
                <c:pt idx="495">
                  <c:v>78</c:v>
                </c:pt>
                <c:pt idx="496">
                  <c:v>77</c:v>
                </c:pt>
                <c:pt idx="497">
                  <c:v>77</c:v>
                </c:pt>
                <c:pt idx="498">
                  <c:v>79</c:v>
                </c:pt>
                <c:pt idx="499">
                  <c:v>80</c:v>
                </c:pt>
                <c:pt idx="500">
                  <c:v>80</c:v>
                </c:pt>
                <c:pt idx="501">
                  <c:v>80</c:v>
                </c:pt>
                <c:pt idx="502">
                  <c:v>81</c:v>
                </c:pt>
                <c:pt idx="503">
                  <c:v>81</c:v>
                </c:pt>
                <c:pt idx="504">
                  <c:v>81</c:v>
                </c:pt>
                <c:pt idx="505">
                  <c:v>81</c:v>
                </c:pt>
                <c:pt idx="506">
                  <c:v>81</c:v>
                </c:pt>
                <c:pt idx="507">
                  <c:v>81</c:v>
                </c:pt>
                <c:pt idx="508">
                  <c:v>82</c:v>
                </c:pt>
                <c:pt idx="509">
                  <c:v>82</c:v>
                </c:pt>
                <c:pt idx="510">
                  <c:v>82</c:v>
                </c:pt>
                <c:pt idx="511">
                  <c:v>82</c:v>
                </c:pt>
                <c:pt idx="512">
                  <c:v>81</c:v>
                </c:pt>
                <c:pt idx="513">
                  <c:v>81</c:v>
                </c:pt>
                <c:pt idx="514">
                  <c:v>81</c:v>
                </c:pt>
                <c:pt idx="515">
                  <c:v>81</c:v>
                </c:pt>
                <c:pt idx="516">
                  <c:v>81</c:v>
                </c:pt>
                <c:pt idx="517">
                  <c:v>81</c:v>
                </c:pt>
                <c:pt idx="518">
                  <c:v>81</c:v>
                </c:pt>
                <c:pt idx="519">
                  <c:v>81</c:v>
                </c:pt>
                <c:pt idx="520">
                  <c:v>81</c:v>
                </c:pt>
                <c:pt idx="521">
                  <c:v>81</c:v>
                </c:pt>
                <c:pt idx="522">
                  <c:v>80</c:v>
                </c:pt>
                <c:pt idx="523">
                  <c:v>80</c:v>
                </c:pt>
                <c:pt idx="524">
                  <c:v>81</c:v>
                </c:pt>
                <c:pt idx="525">
                  <c:v>82</c:v>
                </c:pt>
                <c:pt idx="526">
                  <c:v>84</c:v>
                </c:pt>
                <c:pt idx="527">
                  <c:v>84</c:v>
                </c:pt>
                <c:pt idx="528">
                  <c:v>84</c:v>
                </c:pt>
                <c:pt idx="529">
                  <c:v>83</c:v>
                </c:pt>
                <c:pt idx="530">
                  <c:v>83</c:v>
                </c:pt>
                <c:pt idx="531">
                  <c:v>83</c:v>
                </c:pt>
                <c:pt idx="532">
                  <c:v>83</c:v>
                </c:pt>
                <c:pt idx="533">
                  <c:v>84</c:v>
                </c:pt>
                <c:pt idx="534">
                  <c:v>84</c:v>
                </c:pt>
                <c:pt idx="535">
                  <c:v>84</c:v>
                </c:pt>
                <c:pt idx="536">
                  <c:v>84</c:v>
                </c:pt>
                <c:pt idx="537">
                  <c:v>84</c:v>
                </c:pt>
                <c:pt idx="538">
                  <c:v>84</c:v>
                </c:pt>
                <c:pt idx="539">
                  <c:v>83</c:v>
                </c:pt>
                <c:pt idx="540">
                  <c:v>83</c:v>
                </c:pt>
                <c:pt idx="541">
                  <c:v>84</c:v>
                </c:pt>
                <c:pt idx="542">
                  <c:v>84</c:v>
                </c:pt>
                <c:pt idx="543">
                  <c:v>84</c:v>
                </c:pt>
                <c:pt idx="544">
                  <c:v>85</c:v>
                </c:pt>
                <c:pt idx="545">
                  <c:v>86</c:v>
                </c:pt>
                <c:pt idx="546">
                  <c:v>86</c:v>
                </c:pt>
                <c:pt idx="547">
                  <c:v>86</c:v>
                </c:pt>
                <c:pt idx="548">
                  <c:v>85</c:v>
                </c:pt>
                <c:pt idx="549">
                  <c:v>85</c:v>
                </c:pt>
                <c:pt idx="550">
                  <c:v>85</c:v>
                </c:pt>
                <c:pt idx="551">
                  <c:v>85</c:v>
                </c:pt>
                <c:pt idx="552">
                  <c:v>86</c:v>
                </c:pt>
                <c:pt idx="553">
                  <c:v>85</c:v>
                </c:pt>
                <c:pt idx="554">
                  <c:v>85</c:v>
                </c:pt>
                <c:pt idx="555">
                  <c:v>86</c:v>
                </c:pt>
                <c:pt idx="556">
                  <c:v>87</c:v>
                </c:pt>
                <c:pt idx="557">
                  <c:v>86</c:v>
                </c:pt>
                <c:pt idx="558">
                  <c:v>86</c:v>
                </c:pt>
                <c:pt idx="559">
                  <c:v>86</c:v>
                </c:pt>
                <c:pt idx="560">
                  <c:v>88</c:v>
                </c:pt>
                <c:pt idx="561">
                  <c:v>89</c:v>
                </c:pt>
                <c:pt idx="562">
                  <c:v>89</c:v>
                </c:pt>
                <c:pt idx="563">
                  <c:v>87</c:v>
                </c:pt>
                <c:pt idx="564">
                  <c:v>87</c:v>
                </c:pt>
                <c:pt idx="565">
                  <c:v>87</c:v>
                </c:pt>
                <c:pt idx="566">
                  <c:v>87</c:v>
                </c:pt>
                <c:pt idx="567">
                  <c:v>87</c:v>
                </c:pt>
                <c:pt idx="568">
                  <c:v>87</c:v>
                </c:pt>
                <c:pt idx="569">
                  <c:v>87</c:v>
                </c:pt>
                <c:pt idx="570">
                  <c:v>87</c:v>
                </c:pt>
                <c:pt idx="571">
                  <c:v>88</c:v>
                </c:pt>
                <c:pt idx="572">
                  <c:v>88</c:v>
                </c:pt>
                <c:pt idx="573">
                  <c:v>89</c:v>
                </c:pt>
                <c:pt idx="574">
                  <c:v>89</c:v>
                </c:pt>
                <c:pt idx="575">
                  <c:v>90</c:v>
                </c:pt>
                <c:pt idx="576">
                  <c:v>90</c:v>
                </c:pt>
                <c:pt idx="577">
                  <c:v>91</c:v>
                </c:pt>
                <c:pt idx="578">
                  <c:v>92</c:v>
                </c:pt>
                <c:pt idx="579">
                  <c:v>95</c:v>
                </c:pt>
                <c:pt idx="580">
                  <c:v>95</c:v>
                </c:pt>
                <c:pt idx="581">
                  <c:v>95</c:v>
                </c:pt>
                <c:pt idx="582">
                  <c:v>95</c:v>
                </c:pt>
                <c:pt idx="583">
                  <c:v>96</c:v>
                </c:pt>
                <c:pt idx="584">
                  <c:v>96</c:v>
                </c:pt>
                <c:pt idx="585">
                  <c:v>96</c:v>
                </c:pt>
                <c:pt idx="586">
                  <c:v>95</c:v>
                </c:pt>
                <c:pt idx="587">
                  <c:v>95</c:v>
                </c:pt>
                <c:pt idx="588">
                  <c:v>96</c:v>
                </c:pt>
                <c:pt idx="589">
                  <c:v>96</c:v>
                </c:pt>
                <c:pt idx="590">
                  <c:v>96</c:v>
                </c:pt>
                <c:pt idx="591">
                  <c:v>96</c:v>
                </c:pt>
                <c:pt idx="592">
                  <c:v>96</c:v>
                </c:pt>
                <c:pt idx="593">
                  <c:v>96</c:v>
                </c:pt>
                <c:pt idx="594">
                  <c:v>96</c:v>
                </c:pt>
                <c:pt idx="595">
                  <c:v>95</c:v>
                </c:pt>
                <c:pt idx="596">
                  <c:v>95</c:v>
                </c:pt>
                <c:pt idx="597">
                  <c:v>95</c:v>
                </c:pt>
                <c:pt idx="598">
                  <c:v>96</c:v>
                </c:pt>
                <c:pt idx="599">
                  <c:v>96</c:v>
                </c:pt>
                <c:pt idx="600">
                  <c:v>97</c:v>
                </c:pt>
                <c:pt idx="601">
                  <c:v>98</c:v>
                </c:pt>
                <c:pt idx="602">
                  <c:v>99</c:v>
                </c:pt>
                <c:pt idx="603">
                  <c:v>99</c:v>
                </c:pt>
                <c:pt idx="604">
                  <c:v>99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101</c:v>
                </c:pt>
                <c:pt idx="609">
                  <c:v>100</c:v>
                </c:pt>
                <c:pt idx="610">
                  <c:v>99</c:v>
                </c:pt>
                <c:pt idx="611">
                  <c:v>98</c:v>
                </c:pt>
                <c:pt idx="612">
                  <c:v>97</c:v>
                </c:pt>
                <c:pt idx="613">
                  <c:v>97</c:v>
                </c:pt>
                <c:pt idx="614">
                  <c:v>97</c:v>
                </c:pt>
                <c:pt idx="615">
                  <c:v>97</c:v>
                </c:pt>
                <c:pt idx="616">
                  <c:v>97</c:v>
                </c:pt>
                <c:pt idx="617">
                  <c:v>96</c:v>
                </c:pt>
                <c:pt idx="618">
                  <c:v>95</c:v>
                </c:pt>
                <c:pt idx="619">
                  <c:v>95</c:v>
                </c:pt>
                <c:pt idx="620">
                  <c:v>95</c:v>
                </c:pt>
                <c:pt idx="621">
                  <c:v>94</c:v>
                </c:pt>
                <c:pt idx="622">
                  <c:v>94</c:v>
                </c:pt>
                <c:pt idx="623">
                  <c:v>93</c:v>
                </c:pt>
                <c:pt idx="624">
                  <c:v>92</c:v>
                </c:pt>
                <c:pt idx="625">
                  <c:v>92</c:v>
                </c:pt>
                <c:pt idx="626">
                  <c:v>92</c:v>
                </c:pt>
                <c:pt idx="627">
                  <c:v>92</c:v>
                </c:pt>
                <c:pt idx="628">
                  <c:v>92</c:v>
                </c:pt>
                <c:pt idx="629">
                  <c:v>91</c:v>
                </c:pt>
                <c:pt idx="630">
                  <c:v>92</c:v>
                </c:pt>
                <c:pt idx="631">
                  <c:v>92</c:v>
                </c:pt>
                <c:pt idx="632">
                  <c:v>91</c:v>
                </c:pt>
                <c:pt idx="633">
                  <c:v>91</c:v>
                </c:pt>
                <c:pt idx="634">
                  <c:v>90</c:v>
                </c:pt>
                <c:pt idx="635">
                  <c:v>91</c:v>
                </c:pt>
                <c:pt idx="636">
                  <c:v>89</c:v>
                </c:pt>
                <c:pt idx="637">
                  <c:v>89</c:v>
                </c:pt>
                <c:pt idx="638">
                  <c:v>87</c:v>
                </c:pt>
                <c:pt idx="639">
                  <c:v>87</c:v>
                </c:pt>
                <c:pt idx="640">
                  <c:v>87</c:v>
                </c:pt>
                <c:pt idx="641">
                  <c:v>87</c:v>
                </c:pt>
                <c:pt idx="642">
                  <c:v>88</c:v>
                </c:pt>
                <c:pt idx="643">
                  <c:v>88</c:v>
                </c:pt>
                <c:pt idx="644">
                  <c:v>87</c:v>
                </c:pt>
                <c:pt idx="645">
                  <c:v>87</c:v>
                </c:pt>
                <c:pt idx="646">
                  <c:v>87</c:v>
                </c:pt>
                <c:pt idx="647">
                  <c:v>87</c:v>
                </c:pt>
                <c:pt idx="648">
                  <c:v>87</c:v>
                </c:pt>
                <c:pt idx="649">
                  <c:v>88</c:v>
                </c:pt>
                <c:pt idx="650">
                  <c:v>88</c:v>
                </c:pt>
                <c:pt idx="651">
                  <c:v>89</c:v>
                </c:pt>
                <c:pt idx="652">
                  <c:v>90</c:v>
                </c:pt>
                <c:pt idx="653">
                  <c:v>90</c:v>
                </c:pt>
                <c:pt idx="654">
                  <c:v>90</c:v>
                </c:pt>
                <c:pt idx="655">
                  <c:v>90</c:v>
                </c:pt>
                <c:pt idx="656">
                  <c:v>89</c:v>
                </c:pt>
                <c:pt idx="657">
                  <c:v>89</c:v>
                </c:pt>
                <c:pt idx="658">
                  <c:v>89</c:v>
                </c:pt>
                <c:pt idx="659">
                  <c:v>90</c:v>
                </c:pt>
                <c:pt idx="660">
                  <c:v>90</c:v>
                </c:pt>
                <c:pt idx="661">
                  <c:v>90</c:v>
                </c:pt>
                <c:pt idx="662">
                  <c:v>90</c:v>
                </c:pt>
                <c:pt idx="663">
                  <c:v>90</c:v>
                </c:pt>
                <c:pt idx="664">
                  <c:v>91</c:v>
                </c:pt>
                <c:pt idx="665">
                  <c:v>91</c:v>
                </c:pt>
                <c:pt idx="666">
                  <c:v>92</c:v>
                </c:pt>
                <c:pt idx="667">
                  <c:v>92</c:v>
                </c:pt>
                <c:pt idx="668">
                  <c:v>93</c:v>
                </c:pt>
                <c:pt idx="669">
                  <c:v>93</c:v>
                </c:pt>
                <c:pt idx="670">
                  <c:v>93</c:v>
                </c:pt>
                <c:pt idx="671">
                  <c:v>93</c:v>
                </c:pt>
                <c:pt idx="672">
                  <c:v>93</c:v>
                </c:pt>
                <c:pt idx="673">
                  <c:v>93</c:v>
                </c:pt>
                <c:pt idx="674">
                  <c:v>93</c:v>
                </c:pt>
                <c:pt idx="675">
                  <c:v>94</c:v>
                </c:pt>
                <c:pt idx="676">
                  <c:v>94</c:v>
                </c:pt>
                <c:pt idx="677">
                  <c:v>93</c:v>
                </c:pt>
                <c:pt idx="678">
                  <c:v>93</c:v>
                </c:pt>
                <c:pt idx="679">
                  <c:v>93</c:v>
                </c:pt>
                <c:pt idx="680">
                  <c:v>92</c:v>
                </c:pt>
                <c:pt idx="681">
                  <c:v>92</c:v>
                </c:pt>
                <c:pt idx="682">
                  <c:v>92</c:v>
                </c:pt>
                <c:pt idx="683">
                  <c:v>92</c:v>
                </c:pt>
                <c:pt idx="684">
                  <c:v>92</c:v>
                </c:pt>
                <c:pt idx="685">
                  <c:v>93</c:v>
                </c:pt>
                <c:pt idx="686">
                  <c:v>93</c:v>
                </c:pt>
                <c:pt idx="687">
                  <c:v>94</c:v>
                </c:pt>
                <c:pt idx="688">
                  <c:v>93</c:v>
                </c:pt>
                <c:pt idx="689">
                  <c:v>93</c:v>
                </c:pt>
                <c:pt idx="690">
                  <c:v>92</c:v>
                </c:pt>
                <c:pt idx="691">
                  <c:v>91</c:v>
                </c:pt>
                <c:pt idx="692">
                  <c:v>92</c:v>
                </c:pt>
                <c:pt idx="693">
                  <c:v>92</c:v>
                </c:pt>
                <c:pt idx="694">
                  <c:v>93</c:v>
                </c:pt>
                <c:pt idx="695">
                  <c:v>93</c:v>
                </c:pt>
                <c:pt idx="696">
                  <c:v>93</c:v>
                </c:pt>
                <c:pt idx="697">
                  <c:v>94</c:v>
                </c:pt>
                <c:pt idx="698">
                  <c:v>94</c:v>
                </c:pt>
                <c:pt idx="699">
                  <c:v>94</c:v>
                </c:pt>
                <c:pt idx="700">
                  <c:v>94</c:v>
                </c:pt>
                <c:pt idx="701">
                  <c:v>96</c:v>
                </c:pt>
                <c:pt idx="702">
                  <c:v>96</c:v>
                </c:pt>
                <c:pt idx="703">
                  <c:v>96</c:v>
                </c:pt>
                <c:pt idx="704">
                  <c:v>94</c:v>
                </c:pt>
                <c:pt idx="705">
                  <c:v>94</c:v>
                </c:pt>
                <c:pt idx="706">
                  <c:v>94</c:v>
                </c:pt>
                <c:pt idx="707">
                  <c:v>94</c:v>
                </c:pt>
                <c:pt idx="708">
                  <c:v>93</c:v>
                </c:pt>
                <c:pt idx="709">
                  <c:v>92</c:v>
                </c:pt>
                <c:pt idx="710">
                  <c:v>91</c:v>
                </c:pt>
                <c:pt idx="711">
                  <c:v>91</c:v>
                </c:pt>
                <c:pt idx="712">
                  <c:v>93</c:v>
                </c:pt>
                <c:pt idx="713">
                  <c:v>94</c:v>
                </c:pt>
                <c:pt idx="714">
                  <c:v>93</c:v>
                </c:pt>
                <c:pt idx="715">
                  <c:v>93</c:v>
                </c:pt>
                <c:pt idx="716">
                  <c:v>93</c:v>
                </c:pt>
                <c:pt idx="717">
                  <c:v>93</c:v>
                </c:pt>
                <c:pt idx="718">
                  <c:v>93</c:v>
                </c:pt>
                <c:pt idx="719">
                  <c:v>93</c:v>
                </c:pt>
                <c:pt idx="720">
                  <c:v>93</c:v>
                </c:pt>
                <c:pt idx="721">
                  <c:v>93</c:v>
                </c:pt>
                <c:pt idx="722">
                  <c:v>92</c:v>
                </c:pt>
                <c:pt idx="723">
                  <c:v>92</c:v>
                </c:pt>
                <c:pt idx="724">
                  <c:v>93</c:v>
                </c:pt>
                <c:pt idx="725">
                  <c:v>92</c:v>
                </c:pt>
                <c:pt idx="726">
                  <c:v>92</c:v>
                </c:pt>
                <c:pt idx="727">
                  <c:v>94</c:v>
                </c:pt>
                <c:pt idx="728">
                  <c:v>93</c:v>
                </c:pt>
                <c:pt idx="729">
                  <c:v>94</c:v>
                </c:pt>
                <c:pt idx="730">
                  <c:v>94</c:v>
                </c:pt>
                <c:pt idx="731">
                  <c:v>94</c:v>
                </c:pt>
                <c:pt idx="732">
                  <c:v>92</c:v>
                </c:pt>
                <c:pt idx="733">
                  <c:v>92</c:v>
                </c:pt>
                <c:pt idx="734">
                  <c:v>92</c:v>
                </c:pt>
                <c:pt idx="735">
                  <c:v>92</c:v>
                </c:pt>
                <c:pt idx="736">
                  <c:v>92</c:v>
                </c:pt>
                <c:pt idx="737">
                  <c:v>92</c:v>
                </c:pt>
                <c:pt idx="738">
                  <c:v>92</c:v>
                </c:pt>
                <c:pt idx="73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9A-4EB6-A21F-62BB5E9370CD}"/>
            </c:ext>
          </c:extLst>
        </c:ser>
        <c:ser>
          <c:idx val="2"/>
          <c:order val="2"/>
          <c:tx>
            <c:strRef>
              <c:f>'Active Timeline'!$M$1</c:f>
              <c:strCache>
                <c:ptCount val="1"/>
                <c:pt idx="0">
                  <c:v>ActiveWales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'Active Timeline'!$A$2:$A$741</c:f>
              <c:numCache>
                <c:formatCode>yyyy\-mm\-dd;@</c:formatCode>
                <c:ptCount val="740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</c:numCache>
            </c:numRef>
          </c:cat>
          <c:val>
            <c:numRef>
              <c:f>'Active Timeline'!$M$2:$M$741</c:f>
              <c:numCache>
                <c:formatCode>0</c:formatCode>
                <c:ptCount val="7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7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11</c:v>
                </c:pt>
                <c:pt idx="48">
                  <c:v>12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11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13</c:v>
                </c:pt>
                <c:pt idx="58">
                  <c:v>13</c:v>
                </c:pt>
                <c:pt idx="59">
                  <c:v>13</c:v>
                </c:pt>
                <c:pt idx="60">
                  <c:v>13</c:v>
                </c:pt>
                <c:pt idx="61">
                  <c:v>13</c:v>
                </c:pt>
                <c:pt idx="62">
                  <c:v>13</c:v>
                </c:pt>
                <c:pt idx="63">
                  <c:v>13</c:v>
                </c:pt>
                <c:pt idx="64">
                  <c:v>13</c:v>
                </c:pt>
                <c:pt idx="65">
                  <c:v>13</c:v>
                </c:pt>
                <c:pt idx="66">
                  <c:v>13</c:v>
                </c:pt>
                <c:pt idx="67">
                  <c:v>13</c:v>
                </c:pt>
                <c:pt idx="68">
                  <c:v>13</c:v>
                </c:pt>
                <c:pt idx="69">
                  <c:v>13</c:v>
                </c:pt>
                <c:pt idx="70">
                  <c:v>13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  <c:pt idx="75">
                  <c:v>13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  <c:pt idx="139">
                  <c:v>22</c:v>
                </c:pt>
                <c:pt idx="140">
                  <c:v>23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26</c:v>
                </c:pt>
                <c:pt idx="150">
                  <c:v>26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28</c:v>
                </c:pt>
                <c:pt idx="156">
                  <c:v>29</c:v>
                </c:pt>
                <c:pt idx="157">
                  <c:v>29</c:v>
                </c:pt>
                <c:pt idx="158">
                  <c:v>29</c:v>
                </c:pt>
                <c:pt idx="159">
                  <c:v>29</c:v>
                </c:pt>
                <c:pt idx="160">
                  <c:v>29</c:v>
                </c:pt>
                <c:pt idx="161">
                  <c:v>29</c:v>
                </c:pt>
                <c:pt idx="162">
                  <c:v>29</c:v>
                </c:pt>
                <c:pt idx="163">
                  <c:v>29</c:v>
                </c:pt>
                <c:pt idx="164">
                  <c:v>29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31</c:v>
                </c:pt>
                <c:pt idx="183">
                  <c:v>31</c:v>
                </c:pt>
                <c:pt idx="184">
                  <c:v>31</c:v>
                </c:pt>
                <c:pt idx="185">
                  <c:v>31</c:v>
                </c:pt>
                <c:pt idx="186">
                  <c:v>29</c:v>
                </c:pt>
                <c:pt idx="187">
                  <c:v>29</c:v>
                </c:pt>
                <c:pt idx="188">
                  <c:v>29</c:v>
                </c:pt>
                <c:pt idx="189">
                  <c:v>29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31</c:v>
                </c:pt>
                <c:pt idx="194">
                  <c:v>31</c:v>
                </c:pt>
                <c:pt idx="195">
                  <c:v>31</c:v>
                </c:pt>
                <c:pt idx="196">
                  <c:v>31</c:v>
                </c:pt>
                <c:pt idx="197">
                  <c:v>31</c:v>
                </c:pt>
                <c:pt idx="198">
                  <c:v>31</c:v>
                </c:pt>
                <c:pt idx="199">
                  <c:v>31</c:v>
                </c:pt>
                <c:pt idx="200">
                  <c:v>31</c:v>
                </c:pt>
                <c:pt idx="201">
                  <c:v>32</c:v>
                </c:pt>
                <c:pt idx="202">
                  <c:v>33</c:v>
                </c:pt>
                <c:pt idx="203">
                  <c:v>33</c:v>
                </c:pt>
                <c:pt idx="204">
                  <c:v>33</c:v>
                </c:pt>
                <c:pt idx="205">
                  <c:v>33</c:v>
                </c:pt>
                <c:pt idx="206">
                  <c:v>33</c:v>
                </c:pt>
                <c:pt idx="207">
                  <c:v>35</c:v>
                </c:pt>
                <c:pt idx="208">
                  <c:v>35</c:v>
                </c:pt>
                <c:pt idx="209">
                  <c:v>35</c:v>
                </c:pt>
                <c:pt idx="210">
                  <c:v>34</c:v>
                </c:pt>
                <c:pt idx="211">
                  <c:v>34</c:v>
                </c:pt>
                <c:pt idx="212">
                  <c:v>35</c:v>
                </c:pt>
                <c:pt idx="213">
                  <c:v>34</c:v>
                </c:pt>
                <c:pt idx="214">
                  <c:v>34</c:v>
                </c:pt>
                <c:pt idx="215">
                  <c:v>34</c:v>
                </c:pt>
                <c:pt idx="216">
                  <c:v>35</c:v>
                </c:pt>
                <c:pt idx="217">
                  <c:v>36</c:v>
                </c:pt>
                <c:pt idx="218">
                  <c:v>36</c:v>
                </c:pt>
                <c:pt idx="219">
                  <c:v>36</c:v>
                </c:pt>
                <c:pt idx="220">
                  <c:v>36</c:v>
                </c:pt>
                <c:pt idx="221">
                  <c:v>36</c:v>
                </c:pt>
                <c:pt idx="222">
                  <c:v>36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38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40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42</c:v>
                </c:pt>
                <c:pt idx="237">
                  <c:v>42</c:v>
                </c:pt>
                <c:pt idx="238">
                  <c:v>43</c:v>
                </c:pt>
                <c:pt idx="239">
                  <c:v>43</c:v>
                </c:pt>
                <c:pt idx="240">
                  <c:v>43</c:v>
                </c:pt>
                <c:pt idx="241">
                  <c:v>43</c:v>
                </c:pt>
                <c:pt idx="242">
                  <c:v>44</c:v>
                </c:pt>
                <c:pt idx="243">
                  <c:v>46</c:v>
                </c:pt>
                <c:pt idx="244">
                  <c:v>46</c:v>
                </c:pt>
                <c:pt idx="245">
                  <c:v>47</c:v>
                </c:pt>
                <c:pt idx="246">
                  <c:v>47</c:v>
                </c:pt>
                <c:pt idx="247">
                  <c:v>47</c:v>
                </c:pt>
                <c:pt idx="248">
                  <c:v>47</c:v>
                </c:pt>
                <c:pt idx="249">
                  <c:v>48</c:v>
                </c:pt>
                <c:pt idx="250">
                  <c:v>48</c:v>
                </c:pt>
                <c:pt idx="251">
                  <c:v>48</c:v>
                </c:pt>
                <c:pt idx="252">
                  <c:v>48</c:v>
                </c:pt>
                <c:pt idx="253">
                  <c:v>48</c:v>
                </c:pt>
                <c:pt idx="254">
                  <c:v>48</c:v>
                </c:pt>
                <c:pt idx="255">
                  <c:v>48</c:v>
                </c:pt>
                <c:pt idx="256">
                  <c:v>48</c:v>
                </c:pt>
                <c:pt idx="257">
                  <c:v>48</c:v>
                </c:pt>
                <c:pt idx="258">
                  <c:v>48</c:v>
                </c:pt>
                <c:pt idx="259">
                  <c:v>48</c:v>
                </c:pt>
                <c:pt idx="260">
                  <c:v>48</c:v>
                </c:pt>
                <c:pt idx="261">
                  <c:v>48</c:v>
                </c:pt>
                <c:pt idx="262">
                  <c:v>48</c:v>
                </c:pt>
                <c:pt idx="263">
                  <c:v>48</c:v>
                </c:pt>
                <c:pt idx="264">
                  <c:v>48</c:v>
                </c:pt>
                <c:pt idx="265">
                  <c:v>48</c:v>
                </c:pt>
                <c:pt idx="266">
                  <c:v>48</c:v>
                </c:pt>
                <c:pt idx="267">
                  <c:v>48</c:v>
                </c:pt>
                <c:pt idx="268">
                  <c:v>48</c:v>
                </c:pt>
                <c:pt idx="269">
                  <c:v>49</c:v>
                </c:pt>
                <c:pt idx="270">
                  <c:v>49</c:v>
                </c:pt>
                <c:pt idx="271">
                  <c:v>49</c:v>
                </c:pt>
                <c:pt idx="272">
                  <c:v>49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52</c:v>
                </c:pt>
                <c:pt idx="284">
                  <c:v>52</c:v>
                </c:pt>
                <c:pt idx="285">
                  <c:v>52</c:v>
                </c:pt>
                <c:pt idx="286">
                  <c:v>53</c:v>
                </c:pt>
                <c:pt idx="287">
                  <c:v>53</c:v>
                </c:pt>
                <c:pt idx="288">
                  <c:v>54</c:v>
                </c:pt>
                <c:pt idx="289">
                  <c:v>54</c:v>
                </c:pt>
                <c:pt idx="290">
                  <c:v>54</c:v>
                </c:pt>
                <c:pt idx="291">
                  <c:v>55</c:v>
                </c:pt>
                <c:pt idx="292">
                  <c:v>55</c:v>
                </c:pt>
                <c:pt idx="293">
                  <c:v>56</c:v>
                </c:pt>
                <c:pt idx="294">
                  <c:v>56</c:v>
                </c:pt>
                <c:pt idx="295">
                  <c:v>57</c:v>
                </c:pt>
                <c:pt idx="296">
                  <c:v>57</c:v>
                </c:pt>
                <c:pt idx="297">
                  <c:v>57</c:v>
                </c:pt>
                <c:pt idx="298">
                  <c:v>57</c:v>
                </c:pt>
                <c:pt idx="299">
                  <c:v>58</c:v>
                </c:pt>
                <c:pt idx="300">
                  <c:v>59</c:v>
                </c:pt>
                <c:pt idx="301">
                  <c:v>59</c:v>
                </c:pt>
                <c:pt idx="302">
                  <c:v>59</c:v>
                </c:pt>
                <c:pt idx="303">
                  <c:v>59</c:v>
                </c:pt>
                <c:pt idx="304">
                  <c:v>59</c:v>
                </c:pt>
                <c:pt idx="305">
                  <c:v>61</c:v>
                </c:pt>
                <c:pt idx="306">
                  <c:v>61</c:v>
                </c:pt>
                <c:pt idx="307">
                  <c:v>61</c:v>
                </c:pt>
                <c:pt idx="308">
                  <c:v>61</c:v>
                </c:pt>
                <c:pt idx="309">
                  <c:v>61</c:v>
                </c:pt>
                <c:pt idx="310">
                  <c:v>61</c:v>
                </c:pt>
                <c:pt idx="311">
                  <c:v>61</c:v>
                </c:pt>
                <c:pt idx="312">
                  <c:v>62</c:v>
                </c:pt>
                <c:pt idx="313">
                  <c:v>62</c:v>
                </c:pt>
                <c:pt idx="314">
                  <c:v>62</c:v>
                </c:pt>
                <c:pt idx="315">
                  <c:v>62</c:v>
                </c:pt>
                <c:pt idx="316">
                  <c:v>62</c:v>
                </c:pt>
                <c:pt idx="317">
                  <c:v>62</c:v>
                </c:pt>
                <c:pt idx="318">
                  <c:v>62</c:v>
                </c:pt>
                <c:pt idx="319">
                  <c:v>62</c:v>
                </c:pt>
                <c:pt idx="320">
                  <c:v>63</c:v>
                </c:pt>
                <c:pt idx="321">
                  <c:v>63</c:v>
                </c:pt>
                <c:pt idx="322">
                  <c:v>63</c:v>
                </c:pt>
                <c:pt idx="323">
                  <c:v>64</c:v>
                </c:pt>
                <c:pt idx="324">
                  <c:v>66</c:v>
                </c:pt>
                <c:pt idx="325">
                  <c:v>68</c:v>
                </c:pt>
                <c:pt idx="326">
                  <c:v>68</c:v>
                </c:pt>
                <c:pt idx="327">
                  <c:v>68</c:v>
                </c:pt>
                <c:pt idx="328">
                  <c:v>69</c:v>
                </c:pt>
                <c:pt idx="329">
                  <c:v>69</c:v>
                </c:pt>
                <c:pt idx="330">
                  <c:v>69</c:v>
                </c:pt>
                <c:pt idx="331">
                  <c:v>69</c:v>
                </c:pt>
                <c:pt idx="332">
                  <c:v>69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71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71</c:v>
                </c:pt>
                <c:pt idx="344">
                  <c:v>72</c:v>
                </c:pt>
                <c:pt idx="345">
                  <c:v>72</c:v>
                </c:pt>
                <c:pt idx="346">
                  <c:v>71</c:v>
                </c:pt>
                <c:pt idx="347">
                  <c:v>72</c:v>
                </c:pt>
                <c:pt idx="348">
                  <c:v>72</c:v>
                </c:pt>
                <c:pt idx="349">
                  <c:v>72</c:v>
                </c:pt>
                <c:pt idx="350">
                  <c:v>74</c:v>
                </c:pt>
                <c:pt idx="351">
                  <c:v>75</c:v>
                </c:pt>
                <c:pt idx="352">
                  <c:v>75</c:v>
                </c:pt>
                <c:pt idx="353">
                  <c:v>76</c:v>
                </c:pt>
                <c:pt idx="354">
                  <c:v>77</c:v>
                </c:pt>
                <c:pt idx="355">
                  <c:v>78</c:v>
                </c:pt>
                <c:pt idx="356">
                  <c:v>78</c:v>
                </c:pt>
                <c:pt idx="357">
                  <c:v>79</c:v>
                </c:pt>
                <c:pt idx="358">
                  <c:v>79</c:v>
                </c:pt>
                <c:pt idx="359">
                  <c:v>80</c:v>
                </c:pt>
                <c:pt idx="360">
                  <c:v>80</c:v>
                </c:pt>
                <c:pt idx="361">
                  <c:v>80</c:v>
                </c:pt>
                <c:pt idx="362">
                  <c:v>80</c:v>
                </c:pt>
                <c:pt idx="363">
                  <c:v>80</c:v>
                </c:pt>
                <c:pt idx="364">
                  <c:v>81</c:v>
                </c:pt>
                <c:pt idx="365">
                  <c:v>81</c:v>
                </c:pt>
                <c:pt idx="366">
                  <c:v>81</c:v>
                </c:pt>
                <c:pt idx="367">
                  <c:v>81</c:v>
                </c:pt>
                <c:pt idx="368">
                  <c:v>82</c:v>
                </c:pt>
                <c:pt idx="369">
                  <c:v>83</c:v>
                </c:pt>
                <c:pt idx="370">
                  <c:v>83</c:v>
                </c:pt>
                <c:pt idx="371">
                  <c:v>84</c:v>
                </c:pt>
                <c:pt idx="372">
                  <c:v>83</c:v>
                </c:pt>
                <c:pt idx="373">
                  <c:v>83</c:v>
                </c:pt>
                <c:pt idx="374">
                  <c:v>83</c:v>
                </c:pt>
                <c:pt idx="375">
                  <c:v>83</c:v>
                </c:pt>
                <c:pt idx="376">
                  <c:v>83</c:v>
                </c:pt>
                <c:pt idx="377">
                  <c:v>83</c:v>
                </c:pt>
                <c:pt idx="378">
                  <c:v>83</c:v>
                </c:pt>
                <c:pt idx="379">
                  <c:v>83</c:v>
                </c:pt>
                <c:pt idx="380">
                  <c:v>83</c:v>
                </c:pt>
                <c:pt idx="381">
                  <c:v>83</c:v>
                </c:pt>
                <c:pt idx="382">
                  <c:v>83</c:v>
                </c:pt>
                <c:pt idx="383">
                  <c:v>82</c:v>
                </c:pt>
                <c:pt idx="384">
                  <c:v>82</c:v>
                </c:pt>
                <c:pt idx="385">
                  <c:v>83</c:v>
                </c:pt>
                <c:pt idx="386">
                  <c:v>83</c:v>
                </c:pt>
                <c:pt idx="387">
                  <c:v>83</c:v>
                </c:pt>
                <c:pt idx="388">
                  <c:v>83</c:v>
                </c:pt>
                <c:pt idx="389">
                  <c:v>84</c:v>
                </c:pt>
                <c:pt idx="390">
                  <c:v>84</c:v>
                </c:pt>
                <c:pt idx="391">
                  <c:v>83</c:v>
                </c:pt>
                <c:pt idx="392">
                  <c:v>84</c:v>
                </c:pt>
                <c:pt idx="393">
                  <c:v>85</c:v>
                </c:pt>
                <c:pt idx="394">
                  <c:v>85</c:v>
                </c:pt>
                <c:pt idx="395">
                  <c:v>85</c:v>
                </c:pt>
                <c:pt idx="396">
                  <c:v>85</c:v>
                </c:pt>
                <c:pt idx="397">
                  <c:v>85</c:v>
                </c:pt>
                <c:pt idx="398">
                  <c:v>85</c:v>
                </c:pt>
                <c:pt idx="399">
                  <c:v>85</c:v>
                </c:pt>
                <c:pt idx="400">
                  <c:v>85</c:v>
                </c:pt>
                <c:pt idx="401">
                  <c:v>86</c:v>
                </c:pt>
                <c:pt idx="402">
                  <c:v>86</c:v>
                </c:pt>
                <c:pt idx="403">
                  <c:v>86</c:v>
                </c:pt>
                <c:pt idx="404">
                  <c:v>87</c:v>
                </c:pt>
                <c:pt idx="405">
                  <c:v>88</c:v>
                </c:pt>
                <c:pt idx="406">
                  <c:v>88</c:v>
                </c:pt>
                <c:pt idx="407">
                  <c:v>88</c:v>
                </c:pt>
                <c:pt idx="408">
                  <c:v>90</c:v>
                </c:pt>
                <c:pt idx="409">
                  <c:v>90</c:v>
                </c:pt>
                <c:pt idx="410">
                  <c:v>90</c:v>
                </c:pt>
                <c:pt idx="411">
                  <c:v>89</c:v>
                </c:pt>
                <c:pt idx="412">
                  <c:v>89</c:v>
                </c:pt>
                <c:pt idx="413">
                  <c:v>89</c:v>
                </c:pt>
                <c:pt idx="414">
                  <c:v>89</c:v>
                </c:pt>
                <c:pt idx="415">
                  <c:v>88</c:v>
                </c:pt>
                <c:pt idx="416">
                  <c:v>89</c:v>
                </c:pt>
                <c:pt idx="417">
                  <c:v>89</c:v>
                </c:pt>
                <c:pt idx="418">
                  <c:v>89</c:v>
                </c:pt>
                <c:pt idx="419">
                  <c:v>89</c:v>
                </c:pt>
                <c:pt idx="420">
                  <c:v>89</c:v>
                </c:pt>
                <c:pt idx="421">
                  <c:v>89</c:v>
                </c:pt>
                <c:pt idx="422">
                  <c:v>89</c:v>
                </c:pt>
                <c:pt idx="423">
                  <c:v>89</c:v>
                </c:pt>
                <c:pt idx="424">
                  <c:v>89</c:v>
                </c:pt>
                <c:pt idx="425">
                  <c:v>89</c:v>
                </c:pt>
                <c:pt idx="426">
                  <c:v>90</c:v>
                </c:pt>
                <c:pt idx="427">
                  <c:v>90</c:v>
                </c:pt>
                <c:pt idx="428">
                  <c:v>91</c:v>
                </c:pt>
                <c:pt idx="429">
                  <c:v>91</c:v>
                </c:pt>
                <c:pt idx="430">
                  <c:v>91</c:v>
                </c:pt>
                <c:pt idx="431">
                  <c:v>91</c:v>
                </c:pt>
                <c:pt idx="432">
                  <c:v>92</c:v>
                </c:pt>
                <c:pt idx="433">
                  <c:v>92</c:v>
                </c:pt>
                <c:pt idx="434">
                  <c:v>92</c:v>
                </c:pt>
                <c:pt idx="435">
                  <c:v>93</c:v>
                </c:pt>
                <c:pt idx="436">
                  <c:v>94</c:v>
                </c:pt>
                <c:pt idx="437">
                  <c:v>94</c:v>
                </c:pt>
                <c:pt idx="438">
                  <c:v>95</c:v>
                </c:pt>
                <c:pt idx="439">
                  <c:v>94</c:v>
                </c:pt>
                <c:pt idx="440">
                  <c:v>94</c:v>
                </c:pt>
                <c:pt idx="441">
                  <c:v>93</c:v>
                </c:pt>
                <c:pt idx="442">
                  <c:v>93</c:v>
                </c:pt>
                <c:pt idx="443">
                  <c:v>94</c:v>
                </c:pt>
                <c:pt idx="444">
                  <c:v>94</c:v>
                </c:pt>
                <c:pt idx="445">
                  <c:v>94</c:v>
                </c:pt>
                <c:pt idx="446">
                  <c:v>94</c:v>
                </c:pt>
                <c:pt idx="447">
                  <c:v>95</c:v>
                </c:pt>
                <c:pt idx="448">
                  <c:v>94</c:v>
                </c:pt>
                <c:pt idx="449">
                  <c:v>94</c:v>
                </c:pt>
                <c:pt idx="450">
                  <c:v>96</c:v>
                </c:pt>
                <c:pt idx="451">
                  <c:v>96</c:v>
                </c:pt>
                <c:pt idx="452">
                  <c:v>96</c:v>
                </c:pt>
                <c:pt idx="453">
                  <c:v>96</c:v>
                </c:pt>
                <c:pt idx="454">
                  <c:v>97</c:v>
                </c:pt>
                <c:pt idx="455">
                  <c:v>97</c:v>
                </c:pt>
                <c:pt idx="456">
                  <c:v>97</c:v>
                </c:pt>
                <c:pt idx="457">
                  <c:v>98</c:v>
                </c:pt>
                <c:pt idx="458">
                  <c:v>98</c:v>
                </c:pt>
                <c:pt idx="459">
                  <c:v>97</c:v>
                </c:pt>
                <c:pt idx="460">
                  <c:v>98</c:v>
                </c:pt>
                <c:pt idx="461">
                  <c:v>98</c:v>
                </c:pt>
                <c:pt idx="462">
                  <c:v>98</c:v>
                </c:pt>
                <c:pt idx="463">
                  <c:v>97</c:v>
                </c:pt>
                <c:pt idx="464">
                  <c:v>96</c:v>
                </c:pt>
                <c:pt idx="465">
                  <c:v>97</c:v>
                </c:pt>
                <c:pt idx="466">
                  <c:v>97</c:v>
                </c:pt>
                <c:pt idx="467">
                  <c:v>97</c:v>
                </c:pt>
                <c:pt idx="468">
                  <c:v>97</c:v>
                </c:pt>
                <c:pt idx="469">
                  <c:v>97</c:v>
                </c:pt>
                <c:pt idx="470">
                  <c:v>97</c:v>
                </c:pt>
                <c:pt idx="471">
                  <c:v>97</c:v>
                </c:pt>
                <c:pt idx="472">
                  <c:v>98</c:v>
                </c:pt>
                <c:pt idx="473">
                  <c:v>98</c:v>
                </c:pt>
                <c:pt idx="474">
                  <c:v>98</c:v>
                </c:pt>
                <c:pt idx="475">
                  <c:v>98</c:v>
                </c:pt>
                <c:pt idx="476">
                  <c:v>99</c:v>
                </c:pt>
                <c:pt idx="477">
                  <c:v>100</c:v>
                </c:pt>
                <c:pt idx="478">
                  <c:v>101</c:v>
                </c:pt>
                <c:pt idx="479">
                  <c:v>101</c:v>
                </c:pt>
                <c:pt idx="480">
                  <c:v>102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99</c:v>
                </c:pt>
                <c:pt idx="491">
                  <c:v>99</c:v>
                </c:pt>
                <c:pt idx="492">
                  <c:v>99</c:v>
                </c:pt>
                <c:pt idx="493">
                  <c:v>99</c:v>
                </c:pt>
                <c:pt idx="494">
                  <c:v>99</c:v>
                </c:pt>
                <c:pt idx="495">
                  <c:v>99</c:v>
                </c:pt>
                <c:pt idx="496">
                  <c:v>100</c:v>
                </c:pt>
                <c:pt idx="497">
                  <c:v>100</c:v>
                </c:pt>
                <c:pt idx="498">
                  <c:v>101</c:v>
                </c:pt>
                <c:pt idx="499">
                  <c:v>101</c:v>
                </c:pt>
                <c:pt idx="500">
                  <c:v>101</c:v>
                </c:pt>
                <c:pt idx="501">
                  <c:v>100</c:v>
                </c:pt>
                <c:pt idx="502">
                  <c:v>101</c:v>
                </c:pt>
                <c:pt idx="503">
                  <c:v>100</c:v>
                </c:pt>
                <c:pt idx="504">
                  <c:v>102</c:v>
                </c:pt>
                <c:pt idx="505">
                  <c:v>102</c:v>
                </c:pt>
                <c:pt idx="506">
                  <c:v>102</c:v>
                </c:pt>
                <c:pt idx="507">
                  <c:v>103</c:v>
                </c:pt>
                <c:pt idx="508">
                  <c:v>103</c:v>
                </c:pt>
                <c:pt idx="509">
                  <c:v>103</c:v>
                </c:pt>
                <c:pt idx="510">
                  <c:v>103</c:v>
                </c:pt>
                <c:pt idx="511">
                  <c:v>104</c:v>
                </c:pt>
                <c:pt idx="512">
                  <c:v>103</c:v>
                </c:pt>
                <c:pt idx="513">
                  <c:v>103</c:v>
                </c:pt>
                <c:pt idx="514">
                  <c:v>101</c:v>
                </c:pt>
                <c:pt idx="515">
                  <c:v>101</c:v>
                </c:pt>
                <c:pt idx="516">
                  <c:v>101</c:v>
                </c:pt>
                <c:pt idx="517">
                  <c:v>101</c:v>
                </c:pt>
                <c:pt idx="518">
                  <c:v>102</c:v>
                </c:pt>
                <c:pt idx="519">
                  <c:v>102</c:v>
                </c:pt>
                <c:pt idx="520">
                  <c:v>102</c:v>
                </c:pt>
                <c:pt idx="521">
                  <c:v>102</c:v>
                </c:pt>
                <c:pt idx="522">
                  <c:v>102</c:v>
                </c:pt>
                <c:pt idx="523">
                  <c:v>102</c:v>
                </c:pt>
                <c:pt idx="524">
                  <c:v>103</c:v>
                </c:pt>
                <c:pt idx="525">
                  <c:v>103</c:v>
                </c:pt>
                <c:pt idx="526">
                  <c:v>103</c:v>
                </c:pt>
                <c:pt idx="527">
                  <c:v>104</c:v>
                </c:pt>
                <c:pt idx="528">
                  <c:v>104</c:v>
                </c:pt>
                <c:pt idx="529">
                  <c:v>106</c:v>
                </c:pt>
                <c:pt idx="530">
                  <c:v>106</c:v>
                </c:pt>
                <c:pt idx="531">
                  <c:v>105</c:v>
                </c:pt>
                <c:pt idx="532">
                  <c:v>106</c:v>
                </c:pt>
                <c:pt idx="533">
                  <c:v>107</c:v>
                </c:pt>
                <c:pt idx="534">
                  <c:v>107</c:v>
                </c:pt>
                <c:pt idx="535">
                  <c:v>106</c:v>
                </c:pt>
                <c:pt idx="536">
                  <c:v>106</c:v>
                </c:pt>
                <c:pt idx="537">
                  <c:v>106</c:v>
                </c:pt>
                <c:pt idx="538">
                  <c:v>106</c:v>
                </c:pt>
                <c:pt idx="539">
                  <c:v>106</c:v>
                </c:pt>
                <c:pt idx="540">
                  <c:v>106</c:v>
                </c:pt>
                <c:pt idx="541">
                  <c:v>107</c:v>
                </c:pt>
                <c:pt idx="542">
                  <c:v>107</c:v>
                </c:pt>
                <c:pt idx="543">
                  <c:v>107</c:v>
                </c:pt>
                <c:pt idx="544">
                  <c:v>107</c:v>
                </c:pt>
                <c:pt idx="545">
                  <c:v>107</c:v>
                </c:pt>
                <c:pt idx="546">
                  <c:v>107</c:v>
                </c:pt>
                <c:pt idx="547">
                  <c:v>107</c:v>
                </c:pt>
                <c:pt idx="548">
                  <c:v>108</c:v>
                </c:pt>
                <c:pt idx="549">
                  <c:v>107</c:v>
                </c:pt>
                <c:pt idx="550">
                  <c:v>106</c:v>
                </c:pt>
                <c:pt idx="551">
                  <c:v>105</c:v>
                </c:pt>
                <c:pt idx="552">
                  <c:v>105</c:v>
                </c:pt>
                <c:pt idx="553">
                  <c:v>105</c:v>
                </c:pt>
                <c:pt idx="554">
                  <c:v>106</c:v>
                </c:pt>
                <c:pt idx="555">
                  <c:v>106</c:v>
                </c:pt>
                <c:pt idx="556">
                  <c:v>106</c:v>
                </c:pt>
                <c:pt idx="557">
                  <c:v>106</c:v>
                </c:pt>
                <c:pt idx="558">
                  <c:v>106</c:v>
                </c:pt>
                <c:pt idx="559">
                  <c:v>106</c:v>
                </c:pt>
                <c:pt idx="560">
                  <c:v>106</c:v>
                </c:pt>
                <c:pt idx="561">
                  <c:v>106</c:v>
                </c:pt>
                <c:pt idx="562">
                  <c:v>105</c:v>
                </c:pt>
                <c:pt idx="563">
                  <c:v>106</c:v>
                </c:pt>
                <c:pt idx="564">
                  <c:v>106</c:v>
                </c:pt>
                <c:pt idx="565">
                  <c:v>106</c:v>
                </c:pt>
                <c:pt idx="566">
                  <c:v>106</c:v>
                </c:pt>
                <c:pt idx="567">
                  <c:v>106</c:v>
                </c:pt>
                <c:pt idx="568">
                  <c:v>104</c:v>
                </c:pt>
                <c:pt idx="569">
                  <c:v>104</c:v>
                </c:pt>
                <c:pt idx="570">
                  <c:v>104</c:v>
                </c:pt>
                <c:pt idx="571">
                  <c:v>104</c:v>
                </c:pt>
                <c:pt idx="572">
                  <c:v>104</c:v>
                </c:pt>
                <c:pt idx="573">
                  <c:v>105</c:v>
                </c:pt>
                <c:pt idx="574">
                  <c:v>107</c:v>
                </c:pt>
                <c:pt idx="575">
                  <c:v>107</c:v>
                </c:pt>
                <c:pt idx="576">
                  <c:v>107</c:v>
                </c:pt>
                <c:pt idx="577">
                  <c:v>106</c:v>
                </c:pt>
                <c:pt idx="578">
                  <c:v>106</c:v>
                </c:pt>
                <c:pt idx="579">
                  <c:v>106</c:v>
                </c:pt>
                <c:pt idx="580">
                  <c:v>106</c:v>
                </c:pt>
                <c:pt idx="581">
                  <c:v>107</c:v>
                </c:pt>
                <c:pt idx="582">
                  <c:v>106</c:v>
                </c:pt>
                <c:pt idx="583">
                  <c:v>106</c:v>
                </c:pt>
                <c:pt idx="584">
                  <c:v>105</c:v>
                </c:pt>
                <c:pt idx="585">
                  <c:v>105</c:v>
                </c:pt>
                <c:pt idx="586">
                  <c:v>104</c:v>
                </c:pt>
                <c:pt idx="587">
                  <c:v>104</c:v>
                </c:pt>
                <c:pt idx="588">
                  <c:v>105</c:v>
                </c:pt>
                <c:pt idx="589">
                  <c:v>105</c:v>
                </c:pt>
                <c:pt idx="590">
                  <c:v>106</c:v>
                </c:pt>
                <c:pt idx="591">
                  <c:v>107</c:v>
                </c:pt>
                <c:pt idx="592">
                  <c:v>106</c:v>
                </c:pt>
                <c:pt idx="593">
                  <c:v>106</c:v>
                </c:pt>
                <c:pt idx="594">
                  <c:v>106</c:v>
                </c:pt>
                <c:pt idx="595">
                  <c:v>106</c:v>
                </c:pt>
                <c:pt idx="596">
                  <c:v>108</c:v>
                </c:pt>
                <c:pt idx="597">
                  <c:v>107</c:v>
                </c:pt>
                <c:pt idx="598">
                  <c:v>107</c:v>
                </c:pt>
                <c:pt idx="599">
                  <c:v>107</c:v>
                </c:pt>
                <c:pt idx="600">
                  <c:v>107</c:v>
                </c:pt>
                <c:pt idx="601">
                  <c:v>107</c:v>
                </c:pt>
                <c:pt idx="602">
                  <c:v>108</c:v>
                </c:pt>
                <c:pt idx="603">
                  <c:v>109</c:v>
                </c:pt>
                <c:pt idx="604">
                  <c:v>107</c:v>
                </c:pt>
                <c:pt idx="605">
                  <c:v>108</c:v>
                </c:pt>
                <c:pt idx="606">
                  <c:v>107</c:v>
                </c:pt>
                <c:pt idx="607">
                  <c:v>107</c:v>
                </c:pt>
                <c:pt idx="608">
                  <c:v>107</c:v>
                </c:pt>
                <c:pt idx="609">
                  <c:v>107</c:v>
                </c:pt>
                <c:pt idx="610">
                  <c:v>106</c:v>
                </c:pt>
                <c:pt idx="611">
                  <c:v>106</c:v>
                </c:pt>
                <c:pt idx="612">
                  <c:v>106</c:v>
                </c:pt>
                <c:pt idx="613">
                  <c:v>106</c:v>
                </c:pt>
                <c:pt idx="614">
                  <c:v>106</c:v>
                </c:pt>
                <c:pt idx="615">
                  <c:v>106</c:v>
                </c:pt>
                <c:pt idx="616">
                  <c:v>106</c:v>
                </c:pt>
                <c:pt idx="617">
                  <c:v>107</c:v>
                </c:pt>
                <c:pt idx="618">
                  <c:v>107</c:v>
                </c:pt>
                <c:pt idx="619">
                  <c:v>107</c:v>
                </c:pt>
                <c:pt idx="620">
                  <c:v>107</c:v>
                </c:pt>
                <c:pt idx="621">
                  <c:v>108</c:v>
                </c:pt>
                <c:pt idx="622">
                  <c:v>108</c:v>
                </c:pt>
                <c:pt idx="623">
                  <c:v>108</c:v>
                </c:pt>
                <c:pt idx="624">
                  <c:v>107</c:v>
                </c:pt>
                <c:pt idx="625">
                  <c:v>107</c:v>
                </c:pt>
                <c:pt idx="626">
                  <c:v>108</c:v>
                </c:pt>
                <c:pt idx="627">
                  <c:v>108</c:v>
                </c:pt>
                <c:pt idx="628">
                  <c:v>108</c:v>
                </c:pt>
                <c:pt idx="629">
                  <c:v>108</c:v>
                </c:pt>
                <c:pt idx="630">
                  <c:v>109</c:v>
                </c:pt>
                <c:pt idx="631">
                  <c:v>110</c:v>
                </c:pt>
                <c:pt idx="632">
                  <c:v>110</c:v>
                </c:pt>
                <c:pt idx="633">
                  <c:v>110</c:v>
                </c:pt>
                <c:pt idx="634">
                  <c:v>110</c:v>
                </c:pt>
                <c:pt idx="635">
                  <c:v>110</c:v>
                </c:pt>
                <c:pt idx="636">
                  <c:v>110</c:v>
                </c:pt>
                <c:pt idx="637">
                  <c:v>110</c:v>
                </c:pt>
                <c:pt idx="638">
                  <c:v>110</c:v>
                </c:pt>
                <c:pt idx="639">
                  <c:v>112</c:v>
                </c:pt>
                <c:pt idx="640">
                  <c:v>112</c:v>
                </c:pt>
                <c:pt idx="641">
                  <c:v>113</c:v>
                </c:pt>
                <c:pt idx="642">
                  <c:v>113</c:v>
                </c:pt>
                <c:pt idx="643">
                  <c:v>114</c:v>
                </c:pt>
                <c:pt idx="644">
                  <c:v>113</c:v>
                </c:pt>
                <c:pt idx="645">
                  <c:v>113</c:v>
                </c:pt>
                <c:pt idx="646">
                  <c:v>113</c:v>
                </c:pt>
                <c:pt idx="647">
                  <c:v>113</c:v>
                </c:pt>
                <c:pt idx="648">
                  <c:v>113</c:v>
                </c:pt>
                <c:pt idx="649">
                  <c:v>113</c:v>
                </c:pt>
                <c:pt idx="650">
                  <c:v>113</c:v>
                </c:pt>
                <c:pt idx="651">
                  <c:v>113</c:v>
                </c:pt>
                <c:pt idx="652">
                  <c:v>113</c:v>
                </c:pt>
                <c:pt idx="653">
                  <c:v>115</c:v>
                </c:pt>
                <c:pt idx="654">
                  <c:v>115</c:v>
                </c:pt>
                <c:pt idx="655">
                  <c:v>115</c:v>
                </c:pt>
                <c:pt idx="656">
                  <c:v>115</c:v>
                </c:pt>
                <c:pt idx="657">
                  <c:v>115</c:v>
                </c:pt>
                <c:pt idx="658">
                  <c:v>116</c:v>
                </c:pt>
                <c:pt idx="659">
                  <c:v>117</c:v>
                </c:pt>
                <c:pt idx="660">
                  <c:v>118</c:v>
                </c:pt>
                <c:pt idx="661">
                  <c:v>118</c:v>
                </c:pt>
                <c:pt idx="662">
                  <c:v>118</c:v>
                </c:pt>
                <c:pt idx="663">
                  <c:v>119</c:v>
                </c:pt>
                <c:pt idx="664">
                  <c:v>120</c:v>
                </c:pt>
                <c:pt idx="665">
                  <c:v>120</c:v>
                </c:pt>
                <c:pt idx="666">
                  <c:v>119</c:v>
                </c:pt>
                <c:pt idx="667">
                  <c:v>119</c:v>
                </c:pt>
                <c:pt idx="668">
                  <c:v>119</c:v>
                </c:pt>
                <c:pt idx="669">
                  <c:v>120</c:v>
                </c:pt>
                <c:pt idx="670">
                  <c:v>120</c:v>
                </c:pt>
                <c:pt idx="671">
                  <c:v>120</c:v>
                </c:pt>
                <c:pt idx="672">
                  <c:v>120</c:v>
                </c:pt>
                <c:pt idx="673">
                  <c:v>120</c:v>
                </c:pt>
                <c:pt idx="674">
                  <c:v>121</c:v>
                </c:pt>
                <c:pt idx="675">
                  <c:v>121</c:v>
                </c:pt>
                <c:pt idx="676">
                  <c:v>121</c:v>
                </c:pt>
                <c:pt idx="677">
                  <c:v>121</c:v>
                </c:pt>
                <c:pt idx="678">
                  <c:v>123</c:v>
                </c:pt>
                <c:pt idx="679">
                  <c:v>123</c:v>
                </c:pt>
                <c:pt idx="680">
                  <c:v>122</c:v>
                </c:pt>
                <c:pt idx="681">
                  <c:v>121</c:v>
                </c:pt>
                <c:pt idx="682">
                  <c:v>121</c:v>
                </c:pt>
                <c:pt idx="683">
                  <c:v>121</c:v>
                </c:pt>
                <c:pt idx="684">
                  <c:v>121</c:v>
                </c:pt>
                <c:pt idx="685">
                  <c:v>118</c:v>
                </c:pt>
                <c:pt idx="686">
                  <c:v>118</c:v>
                </c:pt>
                <c:pt idx="687">
                  <c:v>118</c:v>
                </c:pt>
                <c:pt idx="688">
                  <c:v>118</c:v>
                </c:pt>
                <c:pt idx="689">
                  <c:v>118</c:v>
                </c:pt>
                <c:pt idx="690">
                  <c:v>119</c:v>
                </c:pt>
                <c:pt idx="691">
                  <c:v>119</c:v>
                </c:pt>
                <c:pt idx="692">
                  <c:v>121</c:v>
                </c:pt>
                <c:pt idx="693">
                  <c:v>121</c:v>
                </c:pt>
                <c:pt idx="694">
                  <c:v>121</c:v>
                </c:pt>
                <c:pt idx="695">
                  <c:v>121</c:v>
                </c:pt>
                <c:pt idx="696">
                  <c:v>121</c:v>
                </c:pt>
                <c:pt idx="697">
                  <c:v>121</c:v>
                </c:pt>
                <c:pt idx="698">
                  <c:v>121</c:v>
                </c:pt>
                <c:pt idx="699">
                  <c:v>122</c:v>
                </c:pt>
                <c:pt idx="700">
                  <c:v>121</c:v>
                </c:pt>
                <c:pt idx="701">
                  <c:v>121</c:v>
                </c:pt>
                <c:pt idx="702">
                  <c:v>122</c:v>
                </c:pt>
                <c:pt idx="703">
                  <c:v>123</c:v>
                </c:pt>
                <c:pt idx="704">
                  <c:v>123</c:v>
                </c:pt>
                <c:pt idx="705">
                  <c:v>122</c:v>
                </c:pt>
                <c:pt idx="706">
                  <c:v>122</c:v>
                </c:pt>
                <c:pt idx="707">
                  <c:v>122</c:v>
                </c:pt>
                <c:pt idx="708">
                  <c:v>121</c:v>
                </c:pt>
                <c:pt idx="709">
                  <c:v>121</c:v>
                </c:pt>
                <c:pt idx="710">
                  <c:v>121</c:v>
                </c:pt>
                <c:pt idx="711">
                  <c:v>121</c:v>
                </c:pt>
                <c:pt idx="712">
                  <c:v>122</c:v>
                </c:pt>
                <c:pt idx="713">
                  <c:v>122</c:v>
                </c:pt>
                <c:pt idx="714">
                  <c:v>119</c:v>
                </c:pt>
                <c:pt idx="715">
                  <c:v>118</c:v>
                </c:pt>
                <c:pt idx="716">
                  <c:v>118</c:v>
                </c:pt>
                <c:pt idx="717">
                  <c:v>119</c:v>
                </c:pt>
                <c:pt idx="718">
                  <c:v>118</c:v>
                </c:pt>
                <c:pt idx="719">
                  <c:v>118</c:v>
                </c:pt>
                <c:pt idx="720">
                  <c:v>117</c:v>
                </c:pt>
                <c:pt idx="721">
                  <c:v>117</c:v>
                </c:pt>
                <c:pt idx="722">
                  <c:v>117</c:v>
                </c:pt>
                <c:pt idx="723">
                  <c:v>118</c:v>
                </c:pt>
                <c:pt idx="724">
                  <c:v>118</c:v>
                </c:pt>
                <c:pt idx="725">
                  <c:v>117</c:v>
                </c:pt>
                <c:pt idx="726">
                  <c:v>117</c:v>
                </c:pt>
                <c:pt idx="727">
                  <c:v>117</c:v>
                </c:pt>
                <c:pt idx="728">
                  <c:v>117</c:v>
                </c:pt>
                <c:pt idx="729">
                  <c:v>117</c:v>
                </c:pt>
                <c:pt idx="730">
                  <c:v>117</c:v>
                </c:pt>
                <c:pt idx="731">
                  <c:v>117</c:v>
                </c:pt>
                <c:pt idx="732">
                  <c:v>116</c:v>
                </c:pt>
                <c:pt idx="733">
                  <c:v>116</c:v>
                </c:pt>
                <c:pt idx="734">
                  <c:v>116</c:v>
                </c:pt>
                <c:pt idx="735">
                  <c:v>116</c:v>
                </c:pt>
                <c:pt idx="736">
                  <c:v>116</c:v>
                </c:pt>
                <c:pt idx="737">
                  <c:v>116</c:v>
                </c:pt>
                <c:pt idx="738">
                  <c:v>116</c:v>
                </c:pt>
                <c:pt idx="739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9A-4EB6-A21F-62BB5E9370CD}"/>
            </c:ext>
          </c:extLst>
        </c:ser>
        <c:ser>
          <c:idx val="3"/>
          <c:order val="3"/>
          <c:tx>
            <c:strRef>
              <c:f>'Active Timeline'!$N$1</c:f>
              <c:strCache>
                <c:ptCount val="1"/>
                <c:pt idx="0">
                  <c:v>ActiveNorthernIreland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'Active Timeline'!$A$2:$A$741</c:f>
              <c:numCache>
                <c:formatCode>yyyy\-mm\-dd;@</c:formatCode>
                <c:ptCount val="740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</c:numCache>
            </c:numRef>
          </c:cat>
          <c:val>
            <c:numRef>
              <c:f>'Active Timeline'!$N$2:$N$741</c:f>
              <c:numCache>
                <c:formatCode>0</c:formatCode>
                <c:ptCount val="74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7</c:v>
                </c:pt>
                <c:pt idx="33">
                  <c:v>7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9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12</c:v>
                </c:pt>
                <c:pt idx="56">
                  <c:v>12</c:v>
                </c:pt>
                <c:pt idx="57">
                  <c:v>13</c:v>
                </c:pt>
                <c:pt idx="58">
                  <c:v>13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14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17</c:v>
                </c:pt>
                <c:pt idx="70">
                  <c:v>17</c:v>
                </c:pt>
                <c:pt idx="71">
                  <c:v>17</c:v>
                </c:pt>
                <c:pt idx="72">
                  <c:v>17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21</c:v>
                </c:pt>
                <c:pt idx="83">
                  <c:v>22</c:v>
                </c:pt>
                <c:pt idx="84">
                  <c:v>24</c:v>
                </c:pt>
                <c:pt idx="85">
                  <c:v>25</c:v>
                </c:pt>
                <c:pt idx="86">
                  <c:v>27</c:v>
                </c:pt>
                <c:pt idx="87">
                  <c:v>27</c:v>
                </c:pt>
                <c:pt idx="88">
                  <c:v>26</c:v>
                </c:pt>
                <c:pt idx="89">
                  <c:v>26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32</c:v>
                </c:pt>
                <c:pt idx="111">
                  <c:v>33</c:v>
                </c:pt>
                <c:pt idx="112">
                  <c:v>33</c:v>
                </c:pt>
                <c:pt idx="113">
                  <c:v>35</c:v>
                </c:pt>
                <c:pt idx="114">
                  <c:v>35</c:v>
                </c:pt>
                <c:pt idx="115">
                  <c:v>36</c:v>
                </c:pt>
                <c:pt idx="116">
                  <c:v>36</c:v>
                </c:pt>
                <c:pt idx="117">
                  <c:v>36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37</c:v>
                </c:pt>
                <c:pt idx="125">
                  <c:v>38</c:v>
                </c:pt>
                <c:pt idx="126">
                  <c:v>37</c:v>
                </c:pt>
                <c:pt idx="127">
                  <c:v>38</c:v>
                </c:pt>
                <c:pt idx="128">
                  <c:v>38</c:v>
                </c:pt>
                <c:pt idx="129">
                  <c:v>38</c:v>
                </c:pt>
                <c:pt idx="130">
                  <c:v>39</c:v>
                </c:pt>
                <c:pt idx="131">
                  <c:v>39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41</c:v>
                </c:pt>
                <c:pt idx="139">
                  <c:v>41</c:v>
                </c:pt>
                <c:pt idx="140">
                  <c:v>41</c:v>
                </c:pt>
                <c:pt idx="141">
                  <c:v>42</c:v>
                </c:pt>
                <c:pt idx="142">
                  <c:v>43</c:v>
                </c:pt>
                <c:pt idx="143">
                  <c:v>45</c:v>
                </c:pt>
                <c:pt idx="144">
                  <c:v>44</c:v>
                </c:pt>
                <c:pt idx="145">
                  <c:v>44</c:v>
                </c:pt>
                <c:pt idx="146">
                  <c:v>45</c:v>
                </c:pt>
                <c:pt idx="147">
                  <c:v>46</c:v>
                </c:pt>
                <c:pt idx="148">
                  <c:v>46</c:v>
                </c:pt>
                <c:pt idx="149">
                  <c:v>46</c:v>
                </c:pt>
                <c:pt idx="150">
                  <c:v>46</c:v>
                </c:pt>
                <c:pt idx="151">
                  <c:v>46</c:v>
                </c:pt>
                <c:pt idx="152">
                  <c:v>46</c:v>
                </c:pt>
                <c:pt idx="153">
                  <c:v>46</c:v>
                </c:pt>
                <c:pt idx="154">
                  <c:v>47</c:v>
                </c:pt>
                <c:pt idx="155">
                  <c:v>47</c:v>
                </c:pt>
                <c:pt idx="156">
                  <c:v>47</c:v>
                </c:pt>
                <c:pt idx="157">
                  <c:v>47</c:v>
                </c:pt>
                <c:pt idx="158">
                  <c:v>47</c:v>
                </c:pt>
                <c:pt idx="159">
                  <c:v>47</c:v>
                </c:pt>
                <c:pt idx="160">
                  <c:v>49</c:v>
                </c:pt>
                <c:pt idx="161">
                  <c:v>49</c:v>
                </c:pt>
                <c:pt idx="162">
                  <c:v>49</c:v>
                </c:pt>
                <c:pt idx="163">
                  <c:v>48</c:v>
                </c:pt>
                <c:pt idx="164">
                  <c:v>48</c:v>
                </c:pt>
                <c:pt idx="165">
                  <c:v>48</c:v>
                </c:pt>
                <c:pt idx="166">
                  <c:v>49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52</c:v>
                </c:pt>
                <c:pt idx="180">
                  <c:v>52</c:v>
                </c:pt>
                <c:pt idx="181">
                  <c:v>53</c:v>
                </c:pt>
                <c:pt idx="182">
                  <c:v>53</c:v>
                </c:pt>
                <c:pt idx="183">
                  <c:v>53</c:v>
                </c:pt>
                <c:pt idx="184">
                  <c:v>53</c:v>
                </c:pt>
                <c:pt idx="185">
                  <c:v>53</c:v>
                </c:pt>
                <c:pt idx="186">
                  <c:v>53</c:v>
                </c:pt>
                <c:pt idx="187">
                  <c:v>53</c:v>
                </c:pt>
                <c:pt idx="188">
                  <c:v>53</c:v>
                </c:pt>
                <c:pt idx="189">
                  <c:v>54</c:v>
                </c:pt>
                <c:pt idx="190">
                  <c:v>54</c:v>
                </c:pt>
                <c:pt idx="191">
                  <c:v>54</c:v>
                </c:pt>
                <c:pt idx="192">
                  <c:v>54</c:v>
                </c:pt>
                <c:pt idx="193">
                  <c:v>54</c:v>
                </c:pt>
                <c:pt idx="194">
                  <c:v>54</c:v>
                </c:pt>
                <c:pt idx="195">
                  <c:v>54</c:v>
                </c:pt>
                <c:pt idx="196">
                  <c:v>54</c:v>
                </c:pt>
                <c:pt idx="197">
                  <c:v>53</c:v>
                </c:pt>
                <c:pt idx="198">
                  <c:v>54</c:v>
                </c:pt>
                <c:pt idx="199">
                  <c:v>55</c:v>
                </c:pt>
                <c:pt idx="200">
                  <c:v>55</c:v>
                </c:pt>
                <c:pt idx="201">
                  <c:v>55</c:v>
                </c:pt>
                <c:pt idx="202">
                  <c:v>55</c:v>
                </c:pt>
                <c:pt idx="203">
                  <c:v>55</c:v>
                </c:pt>
                <c:pt idx="204">
                  <c:v>55</c:v>
                </c:pt>
                <c:pt idx="205">
                  <c:v>55</c:v>
                </c:pt>
                <c:pt idx="206">
                  <c:v>55</c:v>
                </c:pt>
                <c:pt idx="207">
                  <c:v>56</c:v>
                </c:pt>
                <c:pt idx="208">
                  <c:v>57</c:v>
                </c:pt>
                <c:pt idx="209">
                  <c:v>57</c:v>
                </c:pt>
                <c:pt idx="210">
                  <c:v>57</c:v>
                </c:pt>
                <c:pt idx="211">
                  <c:v>57</c:v>
                </c:pt>
                <c:pt idx="212">
                  <c:v>57</c:v>
                </c:pt>
                <c:pt idx="213">
                  <c:v>57</c:v>
                </c:pt>
                <c:pt idx="214">
                  <c:v>58</c:v>
                </c:pt>
                <c:pt idx="215">
                  <c:v>57</c:v>
                </c:pt>
                <c:pt idx="216">
                  <c:v>58</c:v>
                </c:pt>
                <c:pt idx="217">
                  <c:v>58</c:v>
                </c:pt>
                <c:pt idx="218">
                  <c:v>58</c:v>
                </c:pt>
                <c:pt idx="219">
                  <c:v>57</c:v>
                </c:pt>
                <c:pt idx="220">
                  <c:v>57</c:v>
                </c:pt>
                <c:pt idx="221">
                  <c:v>57</c:v>
                </c:pt>
                <c:pt idx="222">
                  <c:v>58</c:v>
                </c:pt>
                <c:pt idx="223">
                  <c:v>58</c:v>
                </c:pt>
                <c:pt idx="224">
                  <c:v>58</c:v>
                </c:pt>
                <c:pt idx="225">
                  <c:v>58</c:v>
                </c:pt>
                <c:pt idx="226">
                  <c:v>58</c:v>
                </c:pt>
                <c:pt idx="227">
                  <c:v>57</c:v>
                </c:pt>
                <c:pt idx="228">
                  <c:v>57</c:v>
                </c:pt>
                <c:pt idx="229">
                  <c:v>56</c:v>
                </c:pt>
                <c:pt idx="230">
                  <c:v>56</c:v>
                </c:pt>
                <c:pt idx="231">
                  <c:v>56</c:v>
                </c:pt>
                <c:pt idx="232">
                  <c:v>56</c:v>
                </c:pt>
                <c:pt idx="233">
                  <c:v>57</c:v>
                </c:pt>
                <c:pt idx="234">
                  <c:v>57</c:v>
                </c:pt>
                <c:pt idx="235">
                  <c:v>58</c:v>
                </c:pt>
                <c:pt idx="236">
                  <c:v>58</c:v>
                </c:pt>
                <c:pt idx="237">
                  <c:v>58</c:v>
                </c:pt>
                <c:pt idx="238">
                  <c:v>57</c:v>
                </c:pt>
                <c:pt idx="239">
                  <c:v>59</c:v>
                </c:pt>
                <c:pt idx="240">
                  <c:v>59</c:v>
                </c:pt>
                <c:pt idx="241">
                  <c:v>59</c:v>
                </c:pt>
                <c:pt idx="242">
                  <c:v>59</c:v>
                </c:pt>
                <c:pt idx="243">
                  <c:v>59</c:v>
                </c:pt>
                <c:pt idx="244">
                  <c:v>59</c:v>
                </c:pt>
                <c:pt idx="245">
                  <c:v>59</c:v>
                </c:pt>
                <c:pt idx="246">
                  <c:v>59</c:v>
                </c:pt>
                <c:pt idx="247">
                  <c:v>59</c:v>
                </c:pt>
                <c:pt idx="248">
                  <c:v>59</c:v>
                </c:pt>
                <c:pt idx="249">
                  <c:v>59</c:v>
                </c:pt>
                <c:pt idx="250">
                  <c:v>59</c:v>
                </c:pt>
                <c:pt idx="251">
                  <c:v>59</c:v>
                </c:pt>
                <c:pt idx="252">
                  <c:v>59</c:v>
                </c:pt>
                <c:pt idx="253">
                  <c:v>60</c:v>
                </c:pt>
                <c:pt idx="254">
                  <c:v>60</c:v>
                </c:pt>
                <c:pt idx="255">
                  <c:v>60</c:v>
                </c:pt>
                <c:pt idx="256">
                  <c:v>60</c:v>
                </c:pt>
                <c:pt idx="257">
                  <c:v>61</c:v>
                </c:pt>
                <c:pt idx="258">
                  <c:v>61</c:v>
                </c:pt>
                <c:pt idx="259">
                  <c:v>61</c:v>
                </c:pt>
                <c:pt idx="260">
                  <c:v>61</c:v>
                </c:pt>
                <c:pt idx="261">
                  <c:v>61</c:v>
                </c:pt>
                <c:pt idx="262">
                  <c:v>62</c:v>
                </c:pt>
                <c:pt idx="263">
                  <c:v>62</c:v>
                </c:pt>
                <c:pt idx="264">
                  <c:v>62</c:v>
                </c:pt>
                <c:pt idx="265">
                  <c:v>62</c:v>
                </c:pt>
                <c:pt idx="266">
                  <c:v>62</c:v>
                </c:pt>
                <c:pt idx="267">
                  <c:v>62</c:v>
                </c:pt>
                <c:pt idx="268">
                  <c:v>62</c:v>
                </c:pt>
                <c:pt idx="269">
                  <c:v>62</c:v>
                </c:pt>
                <c:pt idx="270">
                  <c:v>62</c:v>
                </c:pt>
                <c:pt idx="271">
                  <c:v>63</c:v>
                </c:pt>
                <c:pt idx="272">
                  <c:v>63</c:v>
                </c:pt>
                <c:pt idx="273">
                  <c:v>63</c:v>
                </c:pt>
                <c:pt idx="274">
                  <c:v>63</c:v>
                </c:pt>
                <c:pt idx="275">
                  <c:v>65</c:v>
                </c:pt>
                <c:pt idx="276">
                  <c:v>65</c:v>
                </c:pt>
                <c:pt idx="277">
                  <c:v>65</c:v>
                </c:pt>
                <c:pt idx="278">
                  <c:v>65</c:v>
                </c:pt>
                <c:pt idx="279">
                  <c:v>65</c:v>
                </c:pt>
                <c:pt idx="280">
                  <c:v>65</c:v>
                </c:pt>
                <c:pt idx="281">
                  <c:v>65</c:v>
                </c:pt>
                <c:pt idx="282">
                  <c:v>65</c:v>
                </c:pt>
                <c:pt idx="283">
                  <c:v>65</c:v>
                </c:pt>
                <c:pt idx="284">
                  <c:v>66</c:v>
                </c:pt>
                <c:pt idx="285">
                  <c:v>66</c:v>
                </c:pt>
                <c:pt idx="286">
                  <c:v>66</c:v>
                </c:pt>
                <c:pt idx="287">
                  <c:v>66</c:v>
                </c:pt>
                <c:pt idx="288">
                  <c:v>67</c:v>
                </c:pt>
                <c:pt idx="289">
                  <c:v>68</c:v>
                </c:pt>
                <c:pt idx="290">
                  <c:v>68</c:v>
                </c:pt>
                <c:pt idx="291">
                  <c:v>67</c:v>
                </c:pt>
                <c:pt idx="292">
                  <c:v>67</c:v>
                </c:pt>
                <c:pt idx="293">
                  <c:v>68</c:v>
                </c:pt>
                <c:pt idx="294">
                  <c:v>69</c:v>
                </c:pt>
                <c:pt idx="295">
                  <c:v>70</c:v>
                </c:pt>
                <c:pt idx="296">
                  <c:v>70</c:v>
                </c:pt>
                <c:pt idx="297">
                  <c:v>71</c:v>
                </c:pt>
                <c:pt idx="298">
                  <c:v>71</c:v>
                </c:pt>
                <c:pt idx="299">
                  <c:v>72</c:v>
                </c:pt>
                <c:pt idx="300">
                  <c:v>72</c:v>
                </c:pt>
                <c:pt idx="301">
                  <c:v>72</c:v>
                </c:pt>
                <c:pt idx="302">
                  <c:v>72</c:v>
                </c:pt>
                <c:pt idx="303">
                  <c:v>72</c:v>
                </c:pt>
                <c:pt idx="304">
                  <c:v>72</c:v>
                </c:pt>
                <c:pt idx="305">
                  <c:v>72</c:v>
                </c:pt>
                <c:pt idx="306">
                  <c:v>72</c:v>
                </c:pt>
                <c:pt idx="307">
                  <c:v>72</c:v>
                </c:pt>
                <c:pt idx="308">
                  <c:v>73</c:v>
                </c:pt>
                <c:pt idx="309">
                  <c:v>74</c:v>
                </c:pt>
                <c:pt idx="310">
                  <c:v>75</c:v>
                </c:pt>
                <c:pt idx="311">
                  <c:v>75</c:v>
                </c:pt>
                <c:pt idx="312">
                  <c:v>75</c:v>
                </c:pt>
                <c:pt idx="313">
                  <c:v>75</c:v>
                </c:pt>
                <c:pt idx="314">
                  <c:v>75</c:v>
                </c:pt>
                <c:pt idx="315">
                  <c:v>75</c:v>
                </c:pt>
                <c:pt idx="316">
                  <c:v>75</c:v>
                </c:pt>
                <c:pt idx="317">
                  <c:v>76</c:v>
                </c:pt>
                <c:pt idx="318">
                  <c:v>77</c:v>
                </c:pt>
                <c:pt idx="319">
                  <c:v>76</c:v>
                </c:pt>
                <c:pt idx="320">
                  <c:v>76</c:v>
                </c:pt>
                <c:pt idx="321">
                  <c:v>76</c:v>
                </c:pt>
                <c:pt idx="322">
                  <c:v>76</c:v>
                </c:pt>
                <c:pt idx="323">
                  <c:v>75</c:v>
                </c:pt>
                <c:pt idx="324">
                  <c:v>75</c:v>
                </c:pt>
                <c:pt idx="325">
                  <c:v>75</c:v>
                </c:pt>
                <c:pt idx="326">
                  <c:v>75</c:v>
                </c:pt>
                <c:pt idx="327">
                  <c:v>75</c:v>
                </c:pt>
                <c:pt idx="328">
                  <c:v>75</c:v>
                </c:pt>
                <c:pt idx="329">
                  <c:v>76</c:v>
                </c:pt>
                <c:pt idx="330">
                  <c:v>75</c:v>
                </c:pt>
                <c:pt idx="331">
                  <c:v>75</c:v>
                </c:pt>
                <c:pt idx="332">
                  <c:v>76</c:v>
                </c:pt>
                <c:pt idx="333">
                  <c:v>76</c:v>
                </c:pt>
                <c:pt idx="334">
                  <c:v>76</c:v>
                </c:pt>
                <c:pt idx="335">
                  <c:v>77</c:v>
                </c:pt>
                <c:pt idx="336">
                  <c:v>77</c:v>
                </c:pt>
                <c:pt idx="337">
                  <c:v>77</c:v>
                </c:pt>
                <c:pt idx="338">
                  <c:v>78</c:v>
                </c:pt>
                <c:pt idx="339">
                  <c:v>77</c:v>
                </c:pt>
                <c:pt idx="340">
                  <c:v>77</c:v>
                </c:pt>
                <c:pt idx="341">
                  <c:v>76</c:v>
                </c:pt>
                <c:pt idx="342">
                  <c:v>76</c:v>
                </c:pt>
                <c:pt idx="343">
                  <c:v>77</c:v>
                </c:pt>
                <c:pt idx="344">
                  <c:v>77</c:v>
                </c:pt>
                <c:pt idx="345">
                  <c:v>78</c:v>
                </c:pt>
                <c:pt idx="346">
                  <c:v>79</c:v>
                </c:pt>
                <c:pt idx="347">
                  <c:v>79</c:v>
                </c:pt>
                <c:pt idx="348">
                  <c:v>79</c:v>
                </c:pt>
                <c:pt idx="349">
                  <c:v>79</c:v>
                </c:pt>
                <c:pt idx="350">
                  <c:v>80</c:v>
                </c:pt>
                <c:pt idx="351">
                  <c:v>80</c:v>
                </c:pt>
                <c:pt idx="352">
                  <c:v>80</c:v>
                </c:pt>
                <c:pt idx="353">
                  <c:v>81</c:v>
                </c:pt>
                <c:pt idx="354">
                  <c:v>81</c:v>
                </c:pt>
                <c:pt idx="355">
                  <c:v>81</c:v>
                </c:pt>
                <c:pt idx="356">
                  <c:v>81</c:v>
                </c:pt>
                <c:pt idx="357">
                  <c:v>81</c:v>
                </c:pt>
                <c:pt idx="358">
                  <c:v>82</c:v>
                </c:pt>
                <c:pt idx="359">
                  <c:v>83</c:v>
                </c:pt>
                <c:pt idx="360">
                  <c:v>83</c:v>
                </c:pt>
                <c:pt idx="361">
                  <c:v>83</c:v>
                </c:pt>
                <c:pt idx="362">
                  <c:v>82</c:v>
                </c:pt>
                <c:pt idx="363">
                  <c:v>84</c:v>
                </c:pt>
                <c:pt idx="364">
                  <c:v>85</c:v>
                </c:pt>
                <c:pt idx="365">
                  <c:v>85</c:v>
                </c:pt>
                <c:pt idx="366">
                  <c:v>85</c:v>
                </c:pt>
                <c:pt idx="367">
                  <c:v>86</c:v>
                </c:pt>
                <c:pt idx="368">
                  <c:v>86</c:v>
                </c:pt>
                <c:pt idx="369">
                  <c:v>86</c:v>
                </c:pt>
                <c:pt idx="370">
                  <c:v>86</c:v>
                </c:pt>
                <c:pt idx="371">
                  <c:v>87</c:v>
                </c:pt>
                <c:pt idx="372">
                  <c:v>87</c:v>
                </c:pt>
                <c:pt idx="373">
                  <c:v>87</c:v>
                </c:pt>
                <c:pt idx="374">
                  <c:v>87</c:v>
                </c:pt>
                <c:pt idx="375">
                  <c:v>87</c:v>
                </c:pt>
                <c:pt idx="376">
                  <c:v>87</c:v>
                </c:pt>
                <c:pt idx="377">
                  <c:v>87</c:v>
                </c:pt>
                <c:pt idx="378">
                  <c:v>87</c:v>
                </c:pt>
                <c:pt idx="379">
                  <c:v>87</c:v>
                </c:pt>
                <c:pt idx="380">
                  <c:v>87</c:v>
                </c:pt>
                <c:pt idx="381">
                  <c:v>87</c:v>
                </c:pt>
                <c:pt idx="382">
                  <c:v>88</c:v>
                </c:pt>
                <c:pt idx="383">
                  <c:v>88</c:v>
                </c:pt>
                <c:pt idx="384">
                  <c:v>88</c:v>
                </c:pt>
                <c:pt idx="385">
                  <c:v>88</c:v>
                </c:pt>
                <c:pt idx="386">
                  <c:v>89</c:v>
                </c:pt>
                <c:pt idx="387">
                  <c:v>90</c:v>
                </c:pt>
                <c:pt idx="388">
                  <c:v>89</c:v>
                </c:pt>
                <c:pt idx="389">
                  <c:v>89</c:v>
                </c:pt>
                <c:pt idx="390">
                  <c:v>89</c:v>
                </c:pt>
                <c:pt idx="391">
                  <c:v>89</c:v>
                </c:pt>
                <c:pt idx="392">
                  <c:v>89</c:v>
                </c:pt>
                <c:pt idx="393">
                  <c:v>91</c:v>
                </c:pt>
                <c:pt idx="394">
                  <c:v>92</c:v>
                </c:pt>
                <c:pt idx="395">
                  <c:v>91</c:v>
                </c:pt>
                <c:pt idx="396">
                  <c:v>91</c:v>
                </c:pt>
                <c:pt idx="397">
                  <c:v>90</c:v>
                </c:pt>
                <c:pt idx="398">
                  <c:v>88</c:v>
                </c:pt>
                <c:pt idx="399">
                  <c:v>90</c:v>
                </c:pt>
                <c:pt idx="400">
                  <c:v>90</c:v>
                </c:pt>
                <c:pt idx="401">
                  <c:v>90</c:v>
                </c:pt>
                <c:pt idx="402">
                  <c:v>91</c:v>
                </c:pt>
                <c:pt idx="403">
                  <c:v>91</c:v>
                </c:pt>
                <c:pt idx="404">
                  <c:v>91</c:v>
                </c:pt>
                <c:pt idx="405">
                  <c:v>91</c:v>
                </c:pt>
                <c:pt idx="406">
                  <c:v>92</c:v>
                </c:pt>
                <c:pt idx="407">
                  <c:v>92</c:v>
                </c:pt>
                <c:pt idx="408">
                  <c:v>92</c:v>
                </c:pt>
                <c:pt idx="409">
                  <c:v>92</c:v>
                </c:pt>
                <c:pt idx="410">
                  <c:v>92</c:v>
                </c:pt>
                <c:pt idx="411">
                  <c:v>92</c:v>
                </c:pt>
                <c:pt idx="412">
                  <c:v>92</c:v>
                </c:pt>
                <c:pt idx="413">
                  <c:v>91</c:v>
                </c:pt>
                <c:pt idx="414">
                  <c:v>91</c:v>
                </c:pt>
                <c:pt idx="415">
                  <c:v>92</c:v>
                </c:pt>
                <c:pt idx="416">
                  <c:v>91</c:v>
                </c:pt>
                <c:pt idx="417">
                  <c:v>90</c:v>
                </c:pt>
                <c:pt idx="418">
                  <c:v>90</c:v>
                </c:pt>
                <c:pt idx="419">
                  <c:v>90</c:v>
                </c:pt>
                <c:pt idx="420">
                  <c:v>90</c:v>
                </c:pt>
                <c:pt idx="421">
                  <c:v>90</c:v>
                </c:pt>
                <c:pt idx="422">
                  <c:v>90</c:v>
                </c:pt>
                <c:pt idx="423">
                  <c:v>91</c:v>
                </c:pt>
                <c:pt idx="424">
                  <c:v>91</c:v>
                </c:pt>
                <c:pt idx="425">
                  <c:v>92</c:v>
                </c:pt>
                <c:pt idx="426">
                  <c:v>93</c:v>
                </c:pt>
                <c:pt idx="427">
                  <c:v>94</c:v>
                </c:pt>
                <c:pt idx="428">
                  <c:v>94</c:v>
                </c:pt>
                <c:pt idx="429">
                  <c:v>95</c:v>
                </c:pt>
                <c:pt idx="430">
                  <c:v>95</c:v>
                </c:pt>
                <c:pt idx="431">
                  <c:v>95</c:v>
                </c:pt>
                <c:pt idx="432">
                  <c:v>95</c:v>
                </c:pt>
                <c:pt idx="433">
                  <c:v>95</c:v>
                </c:pt>
                <c:pt idx="434">
                  <c:v>95</c:v>
                </c:pt>
                <c:pt idx="435">
                  <c:v>97</c:v>
                </c:pt>
                <c:pt idx="436">
                  <c:v>97</c:v>
                </c:pt>
                <c:pt idx="437">
                  <c:v>96</c:v>
                </c:pt>
                <c:pt idx="438">
                  <c:v>96</c:v>
                </c:pt>
                <c:pt idx="439">
                  <c:v>96</c:v>
                </c:pt>
                <c:pt idx="440">
                  <c:v>96</c:v>
                </c:pt>
                <c:pt idx="441">
                  <c:v>96</c:v>
                </c:pt>
                <c:pt idx="442">
                  <c:v>96</c:v>
                </c:pt>
                <c:pt idx="443">
                  <c:v>95</c:v>
                </c:pt>
                <c:pt idx="444">
                  <c:v>95</c:v>
                </c:pt>
                <c:pt idx="445">
                  <c:v>93</c:v>
                </c:pt>
                <c:pt idx="446">
                  <c:v>93</c:v>
                </c:pt>
                <c:pt idx="447">
                  <c:v>91</c:v>
                </c:pt>
                <c:pt idx="448">
                  <c:v>92</c:v>
                </c:pt>
                <c:pt idx="449">
                  <c:v>92</c:v>
                </c:pt>
                <c:pt idx="450">
                  <c:v>92</c:v>
                </c:pt>
                <c:pt idx="451">
                  <c:v>91</c:v>
                </c:pt>
                <c:pt idx="452">
                  <c:v>92</c:v>
                </c:pt>
                <c:pt idx="453">
                  <c:v>93</c:v>
                </c:pt>
                <c:pt idx="454">
                  <c:v>94</c:v>
                </c:pt>
                <c:pt idx="455">
                  <c:v>94</c:v>
                </c:pt>
                <c:pt idx="456">
                  <c:v>93</c:v>
                </c:pt>
                <c:pt idx="457">
                  <c:v>92</c:v>
                </c:pt>
                <c:pt idx="458">
                  <c:v>92</c:v>
                </c:pt>
                <c:pt idx="459">
                  <c:v>93</c:v>
                </c:pt>
                <c:pt idx="460">
                  <c:v>94</c:v>
                </c:pt>
                <c:pt idx="461">
                  <c:v>94</c:v>
                </c:pt>
                <c:pt idx="462">
                  <c:v>94</c:v>
                </c:pt>
                <c:pt idx="463">
                  <c:v>94</c:v>
                </c:pt>
                <c:pt idx="464">
                  <c:v>94</c:v>
                </c:pt>
                <c:pt idx="465">
                  <c:v>93</c:v>
                </c:pt>
                <c:pt idx="466">
                  <c:v>93</c:v>
                </c:pt>
                <c:pt idx="467">
                  <c:v>94</c:v>
                </c:pt>
                <c:pt idx="468">
                  <c:v>93</c:v>
                </c:pt>
                <c:pt idx="469">
                  <c:v>93</c:v>
                </c:pt>
                <c:pt idx="470">
                  <c:v>93</c:v>
                </c:pt>
                <c:pt idx="471">
                  <c:v>93</c:v>
                </c:pt>
                <c:pt idx="472">
                  <c:v>93</c:v>
                </c:pt>
                <c:pt idx="473">
                  <c:v>93</c:v>
                </c:pt>
                <c:pt idx="474">
                  <c:v>93</c:v>
                </c:pt>
                <c:pt idx="475">
                  <c:v>93</c:v>
                </c:pt>
                <c:pt idx="476">
                  <c:v>91</c:v>
                </c:pt>
                <c:pt idx="477">
                  <c:v>91</c:v>
                </c:pt>
                <c:pt idx="478">
                  <c:v>91</c:v>
                </c:pt>
                <c:pt idx="479">
                  <c:v>89</c:v>
                </c:pt>
                <c:pt idx="480">
                  <c:v>89</c:v>
                </c:pt>
                <c:pt idx="481">
                  <c:v>89</c:v>
                </c:pt>
                <c:pt idx="482">
                  <c:v>89</c:v>
                </c:pt>
                <c:pt idx="483">
                  <c:v>89</c:v>
                </c:pt>
                <c:pt idx="484">
                  <c:v>90</c:v>
                </c:pt>
                <c:pt idx="485">
                  <c:v>89</c:v>
                </c:pt>
                <c:pt idx="486">
                  <c:v>89</c:v>
                </c:pt>
                <c:pt idx="487">
                  <c:v>89</c:v>
                </c:pt>
                <c:pt idx="488">
                  <c:v>89</c:v>
                </c:pt>
                <c:pt idx="489">
                  <c:v>90</c:v>
                </c:pt>
                <c:pt idx="490">
                  <c:v>89</c:v>
                </c:pt>
                <c:pt idx="491">
                  <c:v>89</c:v>
                </c:pt>
                <c:pt idx="492">
                  <c:v>88</c:v>
                </c:pt>
                <c:pt idx="493">
                  <c:v>89</c:v>
                </c:pt>
                <c:pt idx="494">
                  <c:v>89</c:v>
                </c:pt>
                <c:pt idx="495">
                  <c:v>90</c:v>
                </c:pt>
                <c:pt idx="496">
                  <c:v>92</c:v>
                </c:pt>
                <c:pt idx="497">
                  <c:v>92</c:v>
                </c:pt>
                <c:pt idx="498">
                  <c:v>92</c:v>
                </c:pt>
                <c:pt idx="499">
                  <c:v>92</c:v>
                </c:pt>
                <c:pt idx="500">
                  <c:v>93</c:v>
                </c:pt>
                <c:pt idx="501">
                  <c:v>93</c:v>
                </c:pt>
                <c:pt idx="502">
                  <c:v>92</c:v>
                </c:pt>
                <c:pt idx="503">
                  <c:v>92</c:v>
                </c:pt>
                <c:pt idx="504">
                  <c:v>93</c:v>
                </c:pt>
                <c:pt idx="505">
                  <c:v>93</c:v>
                </c:pt>
                <c:pt idx="506">
                  <c:v>93</c:v>
                </c:pt>
                <c:pt idx="507">
                  <c:v>92</c:v>
                </c:pt>
                <c:pt idx="508">
                  <c:v>92</c:v>
                </c:pt>
                <c:pt idx="509">
                  <c:v>93</c:v>
                </c:pt>
                <c:pt idx="510">
                  <c:v>94</c:v>
                </c:pt>
                <c:pt idx="511">
                  <c:v>95</c:v>
                </c:pt>
                <c:pt idx="512">
                  <c:v>96</c:v>
                </c:pt>
                <c:pt idx="513">
                  <c:v>96</c:v>
                </c:pt>
                <c:pt idx="514">
                  <c:v>96</c:v>
                </c:pt>
                <c:pt idx="515">
                  <c:v>95</c:v>
                </c:pt>
                <c:pt idx="516">
                  <c:v>95</c:v>
                </c:pt>
                <c:pt idx="517">
                  <c:v>95</c:v>
                </c:pt>
                <c:pt idx="518">
                  <c:v>96</c:v>
                </c:pt>
                <c:pt idx="519">
                  <c:v>96</c:v>
                </c:pt>
                <c:pt idx="520">
                  <c:v>96</c:v>
                </c:pt>
                <c:pt idx="521">
                  <c:v>96</c:v>
                </c:pt>
                <c:pt idx="522">
                  <c:v>96</c:v>
                </c:pt>
                <c:pt idx="523">
                  <c:v>96</c:v>
                </c:pt>
                <c:pt idx="524">
                  <c:v>96</c:v>
                </c:pt>
                <c:pt idx="525">
                  <c:v>97</c:v>
                </c:pt>
                <c:pt idx="526">
                  <c:v>96</c:v>
                </c:pt>
                <c:pt idx="527">
                  <c:v>94</c:v>
                </c:pt>
                <c:pt idx="528">
                  <c:v>94</c:v>
                </c:pt>
                <c:pt idx="529">
                  <c:v>93</c:v>
                </c:pt>
                <c:pt idx="530">
                  <c:v>93</c:v>
                </c:pt>
                <c:pt idx="531">
                  <c:v>93</c:v>
                </c:pt>
                <c:pt idx="532">
                  <c:v>93</c:v>
                </c:pt>
                <c:pt idx="533">
                  <c:v>93</c:v>
                </c:pt>
                <c:pt idx="534">
                  <c:v>93</c:v>
                </c:pt>
                <c:pt idx="535">
                  <c:v>93</c:v>
                </c:pt>
                <c:pt idx="536">
                  <c:v>94</c:v>
                </c:pt>
                <c:pt idx="537">
                  <c:v>94</c:v>
                </c:pt>
                <c:pt idx="538">
                  <c:v>94</c:v>
                </c:pt>
                <c:pt idx="539">
                  <c:v>93</c:v>
                </c:pt>
                <c:pt idx="540">
                  <c:v>91</c:v>
                </c:pt>
                <c:pt idx="541">
                  <c:v>91</c:v>
                </c:pt>
                <c:pt idx="542">
                  <c:v>90</c:v>
                </c:pt>
                <c:pt idx="543">
                  <c:v>90</c:v>
                </c:pt>
                <c:pt idx="544">
                  <c:v>90</c:v>
                </c:pt>
                <c:pt idx="545">
                  <c:v>91</c:v>
                </c:pt>
                <c:pt idx="546">
                  <c:v>92</c:v>
                </c:pt>
                <c:pt idx="547">
                  <c:v>93</c:v>
                </c:pt>
                <c:pt idx="548">
                  <c:v>93</c:v>
                </c:pt>
                <c:pt idx="549">
                  <c:v>93</c:v>
                </c:pt>
                <c:pt idx="550">
                  <c:v>91</c:v>
                </c:pt>
                <c:pt idx="551">
                  <c:v>91</c:v>
                </c:pt>
                <c:pt idx="552">
                  <c:v>91</c:v>
                </c:pt>
                <c:pt idx="553">
                  <c:v>91</c:v>
                </c:pt>
                <c:pt idx="554">
                  <c:v>92</c:v>
                </c:pt>
                <c:pt idx="555">
                  <c:v>92</c:v>
                </c:pt>
                <c:pt idx="556">
                  <c:v>91</c:v>
                </c:pt>
                <c:pt idx="557">
                  <c:v>91</c:v>
                </c:pt>
                <c:pt idx="558">
                  <c:v>91</c:v>
                </c:pt>
                <c:pt idx="559">
                  <c:v>91</c:v>
                </c:pt>
                <c:pt idx="560">
                  <c:v>90</c:v>
                </c:pt>
                <c:pt idx="561">
                  <c:v>90</c:v>
                </c:pt>
                <c:pt idx="562">
                  <c:v>90</c:v>
                </c:pt>
                <c:pt idx="563">
                  <c:v>91</c:v>
                </c:pt>
                <c:pt idx="564">
                  <c:v>91</c:v>
                </c:pt>
                <c:pt idx="565">
                  <c:v>91</c:v>
                </c:pt>
                <c:pt idx="566">
                  <c:v>91</c:v>
                </c:pt>
                <c:pt idx="567">
                  <c:v>91</c:v>
                </c:pt>
                <c:pt idx="568">
                  <c:v>91</c:v>
                </c:pt>
                <c:pt idx="569">
                  <c:v>90</c:v>
                </c:pt>
                <c:pt idx="570">
                  <c:v>90</c:v>
                </c:pt>
                <c:pt idx="571">
                  <c:v>90</c:v>
                </c:pt>
                <c:pt idx="572">
                  <c:v>90</c:v>
                </c:pt>
                <c:pt idx="573">
                  <c:v>91</c:v>
                </c:pt>
                <c:pt idx="574">
                  <c:v>91</c:v>
                </c:pt>
                <c:pt idx="575">
                  <c:v>91</c:v>
                </c:pt>
                <c:pt idx="576">
                  <c:v>91</c:v>
                </c:pt>
                <c:pt idx="577">
                  <c:v>92</c:v>
                </c:pt>
                <c:pt idx="578">
                  <c:v>92</c:v>
                </c:pt>
                <c:pt idx="579">
                  <c:v>92</c:v>
                </c:pt>
                <c:pt idx="580">
                  <c:v>94</c:v>
                </c:pt>
                <c:pt idx="581">
                  <c:v>94</c:v>
                </c:pt>
                <c:pt idx="582">
                  <c:v>94</c:v>
                </c:pt>
                <c:pt idx="583">
                  <c:v>93</c:v>
                </c:pt>
                <c:pt idx="584">
                  <c:v>93</c:v>
                </c:pt>
                <c:pt idx="585">
                  <c:v>93</c:v>
                </c:pt>
                <c:pt idx="586">
                  <c:v>94</c:v>
                </c:pt>
                <c:pt idx="587">
                  <c:v>94</c:v>
                </c:pt>
                <c:pt idx="588">
                  <c:v>94</c:v>
                </c:pt>
                <c:pt idx="589">
                  <c:v>94</c:v>
                </c:pt>
                <c:pt idx="590">
                  <c:v>94</c:v>
                </c:pt>
                <c:pt idx="591">
                  <c:v>94</c:v>
                </c:pt>
                <c:pt idx="592">
                  <c:v>94</c:v>
                </c:pt>
                <c:pt idx="593">
                  <c:v>94</c:v>
                </c:pt>
                <c:pt idx="594">
                  <c:v>92</c:v>
                </c:pt>
                <c:pt idx="595">
                  <c:v>92</c:v>
                </c:pt>
                <c:pt idx="596">
                  <c:v>92</c:v>
                </c:pt>
                <c:pt idx="597">
                  <c:v>92</c:v>
                </c:pt>
                <c:pt idx="598">
                  <c:v>92</c:v>
                </c:pt>
                <c:pt idx="599">
                  <c:v>94</c:v>
                </c:pt>
                <c:pt idx="600">
                  <c:v>92</c:v>
                </c:pt>
                <c:pt idx="601">
                  <c:v>93</c:v>
                </c:pt>
                <c:pt idx="602">
                  <c:v>93</c:v>
                </c:pt>
                <c:pt idx="603">
                  <c:v>93</c:v>
                </c:pt>
                <c:pt idx="604">
                  <c:v>93</c:v>
                </c:pt>
                <c:pt idx="605">
                  <c:v>93</c:v>
                </c:pt>
                <c:pt idx="606">
                  <c:v>93</c:v>
                </c:pt>
                <c:pt idx="607">
                  <c:v>93</c:v>
                </c:pt>
                <c:pt idx="608">
                  <c:v>93</c:v>
                </c:pt>
                <c:pt idx="609">
                  <c:v>93</c:v>
                </c:pt>
                <c:pt idx="610">
                  <c:v>93</c:v>
                </c:pt>
                <c:pt idx="611">
                  <c:v>93</c:v>
                </c:pt>
                <c:pt idx="612">
                  <c:v>93</c:v>
                </c:pt>
                <c:pt idx="613">
                  <c:v>93</c:v>
                </c:pt>
                <c:pt idx="614">
                  <c:v>93</c:v>
                </c:pt>
                <c:pt idx="615">
                  <c:v>92</c:v>
                </c:pt>
                <c:pt idx="616">
                  <c:v>92</c:v>
                </c:pt>
                <c:pt idx="617">
                  <c:v>92</c:v>
                </c:pt>
                <c:pt idx="618">
                  <c:v>91</c:v>
                </c:pt>
                <c:pt idx="619">
                  <c:v>91</c:v>
                </c:pt>
                <c:pt idx="620">
                  <c:v>91</c:v>
                </c:pt>
                <c:pt idx="621">
                  <c:v>91</c:v>
                </c:pt>
                <c:pt idx="622">
                  <c:v>91</c:v>
                </c:pt>
                <c:pt idx="623">
                  <c:v>91</c:v>
                </c:pt>
                <c:pt idx="624">
                  <c:v>93</c:v>
                </c:pt>
                <c:pt idx="625">
                  <c:v>93</c:v>
                </c:pt>
                <c:pt idx="626">
                  <c:v>94</c:v>
                </c:pt>
                <c:pt idx="627">
                  <c:v>94</c:v>
                </c:pt>
                <c:pt idx="628">
                  <c:v>94</c:v>
                </c:pt>
                <c:pt idx="629">
                  <c:v>95</c:v>
                </c:pt>
                <c:pt idx="630">
                  <c:v>95</c:v>
                </c:pt>
                <c:pt idx="631">
                  <c:v>95</c:v>
                </c:pt>
                <c:pt idx="632">
                  <c:v>94</c:v>
                </c:pt>
                <c:pt idx="633">
                  <c:v>94</c:v>
                </c:pt>
                <c:pt idx="634">
                  <c:v>94</c:v>
                </c:pt>
                <c:pt idx="635">
                  <c:v>95</c:v>
                </c:pt>
                <c:pt idx="636">
                  <c:v>96</c:v>
                </c:pt>
                <c:pt idx="637">
                  <c:v>97</c:v>
                </c:pt>
                <c:pt idx="638">
                  <c:v>98</c:v>
                </c:pt>
                <c:pt idx="639">
                  <c:v>98</c:v>
                </c:pt>
                <c:pt idx="640">
                  <c:v>98</c:v>
                </c:pt>
                <c:pt idx="641">
                  <c:v>98</c:v>
                </c:pt>
                <c:pt idx="642">
                  <c:v>99</c:v>
                </c:pt>
                <c:pt idx="643">
                  <c:v>99</c:v>
                </c:pt>
                <c:pt idx="644">
                  <c:v>99</c:v>
                </c:pt>
                <c:pt idx="645">
                  <c:v>99</c:v>
                </c:pt>
                <c:pt idx="646">
                  <c:v>99</c:v>
                </c:pt>
                <c:pt idx="647">
                  <c:v>99</c:v>
                </c:pt>
                <c:pt idx="648">
                  <c:v>100</c:v>
                </c:pt>
                <c:pt idx="649">
                  <c:v>100</c:v>
                </c:pt>
                <c:pt idx="650">
                  <c:v>99</c:v>
                </c:pt>
                <c:pt idx="651">
                  <c:v>99</c:v>
                </c:pt>
                <c:pt idx="652">
                  <c:v>99</c:v>
                </c:pt>
                <c:pt idx="653">
                  <c:v>99</c:v>
                </c:pt>
                <c:pt idx="654">
                  <c:v>100</c:v>
                </c:pt>
                <c:pt idx="655">
                  <c:v>99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99</c:v>
                </c:pt>
                <c:pt idx="661">
                  <c:v>99</c:v>
                </c:pt>
                <c:pt idx="662">
                  <c:v>99</c:v>
                </c:pt>
                <c:pt idx="663">
                  <c:v>99</c:v>
                </c:pt>
                <c:pt idx="664">
                  <c:v>99</c:v>
                </c:pt>
                <c:pt idx="665">
                  <c:v>99</c:v>
                </c:pt>
                <c:pt idx="666">
                  <c:v>100</c:v>
                </c:pt>
                <c:pt idx="667">
                  <c:v>101</c:v>
                </c:pt>
                <c:pt idx="668">
                  <c:v>101</c:v>
                </c:pt>
                <c:pt idx="669">
                  <c:v>101</c:v>
                </c:pt>
                <c:pt idx="670">
                  <c:v>101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99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99</c:v>
                </c:pt>
                <c:pt idx="679">
                  <c:v>99</c:v>
                </c:pt>
                <c:pt idx="680">
                  <c:v>99</c:v>
                </c:pt>
                <c:pt idx="681">
                  <c:v>99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99</c:v>
                </c:pt>
                <c:pt idx="686">
                  <c:v>99</c:v>
                </c:pt>
                <c:pt idx="687">
                  <c:v>99</c:v>
                </c:pt>
                <c:pt idx="688">
                  <c:v>99</c:v>
                </c:pt>
                <c:pt idx="689">
                  <c:v>99</c:v>
                </c:pt>
                <c:pt idx="690">
                  <c:v>99</c:v>
                </c:pt>
                <c:pt idx="691">
                  <c:v>100</c:v>
                </c:pt>
                <c:pt idx="692">
                  <c:v>100</c:v>
                </c:pt>
                <c:pt idx="693">
                  <c:v>99</c:v>
                </c:pt>
                <c:pt idx="694">
                  <c:v>99</c:v>
                </c:pt>
                <c:pt idx="695">
                  <c:v>99</c:v>
                </c:pt>
                <c:pt idx="696">
                  <c:v>98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101</c:v>
                </c:pt>
                <c:pt idx="701">
                  <c:v>101</c:v>
                </c:pt>
                <c:pt idx="702">
                  <c:v>102</c:v>
                </c:pt>
                <c:pt idx="703">
                  <c:v>102</c:v>
                </c:pt>
                <c:pt idx="704">
                  <c:v>101</c:v>
                </c:pt>
                <c:pt idx="705">
                  <c:v>101</c:v>
                </c:pt>
                <c:pt idx="706">
                  <c:v>99</c:v>
                </c:pt>
                <c:pt idx="707">
                  <c:v>99</c:v>
                </c:pt>
                <c:pt idx="708">
                  <c:v>99</c:v>
                </c:pt>
                <c:pt idx="709">
                  <c:v>100</c:v>
                </c:pt>
                <c:pt idx="710">
                  <c:v>101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99</c:v>
                </c:pt>
                <c:pt idx="723">
                  <c:v>99</c:v>
                </c:pt>
                <c:pt idx="724">
                  <c:v>98</c:v>
                </c:pt>
                <c:pt idx="725">
                  <c:v>98</c:v>
                </c:pt>
                <c:pt idx="726">
                  <c:v>99</c:v>
                </c:pt>
                <c:pt idx="727">
                  <c:v>99</c:v>
                </c:pt>
                <c:pt idx="728">
                  <c:v>98</c:v>
                </c:pt>
                <c:pt idx="729">
                  <c:v>99</c:v>
                </c:pt>
                <c:pt idx="730">
                  <c:v>99</c:v>
                </c:pt>
                <c:pt idx="731">
                  <c:v>99</c:v>
                </c:pt>
                <c:pt idx="732">
                  <c:v>98</c:v>
                </c:pt>
                <c:pt idx="733">
                  <c:v>98</c:v>
                </c:pt>
                <c:pt idx="734">
                  <c:v>98</c:v>
                </c:pt>
                <c:pt idx="735">
                  <c:v>98</c:v>
                </c:pt>
                <c:pt idx="736">
                  <c:v>98</c:v>
                </c:pt>
                <c:pt idx="737">
                  <c:v>98</c:v>
                </c:pt>
                <c:pt idx="738">
                  <c:v>98</c:v>
                </c:pt>
                <c:pt idx="73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9A-4EB6-A21F-62BB5E937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831152"/>
        <c:axId val="1971828752"/>
      </c:lineChart>
      <c:dateAx>
        <c:axId val="1971831152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828752"/>
        <c:crosses val="autoZero"/>
        <c:auto val="1"/>
        <c:lblOffset val="100"/>
        <c:baseTimeUnit val="days"/>
      </c:dateAx>
      <c:valAx>
        <c:axId val="197182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Active Subscriber</a:t>
                </a:r>
                <a:r>
                  <a:rPr lang="en-US" baseline="0">
                    <a:solidFill>
                      <a:schemeClr val="bg1"/>
                    </a:solidFill>
                  </a:rPr>
                  <a:t> Count</a:t>
                </a:r>
                <a:endParaRPr lang="en-US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83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rgbClr val="333333"/>
        </a:solidFill>
        <a:ln w="222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40000"/>
            <a:lumOff val="60000"/>
          </a:schemeClr>
        </a:gs>
        <a:gs pos="46000">
          <a:schemeClr val="accent1">
            <a:lumMod val="95000"/>
            <a:lumOff val="5000"/>
          </a:schemeClr>
        </a:gs>
        <a:gs pos="100000">
          <a:schemeClr val="accent1">
            <a:lumMod val="60000"/>
          </a:schemeClr>
        </a:gs>
      </a:gsLst>
      <a:path path="circle">
        <a:fillToRect l="50000" t="130000" r="50000" b="-30000"/>
      </a:path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'Active Timeline'!$G$1</c:f>
              <c:strCache>
                <c:ptCount val="1"/>
                <c:pt idx="0">
                  <c:v>AverageSubscriberAge</c:v>
                </c:pt>
              </c:strCache>
            </c:strRef>
          </c:tx>
          <c:spPr>
            <a:ln w="28575" cap="rnd">
              <a:solidFill>
                <a:srgbClr val="00E7E2"/>
              </a:solidFill>
              <a:round/>
            </a:ln>
            <a:effectLst/>
          </c:spPr>
          <c:marker>
            <c:symbol val="none"/>
          </c:marker>
          <c:cat>
            <c:numRef>
              <c:f>'Active Timeline'!$A$2:$A$741</c:f>
              <c:numCache>
                <c:formatCode>yyyy\-mm\-dd;@</c:formatCode>
                <c:ptCount val="740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</c:numCache>
            </c:numRef>
          </c:cat>
          <c:val>
            <c:numRef>
              <c:f>'Active Timeline'!$G$2:$G$741</c:f>
              <c:numCache>
                <c:formatCode>0.00</c:formatCode>
                <c:ptCount val="740"/>
                <c:pt idx="0">
                  <c:v>37.333333333333336</c:v>
                </c:pt>
                <c:pt idx="1">
                  <c:v>35.5</c:v>
                </c:pt>
                <c:pt idx="2">
                  <c:v>35.5</c:v>
                </c:pt>
                <c:pt idx="3">
                  <c:v>35.5</c:v>
                </c:pt>
                <c:pt idx="4">
                  <c:v>35.5</c:v>
                </c:pt>
                <c:pt idx="5">
                  <c:v>36</c:v>
                </c:pt>
                <c:pt idx="6">
                  <c:v>36</c:v>
                </c:pt>
                <c:pt idx="7">
                  <c:v>36.142857142857146</c:v>
                </c:pt>
                <c:pt idx="8">
                  <c:v>36.555555555555557</c:v>
                </c:pt>
                <c:pt idx="9">
                  <c:v>36.555555555555557</c:v>
                </c:pt>
                <c:pt idx="10">
                  <c:v>36.555555555555557</c:v>
                </c:pt>
                <c:pt idx="11">
                  <c:v>35.9</c:v>
                </c:pt>
                <c:pt idx="12">
                  <c:v>35.9</c:v>
                </c:pt>
                <c:pt idx="13">
                  <c:v>35.9</c:v>
                </c:pt>
                <c:pt idx="14">
                  <c:v>36.727272727272727</c:v>
                </c:pt>
                <c:pt idx="15">
                  <c:v>37.46153846153846</c:v>
                </c:pt>
                <c:pt idx="16">
                  <c:v>37.46153846153846</c:v>
                </c:pt>
                <c:pt idx="17">
                  <c:v>41</c:v>
                </c:pt>
                <c:pt idx="18">
                  <c:v>41.235294117647058</c:v>
                </c:pt>
                <c:pt idx="19">
                  <c:v>43</c:v>
                </c:pt>
                <c:pt idx="20">
                  <c:v>43</c:v>
                </c:pt>
                <c:pt idx="21">
                  <c:v>42.5</c:v>
                </c:pt>
                <c:pt idx="22">
                  <c:v>42.5</c:v>
                </c:pt>
                <c:pt idx="23">
                  <c:v>43.090909090909093</c:v>
                </c:pt>
                <c:pt idx="24">
                  <c:v>43.090909090909093</c:v>
                </c:pt>
                <c:pt idx="25">
                  <c:v>44.086956521739133</c:v>
                </c:pt>
                <c:pt idx="26">
                  <c:v>44.086956521739133</c:v>
                </c:pt>
                <c:pt idx="27">
                  <c:v>44</c:v>
                </c:pt>
                <c:pt idx="28">
                  <c:v>44</c:v>
                </c:pt>
                <c:pt idx="29">
                  <c:v>43.53846153846154</c:v>
                </c:pt>
                <c:pt idx="30">
                  <c:v>44.148148148148145</c:v>
                </c:pt>
                <c:pt idx="31">
                  <c:v>44.148148148148145</c:v>
                </c:pt>
                <c:pt idx="32">
                  <c:v>44.5</c:v>
                </c:pt>
                <c:pt idx="33">
                  <c:v>44.5</c:v>
                </c:pt>
                <c:pt idx="34">
                  <c:v>43.833333333333336</c:v>
                </c:pt>
                <c:pt idx="35">
                  <c:v>43.064516129032256</c:v>
                </c:pt>
                <c:pt idx="36">
                  <c:v>43.064516129032256</c:v>
                </c:pt>
                <c:pt idx="37">
                  <c:v>42.090909090909093</c:v>
                </c:pt>
                <c:pt idx="38">
                  <c:v>42</c:v>
                </c:pt>
                <c:pt idx="39">
                  <c:v>42.060606060606062</c:v>
                </c:pt>
                <c:pt idx="40">
                  <c:v>42.060606060606062</c:v>
                </c:pt>
                <c:pt idx="41">
                  <c:v>42.382352941176471</c:v>
                </c:pt>
                <c:pt idx="42">
                  <c:v>42.382352941176471</c:v>
                </c:pt>
                <c:pt idx="43">
                  <c:v>42.382352941176471</c:v>
                </c:pt>
                <c:pt idx="44">
                  <c:v>43.333333333333336</c:v>
                </c:pt>
                <c:pt idx="45">
                  <c:v>42.297297297297298</c:v>
                </c:pt>
                <c:pt idx="46">
                  <c:v>42.815789473684212</c:v>
                </c:pt>
                <c:pt idx="47">
                  <c:v>42.794871794871796</c:v>
                </c:pt>
                <c:pt idx="48">
                  <c:v>43.024390243902438</c:v>
                </c:pt>
                <c:pt idx="49">
                  <c:v>43</c:v>
                </c:pt>
                <c:pt idx="50">
                  <c:v>43</c:v>
                </c:pt>
                <c:pt idx="51">
                  <c:v>43</c:v>
                </c:pt>
                <c:pt idx="52">
                  <c:v>43</c:v>
                </c:pt>
                <c:pt idx="53">
                  <c:v>43.390243902439025</c:v>
                </c:pt>
                <c:pt idx="54">
                  <c:v>43.232558139534881</c:v>
                </c:pt>
                <c:pt idx="55">
                  <c:v>42.666666666666664</c:v>
                </c:pt>
                <c:pt idx="56">
                  <c:v>41.888888888888886</c:v>
                </c:pt>
                <c:pt idx="57">
                  <c:v>42.234042553191486</c:v>
                </c:pt>
                <c:pt idx="58">
                  <c:v>42.234042553191486</c:v>
                </c:pt>
                <c:pt idx="59">
                  <c:v>41.729166666666664</c:v>
                </c:pt>
                <c:pt idx="60">
                  <c:v>41.729166666666664</c:v>
                </c:pt>
                <c:pt idx="61">
                  <c:v>41.729166666666664</c:v>
                </c:pt>
                <c:pt idx="62">
                  <c:v>41.306122448979593</c:v>
                </c:pt>
                <c:pt idx="63">
                  <c:v>41.306122448979593</c:v>
                </c:pt>
                <c:pt idx="64">
                  <c:v>41.06</c:v>
                </c:pt>
                <c:pt idx="65">
                  <c:v>41.230769230769234</c:v>
                </c:pt>
                <c:pt idx="66">
                  <c:v>41.132075471698116</c:v>
                </c:pt>
                <c:pt idx="67">
                  <c:v>40.796296296296298</c:v>
                </c:pt>
                <c:pt idx="68">
                  <c:v>40.5</c:v>
                </c:pt>
                <c:pt idx="69">
                  <c:v>40.561403508771932</c:v>
                </c:pt>
                <c:pt idx="70">
                  <c:v>41.017241379310342</c:v>
                </c:pt>
                <c:pt idx="71">
                  <c:v>41.271186440677965</c:v>
                </c:pt>
                <c:pt idx="72">
                  <c:v>41.271186440677965</c:v>
                </c:pt>
                <c:pt idx="73">
                  <c:v>40.868852459016395</c:v>
                </c:pt>
                <c:pt idx="74">
                  <c:v>40.79032258064516</c:v>
                </c:pt>
                <c:pt idx="75">
                  <c:v>40.79032258064516</c:v>
                </c:pt>
                <c:pt idx="76">
                  <c:v>40.390625</c:v>
                </c:pt>
                <c:pt idx="77">
                  <c:v>40.365079365079367</c:v>
                </c:pt>
                <c:pt idx="78">
                  <c:v>40.365079365079367</c:v>
                </c:pt>
                <c:pt idx="79">
                  <c:v>40.365079365079367</c:v>
                </c:pt>
                <c:pt idx="80">
                  <c:v>40.359375</c:v>
                </c:pt>
                <c:pt idx="81">
                  <c:v>40.359375</c:v>
                </c:pt>
                <c:pt idx="82">
                  <c:v>40.615384615384613</c:v>
                </c:pt>
                <c:pt idx="83">
                  <c:v>41.059701492537314</c:v>
                </c:pt>
                <c:pt idx="84">
                  <c:v>41.391304347826086</c:v>
                </c:pt>
                <c:pt idx="85">
                  <c:v>41.542857142857144</c:v>
                </c:pt>
                <c:pt idx="86">
                  <c:v>41.575342465753423</c:v>
                </c:pt>
                <c:pt idx="87">
                  <c:v>41.945205479452056</c:v>
                </c:pt>
                <c:pt idx="88">
                  <c:v>42</c:v>
                </c:pt>
                <c:pt idx="89">
                  <c:v>41.863013698630134</c:v>
                </c:pt>
                <c:pt idx="90">
                  <c:v>42.106666666666669</c:v>
                </c:pt>
                <c:pt idx="91">
                  <c:v>42.013157894736842</c:v>
                </c:pt>
                <c:pt idx="92">
                  <c:v>42.013157894736842</c:v>
                </c:pt>
                <c:pt idx="93">
                  <c:v>41.831168831168831</c:v>
                </c:pt>
                <c:pt idx="94">
                  <c:v>41.846153846153847</c:v>
                </c:pt>
                <c:pt idx="95">
                  <c:v>42.253164556962027</c:v>
                </c:pt>
                <c:pt idx="96">
                  <c:v>42.172839506172842</c:v>
                </c:pt>
                <c:pt idx="97">
                  <c:v>42</c:v>
                </c:pt>
                <c:pt idx="98">
                  <c:v>42</c:v>
                </c:pt>
                <c:pt idx="99">
                  <c:v>42</c:v>
                </c:pt>
                <c:pt idx="100">
                  <c:v>41.783132530120483</c:v>
                </c:pt>
                <c:pt idx="101">
                  <c:v>41.783132530120483</c:v>
                </c:pt>
                <c:pt idx="102">
                  <c:v>41.783132530120483</c:v>
                </c:pt>
                <c:pt idx="103">
                  <c:v>42.011904761904759</c:v>
                </c:pt>
                <c:pt idx="104">
                  <c:v>42.011904761904759</c:v>
                </c:pt>
                <c:pt idx="105">
                  <c:v>42.011904761904759</c:v>
                </c:pt>
                <c:pt idx="106">
                  <c:v>42.011904761904759</c:v>
                </c:pt>
                <c:pt idx="107">
                  <c:v>41.860465116279073</c:v>
                </c:pt>
                <c:pt idx="108">
                  <c:v>41.724137931034484</c:v>
                </c:pt>
                <c:pt idx="109">
                  <c:v>41.724137931034484</c:v>
                </c:pt>
                <c:pt idx="110">
                  <c:v>41.606741573033709</c:v>
                </c:pt>
                <c:pt idx="111">
                  <c:v>41.822222222222223</c:v>
                </c:pt>
                <c:pt idx="112">
                  <c:v>41.989010989010985</c:v>
                </c:pt>
                <c:pt idx="113">
                  <c:v>41.98924731182796</c:v>
                </c:pt>
                <c:pt idx="114">
                  <c:v>41.98924731182796</c:v>
                </c:pt>
                <c:pt idx="115">
                  <c:v>42.297872340425535</c:v>
                </c:pt>
                <c:pt idx="116">
                  <c:v>42.297872340425535</c:v>
                </c:pt>
                <c:pt idx="117">
                  <c:v>42.297872340425535</c:v>
                </c:pt>
                <c:pt idx="118">
                  <c:v>42.147368421052633</c:v>
                </c:pt>
                <c:pt idx="119">
                  <c:v>42.083333333333336</c:v>
                </c:pt>
                <c:pt idx="120">
                  <c:v>42.216494845360828</c:v>
                </c:pt>
                <c:pt idx="121">
                  <c:v>42.193877551020407</c:v>
                </c:pt>
                <c:pt idx="122">
                  <c:v>42.434343434343432</c:v>
                </c:pt>
                <c:pt idx="123">
                  <c:v>42.434343434343432</c:v>
                </c:pt>
                <c:pt idx="124">
                  <c:v>42.4</c:v>
                </c:pt>
                <c:pt idx="125">
                  <c:v>42.643564356435647</c:v>
                </c:pt>
                <c:pt idx="126">
                  <c:v>42.264705882352942</c:v>
                </c:pt>
                <c:pt idx="127">
                  <c:v>42.514285714285712</c:v>
                </c:pt>
                <c:pt idx="128">
                  <c:v>42.514285714285712</c:v>
                </c:pt>
                <c:pt idx="129">
                  <c:v>42.367924528301884</c:v>
                </c:pt>
                <c:pt idx="130">
                  <c:v>42.355140186915889</c:v>
                </c:pt>
                <c:pt idx="131">
                  <c:v>42.355140186915889</c:v>
                </c:pt>
                <c:pt idx="132">
                  <c:v>42.623853211009177</c:v>
                </c:pt>
                <c:pt idx="133">
                  <c:v>42.623853211009177</c:v>
                </c:pt>
                <c:pt idx="134">
                  <c:v>42.623853211009177</c:v>
                </c:pt>
                <c:pt idx="135">
                  <c:v>42.454545454545453</c:v>
                </c:pt>
                <c:pt idx="136">
                  <c:v>42.603603603603602</c:v>
                </c:pt>
                <c:pt idx="137">
                  <c:v>42.603603603603602</c:v>
                </c:pt>
                <c:pt idx="138">
                  <c:v>42.787610619469028</c:v>
                </c:pt>
                <c:pt idx="139">
                  <c:v>42.901785714285715</c:v>
                </c:pt>
                <c:pt idx="140">
                  <c:v>42.89380530973451</c:v>
                </c:pt>
                <c:pt idx="141">
                  <c:v>42.947826086956525</c:v>
                </c:pt>
                <c:pt idx="142">
                  <c:v>43.043103448275865</c:v>
                </c:pt>
                <c:pt idx="143">
                  <c:v>43.059322033898304</c:v>
                </c:pt>
                <c:pt idx="144">
                  <c:v>43.194915254237287</c:v>
                </c:pt>
                <c:pt idx="145">
                  <c:v>43.194915254237287</c:v>
                </c:pt>
                <c:pt idx="146">
                  <c:v>43.193277310924373</c:v>
                </c:pt>
                <c:pt idx="147">
                  <c:v>43.108333333333334</c:v>
                </c:pt>
                <c:pt idx="148">
                  <c:v>43.108333333333334</c:v>
                </c:pt>
                <c:pt idx="149">
                  <c:v>42.966942148760332</c:v>
                </c:pt>
                <c:pt idx="150">
                  <c:v>43.08943089430894</c:v>
                </c:pt>
                <c:pt idx="151">
                  <c:v>42.728000000000002</c:v>
                </c:pt>
                <c:pt idx="152">
                  <c:v>42.69047619047619</c:v>
                </c:pt>
                <c:pt idx="153">
                  <c:v>42.69047619047619</c:v>
                </c:pt>
                <c:pt idx="154">
                  <c:v>42.677165354330711</c:v>
                </c:pt>
                <c:pt idx="155">
                  <c:v>42.612403100775197</c:v>
                </c:pt>
                <c:pt idx="156">
                  <c:v>42.664122137404583</c:v>
                </c:pt>
                <c:pt idx="157">
                  <c:v>42.664122137404583</c:v>
                </c:pt>
                <c:pt idx="158">
                  <c:v>42.68181818181818</c:v>
                </c:pt>
                <c:pt idx="159">
                  <c:v>42.68181818181818</c:v>
                </c:pt>
                <c:pt idx="160">
                  <c:v>43.2</c:v>
                </c:pt>
                <c:pt idx="161">
                  <c:v>43.2</c:v>
                </c:pt>
                <c:pt idx="162">
                  <c:v>43.036764705882355</c:v>
                </c:pt>
                <c:pt idx="163">
                  <c:v>42.814814814814817</c:v>
                </c:pt>
                <c:pt idx="164">
                  <c:v>42.814814814814817</c:v>
                </c:pt>
                <c:pt idx="165">
                  <c:v>42.632352941176471</c:v>
                </c:pt>
                <c:pt idx="166">
                  <c:v>42.840579710144929</c:v>
                </c:pt>
                <c:pt idx="167">
                  <c:v>43.24285714285714</c:v>
                </c:pt>
                <c:pt idx="168">
                  <c:v>43.24285714285714</c:v>
                </c:pt>
                <c:pt idx="169">
                  <c:v>43.316901408450704</c:v>
                </c:pt>
                <c:pt idx="170">
                  <c:v>43.316901408450704</c:v>
                </c:pt>
                <c:pt idx="171">
                  <c:v>43.433566433566433</c:v>
                </c:pt>
                <c:pt idx="172">
                  <c:v>43.433566433566433</c:v>
                </c:pt>
                <c:pt idx="173">
                  <c:v>43.433566433566433</c:v>
                </c:pt>
                <c:pt idx="174">
                  <c:v>43.433566433566433</c:v>
                </c:pt>
                <c:pt idx="175">
                  <c:v>43.359154929577464</c:v>
                </c:pt>
                <c:pt idx="176">
                  <c:v>43.359154929577464</c:v>
                </c:pt>
                <c:pt idx="177">
                  <c:v>43.34265734265734</c:v>
                </c:pt>
                <c:pt idx="178">
                  <c:v>43.395833333333336</c:v>
                </c:pt>
                <c:pt idx="179">
                  <c:v>43.074829931972786</c:v>
                </c:pt>
                <c:pt idx="180">
                  <c:v>43.074829931972786</c:v>
                </c:pt>
                <c:pt idx="181">
                  <c:v>43.401360544217688</c:v>
                </c:pt>
                <c:pt idx="182">
                  <c:v>43.385135135135137</c:v>
                </c:pt>
                <c:pt idx="183">
                  <c:v>43.42176870748299</c:v>
                </c:pt>
                <c:pt idx="184">
                  <c:v>43.344594594594597</c:v>
                </c:pt>
                <c:pt idx="185">
                  <c:v>43.409395973154361</c:v>
                </c:pt>
                <c:pt idx="186">
                  <c:v>43.466216216216218</c:v>
                </c:pt>
                <c:pt idx="187">
                  <c:v>43.593333333333334</c:v>
                </c:pt>
                <c:pt idx="188">
                  <c:v>43.701986754966889</c:v>
                </c:pt>
                <c:pt idx="189">
                  <c:v>43.835526315789473</c:v>
                </c:pt>
                <c:pt idx="190">
                  <c:v>43.712418300653596</c:v>
                </c:pt>
                <c:pt idx="191">
                  <c:v>43.712418300653596</c:v>
                </c:pt>
                <c:pt idx="192">
                  <c:v>43.603896103896105</c:v>
                </c:pt>
                <c:pt idx="193">
                  <c:v>43.64331210191083</c:v>
                </c:pt>
                <c:pt idx="194">
                  <c:v>43.64331210191083</c:v>
                </c:pt>
                <c:pt idx="195">
                  <c:v>43.64331210191083</c:v>
                </c:pt>
                <c:pt idx="196">
                  <c:v>43.702531645569621</c:v>
                </c:pt>
                <c:pt idx="197">
                  <c:v>43.753164556962027</c:v>
                </c:pt>
                <c:pt idx="198">
                  <c:v>43.628930817610062</c:v>
                </c:pt>
                <c:pt idx="199">
                  <c:v>43.65</c:v>
                </c:pt>
                <c:pt idx="200">
                  <c:v>43.547169811320757</c:v>
                </c:pt>
                <c:pt idx="201">
                  <c:v>43.412500000000001</c:v>
                </c:pt>
                <c:pt idx="202">
                  <c:v>43.586419753086417</c:v>
                </c:pt>
                <c:pt idx="203">
                  <c:v>43.699386503067487</c:v>
                </c:pt>
                <c:pt idx="204">
                  <c:v>43.634146341463413</c:v>
                </c:pt>
                <c:pt idx="205">
                  <c:v>43.75151515151515</c:v>
                </c:pt>
                <c:pt idx="206">
                  <c:v>43.75151515151515</c:v>
                </c:pt>
                <c:pt idx="207">
                  <c:v>44.154761904761905</c:v>
                </c:pt>
                <c:pt idx="208">
                  <c:v>44.183431952662723</c:v>
                </c:pt>
                <c:pt idx="209">
                  <c:v>44.183431952662723</c:v>
                </c:pt>
                <c:pt idx="210">
                  <c:v>44.194117647058825</c:v>
                </c:pt>
                <c:pt idx="211">
                  <c:v>44.194117647058825</c:v>
                </c:pt>
                <c:pt idx="212">
                  <c:v>44.094117647058823</c:v>
                </c:pt>
                <c:pt idx="213">
                  <c:v>44.112426035502956</c:v>
                </c:pt>
                <c:pt idx="214">
                  <c:v>44.170588235294119</c:v>
                </c:pt>
                <c:pt idx="215">
                  <c:v>44.207100591715978</c:v>
                </c:pt>
                <c:pt idx="216">
                  <c:v>44.479532163742689</c:v>
                </c:pt>
                <c:pt idx="217">
                  <c:v>44.710982658959537</c:v>
                </c:pt>
                <c:pt idx="218">
                  <c:v>44.710982658959537</c:v>
                </c:pt>
                <c:pt idx="219">
                  <c:v>44.965317919075147</c:v>
                </c:pt>
                <c:pt idx="220">
                  <c:v>45.190751445086704</c:v>
                </c:pt>
                <c:pt idx="221">
                  <c:v>45.339080459770116</c:v>
                </c:pt>
                <c:pt idx="222">
                  <c:v>45.5</c:v>
                </c:pt>
                <c:pt idx="223">
                  <c:v>45.581920903954803</c:v>
                </c:pt>
                <c:pt idx="224">
                  <c:v>45.531073446327682</c:v>
                </c:pt>
                <c:pt idx="225">
                  <c:v>45.564245810055866</c:v>
                </c:pt>
                <c:pt idx="226">
                  <c:v>45.620111731843572</c:v>
                </c:pt>
                <c:pt idx="227">
                  <c:v>45.606741573033709</c:v>
                </c:pt>
                <c:pt idx="228">
                  <c:v>45.443820224719104</c:v>
                </c:pt>
                <c:pt idx="229">
                  <c:v>45.429378531073446</c:v>
                </c:pt>
                <c:pt idx="230">
                  <c:v>45.614525139664806</c:v>
                </c:pt>
                <c:pt idx="231">
                  <c:v>45.666666666666664</c:v>
                </c:pt>
                <c:pt idx="232">
                  <c:v>45.666666666666664</c:v>
                </c:pt>
                <c:pt idx="233">
                  <c:v>45.677595628415304</c:v>
                </c:pt>
                <c:pt idx="234">
                  <c:v>45.711956521739133</c:v>
                </c:pt>
                <c:pt idx="235">
                  <c:v>45.762162162162163</c:v>
                </c:pt>
                <c:pt idx="236">
                  <c:v>45.967914438502675</c:v>
                </c:pt>
                <c:pt idx="237">
                  <c:v>46.06878306878307</c:v>
                </c:pt>
                <c:pt idx="238">
                  <c:v>45.93121693121693</c:v>
                </c:pt>
                <c:pt idx="239">
                  <c:v>46.125654450261777</c:v>
                </c:pt>
                <c:pt idx="240">
                  <c:v>46.125654450261777</c:v>
                </c:pt>
                <c:pt idx="241">
                  <c:v>46.125654450261777</c:v>
                </c:pt>
                <c:pt idx="242">
                  <c:v>46.208333333333336</c:v>
                </c:pt>
                <c:pt idx="243">
                  <c:v>46.46907216494845</c:v>
                </c:pt>
                <c:pt idx="244">
                  <c:v>46.364102564102566</c:v>
                </c:pt>
                <c:pt idx="245">
                  <c:v>46.403061224489797</c:v>
                </c:pt>
                <c:pt idx="246">
                  <c:v>46.403061224489797</c:v>
                </c:pt>
                <c:pt idx="247">
                  <c:v>46.403061224489797</c:v>
                </c:pt>
                <c:pt idx="248">
                  <c:v>46.353846153846156</c:v>
                </c:pt>
                <c:pt idx="249">
                  <c:v>46.377551020408163</c:v>
                </c:pt>
                <c:pt idx="250">
                  <c:v>46.482233502538072</c:v>
                </c:pt>
                <c:pt idx="251">
                  <c:v>46.378787878787875</c:v>
                </c:pt>
                <c:pt idx="252">
                  <c:v>46.378787878787875</c:v>
                </c:pt>
                <c:pt idx="253">
                  <c:v>46.155000000000001</c:v>
                </c:pt>
                <c:pt idx="254">
                  <c:v>46.11</c:v>
                </c:pt>
                <c:pt idx="255">
                  <c:v>46.234999999999999</c:v>
                </c:pt>
                <c:pt idx="256">
                  <c:v>46.099009900990097</c:v>
                </c:pt>
                <c:pt idx="257">
                  <c:v>46.487804878048777</c:v>
                </c:pt>
                <c:pt idx="258">
                  <c:v>46.487804878048777</c:v>
                </c:pt>
                <c:pt idx="259">
                  <c:v>46.487804878048777</c:v>
                </c:pt>
                <c:pt idx="260">
                  <c:v>46.432038834951456</c:v>
                </c:pt>
                <c:pt idx="261">
                  <c:v>46.432038834951456</c:v>
                </c:pt>
                <c:pt idx="262">
                  <c:v>46.394230769230766</c:v>
                </c:pt>
                <c:pt idx="263">
                  <c:v>46.354066985645936</c:v>
                </c:pt>
                <c:pt idx="264">
                  <c:v>46.210526315789473</c:v>
                </c:pt>
                <c:pt idx="265">
                  <c:v>46.25714285714286</c:v>
                </c:pt>
                <c:pt idx="266">
                  <c:v>46.25714285714286</c:v>
                </c:pt>
                <c:pt idx="267">
                  <c:v>46.014285714285712</c:v>
                </c:pt>
                <c:pt idx="268">
                  <c:v>46.014285714285712</c:v>
                </c:pt>
                <c:pt idx="269">
                  <c:v>46.113744075829381</c:v>
                </c:pt>
                <c:pt idx="270">
                  <c:v>46.180952380952384</c:v>
                </c:pt>
                <c:pt idx="271">
                  <c:v>46.241706161137444</c:v>
                </c:pt>
                <c:pt idx="272">
                  <c:v>46.363207547169814</c:v>
                </c:pt>
                <c:pt idx="273">
                  <c:v>46.27570093457944</c:v>
                </c:pt>
                <c:pt idx="274">
                  <c:v>46.36150234741784</c:v>
                </c:pt>
                <c:pt idx="275">
                  <c:v>46.25</c:v>
                </c:pt>
                <c:pt idx="276">
                  <c:v>46.25</c:v>
                </c:pt>
                <c:pt idx="277">
                  <c:v>46.27064220183486</c:v>
                </c:pt>
                <c:pt idx="278">
                  <c:v>46.27064220183486</c:v>
                </c:pt>
                <c:pt idx="279">
                  <c:v>46.173515981735157</c:v>
                </c:pt>
                <c:pt idx="280">
                  <c:v>46.173515981735157</c:v>
                </c:pt>
                <c:pt idx="281">
                  <c:v>46.173515981735157</c:v>
                </c:pt>
                <c:pt idx="282">
                  <c:v>46.05</c:v>
                </c:pt>
                <c:pt idx="283">
                  <c:v>46.27927927927928</c:v>
                </c:pt>
                <c:pt idx="284">
                  <c:v>46.274774774774777</c:v>
                </c:pt>
                <c:pt idx="285">
                  <c:v>46.403587443946186</c:v>
                </c:pt>
                <c:pt idx="286">
                  <c:v>46.392857142857146</c:v>
                </c:pt>
                <c:pt idx="287">
                  <c:v>46.513392857142854</c:v>
                </c:pt>
                <c:pt idx="288">
                  <c:v>46.43362831858407</c:v>
                </c:pt>
                <c:pt idx="289">
                  <c:v>46.317180616740089</c:v>
                </c:pt>
                <c:pt idx="290">
                  <c:v>46.317180616740089</c:v>
                </c:pt>
                <c:pt idx="291">
                  <c:v>46.33920704845815</c:v>
                </c:pt>
                <c:pt idx="292">
                  <c:v>46.33920704845815</c:v>
                </c:pt>
                <c:pt idx="293">
                  <c:v>46.228070175438596</c:v>
                </c:pt>
                <c:pt idx="294">
                  <c:v>46.265217391304347</c:v>
                </c:pt>
                <c:pt idx="295">
                  <c:v>46.369098712446352</c:v>
                </c:pt>
                <c:pt idx="296">
                  <c:v>46.317596566523605</c:v>
                </c:pt>
                <c:pt idx="297">
                  <c:v>46.410256410256409</c:v>
                </c:pt>
                <c:pt idx="298">
                  <c:v>46.542735042735046</c:v>
                </c:pt>
                <c:pt idx="299">
                  <c:v>46.687763713080166</c:v>
                </c:pt>
                <c:pt idx="300">
                  <c:v>46.588235294117645</c:v>
                </c:pt>
                <c:pt idx="301">
                  <c:v>46.587499999999999</c:v>
                </c:pt>
                <c:pt idx="302">
                  <c:v>46.643153526970956</c:v>
                </c:pt>
                <c:pt idx="303">
                  <c:v>46.5625</c:v>
                </c:pt>
                <c:pt idx="304">
                  <c:v>46.514522821576762</c:v>
                </c:pt>
                <c:pt idx="305">
                  <c:v>46.405737704918032</c:v>
                </c:pt>
                <c:pt idx="306">
                  <c:v>46.405737704918032</c:v>
                </c:pt>
                <c:pt idx="307">
                  <c:v>46.522448979591836</c:v>
                </c:pt>
                <c:pt idx="308">
                  <c:v>46.585365853658537</c:v>
                </c:pt>
                <c:pt idx="309">
                  <c:v>46.684210526315788</c:v>
                </c:pt>
                <c:pt idx="310">
                  <c:v>46.681451612903224</c:v>
                </c:pt>
                <c:pt idx="311">
                  <c:v>46.578313253012048</c:v>
                </c:pt>
                <c:pt idx="312">
                  <c:v>46.588000000000001</c:v>
                </c:pt>
                <c:pt idx="313">
                  <c:v>46.533864541832671</c:v>
                </c:pt>
                <c:pt idx="314">
                  <c:v>46.474308300395258</c:v>
                </c:pt>
                <c:pt idx="315">
                  <c:v>46.474308300395258</c:v>
                </c:pt>
                <c:pt idx="316">
                  <c:v>46.515748031496067</c:v>
                </c:pt>
                <c:pt idx="317">
                  <c:v>46.572549019607841</c:v>
                </c:pt>
                <c:pt idx="318">
                  <c:v>46.564202334630352</c:v>
                </c:pt>
                <c:pt idx="319">
                  <c:v>46.52734375</c:v>
                </c:pt>
                <c:pt idx="320">
                  <c:v>46.610894941634243</c:v>
                </c:pt>
                <c:pt idx="321">
                  <c:v>46.616279069767444</c:v>
                </c:pt>
                <c:pt idx="322">
                  <c:v>46.65250965250965</c:v>
                </c:pt>
                <c:pt idx="323">
                  <c:v>46.575289575289574</c:v>
                </c:pt>
                <c:pt idx="324">
                  <c:v>46.574712643678161</c:v>
                </c:pt>
                <c:pt idx="325">
                  <c:v>46.545801526717554</c:v>
                </c:pt>
                <c:pt idx="326">
                  <c:v>46.404580152671755</c:v>
                </c:pt>
                <c:pt idx="327">
                  <c:v>46.633962264150945</c:v>
                </c:pt>
                <c:pt idx="328">
                  <c:v>46.68913857677903</c:v>
                </c:pt>
                <c:pt idx="329">
                  <c:v>46.697761194029852</c:v>
                </c:pt>
                <c:pt idx="330">
                  <c:v>46.522388059701491</c:v>
                </c:pt>
                <c:pt idx="331">
                  <c:v>46.522388059701491</c:v>
                </c:pt>
                <c:pt idx="332">
                  <c:v>46.498141263940518</c:v>
                </c:pt>
                <c:pt idx="333">
                  <c:v>46.440740740740743</c:v>
                </c:pt>
                <c:pt idx="334">
                  <c:v>46.440740740740743</c:v>
                </c:pt>
                <c:pt idx="335">
                  <c:v>46.43911439114391</c:v>
                </c:pt>
                <c:pt idx="336">
                  <c:v>46.452205882352942</c:v>
                </c:pt>
                <c:pt idx="337">
                  <c:v>46.501845018450183</c:v>
                </c:pt>
                <c:pt idx="338">
                  <c:v>46.467153284671532</c:v>
                </c:pt>
                <c:pt idx="339">
                  <c:v>46.43795620437956</c:v>
                </c:pt>
                <c:pt idx="340">
                  <c:v>46.43795620437956</c:v>
                </c:pt>
                <c:pt idx="341">
                  <c:v>46.340659340659343</c:v>
                </c:pt>
                <c:pt idx="342">
                  <c:v>46.340659340659343</c:v>
                </c:pt>
                <c:pt idx="343">
                  <c:v>46.336956521739133</c:v>
                </c:pt>
                <c:pt idx="344">
                  <c:v>46.47122302158273</c:v>
                </c:pt>
                <c:pt idx="345">
                  <c:v>46.498220640569393</c:v>
                </c:pt>
                <c:pt idx="346">
                  <c:v>46.626334519572957</c:v>
                </c:pt>
                <c:pt idx="347">
                  <c:v>46.46289752650177</c:v>
                </c:pt>
                <c:pt idx="348">
                  <c:v>46.407017543859652</c:v>
                </c:pt>
                <c:pt idx="349">
                  <c:v>46.447552447552447</c:v>
                </c:pt>
                <c:pt idx="350">
                  <c:v>46.53793103448276</c:v>
                </c:pt>
                <c:pt idx="351">
                  <c:v>46.618556701030926</c:v>
                </c:pt>
                <c:pt idx="352">
                  <c:v>46.650684931506852</c:v>
                </c:pt>
                <c:pt idx="353">
                  <c:v>46.837288135593219</c:v>
                </c:pt>
                <c:pt idx="354">
                  <c:v>46.895270270270274</c:v>
                </c:pt>
                <c:pt idx="355">
                  <c:v>46.979797979797979</c:v>
                </c:pt>
                <c:pt idx="356">
                  <c:v>46.899328859060404</c:v>
                </c:pt>
                <c:pt idx="357">
                  <c:v>46.730897009966775</c:v>
                </c:pt>
                <c:pt idx="358">
                  <c:v>46.70723684210526</c:v>
                </c:pt>
                <c:pt idx="359">
                  <c:v>46.767973856209153</c:v>
                </c:pt>
                <c:pt idx="360">
                  <c:v>46.767973856209153</c:v>
                </c:pt>
                <c:pt idx="361">
                  <c:v>46.908496732026144</c:v>
                </c:pt>
                <c:pt idx="362">
                  <c:v>46.963934426229507</c:v>
                </c:pt>
                <c:pt idx="363">
                  <c:v>46.970684039087949</c:v>
                </c:pt>
                <c:pt idx="364">
                  <c:v>46.954838709677418</c:v>
                </c:pt>
                <c:pt idx="365">
                  <c:v>47.003236245954696</c:v>
                </c:pt>
                <c:pt idx="366">
                  <c:v>46.983766233766232</c:v>
                </c:pt>
                <c:pt idx="367">
                  <c:v>46.990259740259738</c:v>
                </c:pt>
                <c:pt idx="368">
                  <c:v>46.967532467532465</c:v>
                </c:pt>
                <c:pt idx="369">
                  <c:v>47.055016181229774</c:v>
                </c:pt>
                <c:pt idx="370">
                  <c:v>47.055016181229774</c:v>
                </c:pt>
                <c:pt idx="371">
                  <c:v>47.07692307692308</c:v>
                </c:pt>
                <c:pt idx="372">
                  <c:v>47.064102564102562</c:v>
                </c:pt>
                <c:pt idx="373">
                  <c:v>47.064102564102562</c:v>
                </c:pt>
                <c:pt idx="374">
                  <c:v>47.121405750798722</c:v>
                </c:pt>
                <c:pt idx="375">
                  <c:v>47.057324840764331</c:v>
                </c:pt>
                <c:pt idx="376">
                  <c:v>47.012820512820511</c:v>
                </c:pt>
                <c:pt idx="377">
                  <c:v>47.012820512820511</c:v>
                </c:pt>
                <c:pt idx="378">
                  <c:v>47.022364217252395</c:v>
                </c:pt>
                <c:pt idx="379">
                  <c:v>47.08306709265176</c:v>
                </c:pt>
                <c:pt idx="380">
                  <c:v>47.08306709265176</c:v>
                </c:pt>
                <c:pt idx="381">
                  <c:v>47.095541401273884</c:v>
                </c:pt>
                <c:pt idx="382">
                  <c:v>47.324840764331213</c:v>
                </c:pt>
                <c:pt idx="383">
                  <c:v>47.254777070063696</c:v>
                </c:pt>
                <c:pt idx="384">
                  <c:v>47.305732484076437</c:v>
                </c:pt>
                <c:pt idx="385">
                  <c:v>47.38095238095238</c:v>
                </c:pt>
                <c:pt idx="386">
                  <c:v>47.263492063492066</c:v>
                </c:pt>
                <c:pt idx="387">
                  <c:v>47.341772151898731</c:v>
                </c:pt>
                <c:pt idx="388">
                  <c:v>47.369426751592357</c:v>
                </c:pt>
                <c:pt idx="389">
                  <c:v>47.352380952380955</c:v>
                </c:pt>
                <c:pt idx="390">
                  <c:v>47.352380952380955</c:v>
                </c:pt>
                <c:pt idx="391">
                  <c:v>47.27215189873418</c:v>
                </c:pt>
                <c:pt idx="392">
                  <c:v>47.283911671924287</c:v>
                </c:pt>
                <c:pt idx="393">
                  <c:v>47.283489096573206</c:v>
                </c:pt>
                <c:pt idx="394">
                  <c:v>47.316770186335404</c:v>
                </c:pt>
                <c:pt idx="395">
                  <c:v>47.409374999999997</c:v>
                </c:pt>
                <c:pt idx="396">
                  <c:v>47.495297805642636</c:v>
                </c:pt>
                <c:pt idx="397">
                  <c:v>47.433962264150942</c:v>
                </c:pt>
                <c:pt idx="398">
                  <c:v>47.598101265822784</c:v>
                </c:pt>
                <c:pt idx="399">
                  <c:v>47.600628930817614</c:v>
                </c:pt>
                <c:pt idx="400">
                  <c:v>47.686520376175551</c:v>
                </c:pt>
                <c:pt idx="401">
                  <c:v>47.588785046728972</c:v>
                </c:pt>
                <c:pt idx="402">
                  <c:v>47.555900621118013</c:v>
                </c:pt>
                <c:pt idx="403">
                  <c:v>47.479876160990713</c:v>
                </c:pt>
                <c:pt idx="404">
                  <c:v>47.464615384615385</c:v>
                </c:pt>
                <c:pt idx="405">
                  <c:v>47.298461538461538</c:v>
                </c:pt>
                <c:pt idx="406">
                  <c:v>47.325153374233132</c:v>
                </c:pt>
                <c:pt idx="407">
                  <c:v>47.325153374233132</c:v>
                </c:pt>
                <c:pt idx="408">
                  <c:v>47.274390243902438</c:v>
                </c:pt>
                <c:pt idx="409">
                  <c:v>47.238670694864048</c:v>
                </c:pt>
                <c:pt idx="410">
                  <c:v>47.165662650602407</c:v>
                </c:pt>
                <c:pt idx="411">
                  <c:v>47.111782477341393</c:v>
                </c:pt>
                <c:pt idx="412">
                  <c:v>47.111782477341393</c:v>
                </c:pt>
                <c:pt idx="413">
                  <c:v>47.030303030303031</c:v>
                </c:pt>
                <c:pt idx="414">
                  <c:v>47</c:v>
                </c:pt>
                <c:pt idx="415">
                  <c:v>46.932721712538225</c:v>
                </c:pt>
                <c:pt idx="416">
                  <c:v>46.972392638036808</c:v>
                </c:pt>
                <c:pt idx="417">
                  <c:v>46.947692307692307</c:v>
                </c:pt>
                <c:pt idx="418">
                  <c:v>46.947692307692307</c:v>
                </c:pt>
                <c:pt idx="419">
                  <c:v>46.947692307692307</c:v>
                </c:pt>
                <c:pt idx="420">
                  <c:v>46.947692307692307</c:v>
                </c:pt>
                <c:pt idx="421">
                  <c:v>46.883435582822088</c:v>
                </c:pt>
                <c:pt idx="422">
                  <c:v>46.798165137614681</c:v>
                </c:pt>
                <c:pt idx="423">
                  <c:v>46.881458966565347</c:v>
                </c:pt>
                <c:pt idx="424">
                  <c:v>46.881458966565347</c:v>
                </c:pt>
                <c:pt idx="425">
                  <c:v>46.942424242424245</c:v>
                </c:pt>
                <c:pt idx="426">
                  <c:v>46.843373493975903</c:v>
                </c:pt>
                <c:pt idx="427">
                  <c:v>46.780780780780781</c:v>
                </c:pt>
                <c:pt idx="428">
                  <c:v>46.799401197604787</c:v>
                </c:pt>
                <c:pt idx="429">
                  <c:v>46.797619047619051</c:v>
                </c:pt>
                <c:pt idx="430">
                  <c:v>46.81845238095238</c:v>
                </c:pt>
                <c:pt idx="431">
                  <c:v>46.758928571428569</c:v>
                </c:pt>
                <c:pt idx="432">
                  <c:v>46.804154302670625</c:v>
                </c:pt>
                <c:pt idx="433">
                  <c:v>46.801186943620181</c:v>
                </c:pt>
                <c:pt idx="434">
                  <c:v>46.769911504424776</c:v>
                </c:pt>
                <c:pt idx="435">
                  <c:v>46.815789473684212</c:v>
                </c:pt>
                <c:pt idx="436">
                  <c:v>46.827988338192419</c:v>
                </c:pt>
                <c:pt idx="437">
                  <c:v>46.888888888888886</c:v>
                </c:pt>
                <c:pt idx="438">
                  <c:v>46.747093023255815</c:v>
                </c:pt>
                <c:pt idx="439">
                  <c:v>46.72674418604651</c:v>
                </c:pt>
                <c:pt idx="440">
                  <c:v>46.72674418604651</c:v>
                </c:pt>
                <c:pt idx="441">
                  <c:v>46.746355685131192</c:v>
                </c:pt>
                <c:pt idx="442">
                  <c:v>46.746355685131192</c:v>
                </c:pt>
                <c:pt idx="443">
                  <c:v>46.835260115606935</c:v>
                </c:pt>
                <c:pt idx="444">
                  <c:v>46.876080691642649</c:v>
                </c:pt>
                <c:pt idx="445">
                  <c:v>46.843478260869567</c:v>
                </c:pt>
                <c:pt idx="446">
                  <c:v>46.843478260869567</c:v>
                </c:pt>
                <c:pt idx="447">
                  <c:v>46.965116279069768</c:v>
                </c:pt>
                <c:pt idx="448">
                  <c:v>46.936416184971101</c:v>
                </c:pt>
                <c:pt idx="449">
                  <c:v>46.936416184971101</c:v>
                </c:pt>
                <c:pt idx="450">
                  <c:v>46.842406876790832</c:v>
                </c:pt>
                <c:pt idx="451">
                  <c:v>46.853448275862071</c:v>
                </c:pt>
                <c:pt idx="452">
                  <c:v>46.948717948717949</c:v>
                </c:pt>
                <c:pt idx="453">
                  <c:v>46.965909090909093</c:v>
                </c:pt>
                <c:pt idx="454">
                  <c:v>46.926553672316388</c:v>
                </c:pt>
                <c:pt idx="455">
                  <c:v>46.983050847457626</c:v>
                </c:pt>
                <c:pt idx="456">
                  <c:v>47.073654390934841</c:v>
                </c:pt>
                <c:pt idx="457">
                  <c:v>47.09375</c:v>
                </c:pt>
                <c:pt idx="458">
                  <c:v>47.09375</c:v>
                </c:pt>
                <c:pt idx="459">
                  <c:v>47.09375</c:v>
                </c:pt>
                <c:pt idx="460">
                  <c:v>47.045197740112997</c:v>
                </c:pt>
                <c:pt idx="461">
                  <c:v>47.039548022598872</c:v>
                </c:pt>
                <c:pt idx="462">
                  <c:v>47.059154929577467</c:v>
                </c:pt>
                <c:pt idx="463">
                  <c:v>47.016901408450707</c:v>
                </c:pt>
                <c:pt idx="464">
                  <c:v>46.842253521126757</c:v>
                </c:pt>
                <c:pt idx="465">
                  <c:v>46.80898876404494</c:v>
                </c:pt>
                <c:pt idx="466">
                  <c:v>46.80898876404494</c:v>
                </c:pt>
                <c:pt idx="467">
                  <c:v>46.862745098039213</c:v>
                </c:pt>
                <c:pt idx="468">
                  <c:v>46.822535211267606</c:v>
                </c:pt>
                <c:pt idx="469">
                  <c:v>46.822535211267606</c:v>
                </c:pt>
                <c:pt idx="470">
                  <c:v>46.83988764044944</c:v>
                </c:pt>
                <c:pt idx="471">
                  <c:v>46.83988764044944</c:v>
                </c:pt>
                <c:pt idx="472">
                  <c:v>46.745810055865924</c:v>
                </c:pt>
                <c:pt idx="473">
                  <c:v>46.816155988857936</c:v>
                </c:pt>
                <c:pt idx="474">
                  <c:v>46.81111111111111</c:v>
                </c:pt>
                <c:pt idx="475">
                  <c:v>46.756906077348063</c:v>
                </c:pt>
                <c:pt idx="476">
                  <c:v>46.73130193905817</c:v>
                </c:pt>
                <c:pt idx="477">
                  <c:v>46.806629834254146</c:v>
                </c:pt>
                <c:pt idx="478">
                  <c:v>46.809917355371901</c:v>
                </c:pt>
                <c:pt idx="479">
                  <c:v>46.820441988950279</c:v>
                </c:pt>
                <c:pt idx="480">
                  <c:v>46.825484764542935</c:v>
                </c:pt>
                <c:pt idx="481">
                  <c:v>46.822222222222223</c:v>
                </c:pt>
                <c:pt idx="482">
                  <c:v>46.841666666666669</c:v>
                </c:pt>
                <c:pt idx="483">
                  <c:v>46.699724517906333</c:v>
                </c:pt>
                <c:pt idx="484">
                  <c:v>46.681318681318679</c:v>
                </c:pt>
                <c:pt idx="485">
                  <c:v>46.738292011019283</c:v>
                </c:pt>
                <c:pt idx="486">
                  <c:v>46.738292011019283</c:v>
                </c:pt>
                <c:pt idx="487">
                  <c:v>46.78116343490305</c:v>
                </c:pt>
                <c:pt idx="488">
                  <c:v>46.578512396694215</c:v>
                </c:pt>
                <c:pt idx="489">
                  <c:v>46.605479452054794</c:v>
                </c:pt>
                <c:pt idx="490">
                  <c:v>46.592286501377409</c:v>
                </c:pt>
                <c:pt idx="491">
                  <c:v>46.585164835164832</c:v>
                </c:pt>
                <c:pt idx="492">
                  <c:v>46.652892561983471</c:v>
                </c:pt>
                <c:pt idx="493">
                  <c:v>46.660273972602738</c:v>
                </c:pt>
                <c:pt idx="494">
                  <c:v>46.758152173913047</c:v>
                </c:pt>
                <c:pt idx="495">
                  <c:v>46.72086720867209</c:v>
                </c:pt>
                <c:pt idx="496">
                  <c:v>46.81401617250674</c:v>
                </c:pt>
                <c:pt idx="497">
                  <c:v>46.781081081081084</c:v>
                </c:pt>
                <c:pt idx="498">
                  <c:v>46.644385026737964</c:v>
                </c:pt>
                <c:pt idx="499">
                  <c:v>46.501333333333335</c:v>
                </c:pt>
                <c:pt idx="500">
                  <c:v>46.537234042553195</c:v>
                </c:pt>
                <c:pt idx="501">
                  <c:v>46.549333333333337</c:v>
                </c:pt>
                <c:pt idx="502">
                  <c:v>46.513297872340424</c:v>
                </c:pt>
                <c:pt idx="503">
                  <c:v>46.598404255319146</c:v>
                </c:pt>
                <c:pt idx="504">
                  <c:v>46.601583113456464</c:v>
                </c:pt>
                <c:pt idx="505">
                  <c:v>46.601583113456464</c:v>
                </c:pt>
                <c:pt idx="506">
                  <c:v>46.601583113456464</c:v>
                </c:pt>
                <c:pt idx="507">
                  <c:v>46.682539682539684</c:v>
                </c:pt>
                <c:pt idx="508">
                  <c:v>46.620052770448552</c:v>
                </c:pt>
                <c:pt idx="509">
                  <c:v>46.607894736842105</c:v>
                </c:pt>
                <c:pt idx="510">
                  <c:v>46.599476439790578</c:v>
                </c:pt>
                <c:pt idx="511">
                  <c:v>46.422976501305484</c:v>
                </c:pt>
                <c:pt idx="512">
                  <c:v>46.607329842931939</c:v>
                </c:pt>
                <c:pt idx="513">
                  <c:v>46.657963446475193</c:v>
                </c:pt>
                <c:pt idx="514">
                  <c:v>46.705263157894734</c:v>
                </c:pt>
                <c:pt idx="515">
                  <c:v>46.771052631578947</c:v>
                </c:pt>
                <c:pt idx="516">
                  <c:v>46.771052631578947</c:v>
                </c:pt>
                <c:pt idx="517">
                  <c:v>46.771052631578947</c:v>
                </c:pt>
                <c:pt idx="518">
                  <c:v>46.730366492146594</c:v>
                </c:pt>
                <c:pt idx="519">
                  <c:v>46.718421052631577</c:v>
                </c:pt>
                <c:pt idx="520">
                  <c:v>46.726315789473681</c:v>
                </c:pt>
                <c:pt idx="521">
                  <c:v>46.584210526315786</c:v>
                </c:pt>
                <c:pt idx="522">
                  <c:v>46.604221635883903</c:v>
                </c:pt>
                <c:pt idx="523">
                  <c:v>46.678100263852244</c:v>
                </c:pt>
                <c:pt idx="524">
                  <c:v>46.666666666666664</c:v>
                </c:pt>
                <c:pt idx="525">
                  <c:v>46.66057441253264</c:v>
                </c:pt>
                <c:pt idx="526">
                  <c:v>46.559895833333336</c:v>
                </c:pt>
                <c:pt idx="527">
                  <c:v>46.502617801047123</c:v>
                </c:pt>
                <c:pt idx="528">
                  <c:v>46.425587467362924</c:v>
                </c:pt>
                <c:pt idx="529">
                  <c:v>46.454308093994776</c:v>
                </c:pt>
                <c:pt idx="530">
                  <c:v>46.449086161879897</c:v>
                </c:pt>
                <c:pt idx="531">
                  <c:v>46.391644908616186</c:v>
                </c:pt>
                <c:pt idx="532">
                  <c:v>46.30649350649351</c:v>
                </c:pt>
                <c:pt idx="533">
                  <c:v>46.297157622739022</c:v>
                </c:pt>
                <c:pt idx="534">
                  <c:v>46.297157622739022</c:v>
                </c:pt>
                <c:pt idx="535">
                  <c:v>46.336787564766837</c:v>
                </c:pt>
                <c:pt idx="536">
                  <c:v>46.258397932816536</c:v>
                </c:pt>
                <c:pt idx="537">
                  <c:v>46.258397932816536</c:v>
                </c:pt>
                <c:pt idx="538">
                  <c:v>46.2720207253886</c:v>
                </c:pt>
                <c:pt idx="539">
                  <c:v>46.270833333333336</c:v>
                </c:pt>
                <c:pt idx="540">
                  <c:v>46.376963350785338</c:v>
                </c:pt>
                <c:pt idx="541">
                  <c:v>46.364583333333336</c:v>
                </c:pt>
                <c:pt idx="542">
                  <c:v>46.334203655352482</c:v>
                </c:pt>
                <c:pt idx="543">
                  <c:v>46.334203655352482</c:v>
                </c:pt>
                <c:pt idx="544">
                  <c:v>46.393229166666664</c:v>
                </c:pt>
                <c:pt idx="545">
                  <c:v>46.34974093264249</c:v>
                </c:pt>
                <c:pt idx="546">
                  <c:v>46.297157622739022</c:v>
                </c:pt>
                <c:pt idx="547">
                  <c:v>46.304123711340203</c:v>
                </c:pt>
                <c:pt idx="548">
                  <c:v>46.376288659793815</c:v>
                </c:pt>
                <c:pt idx="549">
                  <c:v>46.398963730569946</c:v>
                </c:pt>
                <c:pt idx="550">
                  <c:v>46.315104166666664</c:v>
                </c:pt>
                <c:pt idx="551">
                  <c:v>46.370757180156659</c:v>
                </c:pt>
                <c:pt idx="552">
                  <c:v>46.377604166666664</c:v>
                </c:pt>
                <c:pt idx="553">
                  <c:v>46.430809399477809</c:v>
                </c:pt>
                <c:pt idx="554">
                  <c:v>46.330729166666664</c:v>
                </c:pt>
                <c:pt idx="555">
                  <c:v>46.295336787564764</c:v>
                </c:pt>
                <c:pt idx="556">
                  <c:v>46.404145077720209</c:v>
                </c:pt>
                <c:pt idx="557">
                  <c:v>46.477922077922081</c:v>
                </c:pt>
                <c:pt idx="558">
                  <c:v>46.505181347150256</c:v>
                </c:pt>
                <c:pt idx="559">
                  <c:v>46.475324675324678</c:v>
                </c:pt>
                <c:pt idx="560">
                  <c:v>46.441860465116278</c:v>
                </c:pt>
                <c:pt idx="561">
                  <c:v>46.376288659793815</c:v>
                </c:pt>
                <c:pt idx="562">
                  <c:v>46.532299741602067</c:v>
                </c:pt>
                <c:pt idx="563">
                  <c:v>46.550387596899228</c:v>
                </c:pt>
                <c:pt idx="564">
                  <c:v>46.524675324675322</c:v>
                </c:pt>
                <c:pt idx="565">
                  <c:v>46.524675324675322</c:v>
                </c:pt>
                <c:pt idx="566">
                  <c:v>46.524675324675322</c:v>
                </c:pt>
                <c:pt idx="567">
                  <c:v>46.490956072351423</c:v>
                </c:pt>
                <c:pt idx="568">
                  <c:v>46.422279792746117</c:v>
                </c:pt>
                <c:pt idx="569">
                  <c:v>46.415584415584412</c:v>
                </c:pt>
                <c:pt idx="570">
                  <c:v>46.365284974093264</c:v>
                </c:pt>
                <c:pt idx="571">
                  <c:v>46.237726098191217</c:v>
                </c:pt>
                <c:pt idx="572">
                  <c:v>46.208762886597938</c:v>
                </c:pt>
                <c:pt idx="573">
                  <c:v>46.248081841432224</c:v>
                </c:pt>
                <c:pt idx="574">
                  <c:v>46.294416243654823</c:v>
                </c:pt>
                <c:pt idx="575">
                  <c:v>46.330808080808083</c:v>
                </c:pt>
                <c:pt idx="576">
                  <c:v>46.330808080808083</c:v>
                </c:pt>
                <c:pt idx="577">
                  <c:v>46.266331658291456</c:v>
                </c:pt>
                <c:pt idx="578">
                  <c:v>46.133165829145732</c:v>
                </c:pt>
                <c:pt idx="579">
                  <c:v>46.159600997506232</c:v>
                </c:pt>
                <c:pt idx="580">
                  <c:v>46.178660049627794</c:v>
                </c:pt>
                <c:pt idx="581">
                  <c:v>46.161290322580648</c:v>
                </c:pt>
                <c:pt idx="582">
                  <c:v>46.134663341645883</c:v>
                </c:pt>
                <c:pt idx="583">
                  <c:v>46.119700748129674</c:v>
                </c:pt>
                <c:pt idx="584">
                  <c:v>46.190954773869343</c:v>
                </c:pt>
                <c:pt idx="585">
                  <c:v>46.190954773869343</c:v>
                </c:pt>
                <c:pt idx="586">
                  <c:v>46.186868686868685</c:v>
                </c:pt>
                <c:pt idx="587">
                  <c:v>46.186868686868685</c:v>
                </c:pt>
                <c:pt idx="588">
                  <c:v>46.182957393483711</c:v>
                </c:pt>
                <c:pt idx="589">
                  <c:v>46.155778894472363</c:v>
                </c:pt>
                <c:pt idx="590">
                  <c:v>46.225563909774436</c:v>
                </c:pt>
                <c:pt idx="591">
                  <c:v>46.114713216957604</c:v>
                </c:pt>
                <c:pt idx="592">
                  <c:v>46.092500000000001</c:v>
                </c:pt>
                <c:pt idx="593">
                  <c:v>46.092500000000001</c:v>
                </c:pt>
                <c:pt idx="594">
                  <c:v>46.035175879396988</c:v>
                </c:pt>
                <c:pt idx="595">
                  <c:v>46.020151133501258</c:v>
                </c:pt>
                <c:pt idx="596">
                  <c:v>45.969924812030072</c:v>
                </c:pt>
                <c:pt idx="597">
                  <c:v>46.017587939698494</c:v>
                </c:pt>
                <c:pt idx="598">
                  <c:v>46.019950124688279</c:v>
                </c:pt>
                <c:pt idx="599">
                  <c:v>45.955334987593055</c:v>
                </c:pt>
                <c:pt idx="600">
                  <c:v>45.868159203980099</c:v>
                </c:pt>
                <c:pt idx="601">
                  <c:v>45.970370370370368</c:v>
                </c:pt>
                <c:pt idx="602">
                  <c:v>46.051597051597049</c:v>
                </c:pt>
                <c:pt idx="603">
                  <c:v>46.051470588235297</c:v>
                </c:pt>
                <c:pt idx="604">
                  <c:v>45.926108374384235</c:v>
                </c:pt>
                <c:pt idx="605">
                  <c:v>46.017199017199019</c:v>
                </c:pt>
                <c:pt idx="606">
                  <c:v>46.009828009828013</c:v>
                </c:pt>
                <c:pt idx="607">
                  <c:v>46.009828009828013</c:v>
                </c:pt>
                <c:pt idx="608">
                  <c:v>45.965686274509807</c:v>
                </c:pt>
                <c:pt idx="609">
                  <c:v>46.024570024570025</c:v>
                </c:pt>
                <c:pt idx="610">
                  <c:v>46.007407407407406</c:v>
                </c:pt>
                <c:pt idx="611">
                  <c:v>45.955445544554458</c:v>
                </c:pt>
                <c:pt idx="612">
                  <c:v>46.002487562189053</c:v>
                </c:pt>
                <c:pt idx="613">
                  <c:v>46.069478908188586</c:v>
                </c:pt>
                <c:pt idx="614">
                  <c:v>46.129353233830848</c:v>
                </c:pt>
                <c:pt idx="615">
                  <c:v>46.237499999999997</c:v>
                </c:pt>
                <c:pt idx="616">
                  <c:v>46.237499999999997</c:v>
                </c:pt>
                <c:pt idx="617">
                  <c:v>46.27</c:v>
                </c:pt>
                <c:pt idx="618">
                  <c:v>46.1356783919598</c:v>
                </c:pt>
                <c:pt idx="619">
                  <c:v>46.1356783919598</c:v>
                </c:pt>
                <c:pt idx="620">
                  <c:v>46.171284634760703</c:v>
                </c:pt>
                <c:pt idx="621">
                  <c:v>46.193954659949625</c:v>
                </c:pt>
                <c:pt idx="622">
                  <c:v>46.193954659949625</c:v>
                </c:pt>
                <c:pt idx="623">
                  <c:v>46.224181360201513</c:v>
                </c:pt>
                <c:pt idx="624">
                  <c:v>46.307304785894203</c:v>
                </c:pt>
                <c:pt idx="625">
                  <c:v>46.358585858585862</c:v>
                </c:pt>
                <c:pt idx="626">
                  <c:v>46.336683417085425</c:v>
                </c:pt>
                <c:pt idx="627">
                  <c:v>46.336683417085425</c:v>
                </c:pt>
                <c:pt idx="628">
                  <c:v>46.246231155778894</c:v>
                </c:pt>
                <c:pt idx="629">
                  <c:v>46.304785894206546</c:v>
                </c:pt>
                <c:pt idx="630">
                  <c:v>46.426065162907271</c:v>
                </c:pt>
                <c:pt idx="631">
                  <c:v>46.372500000000002</c:v>
                </c:pt>
                <c:pt idx="632">
                  <c:v>46.371859296482413</c:v>
                </c:pt>
                <c:pt idx="633">
                  <c:v>46.307304785894203</c:v>
                </c:pt>
                <c:pt idx="634">
                  <c:v>46.345959595959599</c:v>
                </c:pt>
                <c:pt idx="635">
                  <c:v>46.231155778894475</c:v>
                </c:pt>
                <c:pt idx="636">
                  <c:v>46.206030150753769</c:v>
                </c:pt>
                <c:pt idx="637">
                  <c:v>46.18952618453865</c:v>
                </c:pt>
                <c:pt idx="638">
                  <c:v>46.14</c:v>
                </c:pt>
                <c:pt idx="639">
                  <c:v>46.069651741293534</c:v>
                </c:pt>
                <c:pt idx="640">
                  <c:v>46.069651741293534</c:v>
                </c:pt>
                <c:pt idx="641">
                  <c:v>46.134328358208954</c:v>
                </c:pt>
                <c:pt idx="642">
                  <c:v>46.193069306930695</c:v>
                </c:pt>
                <c:pt idx="643">
                  <c:v>46.303703703703704</c:v>
                </c:pt>
                <c:pt idx="644">
                  <c:v>46.270471464019849</c:v>
                </c:pt>
                <c:pt idx="645">
                  <c:v>46.338308457711442</c:v>
                </c:pt>
                <c:pt idx="646">
                  <c:v>46.32587064676617</c:v>
                </c:pt>
                <c:pt idx="647">
                  <c:v>46.28358208955224</c:v>
                </c:pt>
                <c:pt idx="648">
                  <c:v>46.354838709677416</c:v>
                </c:pt>
                <c:pt idx="649">
                  <c:v>46.398514851485146</c:v>
                </c:pt>
                <c:pt idx="650">
                  <c:v>46.464019851116625</c:v>
                </c:pt>
                <c:pt idx="651">
                  <c:v>46.50247524752475</c:v>
                </c:pt>
                <c:pt idx="652">
                  <c:v>46.553086419753086</c:v>
                </c:pt>
                <c:pt idx="653">
                  <c:v>46.593596059113302</c:v>
                </c:pt>
                <c:pt idx="654">
                  <c:v>46.658476658476658</c:v>
                </c:pt>
                <c:pt idx="655">
                  <c:v>46.72235872235872</c:v>
                </c:pt>
                <c:pt idx="656">
                  <c:v>46.766584766584764</c:v>
                </c:pt>
                <c:pt idx="657">
                  <c:v>46.810810810810814</c:v>
                </c:pt>
                <c:pt idx="658">
                  <c:v>46.879901960784316</c:v>
                </c:pt>
                <c:pt idx="659">
                  <c:v>46.897560975609757</c:v>
                </c:pt>
                <c:pt idx="660">
                  <c:v>46.936893203883493</c:v>
                </c:pt>
                <c:pt idx="661">
                  <c:v>46.936893203883493</c:v>
                </c:pt>
                <c:pt idx="662">
                  <c:v>46.978102189781019</c:v>
                </c:pt>
                <c:pt idx="663">
                  <c:v>46.907542579075425</c:v>
                </c:pt>
                <c:pt idx="664">
                  <c:v>46.915458937198068</c:v>
                </c:pt>
                <c:pt idx="665">
                  <c:v>47.009685230024211</c:v>
                </c:pt>
                <c:pt idx="666">
                  <c:v>47.137681159420289</c:v>
                </c:pt>
                <c:pt idx="667">
                  <c:v>47.172661870503596</c:v>
                </c:pt>
                <c:pt idx="668">
                  <c:v>47.155502392344495</c:v>
                </c:pt>
                <c:pt idx="669">
                  <c:v>47.200956937799042</c:v>
                </c:pt>
                <c:pt idx="670">
                  <c:v>47.200956937799042</c:v>
                </c:pt>
                <c:pt idx="671">
                  <c:v>47.203836930455637</c:v>
                </c:pt>
                <c:pt idx="672">
                  <c:v>47.16067146282974</c:v>
                </c:pt>
                <c:pt idx="673">
                  <c:v>47.16067146282974</c:v>
                </c:pt>
                <c:pt idx="674">
                  <c:v>47.186602870813395</c:v>
                </c:pt>
                <c:pt idx="675">
                  <c:v>47.217703349282296</c:v>
                </c:pt>
                <c:pt idx="676">
                  <c:v>47.217703349282296</c:v>
                </c:pt>
                <c:pt idx="677">
                  <c:v>47.163069544364511</c:v>
                </c:pt>
                <c:pt idx="678">
                  <c:v>47.141148325358849</c:v>
                </c:pt>
                <c:pt idx="679">
                  <c:v>47.141148325358849</c:v>
                </c:pt>
                <c:pt idx="680">
                  <c:v>47.251798561151077</c:v>
                </c:pt>
                <c:pt idx="681">
                  <c:v>47.20192307692308</c:v>
                </c:pt>
                <c:pt idx="682">
                  <c:v>47.158273381294961</c:v>
                </c:pt>
                <c:pt idx="683">
                  <c:v>47.158273381294961</c:v>
                </c:pt>
                <c:pt idx="684">
                  <c:v>47.158273381294961</c:v>
                </c:pt>
                <c:pt idx="685">
                  <c:v>47.120772946859901</c:v>
                </c:pt>
                <c:pt idx="686">
                  <c:v>47.099273607748181</c:v>
                </c:pt>
                <c:pt idx="687">
                  <c:v>47.1875</c:v>
                </c:pt>
                <c:pt idx="688">
                  <c:v>47.046004842615012</c:v>
                </c:pt>
                <c:pt idx="689">
                  <c:v>46.980629539951572</c:v>
                </c:pt>
                <c:pt idx="690">
                  <c:v>46.978208232445517</c:v>
                </c:pt>
                <c:pt idx="691">
                  <c:v>46.956310679611647</c:v>
                </c:pt>
                <c:pt idx="692">
                  <c:v>46.88674698795181</c:v>
                </c:pt>
                <c:pt idx="693">
                  <c:v>46.90338164251208</c:v>
                </c:pt>
                <c:pt idx="694">
                  <c:v>46.903614457831324</c:v>
                </c:pt>
                <c:pt idx="695">
                  <c:v>46.903614457831324</c:v>
                </c:pt>
                <c:pt idx="696">
                  <c:v>46.874396135265698</c:v>
                </c:pt>
                <c:pt idx="697">
                  <c:v>46.947242206235011</c:v>
                </c:pt>
                <c:pt idx="698">
                  <c:v>46.947242206235011</c:v>
                </c:pt>
                <c:pt idx="699">
                  <c:v>47.002403846153847</c:v>
                </c:pt>
                <c:pt idx="700">
                  <c:v>47.009615384615387</c:v>
                </c:pt>
                <c:pt idx="701">
                  <c:v>46.997607655502392</c:v>
                </c:pt>
                <c:pt idx="702">
                  <c:v>46.945238095238096</c:v>
                </c:pt>
                <c:pt idx="703">
                  <c:v>46.952494061757719</c:v>
                </c:pt>
                <c:pt idx="704">
                  <c:v>46.901913875598083</c:v>
                </c:pt>
                <c:pt idx="705">
                  <c:v>46.877108433734939</c:v>
                </c:pt>
                <c:pt idx="706">
                  <c:v>46.857142857142854</c:v>
                </c:pt>
                <c:pt idx="707">
                  <c:v>46.857142857142854</c:v>
                </c:pt>
                <c:pt idx="708">
                  <c:v>46.970802919708028</c:v>
                </c:pt>
                <c:pt idx="709">
                  <c:v>47.097560975609753</c:v>
                </c:pt>
                <c:pt idx="710">
                  <c:v>47.012195121951223</c:v>
                </c:pt>
                <c:pt idx="711">
                  <c:v>46.946210268948654</c:v>
                </c:pt>
                <c:pt idx="712">
                  <c:v>46.783980582524272</c:v>
                </c:pt>
                <c:pt idx="713">
                  <c:v>46.803398058252426</c:v>
                </c:pt>
                <c:pt idx="714">
                  <c:v>46.556372549019606</c:v>
                </c:pt>
                <c:pt idx="715">
                  <c:v>46.522058823529413</c:v>
                </c:pt>
                <c:pt idx="716">
                  <c:v>46.484107579462105</c:v>
                </c:pt>
                <c:pt idx="717">
                  <c:v>46.525672371638144</c:v>
                </c:pt>
                <c:pt idx="718">
                  <c:v>46.636363636363633</c:v>
                </c:pt>
                <c:pt idx="719">
                  <c:v>46.636363636363633</c:v>
                </c:pt>
                <c:pt idx="720">
                  <c:v>46.628992628992627</c:v>
                </c:pt>
                <c:pt idx="721">
                  <c:v>46.628992628992627</c:v>
                </c:pt>
                <c:pt idx="722">
                  <c:v>46.576354679802954</c:v>
                </c:pt>
                <c:pt idx="723">
                  <c:v>46.605392156862742</c:v>
                </c:pt>
                <c:pt idx="724">
                  <c:v>46.660146699266505</c:v>
                </c:pt>
                <c:pt idx="725">
                  <c:v>46.58722358722359</c:v>
                </c:pt>
                <c:pt idx="726">
                  <c:v>46.551470588235297</c:v>
                </c:pt>
                <c:pt idx="727">
                  <c:v>46.580487804878047</c:v>
                </c:pt>
                <c:pt idx="728">
                  <c:v>46.526960784313722</c:v>
                </c:pt>
                <c:pt idx="729">
                  <c:v>46.591240875912412</c:v>
                </c:pt>
                <c:pt idx="730">
                  <c:v>46.591240875912412</c:v>
                </c:pt>
                <c:pt idx="731">
                  <c:v>46.591240875912412</c:v>
                </c:pt>
                <c:pt idx="732">
                  <c:v>46.545454545454547</c:v>
                </c:pt>
                <c:pt idx="733">
                  <c:v>46.545454545454547</c:v>
                </c:pt>
                <c:pt idx="734">
                  <c:v>46.545454545454547</c:v>
                </c:pt>
                <c:pt idx="735">
                  <c:v>46.545454545454547</c:v>
                </c:pt>
                <c:pt idx="736">
                  <c:v>46.545454545454547</c:v>
                </c:pt>
                <c:pt idx="737">
                  <c:v>46.545454545454547</c:v>
                </c:pt>
                <c:pt idx="738">
                  <c:v>46.545454545454547</c:v>
                </c:pt>
                <c:pt idx="739">
                  <c:v>46.545454545454547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41-4BE8-B2AB-87D0DCDF5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389056"/>
        <c:axId val="100389536"/>
      </c:lineChart>
      <c:dateAx>
        <c:axId val="100389056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9536"/>
        <c:crosses val="autoZero"/>
        <c:auto val="1"/>
        <c:lblOffset val="100"/>
        <c:baseTimeUnit val="days"/>
      </c:dateAx>
      <c:valAx>
        <c:axId val="10038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bg1"/>
                    </a:solidFill>
                  </a:rPr>
                  <a:t>Average</a:t>
                </a:r>
                <a:r>
                  <a:rPr lang="en-GB" baseline="0">
                    <a:solidFill>
                      <a:schemeClr val="bg1"/>
                    </a:solidFill>
                  </a:rPr>
                  <a:t> Age</a:t>
                </a:r>
                <a:endParaRPr lang="en-GB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40000"/>
            <a:lumOff val="60000"/>
          </a:schemeClr>
        </a:gs>
        <a:gs pos="46000">
          <a:schemeClr val="accent1">
            <a:lumMod val="95000"/>
            <a:lumOff val="5000"/>
          </a:schemeClr>
        </a:gs>
        <a:gs pos="100000">
          <a:schemeClr val="accent1">
            <a:lumMod val="60000"/>
          </a:schemeClr>
        </a:gs>
      </a:gsLst>
      <a:path path="circle">
        <a:fillToRect l="50000" t="130000" r="50000" b="-3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'Active Timeline'!$O$1</c:f>
              <c:strCache>
                <c:ptCount val="1"/>
                <c:pt idx="0">
                  <c:v>ActiveMale</c:v>
                </c:pt>
              </c:strCache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'Active Timeline'!$A$2:$A$741</c:f>
              <c:numCache>
                <c:formatCode>yyyy\-mm\-dd;@</c:formatCode>
                <c:ptCount val="740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</c:numCache>
            </c:numRef>
          </c:cat>
          <c:val>
            <c:numRef>
              <c:f>'Active Timeline'!$O$2:$O$741</c:f>
              <c:numCache>
                <c:formatCode>0</c:formatCode>
                <c:ptCount val="74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13</c:v>
                </c:pt>
                <c:pt idx="36">
                  <c:v>13</c:v>
                </c:pt>
                <c:pt idx="37">
                  <c:v>14</c:v>
                </c:pt>
                <c:pt idx="38">
                  <c:v>14</c:v>
                </c:pt>
                <c:pt idx="39">
                  <c:v>13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16</c:v>
                </c:pt>
                <c:pt idx="45">
                  <c:v>18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18</c:v>
                </c:pt>
                <c:pt idx="50">
                  <c:v>18</c:v>
                </c:pt>
                <c:pt idx="51">
                  <c:v>18</c:v>
                </c:pt>
                <c:pt idx="52">
                  <c:v>18</c:v>
                </c:pt>
                <c:pt idx="53">
                  <c:v>19</c:v>
                </c:pt>
                <c:pt idx="54">
                  <c:v>21</c:v>
                </c:pt>
                <c:pt idx="55">
                  <c:v>23</c:v>
                </c:pt>
                <c:pt idx="56">
                  <c:v>23</c:v>
                </c:pt>
                <c:pt idx="57">
                  <c:v>25</c:v>
                </c:pt>
                <c:pt idx="58">
                  <c:v>25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27</c:v>
                </c:pt>
                <c:pt idx="65">
                  <c:v>27</c:v>
                </c:pt>
                <c:pt idx="66">
                  <c:v>28</c:v>
                </c:pt>
                <c:pt idx="67">
                  <c:v>29</c:v>
                </c:pt>
                <c:pt idx="68">
                  <c:v>30</c:v>
                </c:pt>
                <c:pt idx="69">
                  <c:v>31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34</c:v>
                </c:pt>
                <c:pt idx="77">
                  <c:v>33</c:v>
                </c:pt>
                <c:pt idx="78">
                  <c:v>33</c:v>
                </c:pt>
                <c:pt idx="79">
                  <c:v>33</c:v>
                </c:pt>
                <c:pt idx="80">
                  <c:v>33</c:v>
                </c:pt>
                <c:pt idx="81">
                  <c:v>33</c:v>
                </c:pt>
                <c:pt idx="82">
                  <c:v>34</c:v>
                </c:pt>
                <c:pt idx="83">
                  <c:v>34</c:v>
                </c:pt>
                <c:pt idx="84">
                  <c:v>35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36</c:v>
                </c:pt>
                <c:pt idx="89">
                  <c:v>36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38</c:v>
                </c:pt>
                <c:pt idx="94">
                  <c:v>39</c:v>
                </c:pt>
                <c:pt idx="95">
                  <c:v>39</c:v>
                </c:pt>
                <c:pt idx="96">
                  <c:v>41</c:v>
                </c:pt>
                <c:pt idx="97">
                  <c:v>41</c:v>
                </c:pt>
                <c:pt idx="98">
                  <c:v>41</c:v>
                </c:pt>
                <c:pt idx="99">
                  <c:v>41</c:v>
                </c:pt>
                <c:pt idx="100">
                  <c:v>41</c:v>
                </c:pt>
                <c:pt idx="101">
                  <c:v>41</c:v>
                </c:pt>
                <c:pt idx="102">
                  <c:v>41</c:v>
                </c:pt>
                <c:pt idx="103">
                  <c:v>42</c:v>
                </c:pt>
                <c:pt idx="104">
                  <c:v>42</c:v>
                </c:pt>
                <c:pt idx="105">
                  <c:v>42</c:v>
                </c:pt>
                <c:pt idx="106">
                  <c:v>42</c:v>
                </c:pt>
                <c:pt idx="107">
                  <c:v>44</c:v>
                </c:pt>
                <c:pt idx="108">
                  <c:v>44</c:v>
                </c:pt>
                <c:pt idx="109">
                  <c:v>44</c:v>
                </c:pt>
                <c:pt idx="110">
                  <c:v>45</c:v>
                </c:pt>
                <c:pt idx="111">
                  <c:v>46</c:v>
                </c:pt>
                <c:pt idx="112">
                  <c:v>47</c:v>
                </c:pt>
                <c:pt idx="113">
                  <c:v>48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48</c:v>
                </c:pt>
                <c:pt idx="118">
                  <c:v>48</c:v>
                </c:pt>
                <c:pt idx="119">
                  <c:v>49</c:v>
                </c:pt>
                <c:pt idx="120">
                  <c:v>50</c:v>
                </c:pt>
                <c:pt idx="121">
                  <c:v>50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52</c:v>
                </c:pt>
                <c:pt idx="126">
                  <c:v>54</c:v>
                </c:pt>
                <c:pt idx="127">
                  <c:v>56</c:v>
                </c:pt>
                <c:pt idx="128">
                  <c:v>56</c:v>
                </c:pt>
                <c:pt idx="129">
                  <c:v>56</c:v>
                </c:pt>
                <c:pt idx="130">
                  <c:v>56</c:v>
                </c:pt>
                <c:pt idx="131">
                  <c:v>56</c:v>
                </c:pt>
                <c:pt idx="132">
                  <c:v>56</c:v>
                </c:pt>
                <c:pt idx="133">
                  <c:v>56</c:v>
                </c:pt>
                <c:pt idx="134">
                  <c:v>56</c:v>
                </c:pt>
                <c:pt idx="135">
                  <c:v>57</c:v>
                </c:pt>
                <c:pt idx="136">
                  <c:v>57</c:v>
                </c:pt>
                <c:pt idx="137">
                  <c:v>57</c:v>
                </c:pt>
                <c:pt idx="138">
                  <c:v>58</c:v>
                </c:pt>
                <c:pt idx="139">
                  <c:v>58</c:v>
                </c:pt>
                <c:pt idx="140">
                  <c:v>58</c:v>
                </c:pt>
                <c:pt idx="141">
                  <c:v>58</c:v>
                </c:pt>
                <c:pt idx="142">
                  <c:v>59</c:v>
                </c:pt>
                <c:pt idx="143">
                  <c:v>59</c:v>
                </c:pt>
                <c:pt idx="144">
                  <c:v>59</c:v>
                </c:pt>
                <c:pt idx="145">
                  <c:v>59</c:v>
                </c:pt>
                <c:pt idx="146">
                  <c:v>59</c:v>
                </c:pt>
                <c:pt idx="147">
                  <c:v>59</c:v>
                </c:pt>
                <c:pt idx="148">
                  <c:v>59</c:v>
                </c:pt>
                <c:pt idx="149">
                  <c:v>60</c:v>
                </c:pt>
                <c:pt idx="150">
                  <c:v>62</c:v>
                </c:pt>
                <c:pt idx="151">
                  <c:v>63</c:v>
                </c:pt>
                <c:pt idx="152">
                  <c:v>63</c:v>
                </c:pt>
                <c:pt idx="153">
                  <c:v>63</c:v>
                </c:pt>
                <c:pt idx="154">
                  <c:v>64</c:v>
                </c:pt>
                <c:pt idx="155">
                  <c:v>65</c:v>
                </c:pt>
                <c:pt idx="156">
                  <c:v>66</c:v>
                </c:pt>
                <c:pt idx="157">
                  <c:v>66</c:v>
                </c:pt>
                <c:pt idx="158">
                  <c:v>66</c:v>
                </c:pt>
                <c:pt idx="159">
                  <c:v>66</c:v>
                </c:pt>
                <c:pt idx="160">
                  <c:v>68</c:v>
                </c:pt>
                <c:pt idx="161">
                  <c:v>68</c:v>
                </c:pt>
                <c:pt idx="162">
                  <c:v>69</c:v>
                </c:pt>
                <c:pt idx="163">
                  <c:v>69</c:v>
                </c:pt>
                <c:pt idx="164">
                  <c:v>69</c:v>
                </c:pt>
                <c:pt idx="165">
                  <c:v>69</c:v>
                </c:pt>
                <c:pt idx="166">
                  <c:v>71</c:v>
                </c:pt>
                <c:pt idx="167">
                  <c:v>72</c:v>
                </c:pt>
                <c:pt idx="168">
                  <c:v>72</c:v>
                </c:pt>
                <c:pt idx="169">
                  <c:v>73</c:v>
                </c:pt>
                <c:pt idx="170">
                  <c:v>73</c:v>
                </c:pt>
                <c:pt idx="171">
                  <c:v>73</c:v>
                </c:pt>
                <c:pt idx="172">
                  <c:v>73</c:v>
                </c:pt>
                <c:pt idx="173">
                  <c:v>73</c:v>
                </c:pt>
                <c:pt idx="174">
                  <c:v>73</c:v>
                </c:pt>
                <c:pt idx="175">
                  <c:v>73</c:v>
                </c:pt>
                <c:pt idx="176">
                  <c:v>73</c:v>
                </c:pt>
                <c:pt idx="177">
                  <c:v>74</c:v>
                </c:pt>
                <c:pt idx="178">
                  <c:v>74</c:v>
                </c:pt>
                <c:pt idx="179">
                  <c:v>76</c:v>
                </c:pt>
                <c:pt idx="180">
                  <c:v>76</c:v>
                </c:pt>
                <c:pt idx="181">
                  <c:v>75</c:v>
                </c:pt>
                <c:pt idx="182">
                  <c:v>75</c:v>
                </c:pt>
                <c:pt idx="183">
                  <c:v>75</c:v>
                </c:pt>
                <c:pt idx="184">
                  <c:v>76</c:v>
                </c:pt>
                <c:pt idx="185">
                  <c:v>77</c:v>
                </c:pt>
                <c:pt idx="186">
                  <c:v>78</c:v>
                </c:pt>
                <c:pt idx="187">
                  <c:v>79</c:v>
                </c:pt>
                <c:pt idx="188">
                  <c:v>80</c:v>
                </c:pt>
                <c:pt idx="189">
                  <c:v>81</c:v>
                </c:pt>
                <c:pt idx="190">
                  <c:v>82</c:v>
                </c:pt>
                <c:pt idx="191">
                  <c:v>82</c:v>
                </c:pt>
                <c:pt idx="192">
                  <c:v>83</c:v>
                </c:pt>
                <c:pt idx="193">
                  <c:v>86</c:v>
                </c:pt>
                <c:pt idx="194">
                  <c:v>86</c:v>
                </c:pt>
                <c:pt idx="195">
                  <c:v>86</c:v>
                </c:pt>
                <c:pt idx="196">
                  <c:v>87</c:v>
                </c:pt>
                <c:pt idx="197">
                  <c:v>86</c:v>
                </c:pt>
                <c:pt idx="198">
                  <c:v>88</c:v>
                </c:pt>
                <c:pt idx="199">
                  <c:v>89</c:v>
                </c:pt>
                <c:pt idx="200">
                  <c:v>88</c:v>
                </c:pt>
                <c:pt idx="201">
                  <c:v>89</c:v>
                </c:pt>
                <c:pt idx="202">
                  <c:v>92</c:v>
                </c:pt>
                <c:pt idx="203">
                  <c:v>93</c:v>
                </c:pt>
                <c:pt idx="204">
                  <c:v>94</c:v>
                </c:pt>
                <c:pt idx="205">
                  <c:v>94</c:v>
                </c:pt>
                <c:pt idx="206">
                  <c:v>94</c:v>
                </c:pt>
                <c:pt idx="207">
                  <c:v>95</c:v>
                </c:pt>
                <c:pt idx="208">
                  <c:v>96</c:v>
                </c:pt>
                <c:pt idx="209">
                  <c:v>96</c:v>
                </c:pt>
                <c:pt idx="210">
                  <c:v>97</c:v>
                </c:pt>
                <c:pt idx="211">
                  <c:v>97</c:v>
                </c:pt>
                <c:pt idx="212">
                  <c:v>97</c:v>
                </c:pt>
                <c:pt idx="213">
                  <c:v>97</c:v>
                </c:pt>
                <c:pt idx="214">
                  <c:v>97</c:v>
                </c:pt>
                <c:pt idx="215">
                  <c:v>96</c:v>
                </c:pt>
                <c:pt idx="216">
                  <c:v>97</c:v>
                </c:pt>
                <c:pt idx="217">
                  <c:v>99</c:v>
                </c:pt>
                <c:pt idx="218">
                  <c:v>99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101</c:v>
                </c:pt>
                <c:pt idx="223">
                  <c:v>102</c:v>
                </c:pt>
                <c:pt idx="224">
                  <c:v>102</c:v>
                </c:pt>
                <c:pt idx="225">
                  <c:v>103</c:v>
                </c:pt>
                <c:pt idx="226">
                  <c:v>103</c:v>
                </c:pt>
                <c:pt idx="227">
                  <c:v>102</c:v>
                </c:pt>
                <c:pt idx="228">
                  <c:v>103</c:v>
                </c:pt>
                <c:pt idx="229">
                  <c:v>102</c:v>
                </c:pt>
                <c:pt idx="230">
                  <c:v>102</c:v>
                </c:pt>
                <c:pt idx="231">
                  <c:v>102</c:v>
                </c:pt>
                <c:pt idx="232">
                  <c:v>102</c:v>
                </c:pt>
                <c:pt idx="233">
                  <c:v>104</c:v>
                </c:pt>
                <c:pt idx="234">
                  <c:v>105</c:v>
                </c:pt>
                <c:pt idx="235">
                  <c:v>106</c:v>
                </c:pt>
                <c:pt idx="236">
                  <c:v>108</c:v>
                </c:pt>
                <c:pt idx="237">
                  <c:v>109</c:v>
                </c:pt>
                <c:pt idx="238">
                  <c:v>110</c:v>
                </c:pt>
                <c:pt idx="239">
                  <c:v>110</c:v>
                </c:pt>
                <c:pt idx="240">
                  <c:v>110</c:v>
                </c:pt>
                <c:pt idx="241">
                  <c:v>110</c:v>
                </c:pt>
                <c:pt idx="242">
                  <c:v>111</c:v>
                </c:pt>
                <c:pt idx="243">
                  <c:v>111</c:v>
                </c:pt>
                <c:pt idx="244">
                  <c:v>112</c:v>
                </c:pt>
                <c:pt idx="245">
                  <c:v>113</c:v>
                </c:pt>
                <c:pt idx="246">
                  <c:v>113</c:v>
                </c:pt>
                <c:pt idx="247">
                  <c:v>113</c:v>
                </c:pt>
                <c:pt idx="248">
                  <c:v>112</c:v>
                </c:pt>
                <c:pt idx="249">
                  <c:v>113</c:v>
                </c:pt>
                <c:pt idx="250">
                  <c:v>114</c:v>
                </c:pt>
                <c:pt idx="251">
                  <c:v>114</c:v>
                </c:pt>
                <c:pt idx="252">
                  <c:v>114</c:v>
                </c:pt>
                <c:pt idx="253">
                  <c:v>115</c:v>
                </c:pt>
                <c:pt idx="254">
                  <c:v>115</c:v>
                </c:pt>
                <c:pt idx="255">
                  <c:v>116</c:v>
                </c:pt>
                <c:pt idx="256">
                  <c:v>118</c:v>
                </c:pt>
                <c:pt idx="257">
                  <c:v>119</c:v>
                </c:pt>
                <c:pt idx="258">
                  <c:v>119</c:v>
                </c:pt>
                <c:pt idx="259">
                  <c:v>119</c:v>
                </c:pt>
                <c:pt idx="260">
                  <c:v>119</c:v>
                </c:pt>
                <c:pt idx="261">
                  <c:v>119</c:v>
                </c:pt>
                <c:pt idx="262">
                  <c:v>121</c:v>
                </c:pt>
                <c:pt idx="263">
                  <c:v>121</c:v>
                </c:pt>
                <c:pt idx="264">
                  <c:v>121</c:v>
                </c:pt>
                <c:pt idx="265">
                  <c:v>122</c:v>
                </c:pt>
                <c:pt idx="266">
                  <c:v>122</c:v>
                </c:pt>
                <c:pt idx="267">
                  <c:v>122</c:v>
                </c:pt>
                <c:pt idx="268">
                  <c:v>122</c:v>
                </c:pt>
                <c:pt idx="269">
                  <c:v>122</c:v>
                </c:pt>
                <c:pt idx="270">
                  <c:v>122</c:v>
                </c:pt>
                <c:pt idx="271">
                  <c:v>122</c:v>
                </c:pt>
                <c:pt idx="272">
                  <c:v>122</c:v>
                </c:pt>
                <c:pt idx="273">
                  <c:v>122</c:v>
                </c:pt>
                <c:pt idx="274">
                  <c:v>121</c:v>
                </c:pt>
                <c:pt idx="275">
                  <c:v>123</c:v>
                </c:pt>
                <c:pt idx="276">
                  <c:v>123</c:v>
                </c:pt>
                <c:pt idx="277">
                  <c:v>124</c:v>
                </c:pt>
                <c:pt idx="278">
                  <c:v>124</c:v>
                </c:pt>
                <c:pt idx="279">
                  <c:v>125</c:v>
                </c:pt>
                <c:pt idx="280">
                  <c:v>125</c:v>
                </c:pt>
                <c:pt idx="281">
                  <c:v>125</c:v>
                </c:pt>
                <c:pt idx="282">
                  <c:v>125</c:v>
                </c:pt>
                <c:pt idx="283">
                  <c:v>126</c:v>
                </c:pt>
                <c:pt idx="284">
                  <c:v>126</c:v>
                </c:pt>
                <c:pt idx="285">
                  <c:v>127</c:v>
                </c:pt>
                <c:pt idx="286">
                  <c:v>127</c:v>
                </c:pt>
                <c:pt idx="287">
                  <c:v>127</c:v>
                </c:pt>
                <c:pt idx="288">
                  <c:v>128</c:v>
                </c:pt>
                <c:pt idx="289">
                  <c:v>128</c:v>
                </c:pt>
                <c:pt idx="290">
                  <c:v>128</c:v>
                </c:pt>
                <c:pt idx="291">
                  <c:v>129</c:v>
                </c:pt>
                <c:pt idx="292">
                  <c:v>129</c:v>
                </c:pt>
                <c:pt idx="293">
                  <c:v>130</c:v>
                </c:pt>
                <c:pt idx="294">
                  <c:v>131</c:v>
                </c:pt>
                <c:pt idx="295">
                  <c:v>133</c:v>
                </c:pt>
                <c:pt idx="296">
                  <c:v>133</c:v>
                </c:pt>
                <c:pt idx="297">
                  <c:v>133</c:v>
                </c:pt>
                <c:pt idx="298">
                  <c:v>132</c:v>
                </c:pt>
                <c:pt idx="299">
                  <c:v>134</c:v>
                </c:pt>
                <c:pt idx="300">
                  <c:v>135</c:v>
                </c:pt>
                <c:pt idx="301">
                  <c:v>137</c:v>
                </c:pt>
                <c:pt idx="302">
                  <c:v>138</c:v>
                </c:pt>
                <c:pt idx="303">
                  <c:v>137</c:v>
                </c:pt>
                <c:pt idx="304">
                  <c:v>137</c:v>
                </c:pt>
                <c:pt idx="305">
                  <c:v>138</c:v>
                </c:pt>
                <c:pt idx="306">
                  <c:v>138</c:v>
                </c:pt>
                <c:pt idx="307">
                  <c:v>138</c:v>
                </c:pt>
                <c:pt idx="308">
                  <c:v>138</c:v>
                </c:pt>
                <c:pt idx="309">
                  <c:v>139</c:v>
                </c:pt>
                <c:pt idx="310">
                  <c:v>139</c:v>
                </c:pt>
                <c:pt idx="311">
                  <c:v>140</c:v>
                </c:pt>
                <c:pt idx="312">
                  <c:v>140</c:v>
                </c:pt>
                <c:pt idx="313">
                  <c:v>141</c:v>
                </c:pt>
                <c:pt idx="314">
                  <c:v>142</c:v>
                </c:pt>
                <c:pt idx="315">
                  <c:v>142</c:v>
                </c:pt>
                <c:pt idx="316">
                  <c:v>143</c:v>
                </c:pt>
                <c:pt idx="317">
                  <c:v>143</c:v>
                </c:pt>
                <c:pt idx="318">
                  <c:v>144</c:v>
                </c:pt>
                <c:pt idx="319">
                  <c:v>144</c:v>
                </c:pt>
                <c:pt idx="320">
                  <c:v>144</c:v>
                </c:pt>
                <c:pt idx="321">
                  <c:v>145</c:v>
                </c:pt>
                <c:pt idx="322">
                  <c:v>144</c:v>
                </c:pt>
                <c:pt idx="323">
                  <c:v>143</c:v>
                </c:pt>
                <c:pt idx="324">
                  <c:v>144</c:v>
                </c:pt>
                <c:pt idx="325">
                  <c:v>146</c:v>
                </c:pt>
                <c:pt idx="326">
                  <c:v>146</c:v>
                </c:pt>
                <c:pt idx="327">
                  <c:v>149</c:v>
                </c:pt>
                <c:pt idx="328">
                  <c:v>151</c:v>
                </c:pt>
                <c:pt idx="329">
                  <c:v>152</c:v>
                </c:pt>
                <c:pt idx="330">
                  <c:v>152</c:v>
                </c:pt>
                <c:pt idx="331">
                  <c:v>152</c:v>
                </c:pt>
                <c:pt idx="332">
                  <c:v>153</c:v>
                </c:pt>
                <c:pt idx="333">
                  <c:v>153</c:v>
                </c:pt>
                <c:pt idx="334">
                  <c:v>153</c:v>
                </c:pt>
                <c:pt idx="335">
                  <c:v>153</c:v>
                </c:pt>
                <c:pt idx="336">
                  <c:v>153</c:v>
                </c:pt>
                <c:pt idx="337">
                  <c:v>152</c:v>
                </c:pt>
                <c:pt idx="338">
                  <c:v>153</c:v>
                </c:pt>
                <c:pt idx="339">
                  <c:v>154</c:v>
                </c:pt>
                <c:pt idx="340">
                  <c:v>154</c:v>
                </c:pt>
                <c:pt idx="341">
                  <c:v>153</c:v>
                </c:pt>
                <c:pt idx="342">
                  <c:v>153</c:v>
                </c:pt>
                <c:pt idx="343">
                  <c:v>154</c:v>
                </c:pt>
                <c:pt idx="344">
                  <c:v>156</c:v>
                </c:pt>
                <c:pt idx="345">
                  <c:v>158</c:v>
                </c:pt>
                <c:pt idx="346">
                  <c:v>159</c:v>
                </c:pt>
                <c:pt idx="347">
                  <c:v>160</c:v>
                </c:pt>
                <c:pt idx="348">
                  <c:v>160</c:v>
                </c:pt>
                <c:pt idx="349">
                  <c:v>161</c:v>
                </c:pt>
                <c:pt idx="350">
                  <c:v>163</c:v>
                </c:pt>
                <c:pt idx="351">
                  <c:v>163</c:v>
                </c:pt>
                <c:pt idx="352">
                  <c:v>164</c:v>
                </c:pt>
                <c:pt idx="353">
                  <c:v>167</c:v>
                </c:pt>
                <c:pt idx="354">
                  <c:v>168</c:v>
                </c:pt>
                <c:pt idx="355">
                  <c:v>169</c:v>
                </c:pt>
                <c:pt idx="356">
                  <c:v>169</c:v>
                </c:pt>
                <c:pt idx="357">
                  <c:v>170</c:v>
                </c:pt>
                <c:pt idx="358">
                  <c:v>170</c:v>
                </c:pt>
                <c:pt idx="359">
                  <c:v>172</c:v>
                </c:pt>
                <c:pt idx="360">
                  <c:v>172</c:v>
                </c:pt>
                <c:pt idx="361">
                  <c:v>172</c:v>
                </c:pt>
                <c:pt idx="362">
                  <c:v>172</c:v>
                </c:pt>
                <c:pt idx="363">
                  <c:v>174</c:v>
                </c:pt>
                <c:pt idx="364">
                  <c:v>174</c:v>
                </c:pt>
                <c:pt idx="365">
                  <c:v>173</c:v>
                </c:pt>
                <c:pt idx="366">
                  <c:v>172</c:v>
                </c:pt>
                <c:pt idx="367">
                  <c:v>172</c:v>
                </c:pt>
                <c:pt idx="368">
                  <c:v>172</c:v>
                </c:pt>
                <c:pt idx="369">
                  <c:v>173</c:v>
                </c:pt>
                <c:pt idx="370">
                  <c:v>173</c:v>
                </c:pt>
                <c:pt idx="371">
                  <c:v>173</c:v>
                </c:pt>
                <c:pt idx="372">
                  <c:v>174</c:v>
                </c:pt>
                <c:pt idx="373">
                  <c:v>174</c:v>
                </c:pt>
                <c:pt idx="374">
                  <c:v>174</c:v>
                </c:pt>
                <c:pt idx="375">
                  <c:v>174</c:v>
                </c:pt>
                <c:pt idx="376">
                  <c:v>173</c:v>
                </c:pt>
                <c:pt idx="377">
                  <c:v>173</c:v>
                </c:pt>
                <c:pt idx="378">
                  <c:v>173</c:v>
                </c:pt>
                <c:pt idx="379">
                  <c:v>173</c:v>
                </c:pt>
                <c:pt idx="380">
                  <c:v>173</c:v>
                </c:pt>
                <c:pt idx="381">
                  <c:v>173</c:v>
                </c:pt>
                <c:pt idx="382">
                  <c:v>174</c:v>
                </c:pt>
                <c:pt idx="383">
                  <c:v>173</c:v>
                </c:pt>
                <c:pt idx="384">
                  <c:v>173</c:v>
                </c:pt>
                <c:pt idx="385">
                  <c:v>174</c:v>
                </c:pt>
                <c:pt idx="386">
                  <c:v>175</c:v>
                </c:pt>
                <c:pt idx="387">
                  <c:v>175</c:v>
                </c:pt>
                <c:pt idx="388">
                  <c:v>173</c:v>
                </c:pt>
                <c:pt idx="389">
                  <c:v>173</c:v>
                </c:pt>
                <c:pt idx="390">
                  <c:v>173</c:v>
                </c:pt>
                <c:pt idx="391">
                  <c:v>173</c:v>
                </c:pt>
                <c:pt idx="392">
                  <c:v>174</c:v>
                </c:pt>
                <c:pt idx="393">
                  <c:v>178</c:v>
                </c:pt>
                <c:pt idx="394">
                  <c:v>179</c:v>
                </c:pt>
                <c:pt idx="395">
                  <c:v>179</c:v>
                </c:pt>
                <c:pt idx="396">
                  <c:v>178</c:v>
                </c:pt>
                <c:pt idx="397">
                  <c:v>177</c:v>
                </c:pt>
                <c:pt idx="398">
                  <c:v>176</c:v>
                </c:pt>
                <c:pt idx="399">
                  <c:v>177</c:v>
                </c:pt>
                <c:pt idx="400">
                  <c:v>178</c:v>
                </c:pt>
                <c:pt idx="401">
                  <c:v>178</c:v>
                </c:pt>
                <c:pt idx="402">
                  <c:v>178</c:v>
                </c:pt>
                <c:pt idx="403">
                  <c:v>179</c:v>
                </c:pt>
                <c:pt idx="404">
                  <c:v>180</c:v>
                </c:pt>
                <c:pt idx="405">
                  <c:v>180</c:v>
                </c:pt>
                <c:pt idx="406">
                  <c:v>181</c:v>
                </c:pt>
                <c:pt idx="407">
                  <c:v>181</c:v>
                </c:pt>
                <c:pt idx="408">
                  <c:v>182</c:v>
                </c:pt>
                <c:pt idx="409">
                  <c:v>183</c:v>
                </c:pt>
                <c:pt idx="410">
                  <c:v>184</c:v>
                </c:pt>
                <c:pt idx="411">
                  <c:v>184</c:v>
                </c:pt>
                <c:pt idx="412">
                  <c:v>184</c:v>
                </c:pt>
                <c:pt idx="413">
                  <c:v>183</c:v>
                </c:pt>
                <c:pt idx="414">
                  <c:v>181</c:v>
                </c:pt>
                <c:pt idx="415">
                  <c:v>179</c:v>
                </c:pt>
                <c:pt idx="416">
                  <c:v>177</c:v>
                </c:pt>
                <c:pt idx="417">
                  <c:v>176</c:v>
                </c:pt>
                <c:pt idx="418">
                  <c:v>176</c:v>
                </c:pt>
                <c:pt idx="419">
                  <c:v>176</c:v>
                </c:pt>
                <c:pt idx="420">
                  <c:v>176</c:v>
                </c:pt>
                <c:pt idx="421">
                  <c:v>177</c:v>
                </c:pt>
                <c:pt idx="422">
                  <c:v>178</c:v>
                </c:pt>
                <c:pt idx="423">
                  <c:v>180</c:v>
                </c:pt>
                <c:pt idx="424">
                  <c:v>180</c:v>
                </c:pt>
                <c:pt idx="425">
                  <c:v>181</c:v>
                </c:pt>
                <c:pt idx="426">
                  <c:v>182</c:v>
                </c:pt>
                <c:pt idx="427">
                  <c:v>182</c:v>
                </c:pt>
                <c:pt idx="428">
                  <c:v>182</c:v>
                </c:pt>
                <c:pt idx="429">
                  <c:v>184</c:v>
                </c:pt>
                <c:pt idx="430">
                  <c:v>184</c:v>
                </c:pt>
                <c:pt idx="431">
                  <c:v>184</c:v>
                </c:pt>
                <c:pt idx="432">
                  <c:v>185</c:v>
                </c:pt>
                <c:pt idx="433">
                  <c:v>186</c:v>
                </c:pt>
                <c:pt idx="434">
                  <c:v>187</c:v>
                </c:pt>
                <c:pt idx="435">
                  <c:v>189</c:v>
                </c:pt>
                <c:pt idx="436">
                  <c:v>189</c:v>
                </c:pt>
                <c:pt idx="437">
                  <c:v>187</c:v>
                </c:pt>
                <c:pt idx="438">
                  <c:v>188</c:v>
                </c:pt>
                <c:pt idx="439">
                  <c:v>188</c:v>
                </c:pt>
                <c:pt idx="440">
                  <c:v>188</c:v>
                </c:pt>
                <c:pt idx="441">
                  <c:v>188</c:v>
                </c:pt>
                <c:pt idx="442">
                  <c:v>188</c:v>
                </c:pt>
                <c:pt idx="443">
                  <c:v>188</c:v>
                </c:pt>
                <c:pt idx="444">
                  <c:v>188</c:v>
                </c:pt>
                <c:pt idx="445">
                  <c:v>187</c:v>
                </c:pt>
                <c:pt idx="446">
                  <c:v>187</c:v>
                </c:pt>
                <c:pt idx="447">
                  <c:v>188</c:v>
                </c:pt>
                <c:pt idx="448">
                  <c:v>189</c:v>
                </c:pt>
                <c:pt idx="449">
                  <c:v>189</c:v>
                </c:pt>
                <c:pt idx="450">
                  <c:v>191</c:v>
                </c:pt>
                <c:pt idx="451">
                  <c:v>191</c:v>
                </c:pt>
                <c:pt idx="452">
                  <c:v>193</c:v>
                </c:pt>
                <c:pt idx="453">
                  <c:v>193</c:v>
                </c:pt>
                <c:pt idx="454">
                  <c:v>193</c:v>
                </c:pt>
                <c:pt idx="455">
                  <c:v>192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189</c:v>
                </c:pt>
                <c:pt idx="461">
                  <c:v>189</c:v>
                </c:pt>
                <c:pt idx="462">
                  <c:v>189</c:v>
                </c:pt>
                <c:pt idx="463">
                  <c:v>188</c:v>
                </c:pt>
                <c:pt idx="464">
                  <c:v>187</c:v>
                </c:pt>
                <c:pt idx="465">
                  <c:v>186</c:v>
                </c:pt>
                <c:pt idx="466">
                  <c:v>186</c:v>
                </c:pt>
                <c:pt idx="467">
                  <c:v>186</c:v>
                </c:pt>
                <c:pt idx="468">
                  <c:v>184</c:v>
                </c:pt>
                <c:pt idx="469">
                  <c:v>184</c:v>
                </c:pt>
                <c:pt idx="470">
                  <c:v>185</c:v>
                </c:pt>
                <c:pt idx="471">
                  <c:v>185</c:v>
                </c:pt>
                <c:pt idx="472">
                  <c:v>186</c:v>
                </c:pt>
                <c:pt idx="473">
                  <c:v>186</c:v>
                </c:pt>
                <c:pt idx="474">
                  <c:v>186</c:v>
                </c:pt>
                <c:pt idx="475">
                  <c:v>187</c:v>
                </c:pt>
                <c:pt idx="476">
                  <c:v>187</c:v>
                </c:pt>
                <c:pt idx="477">
                  <c:v>187</c:v>
                </c:pt>
                <c:pt idx="478">
                  <c:v>187</c:v>
                </c:pt>
                <c:pt idx="479">
                  <c:v>187</c:v>
                </c:pt>
                <c:pt idx="480">
                  <c:v>186</c:v>
                </c:pt>
                <c:pt idx="481">
                  <c:v>185</c:v>
                </c:pt>
                <c:pt idx="482">
                  <c:v>184</c:v>
                </c:pt>
                <c:pt idx="483">
                  <c:v>184</c:v>
                </c:pt>
                <c:pt idx="484">
                  <c:v>184</c:v>
                </c:pt>
                <c:pt idx="485">
                  <c:v>184</c:v>
                </c:pt>
                <c:pt idx="486">
                  <c:v>184</c:v>
                </c:pt>
                <c:pt idx="487">
                  <c:v>182</c:v>
                </c:pt>
                <c:pt idx="488">
                  <c:v>182</c:v>
                </c:pt>
                <c:pt idx="489">
                  <c:v>183</c:v>
                </c:pt>
                <c:pt idx="490">
                  <c:v>182</c:v>
                </c:pt>
                <c:pt idx="491">
                  <c:v>183</c:v>
                </c:pt>
                <c:pt idx="492">
                  <c:v>183</c:v>
                </c:pt>
                <c:pt idx="493">
                  <c:v>185</c:v>
                </c:pt>
                <c:pt idx="494">
                  <c:v>188</c:v>
                </c:pt>
                <c:pt idx="495">
                  <c:v>189</c:v>
                </c:pt>
                <c:pt idx="496">
                  <c:v>190</c:v>
                </c:pt>
                <c:pt idx="497">
                  <c:v>190</c:v>
                </c:pt>
                <c:pt idx="498">
                  <c:v>191</c:v>
                </c:pt>
                <c:pt idx="499">
                  <c:v>192</c:v>
                </c:pt>
                <c:pt idx="500">
                  <c:v>193</c:v>
                </c:pt>
                <c:pt idx="501">
                  <c:v>193</c:v>
                </c:pt>
                <c:pt idx="502">
                  <c:v>193</c:v>
                </c:pt>
                <c:pt idx="503">
                  <c:v>193</c:v>
                </c:pt>
                <c:pt idx="504">
                  <c:v>195</c:v>
                </c:pt>
                <c:pt idx="505">
                  <c:v>195</c:v>
                </c:pt>
                <c:pt idx="506">
                  <c:v>195</c:v>
                </c:pt>
                <c:pt idx="507">
                  <c:v>194</c:v>
                </c:pt>
                <c:pt idx="508">
                  <c:v>194</c:v>
                </c:pt>
                <c:pt idx="509">
                  <c:v>195</c:v>
                </c:pt>
                <c:pt idx="510">
                  <c:v>196</c:v>
                </c:pt>
                <c:pt idx="511">
                  <c:v>196</c:v>
                </c:pt>
                <c:pt idx="512">
                  <c:v>195</c:v>
                </c:pt>
                <c:pt idx="513">
                  <c:v>196</c:v>
                </c:pt>
                <c:pt idx="514">
                  <c:v>196</c:v>
                </c:pt>
                <c:pt idx="515">
                  <c:v>196</c:v>
                </c:pt>
                <c:pt idx="516">
                  <c:v>196</c:v>
                </c:pt>
                <c:pt idx="517">
                  <c:v>196</c:v>
                </c:pt>
                <c:pt idx="518">
                  <c:v>196</c:v>
                </c:pt>
                <c:pt idx="519">
                  <c:v>195</c:v>
                </c:pt>
                <c:pt idx="520">
                  <c:v>194</c:v>
                </c:pt>
                <c:pt idx="521">
                  <c:v>194</c:v>
                </c:pt>
                <c:pt idx="522">
                  <c:v>194</c:v>
                </c:pt>
                <c:pt idx="523">
                  <c:v>194</c:v>
                </c:pt>
                <c:pt idx="524">
                  <c:v>196</c:v>
                </c:pt>
                <c:pt idx="525">
                  <c:v>198</c:v>
                </c:pt>
                <c:pt idx="526">
                  <c:v>199</c:v>
                </c:pt>
                <c:pt idx="527">
                  <c:v>198</c:v>
                </c:pt>
                <c:pt idx="528">
                  <c:v>199</c:v>
                </c:pt>
                <c:pt idx="529">
                  <c:v>199</c:v>
                </c:pt>
                <c:pt idx="530">
                  <c:v>200</c:v>
                </c:pt>
                <c:pt idx="531">
                  <c:v>201</c:v>
                </c:pt>
                <c:pt idx="532">
                  <c:v>201</c:v>
                </c:pt>
                <c:pt idx="533">
                  <c:v>203</c:v>
                </c:pt>
                <c:pt idx="534">
                  <c:v>203</c:v>
                </c:pt>
                <c:pt idx="535">
                  <c:v>202</c:v>
                </c:pt>
                <c:pt idx="536">
                  <c:v>201</c:v>
                </c:pt>
                <c:pt idx="537">
                  <c:v>201</c:v>
                </c:pt>
                <c:pt idx="538">
                  <c:v>200</c:v>
                </c:pt>
                <c:pt idx="539">
                  <c:v>200</c:v>
                </c:pt>
                <c:pt idx="540">
                  <c:v>199</c:v>
                </c:pt>
                <c:pt idx="541">
                  <c:v>199</c:v>
                </c:pt>
                <c:pt idx="542">
                  <c:v>199</c:v>
                </c:pt>
                <c:pt idx="543">
                  <c:v>199</c:v>
                </c:pt>
                <c:pt idx="544">
                  <c:v>200</c:v>
                </c:pt>
                <c:pt idx="545">
                  <c:v>201</c:v>
                </c:pt>
                <c:pt idx="546">
                  <c:v>201</c:v>
                </c:pt>
                <c:pt idx="547">
                  <c:v>201</c:v>
                </c:pt>
                <c:pt idx="548">
                  <c:v>201</c:v>
                </c:pt>
                <c:pt idx="549">
                  <c:v>201</c:v>
                </c:pt>
                <c:pt idx="550">
                  <c:v>199</c:v>
                </c:pt>
                <c:pt idx="551">
                  <c:v>198</c:v>
                </c:pt>
                <c:pt idx="552">
                  <c:v>198</c:v>
                </c:pt>
                <c:pt idx="553">
                  <c:v>197</c:v>
                </c:pt>
                <c:pt idx="554">
                  <c:v>197</c:v>
                </c:pt>
                <c:pt idx="555">
                  <c:v>199</c:v>
                </c:pt>
                <c:pt idx="556">
                  <c:v>199</c:v>
                </c:pt>
                <c:pt idx="557">
                  <c:v>198</c:v>
                </c:pt>
                <c:pt idx="558">
                  <c:v>199</c:v>
                </c:pt>
                <c:pt idx="559">
                  <c:v>198</c:v>
                </c:pt>
                <c:pt idx="560">
                  <c:v>199</c:v>
                </c:pt>
                <c:pt idx="561">
                  <c:v>199</c:v>
                </c:pt>
                <c:pt idx="562">
                  <c:v>198</c:v>
                </c:pt>
                <c:pt idx="563">
                  <c:v>198</c:v>
                </c:pt>
                <c:pt idx="564">
                  <c:v>197</c:v>
                </c:pt>
                <c:pt idx="565">
                  <c:v>197</c:v>
                </c:pt>
                <c:pt idx="566">
                  <c:v>197</c:v>
                </c:pt>
                <c:pt idx="567">
                  <c:v>198</c:v>
                </c:pt>
                <c:pt idx="568">
                  <c:v>198</c:v>
                </c:pt>
                <c:pt idx="569">
                  <c:v>197</c:v>
                </c:pt>
                <c:pt idx="570">
                  <c:v>198</c:v>
                </c:pt>
                <c:pt idx="571">
                  <c:v>197</c:v>
                </c:pt>
                <c:pt idx="572">
                  <c:v>198</c:v>
                </c:pt>
                <c:pt idx="573">
                  <c:v>199</c:v>
                </c:pt>
                <c:pt idx="574">
                  <c:v>200</c:v>
                </c:pt>
                <c:pt idx="575">
                  <c:v>202</c:v>
                </c:pt>
                <c:pt idx="576">
                  <c:v>202</c:v>
                </c:pt>
                <c:pt idx="577">
                  <c:v>203</c:v>
                </c:pt>
                <c:pt idx="578">
                  <c:v>202</c:v>
                </c:pt>
                <c:pt idx="579">
                  <c:v>204</c:v>
                </c:pt>
                <c:pt idx="580">
                  <c:v>204</c:v>
                </c:pt>
                <c:pt idx="581">
                  <c:v>204</c:v>
                </c:pt>
                <c:pt idx="582">
                  <c:v>204</c:v>
                </c:pt>
                <c:pt idx="583">
                  <c:v>204</c:v>
                </c:pt>
                <c:pt idx="584">
                  <c:v>201</c:v>
                </c:pt>
                <c:pt idx="585">
                  <c:v>201</c:v>
                </c:pt>
                <c:pt idx="586">
                  <c:v>200</c:v>
                </c:pt>
                <c:pt idx="587">
                  <c:v>200</c:v>
                </c:pt>
                <c:pt idx="588">
                  <c:v>202</c:v>
                </c:pt>
                <c:pt idx="589">
                  <c:v>201</c:v>
                </c:pt>
                <c:pt idx="590">
                  <c:v>201</c:v>
                </c:pt>
                <c:pt idx="591">
                  <c:v>202</c:v>
                </c:pt>
                <c:pt idx="592">
                  <c:v>202</c:v>
                </c:pt>
                <c:pt idx="593">
                  <c:v>202</c:v>
                </c:pt>
                <c:pt idx="594">
                  <c:v>201</c:v>
                </c:pt>
                <c:pt idx="595">
                  <c:v>200</c:v>
                </c:pt>
                <c:pt idx="596">
                  <c:v>200</c:v>
                </c:pt>
                <c:pt idx="597">
                  <c:v>200</c:v>
                </c:pt>
                <c:pt idx="598">
                  <c:v>201</c:v>
                </c:pt>
                <c:pt idx="599">
                  <c:v>201</c:v>
                </c:pt>
                <c:pt idx="600">
                  <c:v>202</c:v>
                </c:pt>
                <c:pt idx="601">
                  <c:v>205</c:v>
                </c:pt>
                <c:pt idx="602">
                  <c:v>206</c:v>
                </c:pt>
                <c:pt idx="603">
                  <c:v>207</c:v>
                </c:pt>
                <c:pt idx="604">
                  <c:v>207</c:v>
                </c:pt>
                <c:pt idx="605">
                  <c:v>208</c:v>
                </c:pt>
                <c:pt idx="606">
                  <c:v>207</c:v>
                </c:pt>
                <c:pt idx="607">
                  <c:v>207</c:v>
                </c:pt>
                <c:pt idx="608">
                  <c:v>207</c:v>
                </c:pt>
                <c:pt idx="609">
                  <c:v>207</c:v>
                </c:pt>
                <c:pt idx="610">
                  <c:v>205</c:v>
                </c:pt>
                <c:pt idx="611">
                  <c:v>204</c:v>
                </c:pt>
                <c:pt idx="612">
                  <c:v>203</c:v>
                </c:pt>
                <c:pt idx="613">
                  <c:v>204</c:v>
                </c:pt>
                <c:pt idx="614">
                  <c:v>203</c:v>
                </c:pt>
                <c:pt idx="615">
                  <c:v>203</c:v>
                </c:pt>
                <c:pt idx="616">
                  <c:v>203</c:v>
                </c:pt>
                <c:pt idx="617">
                  <c:v>202</c:v>
                </c:pt>
                <c:pt idx="618">
                  <c:v>201</c:v>
                </c:pt>
                <c:pt idx="619">
                  <c:v>201</c:v>
                </c:pt>
                <c:pt idx="620">
                  <c:v>201</c:v>
                </c:pt>
                <c:pt idx="621">
                  <c:v>202</c:v>
                </c:pt>
                <c:pt idx="622">
                  <c:v>202</c:v>
                </c:pt>
                <c:pt idx="623">
                  <c:v>202</c:v>
                </c:pt>
                <c:pt idx="624">
                  <c:v>201</c:v>
                </c:pt>
                <c:pt idx="625">
                  <c:v>201</c:v>
                </c:pt>
                <c:pt idx="626">
                  <c:v>202</c:v>
                </c:pt>
                <c:pt idx="627">
                  <c:v>202</c:v>
                </c:pt>
                <c:pt idx="628">
                  <c:v>201</c:v>
                </c:pt>
                <c:pt idx="629">
                  <c:v>200</c:v>
                </c:pt>
                <c:pt idx="630">
                  <c:v>200</c:v>
                </c:pt>
                <c:pt idx="631">
                  <c:v>201</c:v>
                </c:pt>
                <c:pt idx="632">
                  <c:v>200</c:v>
                </c:pt>
                <c:pt idx="633">
                  <c:v>200</c:v>
                </c:pt>
                <c:pt idx="634">
                  <c:v>200</c:v>
                </c:pt>
                <c:pt idx="635">
                  <c:v>202</c:v>
                </c:pt>
                <c:pt idx="636">
                  <c:v>202</c:v>
                </c:pt>
                <c:pt idx="637">
                  <c:v>203</c:v>
                </c:pt>
                <c:pt idx="638">
                  <c:v>202</c:v>
                </c:pt>
                <c:pt idx="639">
                  <c:v>203</c:v>
                </c:pt>
                <c:pt idx="640">
                  <c:v>203</c:v>
                </c:pt>
                <c:pt idx="641">
                  <c:v>203</c:v>
                </c:pt>
                <c:pt idx="642">
                  <c:v>204</c:v>
                </c:pt>
                <c:pt idx="643">
                  <c:v>206</c:v>
                </c:pt>
                <c:pt idx="644">
                  <c:v>205</c:v>
                </c:pt>
                <c:pt idx="645">
                  <c:v>205</c:v>
                </c:pt>
                <c:pt idx="646">
                  <c:v>204</c:v>
                </c:pt>
                <c:pt idx="647">
                  <c:v>204</c:v>
                </c:pt>
                <c:pt idx="648">
                  <c:v>204</c:v>
                </c:pt>
                <c:pt idx="649">
                  <c:v>204</c:v>
                </c:pt>
                <c:pt idx="650">
                  <c:v>204</c:v>
                </c:pt>
                <c:pt idx="651">
                  <c:v>205</c:v>
                </c:pt>
                <c:pt idx="652">
                  <c:v>205</c:v>
                </c:pt>
                <c:pt idx="653">
                  <c:v>207</c:v>
                </c:pt>
                <c:pt idx="654">
                  <c:v>206</c:v>
                </c:pt>
                <c:pt idx="655">
                  <c:v>206</c:v>
                </c:pt>
                <c:pt idx="656">
                  <c:v>206</c:v>
                </c:pt>
                <c:pt idx="657">
                  <c:v>206</c:v>
                </c:pt>
                <c:pt idx="658">
                  <c:v>207</c:v>
                </c:pt>
                <c:pt idx="659">
                  <c:v>207</c:v>
                </c:pt>
                <c:pt idx="660">
                  <c:v>210</c:v>
                </c:pt>
                <c:pt idx="661">
                  <c:v>210</c:v>
                </c:pt>
                <c:pt idx="662">
                  <c:v>210</c:v>
                </c:pt>
                <c:pt idx="663">
                  <c:v>210</c:v>
                </c:pt>
                <c:pt idx="664">
                  <c:v>210</c:v>
                </c:pt>
                <c:pt idx="665">
                  <c:v>210</c:v>
                </c:pt>
                <c:pt idx="666">
                  <c:v>210</c:v>
                </c:pt>
                <c:pt idx="667">
                  <c:v>210</c:v>
                </c:pt>
                <c:pt idx="668">
                  <c:v>212</c:v>
                </c:pt>
                <c:pt idx="669">
                  <c:v>211</c:v>
                </c:pt>
                <c:pt idx="670">
                  <c:v>211</c:v>
                </c:pt>
                <c:pt idx="671">
                  <c:v>211</c:v>
                </c:pt>
                <c:pt idx="672">
                  <c:v>210</c:v>
                </c:pt>
                <c:pt idx="673">
                  <c:v>210</c:v>
                </c:pt>
                <c:pt idx="674">
                  <c:v>209</c:v>
                </c:pt>
                <c:pt idx="675">
                  <c:v>209</c:v>
                </c:pt>
                <c:pt idx="676">
                  <c:v>209</c:v>
                </c:pt>
                <c:pt idx="677">
                  <c:v>209</c:v>
                </c:pt>
                <c:pt idx="678">
                  <c:v>210</c:v>
                </c:pt>
                <c:pt idx="679">
                  <c:v>210</c:v>
                </c:pt>
                <c:pt idx="680">
                  <c:v>210</c:v>
                </c:pt>
                <c:pt idx="681">
                  <c:v>210</c:v>
                </c:pt>
                <c:pt idx="682">
                  <c:v>210</c:v>
                </c:pt>
                <c:pt idx="683">
                  <c:v>210</c:v>
                </c:pt>
                <c:pt idx="684">
                  <c:v>210</c:v>
                </c:pt>
                <c:pt idx="685">
                  <c:v>209</c:v>
                </c:pt>
                <c:pt idx="686">
                  <c:v>208</c:v>
                </c:pt>
                <c:pt idx="687">
                  <c:v>209</c:v>
                </c:pt>
                <c:pt idx="688">
                  <c:v>206</c:v>
                </c:pt>
                <c:pt idx="689">
                  <c:v>205</c:v>
                </c:pt>
                <c:pt idx="690">
                  <c:v>206</c:v>
                </c:pt>
                <c:pt idx="691">
                  <c:v>205</c:v>
                </c:pt>
                <c:pt idx="692">
                  <c:v>205</c:v>
                </c:pt>
                <c:pt idx="693">
                  <c:v>204</c:v>
                </c:pt>
                <c:pt idx="694">
                  <c:v>205</c:v>
                </c:pt>
                <c:pt idx="695">
                  <c:v>205</c:v>
                </c:pt>
                <c:pt idx="696">
                  <c:v>206</c:v>
                </c:pt>
                <c:pt idx="697">
                  <c:v>206</c:v>
                </c:pt>
                <c:pt idx="698">
                  <c:v>206</c:v>
                </c:pt>
                <c:pt idx="699">
                  <c:v>205</c:v>
                </c:pt>
                <c:pt idx="700">
                  <c:v>206</c:v>
                </c:pt>
                <c:pt idx="701">
                  <c:v>206</c:v>
                </c:pt>
                <c:pt idx="702">
                  <c:v>206</c:v>
                </c:pt>
                <c:pt idx="703">
                  <c:v>207</c:v>
                </c:pt>
                <c:pt idx="704">
                  <c:v>206</c:v>
                </c:pt>
                <c:pt idx="705">
                  <c:v>204</c:v>
                </c:pt>
                <c:pt idx="706">
                  <c:v>203</c:v>
                </c:pt>
                <c:pt idx="707">
                  <c:v>203</c:v>
                </c:pt>
                <c:pt idx="708">
                  <c:v>202</c:v>
                </c:pt>
                <c:pt idx="709">
                  <c:v>203</c:v>
                </c:pt>
                <c:pt idx="710">
                  <c:v>202</c:v>
                </c:pt>
                <c:pt idx="711">
                  <c:v>202</c:v>
                </c:pt>
                <c:pt idx="712">
                  <c:v>202</c:v>
                </c:pt>
                <c:pt idx="713">
                  <c:v>202</c:v>
                </c:pt>
                <c:pt idx="714">
                  <c:v>199</c:v>
                </c:pt>
                <c:pt idx="715">
                  <c:v>199</c:v>
                </c:pt>
                <c:pt idx="716">
                  <c:v>200</c:v>
                </c:pt>
                <c:pt idx="717">
                  <c:v>200</c:v>
                </c:pt>
                <c:pt idx="718">
                  <c:v>199</c:v>
                </c:pt>
                <c:pt idx="719">
                  <c:v>199</c:v>
                </c:pt>
                <c:pt idx="720">
                  <c:v>199</c:v>
                </c:pt>
                <c:pt idx="721">
                  <c:v>199</c:v>
                </c:pt>
                <c:pt idx="722">
                  <c:v>198</c:v>
                </c:pt>
                <c:pt idx="723">
                  <c:v>199</c:v>
                </c:pt>
                <c:pt idx="724">
                  <c:v>198</c:v>
                </c:pt>
                <c:pt idx="725">
                  <c:v>197</c:v>
                </c:pt>
                <c:pt idx="726">
                  <c:v>197</c:v>
                </c:pt>
                <c:pt idx="727">
                  <c:v>198</c:v>
                </c:pt>
                <c:pt idx="728">
                  <c:v>198</c:v>
                </c:pt>
                <c:pt idx="729">
                  <c:v>201</c:v>
                </c:pt>
                <c:pt idx="730">
                  <c:v>201</c:v>
                </c:pt>
                <c:pt idx="731">
                  <c:v>201</c:v>
                </c:pt>
                <c:pt idx="732">
                  <c:v>201</c:v>
                </c:pt>
                <c:pt idx="733">
                  <c:v>201</c:v>
                </c:pt>
                <c:pt idx="734">
                  <c:v>201</c:v>
                </c:pt>
                <c:pt idx="735">
                  <c:v>201</c:v>
                </c:pt>
                <c:pt idx="736">
                  <c:v>201</c:v>
                </c:pt>
                <c:pt idx="737">
                  <c:v>201</c:v>
                </c:pt>
                <c:pt idx="738">
                  <c:v>201</c:v>
                </c:pt>
                <c:pt idx="739">
                  <c:v>201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28-40D1-80B8-BBAD8A303ED8}"/>
            </c:ext>
          </c:extLst>
        </c:ser>
        <c:ser>
          <c:idx val="1"/>
          <c:order val="1"/>
          <c:tx>
            <c:strRef>
              <c:f>'Active Timeline'!$P$1</c:f>
              <c:strCache>
                <c:ptCount val="1"/>
                <c:pt idx="0">
                  <c:v>ActiveFemale</c:v>
                </c:pt>
              </c:strCache>
            </c:strRef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'Active Timeline'!$A$2:$A$741</c:f>
              <c:numCache>
                <c:formatCode>yyyy\-mm\-dd;@</c:formatCode>
                <c:ptCount val="740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</c:numCache>
            </c:numRef>
          </c:cat>
          <c:val>
            <c:numRef>
              <c:f>'Active Timeline'!$P$2:$P$741</c:f>
              <c:numCache>
                <c:formatCode>0</c:formatCode>
                <c:ptCount val="74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11</c:v>
                </c:pt>
                <c:pt idx="22">
                  <c:v>11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17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19</c:v>
                </c:pt>
                <c:pt idx="46">
                  <c:v>19</c:v>
                </c:pt>
                <c:pt idx="47">
                  <c:v>20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  <c:pt idx="60">
                  <c:v>22</c:v>
                </c:pt>
                <c:pt idx="61">
                  <c:v>22</c:v>
                </c:pt>
                <c:pt idx="62">
                  <c:v>23</c:v>
                </c:pt>
                <c:pt idx="63">
                  <c:v>23</c:v>
                </c:pt>
                <c:pt idx="64">
                  <c:v>23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27</c:v>
                </c:pt>
                <c:pt idx="72">
                  <c:v>27</c:v>
                </c:pt>
                <c:pt idx="73">
                  <c:v>29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37</c:v>
                </c:pt>
                <c:pt idx="87">
                  <c:v>36</c:v>
                </c:pt>
                <c:pt idx="88">
                  <c:v>36</c:v>
                </c:pt>
                <c:pt idx="89">
                  <c:v>37</c:v>
                </c:pt>
                <c:pt idx="90">
                  <c:v>38</c:v>
                </c:pt>
                <c:pt idx="91">
                  <c:v>39</c:v>
                </c:pt>
                <c:pt idx="92">
                  <c:v>39</c:v>
                </c:pt>
                <c:pt idx="93">
                  <c:v>39</c:v>
                </c:pt>
                <c:pt idx="94">
                  <c:v>39</c:v>
                </c:pt>
                <c:pt idx="95">
                  <c:v>40</c:v>
                </c:pt>
                <c:pt idx="96">
                  <c:v>40</c:v>
                </c:pt>
                <c:pt idx="97">
                  <c:v>41</c:v>
                </c:pt>
                <c:pt idx="98">
                  <c:v>41</c:v>
                </c:pt>
                <c:pt idx="99">
                  <c:v>41</c:v>
                </c:pt>
                <c:pt idx="100">
                  <c:v>42</c:v>
                </c:pt>
                <c:pt idx="101">
                  <c:v>42</c:v>
                </c:pt>
                <c:pt idx="102">
                  <c:v>42</c:v>
                </c:pt>
                <c:pt idx="103">
                  <c:v>42</c:v>
                </c:pt>
                <c:pt idx="104">
                  <c:v>42</c:v>
                </c:pt>
                <c:pt idx="105">
                  <c:v>42</c:v>
                </c:pt>
                <c:pt idx="106">
                  <c:v>42</c:v>
                </c:pt>
                <c:pt idx="107">
                  <c:v>42</c:v>
                </c:pt>
                <c:pt idx="108">
                  <c:v>43</c:v>
                </c:pt>
                <c:pt idx="109">
                  <c:v>43</c:v>
                </c:pt>
                <c:pt idx="110">
                  <c:v>44</c:v>
                </c:pt>
                <c:pt idx="111">
                  <c:v>44</c:v>
                </c:pt>
                <c:pt idx="112">
                  <c:v>44</c:v>
                </c:pt>
                <c:pt idx="113">
                  <c:v>45</c:v>
                </c:pt>
                <c:pt idx="114">
                  <c:v>45</c:v>
                </c:pt>
                <c:pt idx="115">
                  <c:v>46</c:v>
                </c:pt>
                <c:pt idx="116">
                  <c:v>46</c:v>
                </c:pt>
                <c:pt idx="117">
                  <c:v>46</c:v>
                </c:pt>
                <c:pt idx="118">
                  <c:v>47</c:v>
                </c:pt>
                <c:pt idx="119">
                  <c:v>47</c:v>
                </c:pt>
                <c:pt idx="120">
                  <c:v>47</c:v>
                </c:pt>
                <c:pt idx="121">
                  <c:v>48</c:v>
                </c:pt>
                <c:pt idx="122">
                  <c:v>48</c:v>
                </c:pt>
                <c:pt idx="123">
                  <c:v>48</c:v>
                </c:pt>
                <c:pt idx="124">
                  <c:v>49</c:v>
                </c:pt>
                <c:pt idx="125">
                  <c:v>49</c:v>
                </c:pt>
                <c:pt idx="126">
                  <c:v>48</c:v>
                </c:pt>
                <c:pt idx="127">
                  <c:v>49</c:v>
                </c:pt>
                <c:pt idx="128">
                  <c:v>49</c:v>
                </c:pt>
                <c:pt idx="129">
                  <c:v>50</c:v>
                </c:pt>
                <c:pt idx="130">
                  <c:v>51</c:v>
                </c:pt>
                <c:pt idx="131">
                  <c:v>51</c:v>
                </c:pt>
                <c:pt idx="132">
                  <c:v>53</c:v>
                </c:pt>
                <c:pt idx="133">
                  <c:v>53</c:v>
                </c:pt>
                <c:pt idx="134">
                  <c:v>53</c:v>
                </c:pt>
                <c:pt idx="135">
                  <c:v>53</c:v>
                </c:pt>
                <c:pt idx="136">
                  <c:v>54</c:v>
                </c:pt>
                <c:pt idx="137">
                  <c:v>54</c:v>
                </c:pt>
                <c:pt idx="138">
                  <c:v>55</c:v>
                </c:pt>
                <c:pt idx="139">
                  <c:v>54</c:v>
                </c:pt>
                <c:pt idx="140">
                  <c:v>55</c:v>
                </c:pt>
                <c:pt idx="141">
                  <c:v>57</c:v>
                </c:pt>
                <c:pt idx="142">
                  <c:v>57</c:v>
                </c:pt>
                <c:pt idx="143">
                  <c:v>59</c:v>
                </c:pt>
                <c:pt idx="144">
                  <c:v>59</c:v>
                </c:pt>
                <c:pt idx="145">
                  <c:v>59</c:v>
                </c:pt>
                <c:pt idx="146">
                  <c:v>60</c:v>
                </c:pt>
                <c:pt idx="147">
                  <c:v>61</c:v>
                </c:pt>
                <c:pt idx="148">
                  <c:v>61</c:v>
                </c:pt>
                <c:pt idx="149">
                  <c:v>61</c:v>
                </c:pt>
                <c:pt idx="150">
                  <c:v>61</c:v>
                </c:pt>
                <c:pt idx="151">
                  <c:v>62</c:v>
                </c:pt>
                <c:pt idx="152">
                  <c:v>63</c:v>
                </c:pt>
                <c:pt idx="153">
                  <c:v>63</c:v>
                </c:pt>
                <c:pt idx="154">
                  <c:v>63</c:v>
                </c:pt>
                <c:pt idx="155">
                  <c:v>64</c:v>
                </c:pt>
                <c:pt idx="156">
                  <c:v>65</c:v>
                </c:pt>
                <c:pt idx="157">
                  <c:v>65</c:v>
                </c:pt>
                <c:pt idx="158">
                  <c:v>66</c:v>
                </c:pt>
                <c:pt idx="159">
                  <c:v>66</c:v>
                </c:pt>
                <c:pt idx="160">
                  <c:v>67</c:v>
                </c:pt>
                <c:pt idx="161">
                  <c:v>67</c:v>
                </c:pt>
                <c:pt idx="162">
                  <c:v>67</c:v>
                </c:pt>
                <c:pt idx="163">
                  <c:v>66</c:v>
                </c:pt>
                <c:pt idx="164">
                  <c:v>66</c:v>
                </c:pt>
                <c:pt idx="165">
                  <c:v>67</c:v>
                </c:pt>
                <c:pt idx="166">
                  <c:v>67</c:v>
                </c:pt>
                <c:pt idx="167">
                  <c:v>68</c:v>
                </c:pt>
                <c:pt idx="168">
                  <c:v>68</c:v>
                </c:pt>
                <c:pt idx="169">
                  <c:v>69</c:v>
                </c:pt>
                <c:pt idx="170">
                  <c:v>69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69</c:v>
                </c:pt>
                <c:pt idx="176">
                  <c:v>69</c:v>
                </c:pt>
                <c:pt idx="177">
                  <c:v>69</c:v>
                </c:pt>
                <c:pt idx="178">
                  <c:v>70</c:v>
                </c:pt>
                <c:pt idx="179">
                  <c:v>71</c:v>
                </c:pt>
                <c:pt idx="180">
                  <c:v>71</c:v>
                </c:pt>
                <c:pt idx="181">
                  <c:v>72</c:v>
                </c:pt>
                <c:pt idx="182">
                  <c:v>73</c:v>
                </c:pt>
                <c:pt idx="183">
                  <c:v>72</c:v>
                </c:pt>
                <c:pt idx="184">
                  <c:v>72</c:v>
                </c:pt>
                <c:pt idx="185">
                  <c:v>72</c:v>
                </c:pt>
                <c:pt idx="186">
                  <c:v>70</c:v>
                </c:pt>
                <c:pt idx="187">
                  <c:v>71</c:v>
                </c:pt>
                <c:pt idx="188">
                  <c:v>71</c:v>
                </c:pt>
                <c:pt idx="189">
                  <c:v>71</c:v>
                </c:pt>
                <c:pt idx="190">
                  <c:v>71</c:v>
                </c:pt>
                <c:pt idx="191">
                  <c:v>71</c:v>
                </c:pt>
                <c:pt idx="192">
                  <c:v>71</c:v>
                </c:pt>
                <c:pt idx="193">
                  <c:v>71</c:v>
                </c:pt>
                <c:pt idx="194">
                  <c:v>71</c:v>
                </c:pt>
                <c:pt idx="195">
                  <c:v>71</c:v>
                </c:pt>
                <c:pt idx="196">
                  <c:v>71</c:v>
                </c:pt>
                <c:pt idx="197">
                  <c:v>72</c:v>
                </c:pt>
                <c:pt idx="198">
                  <c:v>71</c:v>
                </c:pt>
                <c:pt idx="199">
                  <c:v>71</c:v>
                </c:pt>
                <c:pt idx="200">
                  <c:v>71</c:v>
                </c:pt>
                <c:pt idx="201">
                  <c:v>71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71</c:v>
                </c:pt>
                <c:pt idx="206">
                  <c:v>71</c:v>
                </c:pt>
                <c:pt idx="207">
                  <c:v>73</c:v>
                </c:pt>
                <c:pt idx="208">
                  <c:v>73</c:v>
                </c:pt>
                <c:pt idx="209">
                  <c:v>73</c:v>
                </c:pt>
                <c:pt idx="210">
                  <c:v>73</c:v>
                </c:pt>
                <c:pt idx="211">
                  <c:v>73</c:v>
                </c:pt>
                <c:pt idx="212">
                  <c:v>73</c:v>
                </c:pt>
                <c:pt idx="213">
                  <c:v>72</c:v>
                </c:pt>
                <c:pt idx="214">
                  <c:v>73</c:v>
                </c:pt>
                <c:pt idx="215">
                  <c:v>73</c:v>
                </c:pt>
                <c:pt idx="216">
                  <c:v>74</c:v>
                </c:pt>
                <c:pt idx="217">
                  <c:v>74</c:v>
                </c:pt>
                <c:pt idx="218">
                  <c:v>74</c:v>
                </c:pt>
                <c:pt idx="219">
                  <c:v>73</c:v>
                </c:pt>
                <c:pt idx="220">
                  <c:v>73</c:v>
                </c:pt>
                <c:pt idx="221">
                  <c:v>74</c:v>
                </c:pt>
                <c:pt idx="222">
                  <c:v>75</c:v>
                </c:pt>
                <c:pt idx="223">
                  <c:v>75</c:v>
                </c:pt>
                <c:pt idx="224">
                  <c:v>75</c:v>
                </c:pt>
                <c:pt idx="225">
                  <c:v>76</c:v>
                </c:pt>
                <c:pt idx="226">
                  <c:v>76</c:v>
                </c:pt>
                <c:pt idx="227">
                  <c:v>76</c:v>
                </c:pt>
                <c:pt idx="228">
                  <c:v>75</c:v>
                </c:pt>
                <c:pt idx="229">
                  <c:v>75</c:v>
                </c:pt>
                <c:pt idx="230">
                  <c:v>77</c:v>
                </c:pt>
                <c:pt idx="231">
                  <c:v>78</c:v>
                </c:pt>
                <c:pt idx="232">
                  <c:v>78</c:v>
                </c:pt>
                <c:pt idx="233">
                  <c:v>79</c:v>
                </c:pt>
                <c:pt idx="234">
                  <c:v>79</c:v>
                </c:pt>
                <c:pt idx="235">
                  <c:v>79</c:v>
                </c:pt>
                <c:pt idx="236">
                  <c:v>79</c:v>
                </c:pt>
                <c:pt idx="237">
                  <c:v>80</c:v>
                </c:pt>
                <c:pt idx="238">
                  <c:v>79</c:v>
                </c:pt>
                <c:pt idx="239">
                  <c:v>81</c:v>
                </c:pt>
                <c:pt idx="240">
                  <c:v>81</c:v>
                </c:pt>
                <c:pt idx="241">
                  <c:v>81</c:v>
                </c:pt>
                <c:pt idx="242">
                  <c:v>81</c:v>
                </c:pt>
                <c:pt idx="243">
                  <c:v>83</c:v>
                </c:pt>
                <c:pt idx="244">
                  <c:v>83</c:v>
                </c:pt>
                <c:pt idx="245">
                  <c:v>83</c:v>
                </c:pt>
                <c:pt idx="246">
                  <c:v>83</c:v>
                </c:pt>
                <c:pt idx="247">
                  <c:v>83</c:v>
                </c:pt>
                <c:pt idx="248">
                  <c:v>83</c:v>
                </c:pt>
                <c:pt idx="249">
                  <c:v>83</c:v>
                </c:pt>
                <c:pt idx="250">
                  <c:v>83</c:v>
                </c:pt>
                <c:pt idx="251">
                  <c:v>84</c:v>
                </c:pt>
                <c:pt idx="252">
                  <c:v>84</c:v>
                </c:pt>
                <c:pt idx="253">
                  <c:v>85</c:v>
                </c:pt>
                <c:pt idx="254">
                  <c:v>85</c:v>
                </c:pt>
                <c:pt idx="255">
                  <c:v>84</c:v>
                </c:pt>
                <c:pt idx="256">
                  <c:v>84</c:v>
                </c:pt>
                <c:pt idx="257">
                  <c:v>86</c:v>
                </c:pt>
                <c:pt idx="258">
                  <c:v>86</c:v>
                </c:pt>
                <c:pt idx="259">
                  <c:v>86</c:v>
                </c:pt>
                <c:pt idx="260">
                  <c:v>87</c:v>
                </c:pt>
                <c:pt idx="261">
                  <c:v>87</c:v>
                </c:pt>
                <c:pt idx="262">
                  <c:v>87</c:v>
                </c:pt>
                <c:pt idx="263">
                  <c:v>88</c:v>
                </c:pt>
                <c:pt idx="264">
                  <c:v>88</c:v>
                </c:pt>
                <c:pt idx="265">
                  <c:v>88</c:v>
                </c:pt>
                <c:pt idx="266">
                  <c:v>88</c:v>
                </c:pt>
                <c:pt idx="267">
                  <c:v>88</c:v>
                </c:pt>
                <c:pt idx="268">
                  <c:v>88</c:v>
                </c:pt>
                <c:pt idx="269">
                  <c:v>89</c:v>
                </c:pt>
                <c:pt idx="270">
                  <c:v>88</c:v>
                </c:pt>
                <c:pt idx="271">
                  <c:v>89</c:v>
                </c:pt>
                <c:pt idx="272">
                  <c:v>90</c:v>
                </c:pt>
                <c:pt idx="273">
                  <c:v>92</c:v>
                </c:pt>
                <c:pt idx="274">
                  <c:v>92</c:v>
                </c:pt>
                <c:pt idx="275">
                  <c:v>93</c:v>
                </c:pt>
                <c:pt idx="276">
                  <c:v>93</c:v>
                </c:pt>
                <c:pt idx="277">
                  <c:v>94</c:v>
                </c:pt>
                <c:pt idx="278">
                  <c:v>94</c:v>
                </c:pt>
                <c:pt idx="279">
                  <c:v>94</c:v>
                </c:pt>
                <c:pt idx="280">
                  <c:v>94</c:v>
                </c:pt>
                <c:pt idx="281">
                  <c:v>94</c:v>
                </c:pt>
                <c:pt idx="282">
                  <c:v>95</c:v>
                </c:pt>
                <c:pt idx="283">
                  <c:v>96</c:v>
                </c:pt>
                <c:pt idx="284">
                  <c:v>96</c:v>
                </c:pt>
                <c:pt idx="285">
                  <c:v>96</c:v>
                </c:pt>
                <c:pt idx="286">
                  <c:v>97</c:v>
                </c:pt>
                <c:pt idx="287">
                  <c:v>97</c:v>
                </c:pt>
                <c:pt idx="288">
                  <c:v>98</c:v>
                </c:pt>
                <c:pt idx="289">
                  <c:v>99</c:v>
                </c:pt>
                <c:pt idx="290">
                  <c:v>99</c:v>
                </c:pt>
                <c:pt idx="291">
                  <c:v>98</c:v>
                </c:pt>
                <c:pt idx="292">
                  <c:v>98</c:v>
                </c:pt>
                <c:pt idx="293">
                  <c:v>98</c:v>
                </c:pt>
                <c:pt idx="294">
                  <c:v>99</c:v>
                </c:pt>
                <c:pt idx="295">
                  <c:v>100</c:v>
                </c:pt>
                <c:pt idx="296">
                  <c:v>100</c:v>
                </c:pt>
                <c:pt idx="297">
                  <c:v>101</c:v>
                </c:pt>
                <c:pt idx="298">
                  <c:v>102</c:v>
                </c:pt>
                <c:pt idx="299">
                  <c:v>103</c:v>
                </c:pt>
                <c:pt idx="300">
                  <c:v>103</c:v>
                </c:pt>
                <c:pt idx="301">
                  <c:v>103</c:v>
                </c:pt>
                <c:pt idx="302">
                  <c:v>103</c:v>
                </c:pt>
                <c:pt idx="303">
                  <c:v>103</c:v>
                </c:pt>
                <c:pt idx="304">
                  <c:v>104</c:v>
                </c:pt>
                <c:pt idx="305">
                  <c:v>106</c:v>
                </c:pt>
                <c:pt idx="306">
                  <c:v>106</c:v>
                </c:pt>
                <c:pt idx="307">
                  <c:v>107</c:v>
                </c:pt>
                <c:pt idx="308">
                  <c:v>108</c:v>
                </c:pt>
                <c:pt idx="309">
                  <c:v>108</c:v>
                </c:pt>
                <c:pt idx="310">
                  <c:v>109</c:v>
                </c:pt>
                <c:pt idx="311">
                  <c:v>109</c:v>
                </c:pt>
                <c:pt idx="312">
                  <c:v>110</c:v>
                </c:pt>
                <c:pt idx="313">
                  <c:v>110</c:v>
                </c:pt>
                <c:pt idx="314">
                  <c:v>111</c:v>
                </c:pt>
                <c:pt idx="315">
                  <c:v>111</c:v>
                </c:pt>
                <c:pt idx="316">
                  <c:v>111</c:v>
                </c:pt>
                <c:pt idx="317">
                  <c:v>112</c:v>
                </c:pt>
                <c:pt idx="318">
                  <c:v>113</c:v>
                </c:pt>
                <c:pt idx="319">
                  <c:v>112</c:v>
                </c:pt>
                <c:pt idx="320">
                  <c:v>113</c:v>
                </c:pt>
                <c:pt idx="321">
                  <c:v>113</c:v>
                </c:pt>
                <c:pt idx="322">
                  <c:v>115</c:v>
                </c:pt>
                <c:pt idx="323">
                  <c:v>116</c:v>
                </c:pt>
                <c:pt idx="324">
                  <c:v>117</c:v>
                </c:pt>
                <c:pt idx="325">
                  <c:v>116</c:v>
                </c:pt>
                <c:pt idx="326">
                  <c:v>116</c:v>
                </c:pt>
                <c:pt idx="327">
                  <c:v>116</c:v>
                </c:pt>
                <c:pt idx="328">
                  <c:v>116</c:v>
                </c:pt>
                <c:pt idx="329">
                  <c:v>116</c:v>
                </c:pt>
                <c:pt idx="330">
                  <c:v>116</c:v>
                </c:pt>
                <c:pt idx="331">
                  <c:v>116</c:v>
                </c:pt>
                <c:pt idx="332">
                  <c:v>116</c:v>
                </c:pt>
                <c:pt idx="333">
                  <c:v>117</c:v>
                </c:pt>
                <c:pt idx="334">
                  <c:v>117</c:v>
                </c:pt>
                <c:pt idx="335">
                  <c:v>118</c:v>
                </c:pt>
                <c:pt idx="336">
                  <c:v>119</c:v>
                </c:pt>
                <c:pt idx="337">
                  <c:v>119</c:v>
                </c:pt>
                <c:pt idx="338">
                  <c:v>121</c:v>
                </c:pt>
                <c:pt idx="339">
                  <c:v>120</c:v>
                </c:pt>
                <c:pt idx="340">
                  <c:v>120</c:v>
                </c:pt>
                <c:pt idx="341">
                  <c:v>120</c:v>
                </c:pt>
                <c:pt idx="342">
                  <c:v>120</c:v>
                </c:pt>
                <c:pt idx="343">
                  <c:v>122</c:v>
                </c:pt>
                <c:pt idx="344">
                  <c:v>122</c:v>
                </c:pt>
                <c:pt idx="345">
                  <c:v>123</c:v>
                </c:pt>
                <c:pt idx="346">
                  <c:v>122</c:v>
                </c:pt>
                <c:pt idx="347">
                  <c:v>123</c:v>
                </c:pt>
                <c:pt idx="348">
                  <c:v>125</c:v>
                </c:pt>
                <c:pt idx="349">
                  <c:v>125</c:v>
                </c:pt>
                <c:pt idx="350">
                  <c:v>127</c:v>
                </c:pt>
                <c:pt idx="351">
                  <c:v>128</c:v>
                </c:pt>
                <c:pt idx="352">
                  <c:v>128</c:v>
                </c:pt>
                <c:pt idx="353">
                  <c:v>128</c:v>
                </c:pt>
                <c:pt idx="354">
                  <c:v>128</c:v>
                </c:pt>
                <c:pt idx="355">
                  <c:v>128</c:v>
                </c:pt>
                <c:pt idx="356">
                  <c:v>129</c:v>
                </c:pt>
                <c:pt idx="357">
                  <c:v>131</c:v>
                </c:pt>
                <c:pt idx="358">
                  <c:v>134</c:v>
                </c:pt>
                <c:pt idx="359">
                  <c:v>134</c:v>
                </c:pt>
                <c:pt idx="360">
                  <c:v>134</c:v>
                </c:pt>
                <c:pt idx="361">
                  <c:v>134</c:v>
                </c:pt>
                <c:pt idx="362">
                  <c:v>133</c:v>
                </c:pt>
                <c:pt idx="363">
                  <c:v>133</c:v>
                </c:pt>
                <c:pt idx="364">
                  <c:v>136</c:v>
                </c:pt>
                <c:pt idx="365">
                  <c:v>136</c:v>
                </c:pt>
                <c:pt idx="366">
                  <c:v>136</c:v>
                </c:pt>
                <c:pt idx="367">
                  <c:v>136</c:v>
                </c:pt>
                <c:pt idx="368">
                  <c:v>136</c:v>
                </c:pt>
                <c:pt idx="369">
                  <c:v>136</c:v>
                </c:pt>
                <c:pt idx="370">
                  <c:v>136</c:v>
                </c:pt>
                <c:pt idx="371">
                  <c:v>139</c:v>
                </c:pt>
                <c:pt idx="372">
                  <c:v>138</c:v>
                </c:pt>
                <c:pt idx="373">
                  <c:v>138</c:v>
                </c:pt>
                <c:pt idx="374">
                  <c:v>139</c:v>
                </c:pt>
                <c:pt idx="375">
                  <c:v>140</c:v>
                </c:pt>
                <c:pt idx="376">
                  <c:v>139</c:v>
                </c:pt>
                <c:pt idx="377">
                  <c:v>139</c:v>
                </c:pt>
                <c:pt idx="378">
                  <c:v>140</c:v>
                </c:pt>
                <c:pt idx="379">
                  <c:v>140</c:v>
                </c:pt>
                <c:pt idx="380">
                  <c:v>140</c:v>
                </c:pt>
                <c:pt idx="381">
                  <c:v>141</c:v>
                </c:pt>
                <c:pt idx="382">
                  <c:v>140</c:v>
                </c:pt>
                <c:pt idx="383">
                  <c:v>141</c:v>
                </c:pt>
                <c:pt idx="384">
                  <c:v>141</c:v>
                </c:pt>
                <c:pt idx="385">
                  <c:v>141</c:v>
                </c:pt>
                <c:pt idx="386">
                  <c:v>140</c:v>
                </c:pt>
                <c:pt idx="387">
                  <c:v>141</c:v>
                </c:pt>
                <c:pt idx="388">
                  <c:v>141</c:v>
                </c:pt>
                <c:pt idx="389">
                  <c:v>142</c:v>
                </c:pt>
                <c:pt idx="390">
                  <c:v>142</c:v>
                </c:pt>
                <c:pt idx="391">
                  <c:v>143</c:v>
                </c:pt>
                <c:pt idx="392">
                  <c:v>143</c:v>
                </c:pt>
                <c:pt idx="393">
                  <c:v>143</c:v>
                </c:pt>
                <c:pt idx="394">
                  <c:v>143</c:v>
                </c:pt>
                <c:pt idx="395">
                  <c:v>141</c:v>
                </c:pt>
                <c:pt idx="396">
                  <c:v>141</c:v>
                </c:pt>
                <c:pt idx="397">
                  <c:v>141</c:v>
                </c:pt>
                <c:pt idx="398">
                  <c:v>140</c:v>
                </c:pt>
                <c:pt idx="399">
                  <c:v>141</c:v>
                </c:pt>
                <c:pt idx="400">
                  <c:v>141</c:v>
                </c:pt>
                <c:pt idx="401">
                  <c:v>143</c:v>
                </c:pt>
                <c:pt idx="402">
                  <c:v>144</c:v>
                </c:pt>
                <c:pt idx="403">
                  <c:v>144</c:v>
                </c:pt>
                <c:pt idx="404">
                  <c:v>145</c:v>
                </c:pt>
                <c:pt idx="405">
                  <c:v>145</c:v>
                </c:pt>
                <c:pt idx="406">
                  <c:v>145</c:v>
                </c:pt>
                <c:pt idx="407">
                  <c:v>145</c:v>
                </c:pt>
                <c:pt idx="408">
                  <c:v>146</c:v>
                </c:pt>
                <c:pt idx="409">
                  <c:v>148</c:v>
                </c:pt>
                <c:pt idx="410">
                  <c:v>148</c:v>
                </c:pt>
                <c:pt idx="411">
                  <c:v>147</c:v>
                </c:pt>
                <c:pt idx="412">
                  <c:v>147</c:v>
                </c:pt>
                <c:pt idx="413">
                  <c:v>147</c:v>
                </c:pt>
                <c:pt idx="414">
                  <c:v>147</c:v>
                </c:pt>
                <c:pt idx="415">
                  <c:v>148</c:v>
                </c:pt>
                <c:pt idx="416">
                  <c:v>149</c:v>
                </c:pt>
                <c:pt idx="417">
                  <c:v>149</c:v>
                </c:pt>
                <c:pt idx="418">
                  <c:v>149</c:v>
                </c:pt>
                <c:pt idx="419">
                  <c:v>149</c:v>
                </c:pt>
                <c:pt idx="420">
                  <c:v>149</c:v>
                </c:pt>
                <c:pt idx="421">
                  <c:v>149</c:v>
                </c:pt>
                <c:pt idx="422">
                  <c:v>149</c:v>
                </c:pt>
                <c:pt idx="423">
                  <c:v>149</c:v>
                </c:pt>
                <c:pt idx="424">
                  <c:v>149</c:v>
                </c:pt>
                <c:pt idx="425">
                  <c:v>149</c:v>
                </c:pt>
                <c:pt idx="426">
                  <c:v>150</c:v>
                </c:pt>
                <c:pt idx="427">
                  <c:v>151</c:v>
                </c:pt>
                <c:pt idx="428">
                  <c:v>152</c:v>
                </c:pt>
                <c:pt idx="429">
                  <c:v>152</c:v>
                </c:pt>
                <c:pt idx="430">
                  <c:v>152</c:v>
                </c:pt>
                <c:pt idx="431">
                  <c:v>152</c:v>
                </c:pt>
                <c:pt idx="432">
                  <c:v>152</c:v>
                </c:pt>
                <c:pt idx="433">
                  <c:v>151</c:v>
                </c:pt>
                <c:pt idx="434">
                  <c:v>152</c:v>
                </c:pt>
                <c:pt idx="435">
                  <c:v>153</c:v>
                </c:pt>
                <c:pt idx="436">
                  <c:v>154</c:v>
                </c:pt>
                <c:pt idx="437">
                  <c:v>155</c:v>
                </c:pt>
                <c:pt idx="438">
                  <c:v>156</c:v>
                </c:pt>
                <c:pt idx="439">
                  <c:v>156</c:v>
                </c:pt>
                <c:pt idx="440">
                  <c:v>156</c:v>
                </c:pt>
                <c:pt idx="441">
                  <c:v>155</c:v>
                </c:pt>
                <c:pt idx="442">
                  <c:v>155</c:v>
                </c:pt>
                <c:pt idx="443">
                  <c:v>158</c:v>
                </c:pt>
                <c:pt idx="444">
                  <c:v>159</c:v>
                </c:pt>
                <c:pt idx="445">
                  <c:v>158</c:v>
                </c:pt>
                <c:pt idx="446">
                  <c:v>158</c:v>
                </c:pt>
                <c:pt idx="447">
                  <c:v>156</c:v>
                </c:pt>
                <c:pt idx="448">
                  <c:v>157</c:v>
                </c:pt>
                <c:pt idx="449">
                  <c:v>157</c:v>
                </c:pt>
                <c:pt idx="450">
                  <c:v>158</c:v>
                </c:pt>
                <c:pt idx="451">
                  <c:v>157</c:v>
                </c:pt>
                <c:pt idx="452">
                  <c:v>158</c:v>
                </c:pt>
                <c:pt idx="453">
                  <c:v>159</c:v>
                </c:pt>
                <c:pt idx="454">
                  <c:v>161</c:v>
                </c:pt>
                <c:pt idx="455">
                  <c:v>162</c:v>
                </c:pt>
                <c:pt idx="456">
                  <c:v>163</c:v>
                </c:pt>
                <c:pt idx="457">
                  <c:v>162</c:v>
                </c:pt>
                <c:pt idx="458">
                  <c:v>162</c:v>
                </c:pt>
                <c:pt idx="459">
                  <c:v>162</c:v>
                </c:pt>
                <c:pt idx="460">
                  <c:v>165</c:v>
                </c:pt>
                <c:pt idx="461">
                  <c:v>165</c:v>
                </c:pt>
                <c:pt idx="462">
                  <c:v>166</c:v>
                </c:pt>
                <c:pt idx="463">
                  <c:v>167</c:v>
                </c:pt>
                <c:pt idx="464">
                  <c:v>168</c:v>
                </c:pt>
                <c:pt idx="465">
                  <c:v>170</c:v>
                </c:pt>
                <c:pt idx="466">
                  <c:v>170</c:v>
                </c:pt>
                <c:pt idx="467">
                  <c:v>171</c:v>
                </c:pt>
                <c:pt idx="468">
                  <c:v>171</c:v>
                </c:pt>
                <c:pt idx="469">
                  <c:v>171</c:v>
                </c:pt>
                <c:pt idx="470">
                  <c:v>171</c:v>
                </c:pt>
                <c:pt idx="471">
                  <c:v>171</c:v>
                </c:pt>
                <c:pt idx="472">
                  <c:v>172</c:v>
                </c:pt>
                <c:pt idx="473">
                  <c:v>173</c:v>
                </c:pt>
                <c:pt idx="474">
                  <c:v>174</c:v>
                </c:pt>
                <c:pt idx="475">
                  <c:v>175</c:v>
                </c:pt>
                <c:pt idx="476">
                  <c:v>174</c:v>
                </c:pt>
                <c:pt idx="477">
                  <c:v>175</c:v>
                </c:pt>
                <c:pt idx="478">
                  <c:v>176</c:v>
                </c:pt>
                <c:pt idx="479">
                  <c:v>175</c:v>
                </c:pt>
                <c:pt idx="480">
                  <c:v>175</c:v>
                </c:pt>
                <c:pt idx="481">
                  <c:v>175</c:v>
                </c:pt>
                <c:pt idx="482">
                  <c:v>176</c:v>
                </c:pt>
                <c:pt idx="483">
                  <c:v>179</c:v>
                </c:pt>
                <c:pt idx="484">
                  <c:v>180</c:v>
                </c:pt>
                <c:pt idx="485">
                  <c:v>179</c:v>
                </c:pt>
                <c:pt idx="486">
                  <c:v>179</c:v>
                </c:pt>
                <c:pt idx="487">
                  <c:v>179</c:v>
                </c:pt>
                <c:pt idx="488">
                  <c:v>181</c:v>
                </c:pt>
                <c:pt idx="489">
                  <c:v>182</c:v>
                </c:pt>
                <c:pt idx="490">
                  <c:v>181</c:v>
                </c:pt>
                <c:pt idx="491">
                  <c:v>181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181</c:v>
                </c:pt>
                <c:pt idx="497">
                  <c:v>180</c:v>
                </c:pt>
                <c:pt idx="498">
                  <c:v>183</c:v>
                </c:pt>
                <c:pt idx="499">
                  <c:v>183</c:v>
                </c:pt>
                <c:pt idx="500">
                  <c:v>183</c:v>
                </c:pt>
                <c:pt idx="501">
                  <c:v>182</c:v>
                </c:pt>
                <c:pt idx="502">
                  <c:v>183</c:v>
                </c:pt>
                <c:pt idx="503">
                  <c:v>183</c:v>
                </c:pt>
                <c:pt idx="504">
                  <c:v>184</c:v>
                </c:pt>
                <c:pt idx="505">
                  <c:v>184</c:v>
                </c:pt>
                <c:pt idx="506">
                  <c:v>184</c:v>
                </c:pt>
                <c:pt idx="507">
                  <c:v>184</c:v>
                </c:pt>
                <c:pt idx="508">
                  <c:v>185</c:v>
                </c:pt>
                <c:pt idx="509">
                  <c:v>185</c:v>
                </c:pt>
                <c:pt idx="510">
                  <c:v>186</c:v>
                </c:pt>
                <c:pt idx="511">
                  <c:v>187</c:v>
                </c:pt>
                <c:pt idx="512">
                  <c:v>187</c:v>
                </c:pt>
                <c:pt idx="513">
                  <c:v>187</c:v>
                </c:pt>
                <c:pt idx="514">
                  <c:v>184</c:v>
                </c:pt>
                <c:pt idx="515">
                  <c:v>184</c:v>
                </c:pt>
                <c:pt idx="516">
                  <c:v>184</c:v>
                </c:pt>
                <c:pt idx="517">
                  <c:v>184</c:v>
                </c:pt>
                <c:pt idx="518">
                  <c:v>186</c:v>
                </c:pt>
                <c:pt idx="519">
                  <c:v>185</c:v>
                </c:pt>
                <c:pt idx="520">
                  <c:v>186</c:v>
                </c:pt>
                <c:pt idx="521">
                  <c:v>186</c:v>
                </c:pt>
                <c:pt idx="522">
                  <c:v>185</c:v>
                </c:pt>
                <c:pt idx="523">
                  <c:v>185</c:v>
                </c:pt>
                <c:pt idx="524">
                  <c:v>185</c:v>
                </c:pt>
                <c:pt idx="525">
                  <c:v>185</c:v>
                </c:pt>
                <c:pt idx="526">
                  <c:v>185</c:v>
                </c:pt>
                <c:pt idx="527">
                  <c:v>184</c:v>
                </c:pt>
                <c:pt idx="528">
                  <c:v>184</c:v>
                </c:pt>
                <c:pt idx="529">
                  <c:v>184</c:v>
                </c:pt>
                <c:pt idx="530">
                  <c:v>183</c:v>
                </c:pt>
                <c:pt idx="531">
                  <c:v>182</c:v>
                </c:pt>
                <c:pt idx="532">
                  <c:v>184</c:v>
                </c:pt>
                <c:pt idx="533">
                  <c:v>184</c:v>
                </c:pt>
                <c:pt idx="534">
                  <c:v>184</c:v>
                </c:pt>
                <c:pt idx="535">
                  <c:v>184</c:v>
                </c:pt>
                <c:pt idx="536">
                  <c:v>186</c:v>
                </c:pt>
                <c:pt idx="537">
                  <c:v>186</c:v>
                </c:pt>
                <c:pt idx="538">
                  <c:v>186</c:v>
                </c:pt>
                <c:pt idx="539">
                  <c:v>184</c:v>
                </c:pt>
                <c:pt idx="540">
                  <c:v>183</c:v>
                </c:pt>
                <c:pt idx="541">
                  <c:v>185</c:v>
                </c:pt>
                <c:pt idx="542">
                  <c:v>184</c:v>
                </c:pt>
                <c:pt idx="543">
                  <c:v>184</c:v>
                </c:pt>
                <c:pt idx="544">
                  <c:v>184</c:v>
                </c:pt>
                <c:pt idx="545">
                  <c:v>185</c:v>
                </c:pt>
                <c:pt idx="546">
                  <c:v>186</c:v>
                </c:pt>
                <c:pt idx="547">
                  <c:v>187</c:v>
                </c:pt>
                <c:pt idx="548">
                  <c:v>187</c:v>
                </c:pt>
                <c:pt idx="549">
                  <c:v>185</c:v>
                </c:pt>
                <c:pt idx="550">
                  <c:v>185</c:v>
                </c:pt>
                <c:pt idx="551">
                  <c:v>185</c:v>
                </c:pt>
                <c:pt idx="552">
                  <c:v>186</c:v>
                </c:pt>
                <c:pt idx="553">
                  <c:v>186</c:v>
                </c:pt>
                <c:pt idx="554">
                  <c:v>187</c:v>
                </c:pt>
                <c:pt idx="555">
                  <c:v>187</c:v>
                </c:pt>
                <c:pt idx="556">
                  <c:v>187</c:v>
                </c:pt>
                <c:pt idx="557">
                  <c:v>187</c:v>
                </c:pt>
                <c:pt idx="558">
                  <c:v>187</c:v>
                </c:pt>
                <c:pt idx="559">
                  <c:v>187</c:v>
                </c:pt>
                <c:pt idx="560">
                  <c:v>188</c:v>
                </c:pt>
                <c:pt idx="561">
                  <c:v>189</c:v>
                </c:pt>
                <c:pt idx="562">
                  <c:v>189</c:v>
                </c:pt>
                <c:pt idx="563">
                  <c:v>189</c:v>
                </c:pt>
                <c:pt idx="564">
                  <c:v>188</c:v>
                </c:pt>
                <c:pt idx="565">
                  <c:v>188</c:v>
                </c:pt>
                <c:pt idx="566">
                  <c:v>188</c:v>
                </c:pt>
                <c:pt idx="567">
                  <c:v>189</c:v>
                </c:pt>
                <c:pt idx="568">
                  <c:v>188</c:v>
                </c:pt>
                <c:pt idx="569">
                  <c:v>188</c:v>
                </c:pt>
                <c:pt idx="570">
                  <c:v>188</c:v>
                </c:pt>
                <c:pt idx="571">
                  <c:v>190</c:v>
                </c:pt>
                <c:pt idx="572">
                  <c:v>190</c:v>
                </c:pt>
                <c:pt idx="573">
                  <c:v>192</c:v>
                </c:pt>
                <c:pt idx="574">
                  <c:v>194</c:v>
                </c:pt>
                <c:pt idx="575">
                  <c:v>194</c:v>
                </c:pt>
                <c:pt idx="576">
                  <c:v>194</c:v>
                </c:pt>
                <c:pt idx="577">
                  <c:v>195</c:v>
                </c:pt>
                <c:pt idx="578">
                  <c:v>196</c:v>
                </c:pt>
                <c:pt idx="579">
                  <c:v>197</c:v>
                </c:pt>
                <c:pt idx="580">
                  <c:v>199</c:v>
                </c:pt>
                <c:pt idx="581">
                  <c:v>199</c:v>
                </c:pt>
                <c:pt idx="582">
                  <c:v>197</c:v>
                </c:pt>
                <c:pt idx="583">
                  <c:v>197</c:v>
                </c:pt>
                <c:pt idx="584">
                  <c:v>197</c:v>
                </c:pt>
                <c:pt idx="585">
                  <c:v>197</c:v>
                </c:pt>
                <c:pt idx="586">
                  <c:v>196</c:v>
                </c:pt>
                <c:pt idx="587">
                  <c:v>196</c:v>
                </c:pt>
                <c:pt idx="588">
                  <c:v>197</c:v>
                </c:pt>
                <c:pt idx="589">
                  <c:v>197</c:v>
                </c:pt>
                <c:pt idx="590">
                  <c:v>198</c:v>
                </c:pt>
                <c:pt idx="591">
                  <c:v>199</c:v>
                </c:pt>
                <c:pt idx="592">
                  <c:v>198</c:v>
                </c:pt>
                <c:pt idx="593">
                  <c:v>198</c:v>
                </c:pt>
                <c:pt idx="594">
                  <c:v>197</c:v>
                </c:pt>
                <c:pt idx="595">
                  <c:v>197</c:v>
                </c:pt>
                <c:pt idx="596">
                  <c:v>199</c:v>
                </c:pt>
                <c:pt idx="597">
                  <c:v>198</c:v>
                </c:pt>
                <c:pt idx="598">
                  <c:v>200</c:v>
                </c:pt>
                <c:pt idx="599">
                  <c:v>202</c:v>
                </c:pt>
                <c:pt idx="600">
                  <c:v>200</c:v>
                </c:pt>
                <c:pt idx="601">
                  <c:v>200</c:v>
                </c:pt>
                <c:pt idx="602">
                  <c:v>201</c:v>
                </c:pt>
                <c:pt idx="603">
                  <c:v>201</c:v>
                </c:pt>
                <c:pt idx="604">
                  <c:v>199</c:v>
                </c:pt>
                <c:pt idx="605">
                  <c:v>199</c:v>
                </c:pt>
                <c:pt idx="606">
                  <c:v>200</c:v>
                </c:pt>
                <c:pt idx="607">
                  <c:v>200</c:v>
                </c:pt>
                <c:pt idx="608">
                  <c:v>201</c:v>
                </c:pt>
                <c:pt idx="609">
                  <c:v>200</c:v>
                </c:pt>
                <c:pt idx="610">
                  <c:v>200</c:v>
                </c:pt>
                <c:pt idx="611">
                  <c:v>200</c:v>
                </c:pt>
                <c:pt idx="612">
                  <c:v>199</c:v>
                </c:pt>
                <c:pt idx="613">
                  <c:v>199</c:v>
                </c:pt>
                <c:pt idx="614">
                  <c:v>199</c:v>
                </c:pt>
                <c:pt idx="615">
                  <c:v>197</c:v>
                </c:pt>
                <c:pt idx="616">
                  <c:v>197</c:v>
                </c:pt>
                <c:pt idx="617">
                  <c:v>198</c:v>
                </c:pt>
                <c:pt idx="618">
                  <c:v>197</c:v>
                </c:pt>
                <c:pt idx="619">
                  <c:v>197</c:v>
                </c:pt>
                <c:pt idx="620">
                  <c:v>196</c:v>
                </c:pt>
                <c:pt idx="621">
                  <c:v>195</c:v>
                </c:pt>
                <c:pt idx="622">
                  <c:v>195</c:v>
                </c:pt>
                <c:pt idx="623">
                  <c:v>195</c:v>
                </c:pt>
                <c:pt idx="624">
                  <c:v>196</c:v>
                </c:pt>
                <c:pt idx="625">
                  <c:v>195</c:v>
                </c:pt>
                <c:pt idx="626">
                  <c:v>196</c:v>
                </c:pt>
                <c:pt idx="627">
                  <c:v>196</c:v>
                </c:pt>
                <c:pt idx="628">
                  <c:v>197</c:v>
                </c:pt>
                <c:pt idx="629">
                  <c:v>197</c:v>
                </c:pt>
                <c:pt idx="630">
                  <c:v>199</c:v>
                </c:pt>
                <c:pt idx="631">
                  <c:v>199</c:v>
                </c:pt>
                <c:pt idx="632">
                  <c:v>198</c:v>
                </c:pt>
                <c:pt idx="633">
                  <c:v>197</c:v>
                </c:pt>
                <c:pt idx="634">
                  <c:v>196</c:v>
                </c:pt>
                <c:pt idx="635">
                  <c:v>196</c:v>
                </c:pt>
                <c:pt idx="636">
                  <c:v>196</c:v>
                </c:pt>
                <c:pt idx="637">
                  <c:v>198</c:v>
                </c:pt>
                <c:pt idx="638">
                  <c:v>198</c:v>
                </c:pt>
                <c:pt idx="639">
                  <c:v>199</c:v>
                </c:pt>
                <c:pt idx="640">
                  <c:v>199</c:v>
                </c:pt>
                <c:pt idx="641">
                  <c:v>199</c:v>
                </c:pt>
                <c:pt idx="642">
                  <c:v>200</c:v>
                </c:pt>
                <c:pt idx="643">
                  <c:v>199</c:v>
                </c:pt>
                <c:pt idx="644">
                  <c:v>198</c:v>
                </c:pt>
                <c:pt idx="645">
                  <c:v>197</c:v>
                </c:pt>
                <c:pt idx="646">
                  <c:v>198</c:v>
                </c:pt>
                <c:pt idx="647">
                  <c:v>198</c:v>
                </c:pt>
                <c:pt idx="648">
                  <c:v>199</c:v>
                </c:pt>
                <c:pt idx="649">
                  <c:v>200</c:v>
                </c:pt>
                <c:pt idx="650">
                  <c:v>199</c:v>
                </c:pt>
                <c:pt idx="651">
                  <c:v>199</c:v>
                </c:pt>
                <c:pt idx="652">
                  <c:v>200</c:v>
                </c:pt>
                <c:pt idx="653">
                  <c:v>199</c:v>
                </c:pt>
                <c:pt idx="654">
                  <c:v>201</c:v>
                </c:pt>
                <c:pt idx="655">
                  <c:v>201</c:v>
                </c:pt>
                <c:pt idx="656">
                  <c:v>201</c:v>
                </c:pt>
                <c:pt idx="657">
                  <c:v>201</c:v>
                </c:pt>
                <c:pt idx="658">
                  <c:v>201</c:v>
                </c:pt>
                <c:pt idx="659">
                  <c:v>203</c:v>
                </c:pt>
                <c:pt idx="660">
                  <c:v>202</c:v>
                </c:pt>
                <c:pt idx="661">
                  <c:v>202</c:v>
                </c:pt>
                <c:pt idx="662">
                  <c:v>201</c:v>
                </c:pt>
                <c:pt idx="663">
                  <c:v>201</c:v>
                </c:pt>
                <c:pt idx="664">
                  <c:v>204</c:v>
                </c:pt>
                <c:pt idx="665">
                  <c:v>203</c:v>
                </c:pt>
                <c:pt idx="666">
                  <c:v>204</c:v>
                </c:pt>
                <c:pt idx="667">
                  <c:v>207</c:v>
                </c:pt>
                <c:pt idx="668">
                  <c:v>206</c:v>
                </c:pt>
                <c:pt idx="669">
                  <c:v>207</c:v>
                </c:pt>
                <c:pt idx="670">
                  <c:v>207</c:v>
                </c:pt>
                <c:pt idx="671">
                  <c:v>206</c:v>
                </c:pt>
                <c:pt idx="672">
                  <c:v>207</c:v>
                </c:pt>
                <c:pt idx="673">
                  <c:v>207</c:v>
                </c:pt>
                <c:pt idx="674">
                  <c:v>209</c:v>
                </c:pt>
                <c:pt idx="675">
                  <c:v>209</c:v>
                </c:pt>
                <c:pt idx="676">
                  <c:v>209</c:v>
                </c:pt>
                <c:pt idx="677">
                  <c:v>208</c:v>
                </c:pt>
                <c:pt idx="678">
                  <c:v>208</c:v>
                </c:pt>
                <c:pt idx="679">
                  <c:v>208</c:v>
                </c:pt>
                <c:pt idx="680">
                  <c:v>207</c:v>
                </c:pt>
                <c:pt idx="681">
                  <c:v>206</c:v>
                </c:pt>
                <c:pt idx="682">
                  <c:v>207</c:v>
                </c:pt>
                <c:pt idx="683">
                  <c:v>207</c:v>
                </c:pt>
                <c:pt idx="684">
                  <c:v>207</c:v>
                </c:pt>
                <c:pt idx="685">
                  <c:v>205</c:v>
                </c:pt>
                <c:pt idx="686">
                  <c:v>205</c:v>
                </c:pt>
                <c:pt idx="687">
                  <c:v>207</c:v>
                </c:pt>
                <c:pt idx="688">
                  <c:v>207</c:v>
                </c:pt>
                <c:pt idx="689">
                  <c:v>208</c:v>
                </c:pt>
                <c:pt idx="690">
                  <c:v>207</c:v>
                </c:pt>
                <c:pt idx="691">
                  <c:v>207</c:v>
                </c:pt>
                <c:pt idx="692">
                  <c:v>210</c:v>
                </c:pt>
                <c:pt idx="693">
                  <c:v>210</c:v>
                </c:pt>
                <c:pt idx="694">
                  <c:v>210</c:v>
                </c:pt>
                <c:pt idx="695">
                  <c:v>210</c:v>
                </c:pt>
                <c:pt idx="696">
                  <c:v>208</c:v>
                </c:pt>
                <c:pt idx="697">
                  <c:v>211</c:v>
                </c:pt>
                <c:pt idx="698">
                  <c:v>211</c:v>
                </c:pt>
                <c:pt idx="699">
                  <c:v>211</c:v>
                </c:pt>
                <c:pt idx="700">
                  <c:v>210</c:v>
                </c:pt>
                <c:pt idx="701">
                  <c:v>212</c:v>
                </c:pt>
                <c:pt idx="702">
                  <c:v>214</c:v>
                </c:pt>
                <c:pt idx="703">
                  <c:v>214</c:v>
                </c:pt>
                <c:pt idx="704">
                  <c:v>212</c:v>
                </c:pt>
                <c:pt idx="705">
                  <c:v>211</c:v>
                </c:pt>
                <c:pt idx="706">
                  <c:v>210</c:v>
                </c:pt>
                <c:pt idx="707">
                  <c:v>210</c:v>
                </c:pt>
                <c:pt idx="708">
                  <c:v>209</c:v>
                </c:pt>
                <c:pt idx="709">
                  <c:v>207</c:v>
                </c:pt>
                <c:pt idx="710">
                  <c:v>208</c:v>
                </c:pt>
                <c:pt idx="711">
                  <c:v>207</c:v>
                </c:pt>
                <c:pt idx="712">
                  <c:v>210</c:v>
                </c:pt>
                <c:pt idx="713">
                  <c:v>210</c:v>
                </c:pt>
                <c:pt idx="714">
                  <c:v>209</c:v>
                </c:pt>
                <c:pt idx="715">
                  <c:v>209</c:v>
                </c:pt>
                <c:pt idx="716">
                  <c:v>209</c:v>
                </c:pt>
                <c:pt idx="717">
                  <c:v>209</c:v>
                </c:pt>
                <c:pt idx="718">
                  <c:v>208</c:v>
                </c:pt>
                <c:pt idx="719">
                  <c:v>208</c:v>
                </c:pt>
                <c:pt idx="720">
                  <c:v>208</c:v>
                </c:pt>
                <c:pt idx="721">
                  <c:v>208</c:v>
                </c:pt>
                <c:pt idx="722">
                  <c:v>208</c:v>
                </c:pt>
                <c:pt idx="723">
                  <c:v>209</c:v>
                </c:pt>
                <c:pt idx="724">
                  <c:v>211</c:v>
                </c:pt>
                <c:pt idx="725">
                  <c:v>210</c:v>
                </c:pt>
                <c:pt idx="726">
                  <c:v>211</c:v>
                </c:pt>
                <c:pt idx="727">
                  <c:v>212</c:v>
                </c:pt>
                <c:pt idx="728">
                  <c:v>210</c:v>
                </c:pt>
                <c:pt idx="729">
                  <c:v>210</c:v>
                </c:pt>
                <c:pt idx="730">
                  <c:v>210</c:v>
                </c:pt>
                <c:pt idx="731">
                  <c:v>210</c:v>
                </c:pt>
                <c:pt idx="732">
                  <c:v>206</c:v>
                </c:pt>
                <c:pt idx="733">
                  <c:v>206</c:v>
                </c:pt>
                <c:pt idx="734">
                  <c:v>206</c:v>
                </c:pt>
                <c:pt idx="735">
                  <c:v>206</c:v>
                </c:pt>
                <c:pt idx="736">
                  <c:v>206</c:v>
                </c:pt>
                <c:pt idx="737">
                  <c:v>206</c:v>
                </c:pt>
                <c:pt idx="738">
                  <c:v>206</c:v>
                </c:pt>
                <c:pt idx="739">
                  <c:v>206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28-40D1-80B8-BBAD8A303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152096"/>
        <c:axId val="1536153056"/>
      </c:lineChart>
      <c:dateAx>
        <c:axId val="1536152096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153056"/>
        <c:crosses val="autoZero"/>
        <c:auto val="1"/>
        <c:lblOffset val="100"/>
        <c:baseTimeUnit val="days"/>
      </c:dateAx>
      <c:valAx>
        <c:axId val="15361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bg1"/>
                    </a:solidFill>
                  </a:rPr>
                  <a:t>Active Subscriber</a:t>
                </a:r>
                <a:r>
                  <a:rPr lang="en-GB" baseline="0">
                    <a:solidFill>
                      <a:schemeClr val="bg1"/>
                    </a:solidFill>
                  </a:rPr>
                  <a:t> Count</a:t>
                </a:r>
                <a:endParaRPr lang="en-GB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15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7828106320997161"/>
          <c:y val="0.76290470699473534"/>
          <c:w val="0.2948991279970346"/>
          <c:h val="0.1140276992697946"/>
        </c:manualLayout>
      </c:layout>
      <c:overlay val="0"/>
      <c:spPr>
        <a:solidFill>
          <a:srgbClr val="333333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40000"/>
            <a:lumOff val="60000"/>
          </a:schemeClr>
        </a:gs>
        <a:gs pos="46000">
          <a:schemeClr val="accent1">
            <a:lumMod val="95000"/>
            <a:lumOff val="5000"/>
          </a:schemeClr>
        </a:gs>
        <a:gs pos="100000">
          <a:schemeClr val="accent1">
            <a:lumMod val="60000"/>
          </a:schemeClr>
        </a:gs>
      </a:gsLst>
      <a:path path="circle">
        <a:fillToRect l="50000" t="130000" r="50000" b="-3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[Subscription Data Project.xlsx]Subscription Overview!PivotTable1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'Subscription Overview'!$E$2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'Subscription Overview'!$D$3:$D$6</c:f>
              <c:strCache>
                <c:ptCount val="3"/>
                <c:pt idx="0">
                  <c:v>Monthly</c:v>
                </c:pt>
                <c:pt idx="1">
                  <c:v>6-Month</c:v>
                </c:pt>
                <c:pt idx="2">
                  <c:v>12-Month</c:v>
                </c:pt>
              </c:strCache>
            </c:strRef>
          </c:cat>
          <c:val>
            <c:numRef>
              <c:f>'Subscription Overview'!$E$3:$E$6</c:f>
              <c:numCache>
                <c:formatCode>"£"#,##0</c:formatCode>
                <c:ptCount val="3"/>
                <c:pt idx="0">
                  <c:v>50793.599999999977</c:v>
                </c:pt>
                <c:pt idx="1">
                  <c:v>34882.650000000016</c:v>
                </c:pt>
                <c:pt idx="2">
                  <c:v>71525.599999999962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8-495F-9A88-BB57FB0E3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54343743"/>
        <c:axId val="854347103"/>
      </c:barChart>
      <c:catAx>
        <c:axId val="85434374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347103"/>
        <c:crosses val="autoZero"/>
        <c:auto val="1"/>
        <c:lblAlgn val="ctr"/>
        <c:lblOffset val="100"/>
        <c:noMultiLvlLbl val="0"/>
      </c:catAx>
      <c:valAx>
        <c:axId val="85434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3437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Data Project.xlsx]Subscription Overview!PivotTable2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'Subscription Overview'!$H$2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'Subscription Overview'!$G$3:$G$6</c:f>
              <c:strCache>
                <c:ptCount val="3"/>
                <c:pt idx="0">
                  <c:v>Monthly</c:v>
                </c:pt>
                <c:pt idx="1">
                  <c:v>6-Month</c:v>
                </c:pt>
                <c:pt idx="2">
                  <c:v>12-Month</c:v>
                </c:pt>
              </c:strCache>
            </c:strRef>
          </c:cat>
          <c:val>
            <c:numRef>
              <c:f>'Subscription Overview'!$H$3:$H$6</c:f>
              <c:numCache>
                <c:formatCode>0.00%</c:formatCode>
                <c:ptCount val="3"/>
                <c:pt idx="0">
                  <c:v>0.32311070130535985</c:v>
                </c:pt>
                <c:pt idx="1">
                  <c:v>0.22189719777470826</c:v>
                </c:pt>
                <c:pt idx="2">
                  <c:v>0.45499210091993175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7-442D-ACF4-7BC1B6E1A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545676464"/>
        <c:axId val="1545677424"/>
      </c:barChart>
      <c:catAx>
        <c:axId val="154567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77424"/>
        <c:crosses val="autoZero"/>
        <c:auto val="1"/>
        <c:lblAlgn val="ctr"/>
        <c:lblOffset val="100"/>
        <c:noMultiLvlLbl val="0"/>
      </c:catAx>
      <c:valAx>
        <c:axId val="154567742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764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Data Project.xlsx]Customer Distribution!PivotTable1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Customer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Distribution'!$B$4:$B$6</c:f>
              <c:strCache>
                <c:ptCount val="1"/>
                <c:pt idx="0">
                  <c:v>Cancelled - Customers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Distribution'!$A$7:$A$11</c:f>
              <c:strCache>
                <c:ptCount val="4"/>
                <c:pt idx="0">
                  <c:v>England</c:v>
                </c:pt>
                <c:pt idx="1">
                  <c:v>Northern Ireland</c:v>
                </c:pt>
                <c:pt idx="2">
                  <c:v>Scotland</c:v>
                </c:pt>
                <c:pt idx="3">
                  <c:v>Wales</c:v>
                </c:pt>
              </c:strCache>
            </c:strRef>
          </c:cat>
          <c:val>
            <c:numRef>
              <c:f>'Customer Distribution'!$B$7:$B$11</c:f>
              <c:numCache>
                <c:formatCode>General</c:formatCode>
                <c:ptCount val="4"/>
                <c:pt idx="0">
                  <c:v>157</c:v>
                </c:pt>
                <c:pt idx="1">
                  <c:v>152</c:v>
                </c:pt>
                <c:pt idx="2">
                  <c:v>155</c:v>
                </c:pt>
                <c:pt idx="3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E-431B-9C8A-E72E7DB3793B}"/>
            </c:ext>
          </c:extLst>
        </c:ser>
        <c:ser>
          <c:idx val="1"/>
          <c:order val="1"/>
          <c:tx>
            <c:strRef>
              <c:f>'Customer Distribution'!$C$4:$C$6</c:f>
              <c:strCache>
                <c:ptCount val="1"/>
                <c:pt idx="0">
                  <c:v>Cancelled - Percentage of Grand 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Distribution'!$A$7:$A$11</c:f>
              <c:strCache>
                <c:ptCount val="4"/>
                <c:pt idx="0">
                  <c:v>England</c:v>
                </c:pt>
                <c:pt idx="1">
                  <c:v>Northern Ireland</c:v>
                </c:pt>
                <c:pt idx="2">
                  <c:v>Scotland</c:v>
                </c:pt>
                <c:pt idx="3">
                  <c:v>Wales</c:v>
                </c:pt>
              </c:strCache>
            </c:strRef>
          </c:cat>
          <c:val>
            <c:numRef>
              <c:f>'Customer Distribution'!$C$7:$C$11</c:f>
              <c:numCache>
                <c:formatCode>0.00%</c:formatCode>
                <c:ptCount val="4"/>
                <c:pt idx="0">
                  <c:v>0.19625000000000001</c:v>
                </c:pt>
                <c:pt idx="1">
                  <c:v>0.19</c:v>
                </c:pt>
                <c:pt idx="2">
                  <c:v>0.19375000000000001</c:v>
                </c:pt>
                <c:pt idx="3">
                  <c:v>0.17249999999999999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BE-431B-9C8A-E72E7DB3793B}"/>
            </c:ext>
          </c:extLst>
        </c:ser>
        <c:ser>
          <c:idx val="2"/>
          <c:order val="2"/>
          <c:tx>
            <c:strRef>
              <c:f>'Customer Distribution'!$D$4:$D$6</c:f>
              <c:strCache>
                <c:ptCount val="1"/>
                <c:pt idx="0">
                  <c:v>Active - Customers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Distribution'!$A$7:$A$11</c:f>
              <c:strCache>
                <c:ptCount val="4"/>
                <c:pt idx="0">
                  <c:v>England</c:v>
                </c:pt>
                <c:pt idx="1">
                  <c:v>Northern Ireland</c:v>
                </c:pt>
                <c:pt idx="2">
                  <c:v>Scotland</c:v>
                </c:pt>
                <c:pt idx="3">
                  <c:v>Wales</c:v>
                </c:pt>
              </c:strCache>
            </c:strRef>
          </c:cat>
          <c:val>
            <c:numRef>
              <c:f>'Customer Distribution'!$D$7:$D$11</c:f>
              <c:numCache>
                <c:formatCode>General</c:formatCode>
                <c:ptCount val="4"/>
                <c:pt idx="0">
                  <c:v>42</c:v>
                </c:pt>
                <c:pt idx="1">
                  <c:v>52</c:v>
                </c:pt>
                <c:pt idx="2">
                  <c:v>35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BE-431B-9C8A-E72E7DB3793B}"/>
            </c:ext>
          </c:extLst>
        </c:ser>
        <c:ser>
          <c:idx val="3"/>
          <c:order val="3"/>
          <c:tx>
            <c:strRef>
              <c:f>'Customer Distribution'!$E$4:$E$6</c:f>
              <c:strCache>
                <c:ptCount val="1"/>
                <c:pt idx="0">
                  <c:v>Active - Percentage of Grand 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Distribution'!$A$7:$A$11</c:f>
              <c:strCache>
                <c:ptCount val="4"/>
                <c:pt idx="0">
                  <c:v>England</c:v>
                </c:pt>
                <c:pt idx="1">
                  <c:v>Northern Ireland</c:v>
                </c:pt>
                <c:pt idx="2">
                  <c:v>Scotland</c:v>
                </c:pt>
                <c:pt idx="3">
                  <c:v>Wales</c:v>
                </c:pt>
              </c:strCache>
            </c:strRef>
          </c:cat>
          <c:val>
            <c:numRef>
              <c:f>'Customer Distribution'!$E$7:$E$11</c:f>
              <c:numCache>
                <c:formatCode>0.00%</c:formatCode>
                <c:ptCount val="4"/>
                <c:pt idx="0">
                  <c:v>5.2499999999999998E-2</c:v>
                </c:pt>
                <c:pt idx="1">
                  <c:v>6.5000000000000002E-2</c:v>
                </c:pt>
                <c:pt idx="2">
                  <c:v>4.3749999999999997E-2</c:v>
                </c:pt>
                <c:pt idx="3">
                  <c:v>8.6249999999999993E-2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BE-431B-9C8A-E72E7DB379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04585376"/>
        <c:axId val="804580576"/>
      </c:barChart>
      <c:catAx>
        <c:axId val="8045853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580576"/>
        <c:crosses val="autoZero"/>
        <c:auto val="1"/>
        <c:lblAlgn val="ctr"/>
        <c:lblOffset val="100"/>
        <c:noMultiLvlLbl val="0"/>
      </c:catAx>
      <c:valAx>
        <c:axId val="80458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Customer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58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[Subscription Data Project.xlsx]Customer Distribution!PivotTable3</c:name>
    <c:fmtId val="0"/>
  </c:pivotSource>
  <c:chart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328163037088958E-2"/>
          <c:y val="9.3271295633500353E-2"/>
          <c:w val="0.7897714137076266"/>
          <c:h val="0.776492961107134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Distribution'!$K$4:$K$6</c:f>
              <c:strCache>
                <c:ptCount val="1"/>
                <c:pt idx="0">
                  <c:v>12-Month - Customer Count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hade val="51000"/>
                    <a:satMod val="130000"/>
                  </a:schemeClr>
                </a:gs>
                <a:gs pos="80000">
                  <a:schemeClr val="accent5">
                    <a:tint val="50000"/>
                    <a:shade val="93000"/>
                    <a:satMod val="130000"/>
                  </a:schemeClr>
                </a:gs>
                <a:gs pos="100000">
                  <a:schemeClr val="accent5">
                    <a:tint val="5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Distribution'!$J$7:$J$12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Mature Adult</c:v>
                </c:pt>
                <c:pt idx="3">
                  <c:v>Teenager</c:v>
                </c:pt>
                <c:pt idx="4">
                  <c:v>Young Adult</c:v>
                </c:pt>
              </c:strCache>
            </c:strRef>
          </c:cat>
          <c:val>
            <c:numRef>
              <c:f>'Customer Distribution'!$K$7:$K$12</c:f>
              <c:numCache>
                <c:formatCode>General</c:formatCode>
                <c:ptCount val="5"/>
                <c:pt idx="0">
                  <c:v>236</c:v>
                </c:pt>
                <c:pt idx="1">
                  <c:v>50</c:v>
                </c:pt>
                <c:pt idx="2">
                  <c:v>71</c:v>
                </c:pt>
                <c:pt idx="3">
                  <c:v>4</c:v>
                </c:pt>
                <c:pt idx="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C-4AA0-A49E-A696D2E301F6}"/>
            </c:ext>
          </c:extLst>
        </c:ser>
        <c:ser>
          <c:idx val="1"/>
          <c:order val="1"/>
          <c:tx>
            <c:strRef>
              <c:f>'Customer Distribution'!$L$4:$L$6</c:f>
              <c:strCache>
                <c:ptCount val="1"/>
                <c:pt idx="0">
                  <c:v>12-Month - Percentage of Grand 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0000"/>
                    <a:shade val="51000"/>
                    <a:satMod val="130000"/>
                  </a:schemeClr>
                </a:gs>
                <a:gs pos="80000">
                  <a:schemeClr val="accent5">
                    <a:tint val="70000"/>
                    <a:shade val="93000"/>
                    <a:satMod val="130000"/>
                  </a:schemeClr>
                </a:gs>
                <a:gs pos="100000">
                  <a:schemeClr val="accent5">
                    <a:tint val="7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Distribution'!$J$7:$J$12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Mature Adult</c:v>
                </c:pt>
                <c:pt idx="3">
                  <c:v>Teenager</c:v>
                </c:pt>
                <c:pt idx="4">
                  <c:v>Young Adult</c:v>
                </c:pt>
              </c:strCache>
            </c:strRef>
          </c:cat>
          <c:val>
            <c:numRef>
              <c:f>'Customer Distribution'!$L$7:$L$12</c:f>
              <c:numCache>
                <c:formatCode>0.00%</c:formatCode>
                <c:ptCount val="5"/>
                <c:pt idx="0">
                  <c:v>0.29499999999999998</c:v>
                </c:pt>
                <c:pt idx="1">
                  <c:v>6.25E-2</c:v>
                </c:pt>
                <c:pt idx="2">
                  <c:v>8.8749999999999996E-2</c:v>
                </c:pt>
                <c:pt idx="3">
                  <c:v>5.0000000000000001E-3</c:v>
                </c:pt>
                <c:pt idx="4">
                  <c:v>7.7499999999999999E-2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2C-4AA0-A49E-A696D2E301F6}"/>
            </c:ext>
          </c:extLst>
        </c:ser>
        <c:ser>
          <c:idx val="2"/>
          <c:order val="2"/>
          <c:tx>
            <c:strRef>
              <c:f>'Customer Distribution'!$M$4:$M$6</c:f>
              <c:strCache>
                <c:ptCount val="1"/>
                <c:pt idx="0">
                  <c:v>6-Month - Customer Count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90000"/>
                    <a:shade val="51000"/>
                    <a:satMod val="130000"/>
                  </a:schemeClr>
                </a:gs>
                <a:gs pos="80000">
                  <a:schemeClr val="accent5">
                    <a:tint val="90000"/>
                    <a:shade val="93000"/>
                    <a:satMod val="130000"/>
                  </a:schemeClr>
                </a:gs>
                <a:gs pos="100000">
                  <a:schemeClr val="accent5">
                    <a:tint val="9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Distribution'!$J$7:$J$12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Mature Adult</c:v>
                </c:pt>
                <c:pt idx="3">
                  <c:v>Teenager</c:v>
                </c:pt>
                <c:pt idx="4">
                  <c:v>Young Adult</c:v>
                </c:pt>
              </c:strCache>
            </c:strRef>
          </c:cat>
          <c:val>
            <c:numRef>
              <c:f>'Customer Distribution'!$M$7:$M$12</c:f>
              <c:numCache>
                <c:formatCode>General</c:formatCode>
                <c:ptCount val="5"/>
                <c:pt idx="0">
                  <c:v>122</c:v>
                </c:pt>
                <c:pt idx="1">
                  <c:v>16</c:v>
                </c:pt>
                <c:pt idx="2">
                  <c:v>29</c:v>
                </c:pt>
                <c:pt idx="3">
                  <c:v>1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2C-4AA0-A49E-A696D2E301F6}"/>
            </c:ext>
          </c:extLst>
        </c:ser>
        <c:ser>
          <c:idx val="3"/>
          <c:order val="3"/>
          <c:tx>
            <c:strRef>
              <c:f>'Customer Distribution'!$N$4:$N$6</c:f>
              <c:strCache>
                <c:ptCount val="1"/>
                <c:pt idx="0">
                  <c:v>6-Month - Percentage of Grand 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90000"/>
                    <a:shade val="51000"/>
                    <a:satMod val="130000"/>
                  </a:schemeClr>
                </a:gs>
                <a:gs pos="80000">
                  <a:schemeClr val="accent5">
                    <a:shade val="90000"/>
                    <a:shade val="93000"/>
                    <a:satMod val="130000"/>
                  </a:schemeClr>
                </a:gs>
                <a:gs pos="100000">
                  <a:schemeClr val="accent5">
                    <a:shade val="9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Distribution'!$J$7:$J$12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Mature Adult</c:v>
                </c:pt>
                <c:pt idx="3">
                  <c:v>Teenager</c:v>
                </c:pt>
                <c:pt idx="4">
                  <c:v>Young Adult</c:v>
                </c:pt>
              </c:strCache>
            </c:strRef>
          </c:cat>
          <c:val>
            <c:numRef>
              <c:f>'Customer Distribution'!$N$7:$N$12</c:f>
              <c:numCache>
                <c:formatCode>0.00%</c:formatCode>
                <c:ptCount val="5"/>
                <c:pt idx="0">
                  <c:v>0.1525</c:v>
                </c:pt>
                <c:pt idx="1">
                  <c:v>0.02</c:v>
                </c:pt>
                <c:pt idx="2">
                  <c:v>3.6249999999999998E-2</c:v>
                </c:pt>
                <c:pt idx="3">
                  <c:v>1.25E-3</c:v>
                </c:pt>
                <c:pt idx="4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2C-4AA0-A49E-A696D2E301F6}"/>
            </c:ext>
          </c:extLst>
        </c:ser>
        <c:ser>
          <c:idx val="4"/>
          <c:order val="4"/>
          <c:tx>
            <c:strRef>
              <c:f>'Customer Distribution'!$O$4:$O$6</c:f>
              <c:strCache>
                <c:ptCount val="1"/>
                <c:pt idx="0">
                  <c:v>Monthly - Customer Count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0000"/>
                    <a:shade val="51000"/>
                    <a:satMod val="130000"/>
                  </a:schemeClr>
                </a:gs>
                <a:gs pos="80000">
                  <a:schemeClr val="accent5">
                    <a:shade val="70000"/>
                    <a:shade val="93000"/>
                    <a:satMod val="130000"/>
                  </a:schemeClr>
                </a:gs>
                <a:gs pos="100000">
                  <a:schemeClr val="accent5">
                    <a:shade val="7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Distribution'!$J$7:$J$12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Mature Adult</c:v>
                </c:pt>
                <c:pt idx="3">
                  <c:v>Teenager</c:v>
                </c:pt>
                <c:pt idx="4">
                  <c:v>Young Adult</c:v>
                </c:pt>
              </c:strCache>
            </c:strRef>
          </c:cat>
          <c:val>
            <c:numRef>
              <c:f>'Customer Distribution'!$O$7:$O$12</c:f>
              <c:numCache>
                <c:formatCode>General</c:formatCode>
                <c:ptCount val="5"/>
                <c:pt idx="0">
                  <c:v>125</c:v>
                </c:pt>
                <c:pt idx="1">
                  <c:v>16</c:v>
                </c:pt>
                <c:pt idx="2">
                  <c:v>36</c:v>
                </c:pt>
                <c:pt idx="3">
                  <c:v>4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2C-4AA0-A49E-A696D2E301F6}"/>
            </c:ext>
          </c:extLst>
        </c:ser>
        <c:ser>
          <c:idx val="5"/>
          <c:order val="5"/>
          <c:tx>
            <c:strRef>
              <c:f>'Customer Distribution'!$P$4:$P$6</c:f>
              <c:strCache>
                <c:ptCount val="1"/>
                <c:pt idx="0">
                  <c:v>Monthly - Percentage of Grand 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0000"/>
                    <a:shade val="51000"/>
                    <a:satMod val="130000"/>
                  </a:schemeClr>
                </a:gs>
                <a:gs pos="80000">
                  <a:schemeClr val="accent5">
                    <a:shade val="50000"/>
                    <a:shade val="93000"/>
                    <a:satMod val="130000"/>
                  </a:schemeClr>
                </a:gs>
                <a:gs pos="100000">
                  <a:schemeClr val="accent5">
                    <a:shade val="5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Distribution'!$J$7:$J$12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Mature Adult</c:v>
                </c:pt>
                <c:pt idx="3">
                  <c:v>Teenager</c:v>
                </c:pt>
                <c:pt idx="4">
                  <c:v>Young Adult</c:v>
                </c:pt>
              </c:strCache>
            </c:strRef>
          </c:cat>
          <c:val>
            <c:numRef>
              <c:f>'Customer Distribution'!$P$7:$P$12</c:f>
              <c:numCache>
                <c:formatCode>0.00%</c:formatCode>
                <c:ptCount val="5"/>
                <c:pt idx="0">
                  <c:v>0.15625</c:v>
                </c:pt>
                <c:pt idx="1">
                  <c:v>0.02</c:v>
                </c:pt>
                <c:pt idx="2">
                  <c:v>4.4999999999999998E-2</c:v>
                </c:pt>
                <c:pt idx="3">
                  <c:v>5.0000000000000001E-3</c:v>
                </c:pt>
                <c:pt idx="4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2C-4AA0-A49E-A696D2E301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45684144"/>
        <c:axId val="1545686544"/>
      </c:barChart>
      <c:catAx>
        <c:axId val="1545684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86544"/>
        <c:crosses val="autoZero"/>
        <c:auto val="1"/>
        <c:lblAlgn val="ctr"/>
        <c:lblOffset val="100"/>
        <c:noMultiLvlLbl val="0"/>
      </c:catAx>
      <c:valAx>
        <c:axId val="154568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Customer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8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9</xdr:col>
      <xdr:colOff>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7A168-9DAA-78F5-CF94-C942CDA79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5CF80D-6153-2EB7-979C-6A9F1BC1E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15</xdr:col>
      <xdr:colOff>997322</xdr:colOff>
      <xdr:row>60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BFCDCB-ABAF-8ACF-3416-BE2081A18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9</xdr:col>
      <xdr:colOff>0</xdr:colOff>
      <xdr:row>60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285EC0-177D-7A5D-E78C-EBAED715F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</xdr:colOff>
      <xdr:row>7</xdr:row>
      <xdr:rowOff>1</xdr:rowOff>
    </xdr:from>
    <xdr:to>
      <xdr:col>27</xdr:col>
      <xdr:colOff>1</xdr:colOff>
      <xdr:row>31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15436E-9B98-D05C-4114-636F92137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36</xdr:row>
      <xdr:rowOff>0</xdr:rowOff>
    </xdr:from>
    <xdr:to>
      <xdr:col>27</xdr:col>
      <xdr:colOff>0</xdr:colOff>
      <xdr:row>60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08BFCB-5478-38FA-CDCA-8203286E8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612320</xdr:colOff>
      <xdr:row>8</xdr:row>
      <xdr:rowOff>0</xdr:rowOff>
    </xdr:from>
    <xdr:to>
      <xdr:col>14</xdr:col>
      <xdr:colOff>612320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DEC39D-0BEB-475F-9F3C-D874783A8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8</xdr:row>
      <xdr:rowOff>1</xdr:rowOff>
    </xdr:from>
    <xdr:to>
      <xdr:col>30</xdr:col>
      <xdr:colOff>0</xdr:colOff>
      <xdr:row>35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0DD291-1423-4E52-BF4D-6E5B9AC95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612320</xdr:colOff>
      <xdr:row>41</xdr:row>
      <xdr:rowOff>0</xdr:rowOff>
    </xdr:from>
    <xdr:to>
      <xdr:col>14</xdr:col>
      <xdr:colOff>612320</xdr:colOff>
      <xdr:row>66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7EE80C-2A5A-4B4B-ABFD-369819D09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41</xdr:row>
      <xdr:rowOff>0</xdr:rowOff>
    </xdr:from>
    <xdr:to>
      <xdr:col>30</xdr:col>
      <xdr:colOff>0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F9AB69-6C00-42CF-B6AB-70E9410B2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0</xdr:colOff>
      <xdr:row>8</xdr:row>
      <xdr:rowOff>0</xdr:rowOff>
    </xdr:from>
    <xdr:to>
      <xdr:col>45</xdr:col>
      <xdr:colOff>0</xdr:colOff>
      <xdr:row>35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051E66-7C63-4DA6-81D1-91DB0089C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1</xdr:colOff>
      <xdr:row>41</xdr:row>
      <xdr:rowOff>1</xdr:rowOff>
    </xdr:from>
    <xdr:to>
      <xdr:col>45</xdr:col>
      <xdr:colOff>1</xdr:colOff>
      <xdr:row>66</xdr:row>
      <xdr:rowOff>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FD8E57-3B75-423F-9554-A1BB3BF07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23812</xdr:rowOff>
    </xdr:from>
    <xdr:to>
      <xdr:col>5</xdr:col>
      <xdr:colOff>257175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55125-5F2E-B5D9-E567-1D7E1B367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266699</xdr:colOff>
      <xdr:row>7</xdr:row>
      <xdr:rowOff>19050</xdr:rowOff>
    </xdr:from>
    <xdr:to>
      <xdr:col>12</xdr:col>
      <xdr:colOff>133349</xdr:colOff>
      <xdr:row>22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D35133-5E61-8E6B-55FB-F37A50BA7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23812</xdr:rowOff>
    </xdr:from>
    <xdr:to>
      <xdr:col>7</xdr:col>
      <xdr:colOff>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C45721-EC26-D594-5776-B7A178A33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B78D43-C9A3-261C-CA91-63B9A545D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uis Parsons" refreshedDate="45981.823116319443" createdVersion="8" refreshedVersion="8" minRefreshableVersion="3" recordCount="800" xr:uid="{0CCB6BC8-5094-4576-A3C5-BCCDDA3D70F9}">
  <cacheSource type="worksheet">
    <worksheetSource name="Table1"/>
  </cacheSource>
  <cacheFields count="37">
    <cacheField name="CustomerID" numFmtId="0">
      <sharedItems count="800">
        <s v="CUST0246"/>
        <s v="CUST0192"/>
        <s v="CUST0146"/>
        <s v="CUST0561"/>
        <s v="CUST0108"/>
        <s v="CUST0658"/>
        <s v="CUST0269"/>
        <s v="CUST0522"/>
        <s v="CUST0285"/>
        <s v="CUST0695"/>
        <s v="CUST0223"/>
        <s v="CUST0092"/>
        <s v="CUST0349"/>
        <s v="CUST0132"/>
        <s v="CUST0367"/>
        <s v="CUST0300"/>
        <s v="CUST0290"/>
        <s v="CUST0639"/>
        <s v="CUST0204"/>
        <s v="CUST0650"/>
        <s v="CUST0297"/>
        <s v="CUST0031"/>
        <s v="CUST0262"/>
        <s v="CUST0498"/>
        <s v="CUST0780"/>
        <s v="CUST0479"/>
        <s v="CUST0386"/>
        <s v="CUST0105"/>
        <s v="CUST0406"/>
        <s v="CUST0745"/>
        <s v="CUST0704"/>
        <s v="CUST0186"/>
        <s v="CUST0395"/>
        <s v="CUST0178"/>
        <s v="CUST0787"/>
        <s v="CUST0460"/>
        <s v="CUST0724"/>
        <s v="CUST0459"/>
        <s v="CUST0304"/>
        <s v="CUST0626"/>
        <s v="CUST0387"/>
        <s v="CUST0707"/>
        <s v="CUST0590"/>
        <s v="CUST0785"/>
        <s v="CUST0307"/>
        <s v="CUST0417"/>
        <s v="CUST0328"/>
        <s v="CUST0259"/>
        <s v="CUST0415"/>
        <s v="CUST0609"/>
        <s v="CUST0736"/>
        <s v="CUST0634"/>
        <s v="CUST0058"/>
        <s v="CUST0097"/>
        <s v="CUST0263"/>
        <s v="CUST0284"/>
        <s v="CUST0081"/>
        <s v="CUST0250"/>
        <s v="CUST0053"/>
        <s v="CUST0374"/>
        <s v="CUST0126"/>
        <s v="CUST0764"/>
        <s v="CUST0035"/>
        <s v="CUST0088"/>
        <s v="CUST0711"/>
        <s v="CUST0190"/>
        <s v="CUST0229"/>
        <s v="CUST0131"/>
        <s v="CUST0692"/>
        <s v="CUST0265"/>
        <s v="CUST0550"/>
        <s v="CUST0591"/>
        <s v="CUST0757"/>
        <s v="CUST0225"/>
        <s v="CUST0023"/>
        <s v="CUST0647"/>
        <s v="CUST0760"/>
        <s v="CUST0490"/>
        <s v="CUST0221"/>
        <s v="CUST0396"/>
        <s v="CUST0630"/>
        <s v="CUST0256"/>
        <s v="CUST0236"/>
        <s v="CUST0118"/>
        <s v="CUST0119"/>
        <s v="CUST0529"/>
        <s v="CUST0603"/>
        <s v="CUST0337"/>
        <s v="CUST0094"/>
        <s v="CUST0068"/>
        <s v="CUST0241"/>
        <s v="CUST0542"/>
        <s v="CUST0130"/>
        <s v="CUST0220"/>
        <s v="CUST0008"/>
        <s v="CUST0144"/>
        <s v="CUST0324"/>
        <s v="CUST0421"/>
        <s v="CUST0689"/>
        <s v="CUST0244"/>
        <s v="CUST0312"/>
        <s v="CUST0660"/>
        <s v="CUST0524"/>
        <s v="CUST0624"/>
        <s v="CUST0666"/>
        <s v="CUST0586"/>
        <s v="CUST0162"/>
        <s v="CUST0576"/>
        <s v="CUST0471"/>
        <s v="CUST0045"/>
        <s v="CUST0054"/>
        <s v="CUST0296"/>
        <s v="CUST0301"/>
        <s v="CUST0436"/>
        <s v="CUST0067"/>
        <s v="CUST0715"/>
        <s v="CUST0318"/>
        <s v="CUST0494"/>
        <s v="CUST0680"/>
        <s v="CUST0015"/>
        <s v="CUST0280"/>
        <s v="CUST0686"/>
        <s v="CUST0339"/>
        <s v="CUST0607"/>
        <s v="CUST0553"/>
        <s v="CUST0502"/>
        <s v="CUST0539"/>
        <s v="CUST0474"/>
        <s v="CUST0779"/>
        <s v="CUST0012"/>
        <s v="CUST0194"/>
        <s v="CUST0676"/>
        <s v="CUST0344"/>
        <s v="CUST0734"/>
        <s v="CUST0769"/>
        <s v="CUST0042"/>
        <s v="CUST0142"/>
        <s v="CUST0251"/>
        <s v="CUST0500"/>
        <s v="CUST0057"/>
        <s v="CUST0389"/>
        <s v="CUST0062"/>
        <s v="CUST0160"/>
        <s v="CUST0164"/>
        <s v="CUST0379"/>
        <s v="CUST0215"/>
        <s v="CUST0185"/>
        <s v="CUST0093"/>
        <s v="CUST0089"/>
        <s v="CUST0481"/>
        <s v="CUST0675"/>
        <s v="CUST0085"/>
        <s v="CUST0364"/>
        <s v="CUST0128"/>
        <s v="CUST0486"/>
        <s v="CUST0044"/>
        <s v="CUST0398"/>
        <s v="CUST0273"/>
        <s v="CUST0513"/>
        <s v="CUST0777"/>
        <s v="CUST0252"/>
        <s v="CUST0622"/>
        <s v="CUST0443"/>
        <s v="CUST0593"/>
        <s v="CUST0268"/>
        <s v="CUST0257"/>
        <s v="CUST0793"/>
        <s v="CUST0632"/>
        <s v="CUST0321"/>
        <s v="CUST0046"/>
        <s v="CUST0668"/>
        <s v="CUST0226"/>
        <s v="CUST0027"/>
        <s v="CUST0149"/>
        <s v="CUST0376"/>
        <s v="CUST0444"/>
        <s v="CUST0554"/>
        <s v="CUST0341"/>
        <s v="CUST0413"/>
        <s v="CUST0320"/>
        <s v="CUST0298"/>
        <s v="CUST0362"/>
        <s v="CUST0670"/>
        <s v="CUST0488"/>
        <s v="CUST0649"/>
        <s v="CUST0050"/>
        <s v="CUST0555"/>
        <s v="CUST0127"/>
        <s v="CUST0174"/>
        <s v="CUST0360"/>
        <s v="CUST0397"/>
        <s v="CUST0505"/>
        <s v="CUST0694"/>
        <s v="CUST0090"/>
        <s v="CUST0659"/>
        <s v="CUST0752"/>
        <s v="CUST0116"/>
        <s v="CUST0448"/>
        <s v="CUST0614"/>
        <s v="CUST0156"/>
        <s v="CUST0528"/>
        <s v="CUST0732"/>
        <s v="CUST0076"/>
        <s v="CUST0123"/>
        <s v="CUST0391"/>
        <s v="CUST0121"/>
        <s v="CUST0775"/>
        <s v="CUST0075"/>
        <s v="CUST0388"/>
        <s v="CUST0562"/>
        <s v="CUST0640"/>
        <s v="CUST0199"/>
        <s v="CUST0235"/>
        <s v="CUST0685"/>
        <s v="CUST0382"/>
        <s v="CUST0078"/>
        <s v="CUST0638"/>
        <s v="CUST0107"/>
        <s v="CUST0663"/>
        <s v="CUST0189"/>
        <s v="CUST0017"/>
        <s v="CUST0619"/>
        <s v="CUST0728"/>
        <s v="CUST0175"/>
        <s v="CUST0714"/>
        <s v="CUST0441"/>
        <s v="CUST0667"/>
        <s v="CUST0394"/>
        <s v="CUST0217"/>
        <s v="CUST0167"/>
        <s v="CUST0322"/>
        <s v="CUST0581"/>
        <s v="CUST0206"/>
        <s v="CUST0435"/>
        <s v="CUST0716"/>
        <s v="CUST0402"/>
        <s v="CUST0702"/>
        <s v="CUST0518"/>
        <s v="CUST0342"/>
        <s v="CUST0224"/>
        <s v="CUST0424"/>
        <s v="CUST0789"/>
        <s v="CUST0691"/>
        <s v="CUST0508"/>
        <s v="CUST0404"/>
        <s v="CUST0383"/>
        <s v="CUST0438"/>
        <s v="CUST0358"/>
        <s v="CUST0338"/>
        <s v="CUST0718"/>
        <s v="CUST0559"/>
        <s v="CUST0169"/>
        <s v="CUST0771"/>
        <s v="CUST0491"/>
        <s v="CUST0645"/>
        <s v="CUST0594"/>
        <s v="CUST0652"/>
        <s v="CUST0776"/>
        <s v="CUST0147"/>
        <s v="CUST0109"/>
        <s v="CUST0679"/>
        <s v="CUST0523"/>
        <s v="CUST0633"/>
        <s v="CUST0683"/>
        <s v="CUST0419"/>
        <s v="CUST0381"/>
        <s v="CUST0627"/>
        <s v="CUST0605"/>
        <s v="CUST0446"/>
        <s v="CUST0345"/>
        <s v="CUST0083"/>
        <s v="CUST0270"/>
        <s v="CUST0380"/>
        <s v="CUST0507"/>
        <s v="CUST0343"/>
        <s v="CUST0697"/>
        <s v="CUST0543"/>
        <s v="CUST0165"/>
        <s v="CUST0096"/>
        <s v="CUST0143"/>
        <s v="CUST0152"/>
        <s v="CUST0556"/>
        <s v="CUST0737"/>
        <s v="CUST0069"/>
        <s v="CUST0352"/>
        <s v="CUST0112"/>
        <s v="CUST0751"/>
        <s v="CUST0378"/>
        <s v="CUST0205"/>
        <s v="CUST0487"/>
        <s v="CUST0579"/>
        <s v="CUST0451"/>
        <s v="CUST0635"/>
        <s v="CUST0375"/>
        <s v="CUST0302"/>
        <s v="CUST0516"/>
        <s v="CUST0721"/>
        <s v="CUST0368"/>
        <s v="CUST0684"/>
        <s v="CUST0326"/>
        <s v="CUST0723"/>
        <s v="CUST0039"/>
        <s v="CUST0329"/>
        <s v="CUST0567"/>
        <s v="CUST0032"/>
        <s v="CUST0140"/>
        <s v="CUST0625"/>
        <s v="CUST0040"/>
        <s v="CUST0584"/>
        <s v="CUST0346"/>
        <s v="CUST0414"/>
        <s v="CUST0705"/>
        <s v="CUST0463"/>
        <s v="CUST0786"/>
        <s v="CUST0431"/>
        <s v="CUST0512"/>
        <s v="CUST0661"/>
        <s v="CUST0372"/>
        <s v="CUST0403"/>
        <s v="CUST0222"/>
        <s v="CUST0086"/>
        <s v="CUST0574"/>
        <s v="CUST0610"/>
        <s v="CUST0331"/>
        <s v="CUST0106"/>
        <s v="CUST0442"/>
        <s v="CUST0026"/>
        <s v="CUST0180"/>
        <s v="CUST0426"/>
        <s v="CUST0580"/>
        <s v="CUST0308"/>
        <s v="CUST0138"/>
        <s v="CUST0281"/>
        <s v="CUST0193"/>
        <s v="CUST0476"/>
        <s v="CUST0749"/>
        <s v="CUST0720"/>
        <s v="CUST0726"/>
        <s v="CUST0774"/>
        <s v="CUST0018"/>
        <s v="CUST0170"/>
        <s v="CUST0203"/>
        <s v="CUST0214"/>
        <s v="CUST0411"/>
        <s v="CUST0233"/>
        <s v="CUST0799"/>
        <s v="CUST0641"/>
        <s v="CUST0110"/>
        <s v="CUST0176"/>
        <s v="CUST0013"/>
        <s v="CUST0148"/>
        <s v="CUST0665"/>
        <s v="CUST0470"/>
        <s v="CUST0115"/>
        <s v="CUST0495"/>
        <s v="CUST0055"/>
        <s v="CUST0129"/>
        <s v="CUST0541"/>
        <s v="CUST0056"/>
        <s v="CUST0059"/>
        <s v="CUST0759"/>
        <s v="CUST0510"/>
        <s v="CUST0748"/>
        <s v="CUST0188"/>
        <s v="CUST0125"/>
        <s v="CUST0311"/>
        <s v="CUST0449"/>
        <s v="CUST0497"/>
        <s v="CUST0589"/>
        <s v="CUST0525"/>
        <s v="CUST0778"/>
        <s v="CUST0492"/>
        <s v="CUST0061"/>
        <s v="CUST0242"/>
        <s v="CUST0717"/>
        <s v="CUST0028"/>
        <s v="CUST0482"/>
        <s v="CUST0568"/>
        <s v="CUST0407"/>
        <s v="CUST0373"/>
        <s v="CUST0141"/>
        <s v="CUST0457"/>
        <s v="CUST0095"/>
        <s v="CUST0729"/>
        <s v="CUST0216"/>
        <s v="CUST0295"/>
        <s v="CUST0024"/>
        <s v="CUST0570"/>
        <s v="CUST0158"/>
        <s v="CUST0719"/>
        <s v="CUST0753"/>
        <s v="CUST0430"/>
        <s v="CUST0455"/>
        <s v="CUST0656"/>
        <s v="CUST0202"/>
        <s v="CUST0009"/>
        <s v="CUST0201"/>
        <s v="CUST0330"/>
        <s v="CUST0730"/>
        <s v="CUST0168"/>
        <s v="CUST0501"/>
        <s v="CUST0621"/>
        <s v="CUST0773"/>
        <s v="CUST0781"/>
        <s v="CUST0687"/>
        <s v="CUST0369"/>
        <s v="CUST0453"/>
        <s v="CUST0080"/>
        <s v="CUST0171"/>
        <s v="CUST0048"/>
        <s v="CUST0359"/>
        <s v="CUST0384"/>
        <s v="CUST0211"/>
        <s v="CUST0429"/>
        <s v="CUST0514"/>
        <s v="CUST0566"/>
        <s v="CUST0287"/>
        <s v="CUST0710"/>
        <s v="CUST0334"/>
        <s v="CUST0742"/>
        <s v="CUST0361"/>
        <s v="CUST0196"/>
        <s v="CUST0602"/>
        <s v="CUST0276"/>
        <s v="CUST0400"/>
        <s v="CUST0536"/>
        <s v="CUST0354"/>
        <s v="CUST0651"/>
        <s v="CUST0628"/>
        <s v="CUST0770"/>
        <s v="CUST0560"/>
        <s v="CUST0157"/>
        <s v="CUST0612"/>
        <s v="CUST0124"/>
        <s v="CUST0792"/>
        <s v="CUST0014"/>
        <s v="CUST0557"/>
        <s v="CUST0480"/>
        <s v="CUST0172"/>
        <s v="CUST0212"/>
        <s v="CUST0260"/>
        <s v="CUST0616"/>
        <s v="CUST0546"/>
        <s v="CUST0070"/>
        <s v="CUST0114"/>
        <s v="CUST0489"/>
        <s v="CUST0538"/>
        <s v="CUST0340"/>
        <s v="CUST0583"/>
        <s v="CUST0743"/>
        <s v="CUST0782"/>
        <s v="CUST0385"/>
        <s v="CUST0475"/>
        <s v="CUST0333"/>
        <s v="CUST0007"/>
        <s v="CUST0540"/>
        <s v="CUST0299"/>
        <s v="CUST0208"/>
        <s v="CUST0642"/>
        <s v="CUST0761"/>
        <s v="CUST0183"/>
        <s v="CUST0662"/>
        <s v="CUST0377"/>
        <s v="CUST0606"/>
        <s v="CUST0766"/>
        <s v="CUST0520"/>
        <s v="CUST0245"/>
        <s v="CUST0091"/>
        <s v="CUST0503"/>
        <s v="CUST0153"/>
        <s v="CUST0315"/>
        <s v="CUST0150"/>
        <s v="CUST0161"/>
        <s v="CUST0575"/>
        <s v="CUST0798"/>
        <s v="CUST0405"/>
        <s v="CUST0564"/>
        <s v="CUST0003"/>
        <s v="CUST0648"/>
        <s v="CUST0783"/>
        <s v="CUST0466"/>
        <s v="CUST0279"/>
        <s v="CUST0519"/>
        <s v="CUST0533"/>
        <s v="CUST0020"/>
        <s v="CUST0756"/>
        <s v="CUST0784"/>
        <s v="CUST0191"/>
        <s v="CUST0677"/>
        <s v="CUST0669"/>
        <s v="CUST0209"/>
        <s v="CUST0134"/>
        <s v="CUST0767"/>
        <s v="CUST0072"/>
        <s v="CUST0230"/>
        <s v="CUST0177"/>
        <s v="CUST0084"/>
        <s v="CUST0452"/>
        <s v="CUST0187"/>
        <s v="CUST0393"/>
        <s v="CUST0422"/>
        <s v="CUST0043"/>
        <s v="CUST0427"/>
        <s v="CUST0213"/>
        <s v="CUST0473"/>
        <s v="CUST0037"/>
        <s v="CUST0332"/>
        <s v="CUST0569"/>
        <s v="CUST0102"/>
        <s v="CUST0002"/>
        <s v="CUST0210"/>
        <s v="CUST0456"/>
        <s v="CUST0219"/>
        <s v="CUST0139"/>
        <s v="CUST0530"/>
        <s v="CUST0454"/>
        <s v="CUST0355"/>
        <s v="CUST0791"/>
        <s v="CUST0098"/>
        <s v="CUST0797"/>
        <s v="CUST0604"/>
        <s v="CUST0336"/>
        <s v="CUST0664"/>
        <s v="CUST0613"/>
        <s v="CUST0433"/>
        <s v="CUST0506"/>
        <s v="CUST0712"/>
        <s v="CUST0551"/>
        <s v="CUST0016"/>
        <s v="CUST0004"/>
        <s v="CUST0313"/>
        <s v="CUST0461"/>
        <s v="CUST0545"/>
        <s v="CUST0399"/>
        <s v="CUST0644"/>
        <s v="CUST0713"/>
        <s v="CUST0232"/>
        <s v="CUST0371"/>
        <s v="CUST0198"/>
        <s v="CUST0286"/>
        <s v="CUST0159"/>
        <s v="CUST0271"/>
        <s v="CUST0646"/>
        <s v="CUST0064"/>
        <s v="CUST0282"/>
        <s v="CUST0741"/>
        <s v="CUST0744"/>
        <s v="CUST0347"/>
        <s v="CUST0357"/>
        <s v="CUST0653"/>
        <s v="CUST0294"/>
        <s v="CUST0366"/>
        <s v="CUST0688"/>
        <s v="CUST0327"/>
        <s v="CUST0179"/>
        <s v="CUST0447"/>
        <s v="CUST0011"/>
        <s v="CUST0578"/>
        <s v="CUST0595"/>
        <s v="CUST0410"/>
        <s v="CUST0173"/>
        <s v="CUST0029"/>
        <s v="CUST0601"/>
        <s v="CUST0356"/>
        <s v="CUST0079"/>
        <s v="CUST0740"/>
        <s v="CUST0292"/>
        <s v="CUST0643"/>
        <s v="CUST0409"/>
        <s v="CUST0738"/>
        <s v="CUST0195"/>
        <s v="CUST0693"/>
        <s v="CUST0526"/>
        <s v="CUST0425"/>
        <s v="CUST0582"/>
        <s v="CUST0365"/>
        <s v="CUST0074"/>
        <s v="CUST0309"/>
        <s v="CUST0025"/>
        <s v="CUST0103"/>
        <s v="CUST0041"/>
        <s v="CUST0033"/>
        <s v="CUST0288"/>
        <s v="CUST0305"/>
        <s v="CUST0254"/>
        <s v="CUST0700"/>
        <s v="CUST0573"/>
        <s v="CUST0420"/>
        <s v="CUST0673"/>
        <s v="CUST0509"/>
        <s v="CUST0618"/>
        <s v="CUST0483"/>
        <s v="CUST0623"/>
        <s v="CUST0794"/>
        <s v="CUST0754"/>
        <s v="CUST0445"/>
        <s v="CUST0100"/>
        <s v="CUST0701"/>
        <s v="CUST0390"/>
        <s v="CUST0598"/>
        <s v="CUST0351"/>
        <s v="CUST0796"/>
        <s v="CUST0725"/>
        <s v="CUST0239"/>
        <s v="CUST0113"/>
        <s v="CUST0135"/>
        <s v="CUST0099"/>
        <s v="CUST0370"/>
        <s v="CUST0200"/>
        <s v="CUST0696"/>
        <s v="CUST0038"/>
        <s v="CUST0440"/>
        <s v="CUST0306"/>
        <s v="CUST0071"/>
        <s v="CUST0499"/>
        <s v="CUST0563"/>
        <s v="CUST0544"/>
        <s v="CUST0504"/>
        <s v="CUST0682"/>
        <s v="CUST0408"/>
        <s v="CUST0317"/>
        <s v="CUST0758"/>
        <s v="CUST0248"/>
        <s v="CUST0019"/>
        <s v="CUST0151"/>
        <s v="CUST0082"/>
        <s v="CUST0722"/>
        <s v="CUST0631"/>
        <s v="CUST0558"/>
        <s v="CUST0733"/>
        <s v="CUST0266"/>
        <s v="CUST0485"/>
        <s v="CUST0237"/>
        <s v="CUST0243"/>
        <s v="CUST0234"/>
        <s v="CUST0762"/>
        <s v="CUST0657"/>
        <s v="CUST0521"/>
        <s v="CUST0608"/>
        <s v="CUST0790"/>
        <s v="CUST0511"/>
        <s v="CUST0423"/>
        <s v="CUST0690"/>
        <s v="CUST0439"/>
        <s v="CUST0227"/>
        <s v="CUST0166"/>
        <s v="CUST0137"/>
        <s v="CUST0731"/>
        <s v="CUST0768"/>
        <s v="CUST0469"/>
        <s v="CUST0735"/>
        <s v="CUST0795"/>
        <s v="CUST0077"/>
        <s v="CUST0052"/>
        <s v="CUST0277"/>
        <s v="CUST0637"/>
        <s v="CUST0010"/>
        <s v="CUST0063"/>
        <s v="CUST0727"/>
        <s v="CUST0596"/>
        <s v="CUST0532"/>
        <s v="CUST0258"/>
        <s v="CUST0207"/>
        <s v="CUST0051"/>
        <s v="CUST0571"/>
        <s v="CUST0565"/>
        <s v="CUST0218"/>
        <s v="CUST0465"/>
        <s v="CUST0672"/>
        <s v="CUST0703"/>
        <s v="CUST0289"/>
        <s v="CUST0401"/>
        <s v="CUST0314"/>
        <s v="CUST0681"/>
        <s v="CUST0547"/>
        <s v="CUST0484"/>
        <s v="CUST0617"/>
        <s v="CUST0240"/>
        <s v="CUST0021"/>
        <s v="CUST0283"/>
        <s v="CUST0535"/>
        <s v="CUST0310"/>
        <s v="CUST0136"/>
        <s v="CUST0272"/>
        <s v="CUST0278"/>
        <s v="CUST0468"/>
        <s v="CUST0416"/>
        <s v="CUST0800"/>
        <s v="CUST0350"/>
        <s v="CUST0755"/>
        <s v="CUST0111"/>
        <s v="CUST0437"/>
        <s v="CUST0655"/>
        <s v="CUST0765"/>
        <s v="CUST0022"/>
        <s v="CUST0120"/>
        <s v="CUST0572"/>
        <s v="CUST0303"/>
        <s v="CUST0788"/>
        <s v="CUST0671"/>
        <s v="CUST0462"/>
        <s v="CUST0531"/>
        <s v="CUST0228"/>
        <s v="CUST0392"/>
        <s v="CUST0739"/>
        <s v="CUST0249"/>
        <s v="CUST0231"/>
        <s v="CUST0709"/>
        <s v="CUST0654"/>
        <s v="CUST0552"/>
        <s v="CUST0117"/>
        <s v="CUST0629"/>
        <s v="CUST0517"/>
        <s v="CUST0537"/>
        <s v="CUST0036"/>
        <s v="CUST0181"/>
        <s v="CUST0432"/>
        <s v="CUST0087"/>
        <s v="CUST0319"/>
        <s v="CUST0182"/>
        <s v="CUST0006"/>
        <s v="CUST0034"/>
        <s v="CUST0428"/>
        <s v="CUST0434"/>
        <s v="CUST0467"/>
        <s v="CUST0154"/>
        <s v="CUST0073"/>
        <s v="CUST0030"/>
        <s v="CUST0049"/>
        <s v="CUST0275"/>
        <s v="CUST0274"/>
        <s v="CUST0750"/>
        <s v="CUST0600"/>
        <s v="CUST0261"/>
        <s v="CUST0548"/>
        <s v="CUST0184"/>
        <s v="CUST0636"/>
        <s v="CUST0255"/>
        <s v="CUST0763"/>
        <s v="CUST0335"/>
        <s v="CUST0122"/>
        <s v="CUST0247"/>
        <s v="CUST0264"/>
        <s v="CUST0515"/>
        <s v="CUST0592"/>
        <s v="CUST0155"/>
        <s v="CUST0197"/>
        <s v="CUST0353"/>
        <s v="CUST0472"/>
        <s v="CUST0104"/>
        <s v="CUST0001"/>
        <s v="CUST0363"/>
        <s v="CUST0418"/>
        <s v="CUST0478"/>
        <s v="CUST0323"/>
        <s v="CUST0493"/>
        <s v="CUST0708"/>
        <s v="CUST0496"/>
        <s v="CUST0464"/>
        <s v="CUST0772"/>
        <s v="CUST0527"/>
        <s v="CUST0325"/>
        <s v="CUST0599"/>
        <s v="CUST0674"/>
        <s v="CUST0065"/>
        <s v="CUST0267"/>
        <s v="CUST0047"/>
        <s v="CUST0746"/>
        <s v="CUST0587"/>
        <s v="CUST0597"/>
        <s v="CUST0620"/>
        <s v="CUST0678"/>
        <s v="CUST0450"/>
        <s v="CUST0163"/>
        <s v="CUST0316"/>
        <s v="CUST0348"/>
        <s v="CUST0066"/>
        <s v="CUST0549"/>
        <s v="CUST0577"/>
        <s v="CUST0706"/>
        <s v="CUST0005"/>
        <s v="CUST0238"/>
        <s v="CUST0293"/>
        <s v="CUST0585"/>
        <s v="CUST0253"/>
        <s v="CUST0133"/>
        <s v="CUST0611"/>
        <s v="CUST0412"/>
        <s v="CUST0477"/>
        <s v="CUST0615"/>
        <s v="CUST0588"/>
        <s v="CUST0060"/>
        <s v="CUST0145"/>
        <s v="CUST0534"/>
        <s v="CUST0101"/>
        <s v="CUST0747"/>
        <s v="CUST0699"/>
        <s v="CUST0458"/>
        <s v="CUST0291"/>
        <s v="CUST0698"/>
      </sharedItems>
    </cacheField>
    <cacheField name="Age" numFmtId="0">
      <sharedItems containsSemiMixedTypes="0" containsString="0" containsNumber="1" containsInteger="1" minValue="18" maxValue="75"/>
    </cacheField>
    <cacheField name="Gender" numFmtId="0">
      <sharedItems count="2">
        <s v="Male"/>
        <s v="Female"/>
      </sharedItems>
    </cacheField>
    <cacheField name="SubscriptionStart" numFmtId="165">
      <sharedItems containsSemiMixedTypes="0" containsNonDate="0" containsDate="1" containsString="0" minDate="2022-01-01T00:00:00" maxDate="2024-01-01T00:00:00" count="500">
        <d v="2022-01-01T00:00:00"/>
        <d v="2022-01-02T00:00:00"/>
        <d v="2022-01-06T00:00:00"/>
        <d v="2022-01-08T00:00:00"/>
        <d v="2022-01-09T00:00:00"/>
        <d v="2022-01-12T00:00:00"/>
        <d v="2022-01-15T00:00:00"/>
        <d v="2022-01-16T00:00:00"/>
        <d v="2022-01-18T00:00:00"/>
        <d v="2022-01-19T00:00:00"/>
        <d v="2022-01-20T00:00:00"/>
        <d v="2022-01-22T00:00:00"/>
        <d v="2022-01-24T00:00:00"/>
        <d v="2022-01-26T00:00:00"/>
        <d v="2022-01-28T00:00:00"/>
        <d v="2022-01-30T00:00:00"/>
        <d v="2022-01-31T00:00:00"/>
        <d v="2022-02-02T00:00:00"/>
        <d v="2022-02-04T00:00:00"/>
        <d v="2022-02-05T00:00:00"/>
        <d v="2022-02-07T00:00:00"/>
        <d v="2022-02-08T00:00:00"/>
        <d v="2022-02-09T00:00:00"/>
        <d v="2022-02-11T00:00:00"/>
        <d v="2022-02-14T00:00:00"/>
        <d v="2022-02-15T00:00:00"/>
        <d v="2022-02-16T00:00:00"/>
        <d v="2022-02-17T00:00:00"/>
        <d v="2022-02-18T00:00:00"/>
        <d v="2022-02-23T00:00:00"/>
        <d v="2022-02-24T00:00:00"/>
        <d v="2022-02-25T00:00:00"/>
        <d v="2022-02-26T00:00:00"/>
        <d v="2022-02-27T00:00:00"/>
        <d v="2022-03-01T00:00:00"/>
        <d v="2022-03-04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5T00:00:00"/>
        <d v="2022-03-16T00:00:00"/>
        <d v="2022-03-18T00:00:00"/>
        <d v="2022-03-22T00:00:00"/>
        <d v="2022-03-24T00:00:00"/>
        <d v="2022-03-25T00:00:00"/>
        <d v="2022-03-26T00:00:00"/>
        <d v="2022-03-27T00:00:00"/>
        <d v="2022-03-28T00:00:00"/>
        <d v="2022-03-29T00:00:00"/>
        <d v="2022-03-31T00:00:00"/>
        <d v="2022-04-01T00:00:00"/>
        <d v="2022-04-02T00:00:00"/>
        <d v="2022-04-04T00:00:00"/>
        <d v="2022-04-05T00:00:00"/>
        <d v="2022-04-06T00:00:00"/>
        <d v="2022-04-07T00:00:00"/>
        <d v="2022-04-08T00:00:00"/>
        <d v="2022-04-11T00:00:00"/>
        <d v="2022-04-14T00:00:00"/>
        <d v="2022-04-18T00:00:00"/>
        <d v="2022-04-19T00:00:00"/>
        <d v="2022-04-21T00:00:00"/>
        <d v="2022-04-22T00:00:00"/>
        <d v="2022-04-23T00:00:00"/>
        <d v="2022-04-24T00:00:00"/>
        <d v="2022-04-26T00:00:00"/>
        <d v="2022-04-29T00:00:00"/>
        <d v="2022-04-30T00:00:00"/>
        <d v="2022-05-01T00:00:00"/>
        <d v="2022-05-02T00:00:00"/>
        <d v="2022-05-03T00:00:00"/>
        <d v="2022-05-05T00:00:00"/>
        <d v="2022-05-06T00:00:00"/>
        <d v="2022-05-07T00:00:00"/>
        <d v="2022-05-08T00:00:00"/>
        <d v="2022-05-10T00:00:00"/>
        <d v="2022-05-11T00:00:00"/>
        <d v="2022-05-13T00:00:00"/>
        <d v="2022-05-16T00:00:00"/>
        <d v="2022-05-17T00:00:00"/>
        <d v="2022-05-19T00:00:00"/>
        <d v="2022-05-21T00:00:00"/>
        <d v="2022-05-22T00:00:00"/>
        <d v="2022-05-23T00:00:00"/>
        <d v="2022-05-24T00:00:00"/>
        <d v="2022-05-25T00:00:00"/>
        <d v="2022-05-27T00:00:00"/>
        <d v="2022-05-28T00:00:00"/>
        <d v="2022-05-30T00:00:00"/>
        <d v="2022-05-31T00:00:00"/>
        <d v="2022-06-01T00:00:00"/>
        <d v="2022-06-02T00:00:00"/>
        <d v="2022-06-04T00:00:00"/>
        <d v="2022-06-05T00:00:00"/>
        <d v="2022-06-06T00:00:00"/>
        <d v="2022-06-08T00:00:00"/>
        <d v="2022-06-10T00:00:00"/>
        <d v="2022-06-12T00:00:00"/>
        <d v="2022-06-15T00:00:00"/>
        <d v="2022-06-16T00:00:00"/>
        <d v="2022-06-17T00:00:00"/>
        <d v="2022-06-19T00:00:00"/>
        <d v="2022-06-21T00:00:00"/>
        <d v="2022-06-27T00:00:00"/>
        <d v="2022-06-28T00:00:00"/>
        <d v="2022-06-29T00:00:00"/>
        <d v="2022-07-01T00:00:00"/>
        <d v="2022-07-02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2T00:00:00"/>
        <d v="2022-07-13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7T00:00:00"/>
        <d v="2022-07-28T00:00:00"/>
        <d v="2022-07-30T00:00:00"/>
        <d v="2022-08-01T00:00:00"/>
        <d v="2022-08-03T00:00:00"/>
        <d v="2022-08-05T00:00:00"/>
        <d v="2022-08-06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9T00:00:00"/>
        <d v="2022-08-20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31T00:00:00"/>
        <d v="2022-09-01T00:00:00"/>
        <d v="2022-09-02T00:00:00"/>
        <d v="2022-09-03T00:00:00"/>
        <d v="2022-09-07T00:00:00"/>
        <d v="2022-09-08T00:00:00"/>
        <d v="2022-09-09T00:00:00"/>
        <d v="2022-09-11T00:00:00"/>
        <d v="2022-09-12T00:00:00"/>
        <d v="2022-09-13T00:00:00"/>
        <d v="2022-09-14T00:00:00"/>
        <d v="2022-09-15T00:00:00"/>
        <d v="2022-09-18T00:00:00"/>
        <d v="2022-09-20T00:00:00"/>
        <d v="2022-09-21T00:00:00"/>
        <d v="2022-09-22T00:00:00"/>
        <d v="2022-09-23T00:00:00"/>
        <d v="2022-09-25T00:00:00"/>
        <d v="2022-09-27T00:00:00"/>
        <d v="2022-09-29T00:00:00"/>
        <d v="2022-09-30T00:00:00"/>
        <d v="2022-10-01T00:00:00"/>
        <d v="2022-10-03T00:00:00"/>
        <d v="2022-10-05T00:00:00"/>
        <d v="2022-10-07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9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1-01T00:00:00"/>
        <d v="2022-11-02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3T00:00:00"/>
        <d v="2022-11-14T00:00:00"/>
        <d v="2022-11-15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9T00:00:00"/>
        <d v="2022-11-30T00:00:00"/>
        <d v="2022-12-02T00:00:00"/>
        <d v="2022-12-03T00:00:00"/>
        <d v="2022-12-04T00:00:00"/>
        <d v="2022-12-05T00:00:00"/>
        <d v="2022-12-06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8T00:00:00"/>
        <d v="2022-12-30T00:00:00"/>
        <d v="2022-12-31T00:00:00"/>
        <d v="2023-01-03T00:00:00"/>
        <d v="2023-01-04T00:00:00"/>
        <d v="2023-01-05T00:00:00"/>
        <d v="2023-01-07T00:00:00"/>
        <d v="2023-01-08T00:00:00"/>
        <d v="2023-01-10T00:00:00"/>
        <d v="2023-01-11T00:00:00"/>
        <d v="2023-01-14T00:00:00"/>
        <d v="2023-01-15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5T00:00:00"/>
        <d v="2023-01-27T00:00:00"/>
        <d v="2023-01-28T00:00:00"/>
        <d v="2023-01-29T00:00:00"/>
        <d v="2023-01-30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3T00:00:00"/>
        <d v="2023-02-14T00:00:00"/>
        <d v="2023-02-15T00:00:00"/>
        <d v="2023-02-20T00:00:00"/>
        <d v="2023-02-21T00:00:00"/>
        <d v="2023-02-22T00:00:00"/>
        <d v="2023-02-26T00:00:00"/>
        <d v="2023-02-27T00:00:00"/>
        <d v="2023-02-28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20T00:00:00"/>
        <d v="2023-03-21T00:00:00"/>
        <d v="2023-03-24T00:00:00"/>
        <d v="2023-03-25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3T00:00:00"/>
        <d v="2023-04-14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4T00:00:00"/>
        <d v="2023-05-05T00:00:00"/>
        <d v="2023-05-07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8T00:00:00"/>
        <d v="2023-05-19T00:00:00"/>
        <d v="2023-05-20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1T00:00:00"/>
        <d v="2023-06-03T00:00:00"/>
        <d v="2023-06-05T00:00:00"/>
        <d v="2023-06-06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21T00:00:00"/>
        <d v="2023-06-26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7T00:00:00"/>
        <d v="2023-07-08T00:00:00"/>
        <d v="2023-07-09T00:00:00"/>
        <d v="2023-07-10T00:00:00"/>
        <d v="2023-07-11T00:00:00"/>
        <d v="2023-07-13T00:00:00"/>
        <d v="2023-07-15T00:00:00"/>
        <d v="2023-07-16T00:00:00"/>
        <d v="2023-07-17T00:00:00"/>
        <d v="2023-07-18T00:00:00"/>
        <d v="2023-07-22T00:00:00"/>
        <d v="2023-07-23T00:00:00"/>
        <d v="2023-07-25T00:00:00"/>
        <d v="2023-07-26T00:00:00"/>
        <d v="2023-07-27T00:00:00"/>
        <d v="2023-07-28T00:00:00"/>
        <d v="2023-07-29T00:00:00"/>
        <d v="2023-07-30T00:00:00"/>
        <d v="2023-08-01T00:00:00"/>
        <d v="2023-08-02T00:00:00"/>
        <d v="2023-08-03T00:00:00"/>
        <d v="2023-08-04T00:00:00"/>
        <d v="2023-08-05T00:00:00"/>
        <d v="2023-08-07T00:00:00"/>
        <d v="2023-08-10T00:00:00"/>
        <d v="2023-08-12T00:00:00"/>
        <d v="2023-08-14T00:00:00"/>
        <d v="2023-08-15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9-01T00:00:00"/>
        <d v="2023-09-06T00:00:00"/>
        <d v="2023-09-10T00:00:00"/>
        <d v="2023-09-14T00:00:00"/>
        <d v="2023-09-16T00:00:00"/>
        <d v="2023-09-17T00:00:00"/>
        <d v="2023-09-19T00:00:00"/>
        <d v="2023-09-21T00:00:00"/>
        <d v="2023-09-22T00:00:00"/>
        <d v="2023-09-23T00:00:00"/>
        <d v="2023-09-24T00:00:00"/>
        <d v="2023-09-28T00:00:00"/>
        <d v="2023-09-29T00:00:00"/>
        <d v="2023-09-30T00:00:00"/>
        <d v="2023-10-01T00:00:00"/>
        <d v="2023-10-02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4T00:00:00"/>
        <d v="2023-11-06T00:00:00"/>
        <d v="2023-11-07T00:00:00"/>
        <d v="2023-11-10T00:00:00"/>
        <d v="2023-11-12T00:00:00"/>
        <d v="2023-11-14T00:00:00"/>
        <d v="2023-11-17T00:00:00"/>
        <d v="2023-11-18T00:00:00"/>
        <d v="2023-11-19T00:00:00"/>
        <d v="2023-11-21T00:00:00"/>
        <d v="2023-11-22T00:00:00"/>
        <d v="2023-11-23T00:00:00"/>
        <d v="2023-11-24T00:00:00"/>
        <d v="2023-11-26T00:00:00"/>
        <d v="2023-11-28T00:00:00"/>
        <d v="2023-11-29T00:00:00"/>
        <d v="2023-12-01T00:00:00"/>
        <d v="2023-12-02T00:00:00"/>
        <d v="2023-12-03T00:00:00"/>
        <d v="2023-12-04T00:00:00"/>
        <d v="2023-12-05T00:00:00"/>
        <d v="2023-12-11T00:00:00"/>
        <d v="2023-12-12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2T00:00:00"/>
        <d v="2023-12-24T00:00:00"/>
        <d v="2023-12-25T00:00:00"/>
        <d v="2023-12-26T00:00:00"/>
        <d v="2023-12-28T00:00:00"/>
        <d v="2023-12-29T00:00:00"/>
        <d v="2023-12-31T00:00:00"/>
      </sharedItems>
      <fieldGroup par="33"/>
    </cacheField>
    <cacheField name="SubscriptionEnd" numFmtId="165">
      <sharedItems containsNonDate="0" containsDate="1" containsString="0" containsBlank="1" minDate="2022-02-07T00:00:00" maxDate="2024-12-26T00:00:00" count="432">
        <d v="2022-06-30T00:00:00"/>
        <d v="2022-12-27T00:00:00"/>
        <m/>
        <d v="2022-12-28T00:00:00"/>
        <d v="2022-07-05T00:00:00"/>
        <d v="2022-02-07T00:00:00"/>
        <d v="2022-02-08T00:00:00"/>
        <d v="2023-01-07T00:00:00"/>
        <d v="2022-02-14T00:00:00"/>
        <d v="2022-02-15T00:00:00"/>
        <d v="2023-01-11T00:00:00"/>
        <d v="2022-02-17T00:00:00"/>
        <d v="2022-07-17T00:00:00"/>
        <d v="2022-02-18T00:00:00"/>
        <d v="2023-01-14T00:00:00"/>
        <d v="2022-07-19T00:00:00"/>
        <d v="2023-01-17T00:00:00"/>
        <d v="2023-01-19T00:00:00"/>
        <d v="2022-02-25T00:00:00"/>
        <d v="2023-01-23T00:00:00"/>
        <d v="2022-07-29T00:00:00"/>
        <d v="2023-01-26T00:00:00"/>
        <d v="2022-08-03T00:00:00"/>
        <d v="2023-01-30T00:00:00"/>
        <d v="2023-01-31T00:00:00"/>
        <d v="2023-02-02T00:00:00"/>
        <d v="2022-08-07T00:00:00"/>
        <d v="2022-08-08T00:00:00"/>
        <d v="2023-02-06T00:00:00"/>
        <d v="2023-02-09T00:00:00"/>
        <d v="2022-08-14T00:00:00"/>
        <d v="2022-03-18T00:00:00"/>
        <d v="2022-08-15T00:00:00"/>
        <d v="2022-08-17T00:00:00"/>
        <d v="2023-02-18T00:00:00"/>
        <d v="2023-02-19T00:00:00"/>
        <d v="2023-02-20T00:00:00"/>
        <d v="2022-03-28T00:00:00"/>
        <d v="2022-03-29T00:00:00"/>
        <d v="2023-02-27T00:00:00"/>
        <d v="2022-09-02T00:00:00"/>
        <d v="2023-03-03T00:00:00"/>
        <d v="2023-03-06T00:00:00"/>
        <d v="2023-03-07T00:00:00"/>
        <d v="2023-03-08T00:00:00"/>
        <d v="2022-09-11T00:00:00"/>
        <d v="2023-03-10T00:00:00"/>
        <d v="2022-09-12T00:00:00"/>
        <d v="2023-03-13T00:00:00"/>
        <d v="2023-03-17T00:00:00"/>
        <d v="2023-03-19T00:00:00"/>
        <d v="2022-09-21T00:00:00"/>
        <d v="2023-03-21T00:00:00"/>
        <d v="2023-03-23T00:00:00"/>
        <d v="2022-09-27T00:00:00"/>
        <d v="2023-03-27T00:00:00"/>
        <d v="2023-03-28T00:00:00"/>
        <d v="2022-10-01T00:00:00"/>
        <d v="2023-03-31T00:00:00"/>
        <d v="2022-05-06T00:00:00"/>
        <d v="2023-04-02T00:00:00"/>
        <d v="2023-04-06T00:00:00"/>
        <d v="2022-10-11T00:00:00"/>
        <d v="2023-04-13T00:00:00"/>
        <d v="2022-05-19T00:00:00"/>
        <d v="2022-10-18T00:00:00"/>
        <d v="2022-05-22T00:00:00"/>
        <d v="2022-10-20T00:00:00"/>
        <d v="2022-05-24T00:00:00"/>
        <d v="2023-04-19T00:00:00"/>
        <d v="2023-04-21T00:00:00"/>
        <d v="2023-04-24T00:00:00"/>
        <d v="2023-04-25T00:00:00"/>
        <d v="2023-04-26T00:00:00"/>
        <d v="2022-10-30T00:00:00"/>
        <d v="2023-05-02T00:00:00"/>
        <d v="2022-11-04T00:00:00"/>
        <d v="2023-05-03T00:00:00"/>
        <d v="2023-05-05T00:00:00"/>
        <d v="2022-06-12T00:00:00"/>
        <d v="2023-05-11T00:00:00"/>
        <d v="2023-05-12T00:00:00"/>
        <d v="2023-05-14T00:00:00"/>
        <d v="2023-05-16T00:00:00"/>
        <d v="2023-05-17T00:00:00"/>
        <d v="2022-11-19T00:00:00"/>
        <d v="2022-11-20T00:00:00"/>
        <d v="2022-06-24T00:00:00"/>
        <d v="2023-05-22T00:00:00"/>
        <d v="2022-11-24T00:00:00"/>
        <d v="2023-05-26T00:00:00"/>
        <d v="2023-05-27T00:00:00"/>
        <d v="2022-07-02T00:00:00"/>
        <d v="2023-05-30T00:00:00"/>
        <d v="2022-12-03T00:00:00"/>
        <d v="2023-06-03T00:00:00"/>
        <d v="2022-12-07T00:00:00"/>
        <d v="2023-06-05T00:00:00"/>
        <d v="2023-06-07T00:00:00"/>
        <d v="2022-12-12T00:00:00"/>
        <d v="2022-07-16T00:00:00"/>
        <d v="2023-06-11T00:00:00"/>
        <d v="2022-12-14T00:00:00"/>
        <d v="2023-06-12T00:00:00"/>
        <d v="2023-06-14T00:00:00"/>
        <d v="2022-07-21T00:00:00"/>
        <d v="2023-06-22T00:00:00"/>
        <d v="2023-06-24T00:00:00"/>
        <d v="2022-07-31T00:00:00"/>
        <d v="2023-06-26T00:00:00"/>
        <d v="2022-08-01T00:00:00"/>
        <d v="2022-12-31T00:00:00"/>
        <d v="2023-01-01T00:00:00"/>
        <d v="2022-08-05T00:00:00"/>
        <d v="2023-01-02T00:00:00"/>
        <d v="2023-01-03T00:00:00"/>
        <d v="2023-07-02T00:00:00"/>
        <d v="2023-07-03T00:00:00"/>
        <d v="2023-07-04T00:00:00"/>
        <d v="2023-07-05T00:00:00"/>
        <d v="2023-07-07T00:00:00"/>
        <d v="2022-08-12T00:00:00"/>
        <d v="2023-07-08T00:00:00"/>
        <d v="2022-08-16T00:00:00"/>
        <d v="2023-07-14T00:00:00"/>
        <d v="2023-01-16T00:00:00"/>
        <d v="2023-07-16T00:00:00"/>
        <d v="2023-01-18T00:00:00"/>
        <d v="2023-07-17T00:00:00"/>
        <d v="2023-07-18T00:00:00"/>
        <d v="2023-01-21T00:00:00"/>
        <d v="2022-08-26T00:00:00"/>
        <d v="2023-07-22T00:00:00"/>
        <d v="2023-07-23T00:00:00"/>
        <d v="2023-07-25T00:00:00"/>
        <d v="2023-02-01T00:00:00"/>
        <d v="2023-07-31T00:00:00"/>
        <d v="2022-09-05T00:00:00"/>
        <d v="2023-08-01T00:00:00"/>
        <d v="2023-08-04T00:00:00"/>
        <d v="2023-08-05T00:00:00"/>
        <d v="2023-08-06T00:00:00"/>
        <d v="2023-08-07T00:00:00"/>
        <d v="2023-08-09T00:00:00"/>
        <d v="2023-02-15T00:00:00"/>
        <d v="2023-08-14T00:00:00"/>
        <d v="2023-08-15T00:00:00"/>
        <d v="2023-08-17T00:00:00"/>
        <d v="2023-08-18T00:00:00"/>
        <d v="2022-09-24T00:00:00"/>
        <d v="2023-02-21T00:00:00"/>
        <d v="2023-08-23T00:00:00"/>
        <d v="2023-08-26T00:00:00"/>
        <d v="2023-08-27T00:00:00"/>
        <d v="2023-08-28T00:00:00"/>
        <d v="2023-08-29T00:00:00"/>
        <d v="2023-09-02T00:00:00"/>
        <d v="2023-09-03T00:00:00"/>
        <d v="2023-09-04T00:00:00"/>
        <d v="2023-09-06T00:00:00"/>
        <d v="2023-09-07T00:00:00"/>
        <d v="2022-10-14T00:00:00"/>
        <d v="2023-09-09T00:00:00"/>
        <d v="2022-10-15T00:00:00"/>
        <d v="2023-09-10T00:00:00"/>
        <d v="2023-09-13T00:00:00"/>
        <d v="2023-09-15T00:00:00"/>
        <d v="2023-09-16T00:00:00"/>
        <d v="2023-09-17T00:00:00"/>
        <d v="2022-10-23T00:00:00"/>
        <d v="2022-10-25T00:00:00"/>
        <d v="2023-09-24T00:00:00"/>
        <d v="2023-09-25T00:00:00"/>
        <d v="2023-09-26T00:00:00"/>
        <d v="2023-04-01T00:00:00"/>
        <d v="2023-09-28T00:00:00"/>
        <d v="2023-09-30T00:00:00"/>
        <d v="2023-04-05T00:00:00"/>
        <d v="2023-10-05T00:00:00"/>
        <d v="2023-04-09T00:00:00"/>
        <d v="2023-10-06T00:00:00"/>
        <d v="2023-04-10T00:00:00"/>
        <d v="2023-10-08T00:00:00"/>
        <d v="2023-10-09T00:00:00"/>
        <d v="2022-11-15T00:00:00"/>
        <d v="2023-10-12T00:00:00"/>
        <d v="2022-11-18T00:00:00"/>
        <d v="2023-10-16T00:00:00"/>
        <d v="2022-11-21T00:00:00"/>
        <d v="2023-10-17T00:00:00"/>
        <d v="2022-11-22T00:00:00"/>
        <d v="2023-10-19T00:00:00"/>
        <d v="2022-11-26T00:00:00"/>
        <d v="2023-04-27T00:00:00"/>
        <d v="2023-10-25T00:00:00"/>
        <d v="2023-10-27T00:00:00"/>
        <d v="2023-10-28T00:00:00"/>
        <d v="2022-12-05T00:00:00"/>
        <d v="2023-10-31T00:00:00"/>
        <d v="2023-11-02T00:00:00"/>
        <d v="2023-11-03T00:00:00"/>
        <d v="2023-05-08T00:00:00"/>
        <d v="2023-11-05T00:00:00"/>
        <d v="2023-11-06T00:00:00"/>
        <d v="2023-11-09T00:00:00"/>
        <d v="2023-11-12T00:00:00"/>
        <d v="2022-12-19T00:00:00"/>
        <d v="2023-11-16T00:00:00"/>
        <d v="2023-11-17T00:00:00"/>
        <d v="2023-11-19T00:00:00"/>
        <d v="2022-12-25T00:00:00"/>
        <d v="2023-11-20T00:00:00"/>
        <d v="2023-11-22T00:00:00"/>
        <d v="2023-11-24T00:00:00"/>
        <d v="2023-05-29T00:00:00"/>
        <d v="2023-11-27T00:00:00"/>
        <d v="2023-11-28T00:00:00"/>
        <d v="2023-01-04T00:00:00"/>
        <d v="2023-11-30T00:00:00"/>
        <d v="2023-06-04T00:00:00"/>
        <d v="2023-12-05T00:00:00"/>
        <d v="2023-12-06T00:00:00"/>
        <d v="2023-12-07T00:00:00"/>
        <d v="2023-12-09T00:00:00"/>
        <d v="2023-06-13T00:00:00"/>
        <d v="2023-12-10T00:00:00"/>
        <d v="2023-12-11T00:00:00"/>
        <d v="2023-06-15T00:00:00"/>
        <d v="2023-12-12T00:00:00"/>
        <d v="2023-12-14T00:00:00"/>
        <d v="2023-12-15T00:00:00"/>
        <d v="2023-12-16T00:00:00"/>
        <d v="2023-06-20T00:00:00"/>
        <d v="2023-12-18T00:00:00"/>
        <d v="2023-12-19T00:00:00"/>
        <d v="2023-06-23T00:00:00"/>
        <d v="2023-12-21T00:00:00"/>
        <d v="2023-12-23T00:00:00"/>
        <d v="2023-12-25T00:00:00"/>
        <d v="2023-12-26T00:00:00"/>
        <d v="2024-01-02T00:00:00"/>
        <d v="2024-01-10T00:00:00"/>
        <d v="2024-01-12T00:00:00"/>
        <d v="2023-02-17T00:00:00"/>
        <d v="2024-01-13T00:00:00"/>
        <d v="2024-01-20T00:00:00"/>
        <d v="2023-07-26T00:00:00"/>
        <d v="2023-07-28T00:00:00"/>
        <d v="2024-01-24T00:00:00"/>
        <d v="2024-01-25T00:00:00"/>
        <d v="2024-01-29T00:00:00"/>
        <d v="2024-01-30T00:00:00"/>
        <d v="2024-02-01T00:00:00"/>
        <d v="2023-03-09T00:00:00"/>
        <d v="2024-02-02T00:00:00"/>
        <d v="2024-02-05T00:00:00"/>
        <d v="2023-03-15T00:00:00"/>
        <d v="2024-02-08T00:00:00"/>
        <d v="2024-02-09T00:00:00"/>
        <d v="2024-02-10T00:00:00"/>
        <d v="2024-02-15T00:00:00"/>
        <d v="2023-08-20T00:00:00"/>
        <d v="2023-03-24T00:00:00"/>
        <d v="2024-02-21T00:00:00"/>
        <d v="2024-02-23T00:00:00"/>
        <d v="2024-02-25T00:00:00"/>
        <d v="2024-02-27T00:00:00"/>
        <d v="2023-04-04T00:00:00"/>
        <d v="2024-02-29T00:00:00"/>
        <d v="2024-03-01T00:00:00"/>
        <d v="2023-04-08T00:00:00"/>
        <d v="2024-03-05T00:00:00"/>
        <d v="2024-03-06T00:00:00"/>
        <d v="2024-03-07T00:00:00"/>
        <d v="2024-03-09T00:00:00"/>
        <d v="2023-09-12T00:00:00"/>
        <d v="2024-03-14T00:00:00"/>
        <d v="2023-09-20T00:00:00"/>
        <d v="2023-09-21T00:00:00"/>
        <d v="2024-03-21T00:00:00"/>
        <d v="2023-04-28T00:00:00"/>
        <d v="2024-03-23T00:00:00"/>
        <d v="2023-04-30T00:00:00"/>
        <d v="2023-05-06T00:00:00"/>
        <d v="2023-10-03T00:00:00"/>
        <d v="2024-03-31T00:00:00"/>
        <d v="2023-05-07T00:00:00"/>
        <d v="2024-04-02T00:00:00"/>
        <d v="2023-10-07T00:00:00"/>
        <d v="2024-04-04T00:00:00"/>
        <d v="2024-04-05T00:00:00"/>
        <d v="2024-04-07T00:00:00"/>
        <d v="2024-04-08T00:00:00"/>
        <d v="2023-05-18T00:00:00"/>
        <d v="2023-10-15T00:00:00"/>
        <d v="2024-04-14T00:00:00"/>
        <d v="2023-10-18T00:00:00"/>
        <d v="2024-04-16T00:00:00"/>
        <d v="2024-04-18T00:00:00"/>
        <d v="2024-04-19T00:00:00"/>
        <d v="2024-04-20T00:00:00"/>
        <d v="2023-10-24T00:00:00"/>
        <d v="2024-04-22T00:00:00"/>
        <d v="2024-04-23T00:00:00"/>
        <d v="2024-04-28T00:00:00"/>
        <d v="2024-04-29T00:00:00"/>
        <d v="2023-06-06T00:00:00"/>
        <d v="2024-05-01T00:00:00"/>
        <d v="2024-05-03T00:00:00"/>
        <d v="2024-05-04T00:00:00"/>
        <d v="2023-06-10T00:00:00"/>
        <d v="2024-05-08T00:00:00"/>
        <d v="2023-11-11T00:00:00"/>
        <d v="2024-05-10T00:00:00"/>
        <d v="2024-05-12T00:00:00"/>
        <d v="2023-06-19T00:00:00"/>
        <d v="2024-05-18T00:00:00"/>
        <d v="2024-05-20T00:00:00"/>
        <d v="2024-05-21T00:00:00"/>
        <d v="2024-05-25T00:00:00"/>
        <d v="2024-05-30T00:00:00"/>
        <d v="2023-07-10T00:00:00"/>
        <d v="2024-06-04T00:00:00"/>
        <d v="2023-07-11T00:00:00"/>
        <d v="2024-06-06T00:00:00"/>
        <d v="2023-07-13T00:00:00"/>
        <d v="2024-06-09T00:00:00"/>
        <d v="2024-06-10T00:00:00"/>
        <d v="2024-06-11T00:00:00"/>
        <d v="2024-06-12T00:00:00"/>
        <d v="2024-06-15T00:00:00"/>
        <d v="2024-06-24T00:00:00"/>
        <d v="2024-06-26T00:00:00"/>
        <d v="2024-06-29T00:00:00"/>
        <d v="2024-07-03T00:00:00"/>
        <d v="2024-07-04T00:00:00"/>
        <d v="2024-07-05T00:00:00"/>
        <d v="2023-08-12T00:00:00"/>
        <d v="2024-01-11T00:00:00"/>
        <d v="2024-07-09T00:00:00"/>
        <d v="2024-07-10T00:00:00"/>
        <d v="2024-07-11T00:00:00"/>
        <d v="2024-07-12T00:00:00"/>
        <d v="2024-01-18T00:00:00"/>
        <d v="2024-01-19T00:00:00"/>
        <d v="2024-01-21T00:00:00"/>
        <d v="2024-07-20T00:00:00"/>
        <d v="2024-07-21T00:00:00"/>
        <d v="2024-07-22T00:00:00"/>
        <d v="2024-07-24T00:00:00"/>
        <d v="2024-07-26T00:00:00"/>
        <d v="2023-09-01T00:00:00"/>
        <d v="2024-07-28T00:00:00"/>
        <d v="2024-07-29T00:00:00"/>
        <d v="2024-07-30T00:00:00"/>
        <d v="2024-08-04T00:00:00"/>
        <d v="2024-08-06T00:00:00"/>
        <d v="2024-02-11T00:00:00"/>
        <d v="2024-08-09T00:00:00"/>
        <d v="2024-02-16T00:00:00"/>
        <d v="2024-02-18T00:00:00"/>
        <d v="2024-08-16T00:00:00"/>
        <d v="2024-08-17T00:00:00"/>
        <d v="2024-08-19T00:00:00"/>
        <d v="2024-08-21T00:00:00"/>
        <d v="2024-08-23T00:00:00"/>
        <d v="2024-02-26T00:00:00"/>
        <d v="2024-08-26T00:00:00"/>
        <d v="2024-08-31T00:00:00"/>
        <d v="2024-09-04T00:00:00"/>
        <d v="2024-09-08T00:00:00"/>
        <d v="2024-09-11T00:00:00"/>
        <d v="2024-03-17T00:00:00"/>
        <d v="2024-09-13T00:00:00"/>
        <d v="2023-10-22T00:00:00"/>
        <d v="2024-09-17T00:00:00"/>
        <d v="2024-09-18T00:00:00"/>
        <d v="2024-09-22T00:00:00"/>
        <d v="2024-03-27T00:00:00"/>
        <d v="2024-09-23T00:00:00"/>
        <d v="2023-10-30T00:00:00"/>
        <d v="2024-03-29T00:00:00"/>
        <d v="2024-09-26T00:00:00"/>
        <d v="2024-09-29T00:00:00"/>
        <d v="2024-09-30T00:00:00"/>
        <d v="2023-11-08T00:00:00"/>
        <d v="2024-10-04T00:00:00"/>
        <d v="2024-10-06T00:00:00"/>
        <d v="2024-10-08T00:00:00"/>
        <d v="2024-10-10T00:00:00"/>
        <d v="2024-10-13T00:00:00"/>
        <d v="2024-10-14T00:00:00"/>
        <d v="2024-10-15T00:00:00"/>
        <d v="2023-11-21T00:00:00"/>
        <d v="2024-10-16T00:00:00"/>
        <d v="2024-10-17T00:00:00"/>
        <d v="2024-10-21T00:00:00"/>
        <d v="2024-10-23T00:00:00"/>
        <d v="2024-04-27T00:00:00"/>
        <d v="2024-10-24T00:00:00"/>
        <d v="2024-10-25T00:00:00"/>
        <d v="2023-12-01T00:00:00"/>
        <d v="2024-10-31T00:00:00"/>
        <d v="2024-11-01T00:00:00"/>
        <d v="2024-11-06T00:00:00"/>
        <d v="2024-11-08T00:00:00"/>
        <d v="2024-11-11T00:00:00"/>
        <d v="2024-05-17T00:00:00"/>
        <d v="2024-11-13T00:00:00"/>
        <d v="2024-05-19T00:00:00"/>
        <d v="2024-11-17T00:00:00"/>
        <d v="2024-11-18T00:00:00"/>
        <d v="2024-05-24T00:00:00"/>
        <d v="2024-05-26T00:00:00"/>
        <d v="2023-12-29T00:00:00"/>
        <d v="2024-11-23T00:00:00"/>
        <d v="2024-05-29T00:00:00"/>
        <d v="2024-11-26T00:00:00"/>
        <d v="2024-11-27T00:00:00"/>
        <d v="2024-11-28T00:00:00"/>
        <d v="2024-12-05T00:00:00"/>
        <d v="2024-12-08T00:00:00"/>
        <d v="2024-12-09T00:00:00"/>
        <d v="2024-12-10T00:00:00"/>
        <d v="2024-12-11T00:00:00"/>
        <d v="2024-12-13T00:00:00"/>
        <d v="2024-12-14T00:00:00"/>
        <d v="2024-06-19T00:00:00"/>
        <d v="2024-12-18T00:00:00"/>
        <d v="2024-12-20T00:00:00"/>
        <d v="2024-12-23T00:00:00"/>
        <d v="2024-12-25T00:00:00"/>
      </sharedItems>
      <fieldGroup par="36"/>
    </cacheField>
    <cacheField name="DurationDays" numFmtId="0">
      <sharedItems containsSemiMixedTypes="0" containsString="0" containsNumber="1" containsInteger="1" minValue="690" maxValue="1419"/>
    </cacheField>
    <cacheField name="MonthsPaid" numFmtId="0">
      <sharedItems containsSemiMixedTypes="0" containsString="0" containsNumber="1" containsInteger="1" minValue="1" maxValue="48" count="28">
        <n v="6"/>
        <n v="12"/>
        <n v="48"/>
        <n v="1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</sharedItems>
    </cacheField>
    <cacheField name="SubType" numFmtId="0">
      <sharedItems count="3">
        <s v="6-Month"/>
        <s v="12-Month"/>
        <s v="Monthly"/>
      </sharedItems>
    </cacheField>
    <cacheField name="Tier" numFmtId="0">
      <sharedItems count="3">
        <s v="Standard"/>
        <s v="Premium"/>
        <s v="Basic"/>
      </sharedItems>
    </cacheField>
    <cacheField name="Monthly" numFmtId="166">
      <sharedItems containsSemiMixedTypes="0" containsString="0" containsNumber="1" containsInteger="1" minValue="10" maxValue="25"/>
    </cacheField>
    <cacheField name="Discounted" numFmtId="166">
      <sharedItems containsSemiMixedTypes="0" containsString="0" containsNumber="1" minValue="6" maxValue="25"/>
    </cacheField>
    <cacheField name="TotalRevenue" numFmtId="166">
      <sharedItems containsSemiMixedTypes="0" containsString="0" containsNumber="1" minValue="0" maxValue="1097.5"/>
    </cacheField>
    <cacheField name="AgeGroup" numFmtId="0">
      <sharedItems count="8">
        <s v="Mature Adult"/>
        <s v="Young Adult"/>
        <s v="Adult"/>
        <s v="Senior"/>
        <s v="Elderly"/>
        <s v="Adults" u="1"/>
        <s v="Seniors" u="1"/>
        <s v="Juniors" u="1"/>
      </sharedItems>
    </cacheField>
    <cacheField name="Region" numFmtId="0">
      <sharedItems count="4">
        <s v="Scotland"/>
        <s v="Northern Ireland"/>
        <s v="England"/>
        <s v="Wales"/>
      </sharedItems>
    </cacheField>
    <cacheField name="ReferralSource" numFmtId="0">
      <sharedItems/>
    </cacheField>
    <cacheField name="CancellationReason" numFmtId="0">
      <sharedItems containsBlank="1" count="6">
        <s v="Poor Experience"/>
        <s v="Switched Service"/>
        <m/>
        <s v="Other"/>
        <s v="No Longer Needed"/>
        <s v="Too Expensive"/>
      </sharedItems>
    </cacheField>
    <cacheField name="RevenueCategory" numFmtId="0">
      <sharedItems/>
    </cacheField>
    <cacheField name="AgeBracket" numFmtId="0">
      <sharedItems count="5">
        <s v="Adult"/>
        <s v="Young Adult"/>
        <s v="Mature Adult"/>
        <s v="Elderly"/>
        <s v="Teenager"/>
      </sharedItems>
    </cacheField>
    <cacheField name="ChurnStatus" numFmtId="0">
      <sharedItems count="2">
        <s v="Cancelled"/>
        <s v="Active"/>
      </sharedItems>
    </cacheField>
    <cacheField name="LifetimeValue" numFmtId="166">
      <sharedItems containsSemiMixedTypes="0" containsString="0" containsNumber="1" minValue="0" maxValue="1122.5"/>
    </cacheField>
    <cacheField name="CancellationDate" numFmtId="165">
      <sharedItems containsNonDate="0" containsDate="1" containsString="0" containsBlank="1" minDate="2022-02-07T00:00:00" maxDate="2024-12-26T00:00:00"/>
    </cacheField>
    <cacheField name="NextBillingDate" numFmtId="165">
      <sharedItems containsNonDate="0" containsDate="1" containsString="0" containsBlank="1" minDate="2025-11-20T00:00:00" maxDate="2026-11-07T00:00:00"/>
    </cacheField>
    <cacheField name="ContractEndDate" numFmtId="165">
      <sharedItems containsSemiMixedTypes="0" containsNonDate="0" containsDate="1" containsString="0" minDate="2022-02-07T00:00:00" maxDate="2026-11-07T00:00:00"/>
    </cacheField>
    <cacheField name="RenewalCount" numFmtId="0">
      <sharedItems containsSemiMixedTypes="0" containsString="0" containsNumber="1" containsInteger="1" minValue="0" maxValue="45"/>
    </cacheField>
    <cacheField name="EffectiveEndDate" numFmtId="165">
      <sharedItems containsSemiMixedTypes="0" containsNonDate="0" containsDate="1" containsString="0" minDate="2022-02-07T00:00:00" maxDate="2025-11-21T00:00:00"/>
    </cacheField>
    <cacheField name="ActiveFlagToday" numFmtId="1">
      <sharedItems containsSemiMixedTypes="0" containsString="0" containsNumber="1" containsInteger="1" minValue="0" maxValue="1"/>
    </cacheField>
    <cacheField name="ActiveOn_AsOfDate1" numFmtId="1">
      <sharedItems containsSemiMixedTypes="0" containsString="0" containsNumber="1" containsInteger="1" minValue="0" maxValue="1"/>
    </cacheField>
    <cacheField name="ActiveOn_AsOfDate2" numFmtId="1">
      <sharedItems containsSemiMixedTypes="0" containsString="0" containsNumber="1" containsInteger="1" minValue="0" maxValue="1"/>
    </cacheField>
    <cacheField name="ActiveOn_AsOfDate3" numFmtId="1">
      <sharedItems containsSemiMixedTypes="0" containsString="0" containsNumber="1" containsInteger="1" minValue="0" maxValue="1"/>
    </cacheField>
    <cacheField name="ActiveOn_AsOfDate4" numFmtId="1">
      <sharedItems containsSemiMixedTypes="0" containsString="0" containsNumber="1" containsInteger="1" minValue="0" maxValue="1"/>
    </cacheField>
    <cacheField name="ActiveOn_AsOfDate5" numFmtId="1">
      <sharedItems containsSemiMixedTypes="0" containsString="0" containsNumber="1" containsInteger="1" minValue="0" maxValue="1"/>
    </cacheField>
    <cacheField name="Months (SubscriptionStart)" numFmtId="0" databaseField="0">
      <fieldGroup base="3">
        <rangePr groupBy="months" startDate="2022-01-01T00:00:00" endDate="2024-01-01T00:00:00"/>
        <groupItems count="14">
          <s v="&lt;01/0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4"/>
        </groupItems>
      </fieldGroup>
    </cacheField>
    <cacheField name="Quarters (SubscriptionStart)" numFmtId="0" databaseField="0">
      <fieldGroup base="3">
        <rangePr groupBy="quarters" startDate="2022-01-01T00:00:00" endDate="2024-01-01T00:00:00"/>
        <groupItems count="6">
          <s v="&lt;01/01/2022"/>
          <s v="Qtr1"/>
          <s v="Qtr2"/>
          <s v="Qtr3"/>
          <s v="Qtr4"/>
          <s v="&gt;01/01/2024"/>
        </groupItems>
      </fieldGroup>
    </cacheField>
    <cacheField name="Years (SubscriptionStart)" numFmtId="0" databaseField="0">
      <fieldGroup base="3">
        <rangePr groupBy="years" startDate="2022-01-01T00:00:00" endDate="2024-01-01T00:00:00"/>
        <groupItems count="5">
          <s v="&lt;01/01/2022"/>
          <s v="2022"/>
          <s v="2023"/>
          <s v="2024"/>
          <s v="&gt;01/01/2024"/>
        </groupItems>
      </fieldGroup>
    </cacheField>
    <cacheField name="Months (SubscriptionEnd)" numFmtId="0" databaseField="0">
      <fieldGroup base="4">
        <rangePr groupBy="months" startDate="2022-02-07T00:00:00" endDate="2024-12-26T00:00:00"/>
        <groupItems count="14">
          <s v="&lt;07/02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/12/2024"/>
        </groupItems>
      </fieldGroup>
    </cacheField>
    <cacheField name="Quarters (SubscriptionEnd)" numFmtId="0" databaseField="0">
      <fieldGroup base="4">
        <rangePr groupBy="quarters" startDate="2022-02-07T00:00:00" endDate="2024-12-26T00:00:00"/>
        <groupItems count="6">
          <s v="&lt;07/02/2022"/>
          <s v="Qtr1"/>
          <s v="Qtr2"/>
          <s v="Qtr3"/>
          <s v="Qtr4"/>
          <s v="&gt;26/12/2024"/>
        </groupItems>
      </fieldGroup>
    </cacheField>
    <cacheField name="Years (SubscriptionEnd)" numFmtId="0" databaseField="0">
      <fieldGroup base="4">
        <rangePr groupBy="years" startDate="2022-02-07T00:00:00" endDate="2024-12-26T00:00:00"/>
        <groupItems count="5">
          <s v="&lt;07/02/2022"/>
          <s v="2022"/>
          <s v="2023"/>
          <s v="2024"/>
          <s v="&gt;26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x v="0"/>
    <n v="50"/>
    <x v="0"/>
    <x v="0"/>
    <x v="0"/>
    <n v="1419"/>
    <x v="0"/>
    <x v="0"/>
    <x v="0"/>
    <n v="18"/>
    <n v="12.15"/>
    <n v="72.900000000000006"/>
    <x v="0"/>
    <x v="0"/>
    <s v="None"/>
    <x v="0"/>
    <s v="Low"/>
    <x v="0"/>
    <x v="0"/>
    <n v="72.900000000000006"/>
    <d v="2022-06-30T00:00:00"/>
    <m/>
    <d v="2022-06-30T00:00:00"/>
    <n v="0"/>
    <d v="2022-06-30T00:00:00"/>
    <n v="0"/>
    <n v="1"/>
    <n v="1"/>
    <n v="0"/>
    <n v="0"/>
    <n v="0"/>
  </r>
  <r>
    <x v="1"/>
    <n v="19"/>
    <x v="0"/>
    <x v="0"/>
    <x v="1"/>
    <n v="1419"/>
    <x v="1"/>
    <x v="1"/>
    <x v="0"/>
    <n v="18"/>
    <n v="10.8"/>
    <n v="129.6"/>
    <x v="1"/>
    <x v="1"/>
    <s v="Search Engine"/>
    <x v="1"/>
    <s v="Medium"/>
    <x v="1"/>
    <x v="0"/>
    <n v="129.6"/>
    <d v="2022-12-27T00:00:00"/>
    <m/>
    <d v="2022-12-27T00:00:00"/>
    <n v="0"/>
    <d v="2022-12-27T00:00:00"/>
    <n v="0"/>
    <n v="1"/>
    <n v="1"/>
    <n v="0"/>
    <n v="0"/>
    <n v="0"/>
  </r>
  <r>
    <x v="2"/>
    <n v="43"/>
    <x v="1"/>
    <x v="0"/>
    <x v="2"/>
    <n v="1419"/>
    <x v="2"/>
    <x v="0"/>
    <x v="0"/>
    <n v="18"/>
    <n v="13.5"/>
    <n v="631.79999999999995"/>
    <x v="2"/>
    <x v="2"/>
    <s v="Friend"/>
    <x v="2"/>
    <s v="Very High"/>
    <x v="0"/>
    <x v="1"/>
    <n v="712.8"/>
    <m/>
    <d v="2025-12-11T00:00:00"/>
    <d v="2025-12-11T00:00:00"/>
    <n v="7"/>
    <d v="2025-11-20T00:00:00"/>
    <n v="1"/>
    <n v="1"/>
    <n v="1"/>
    <n v="1"/>
    <n v="1"/>
    <n v="1"/>
  </r>
  <r>
    <x v="3"/>
    <n v="30"/>
    <x v="1"/>
    <x v="1"/>
    <x v="3"/>
    <n v="1418"/>
    <x v="1"/>
    <x v="1"/>
    <x v="1"/>
    <n v="25"/>
    <n v="14.999999999999998"/>
    <n v="180"/>
    <x v="2"/>
    <x v="1"/>
    <s v="Email Campaign"/>
    <x v="1"/>
    <s v="Medium"/>
    <x v="0"/>
    <x v="0"/>
    <n v="180"/>
    <d v="2022-12-28T00:00:00"/>
    <m/>
    <d v="2022-12-28T00:00:00"/>
    <n v="0"/>
    <d v="2022-12-28T00:00:00"/>
    <n v="0"/>
    <n v="0"/>
    <n v="1"/>
    <n v="0"/>
    <n v="0"/>
    <n v="0"/>
  </r>
  <r>
    <x v="4"/>
    <n v="38"/>
    <x v="1"/>
    <x v="2"/>
    <x v="4"/>
    <n v="1414"/>
    <x v="0"/>
    <x v="0"/>
    <x v="1"/>
    <n v="25"/>
    <n v="16.875"/>
    <n v="101.25"/>
    <x v="2"/>
    <x v="3"/>
    <s v="None"/>
    <x v="3"/>
    <s v="Medium"/>
    <x v="0"/>
    <x v="0"/>
    <n v="101.25"/>
    <d v="2022-07-05T00:00:00"/>
    <m/>
    <d v="2022-07-05T00:00:00"/>
    <n v="0"/>
    <d v="2022-07-05T00:00:00"/>
    <n v="0"/>
    <n v="0"/>
    <n v="1"/>
    <n v="0"/>
    <n v="0"/>
    <n v="0"/>
  </r>
  <r>
    <x v="5"/>
    <n v="30"/>
    <x v="1"/>
    <x v="3"/>
    <x v="5"/>
    <n v="1412"/>
    <x v="3"/>
    <x v="2"/>
    <x v="0"/>
    <n v="18"/>
    <n v="16.2"/>
    <n v="0"/>
    <x v="2"/>
    <x v="2"/>
    <s v="Friend"/>
    <x v="4"/>
    <s v="Low"/>
    <x v="0"/>
    <x v="0"/>
    <n v="0"/>
    <d v="2022-02-07T00:00:00"/>
    <m/>
    <d v="2022-02-07T00:00:00"/>
    <n v="0"/>
    <d v="2022-02-07T00:00:00"/>
    <n v="0"/>
    <n v="0"/>
    <n v="0"/>
    <n v="0"/>
    <n v="0"/>
    <n v="0"/>
  </r>
  <r>
    <x v="6"/>
    <n v="43"/>
    <x v="0"/>
    <x v="3"/>
    <x v="2"/>
    <n v="1412"/>
    <x v="2"/>
    <x v="0"/>
    <x v="2"/>
    <n v="10"/>
    <n v="7.5"/>
    <n v="351"/>
    <x v="2"/>
    <x v="1"/>
    <s v="Email Campaign"/>
    <x v="2"/>
    <s v="High"/>
    <x v="0"/>
    <x v="1"/>
    <n v="396"/>
    <m/>
    <d v="2025-12-18T00:00:00"/>
    <d v="2025-12-18T00:00:00"/>
    <n v="7"/>
    <d v="2025-11-20T00:00:00"/>
    <n v="1"/>
    <n v="0"/>
    <n v="1"/>
    <n v="1"/>
    <n v="1"/>
    <n v="1"/>
  </r>
  <r>
    <x v="7"/>
    <n v="30"/>
    <x v="0"/>
    <x v="4"/>
    <x v="6"/>
    <n v="1411"/>
    <x v="3"/>
    <x v="2"/>
    <x v="2"/>
    <n v="10"/>
    <n v="9"/>
    <n v="0"/>
    <x v="2"/>
    <x v="0"/>
    <s v="Social Media"/>
    <x v="3"/>
    <s v="Low"/>
    <x v="0"/>
    <x v="0"/>
    <n v="0"/>
    <d v="2022-02-08T00:00:00"/>
    <m/>
    <d v="2022-02-08T00:00:00"/>
    <n v="0"/>
    <d v="2022-02-08T00:00:00"/>
    <n v="0"/>
    <n v="0"/>
    <n v="0"/>
    <n v="0"/>
    <n v="0"/>
    <n v="0"/>
  </r>
  <r>
    <x v="8"/>
    <n v="46"/>
    <x v="0"/>
    <x v="4"/>
    <x v="2"/>
    <n v="1411"/>
    <x v="2"/>
    <x v="0"/>
    <x v="0"/>
    <n v="18"/>
    <n v="13.5"/>
    <n v="631.79999999999995"/>
    <x v="2"/>
    <x v="0"/>
    <s v="Social Media"/>
    <x v="2"/>
    <s v="Very High"/>
    <x v="0"/>
    <x v="1"/>
    <n v="712.8"/>
    <m/>
    <d v="2025-12-19T00:00:00"/>
    <d v="2025-12-19T00:00:00"/>
    <n v="7"/>
    <d v="2025-11-20T00:00:00"/>
    <n v="1"/>
    <n v="0"/>
    <n v="1"/>
    <n v="1"/>
    <n v="1"/>
    <n v="1"/>
  </r>
  <r>
    <x v="9"/>
    <n v="30"/>
    <x v="1"/>
    <x v="5"/>
    <x v="7"/>
    <n v="1408"/>
    <x v="1"/>
    <x v="1"/>
    <x v="2"/>
    <n v="10"/>
    <n v="6"/>
    <n v="72"/>
    <x v="2"/>
    <x v="3"/>
    <s v="Friend"/>
    <x v="5"/>
    <s v="Low"/>
    <x v="0"/>
    <x v="0"/>
    <n v="72"/>
    <d v="2023-01-07T00:00:00"/>
    <m/>
    <d v="2023-01-07T00:00:00"/>
    <n v="0"/>
    <d v="2023-01-07T00:00:00"/>
    <n v="0"/>
    <n v="0"/>
    <n v="1"/>
    <n v="1"/>
    <n v="0"/>
    <n v="0"/>
  </r>
  <r>
    <x v="10"/>
    <n v="45"/>
    <x v="1"/>
    <x v="6"/>
    <x v="8"/>
    <n v="1405"/>
    <x v="3"/>
    <x v="2"/>
    <x v="0"/>
    <n v="18"/>
    <n v="16.2"/>
    <n v="0"/>
    <x v="2"/>
    <x v="3"/>
    <s v="None"/>
    <x v="4"/>
    <s v="Low"/>
    <x v="0"/>
    <x v="0"/>
    <n v="0"/>
    <d v="2022-02-14T00:00:00"/>
    <m/>
    <d v="2022-02-14T00:00:00"/>
    <n v="0"/>
    <d v="2022-02-14T00:00:00"/>
    <n v="0"/>
    <n v="0"/>
    <n v="0"/>
    <n v="0"/>
    <n v="0"/>
    <n v="0"/>
  </r>
  <r>
    <x v="11"/>
    <n v="19"/>
    <x v="0"/>
    <x v="7"/>
    <x v="9"/>
    <n v="1404"/>
    <x v="3"/>
    <x v="2"/>
    <x v="2"/>
    <n v="10"/>
    <n v="9"/>
    <n v="0"/>
    <x v="1"/>
    <x v="0"/>
    <s v="Social Media"/>
    <x v="0"/>
    <s v="Low"/>
    <x v="1"/>
    <x v="0"/>
    <n v="0"/>
    <d v="2022-02-15T00:00:00"/>
    <m/>
    <d v="2022-02-15T00:00:00"/>
    <n v="0"/>
    <d v="2022-02-15T00:00:00"/>
    <n v="0"/>
    <n v="0"/>
    <n v="0"/>
    <n v="0"/>
    <n v="0"/>
    <n v="0"/>
  </r>
  <r>
    <x v="12"/>
    <n v="64"/>
    <x v="0"/>
    <x v="7"/>
    <x v="10"/>
    <n v="1404"/>
    <x v="1"/>
    <x v="1"/>
    <x v="0"/>
    <n v="18"/>
    <n v="10.8"/>
    <n v="129.6"/>
    <x v="3"/>
    <x v="2"/>
    <s v="Email Campaign"/>
    <x v="1"/>
    <s v="Medium"/>
    <x v="2"/>
    <x v="0"/>
    <n v="129.6"/>
    <d v="2023-01-11T00:00:00"/>
    <m/>
    <d v="2023-01-11T00:00:00"/>
    <n v="0"/>
    <d v="2023-01-11T00:00:00"/>
    <n v="0"/>
    <n v="0"/>
    <n v="1"/>
    <n v="1"/>
    <n v="0"/>
    <n v="0"/>
  </r>
  <r>
    <x v="13"/>
    <n v="56"/>
    <x v="0"/>
    <x v="8"/>
    <x v="11"/>
    <n v="1402"/>
    <x v="3"/>
    <x v="2"/>
    <x v="1"/>
    <n v="25"/>
    <n v="22.5"/>
    <n v="0"/>
    <x v="0"/>
    <x v="1"/>
    <s v="None"/>
    <x v="3"/>
    <s v="Low"/>
    <x v="0"/>
    <x v="0"/>
    <n v="0"/>
    <d v="2022-02-17T00:00:00"/>
    <m/>
    <d v="2022-02-17T00:00:00"/>
    <n v="0"/>
    <d v="2022-02-17T00:00:00"/>
    <n v="0"/>
    <n v="0"/>
    <n v="0"/>
    <n v="0"/>
    <n v="0"/>
    <n v="0"/>
  </r>
  <r>
    <x v="14"/>
    <n v="72"/>
    <x v="1"/>
    <x v="8"/>
    <x v="12"/>
    <n v="1402"/>
    <x v="0"/>
    <x v="0"/>
    <x v="0"/>
    <n v="18"/>
    <n v="12.15"/>
    <n v="72.900000000000006"/>
    <x v="4"/>
    <x v="2"/>
    <s v="Search Engine"/>
    <x v="5"/>
    <s v="Low"/>
    <x v="3"/>
    <x v="0"/>
    <n v="72.900000000000006"/>
    <d v="2022-07-17T00:00:00"/>
    <m/>
    <d v="2022-07-17T00:00:00"/>
    <n v="0"/>
    <d v="2022-07-17T00:00:00"/>
    <n v="0"/>
    <n v="0"/>
    <n v="1"/>
    <n v="0"/>
    <n v="0"/>
    <n v="0"/>
  </r>
  <r>
    <x v="15"/>
    <n v="44"/>
    <x v="0"/>
    <x v="9"/>
    <x v="13"/>
    <n v="1401"/>
    <x v="3"/>
    <x v="2"/>
    <x v="0"/>
    <n v="18"/>
    <n v="16.2"/>
    <n v="0"/>
    <x v="2"/>
    <x v="3"/>
    <s v="Email Campaign"/>
    <x v="1"/>
    <s v="Low"/>
    <x v="0"/>
    <x v="0"/>
    <n v="0"/>
    <d v="2022-02-18T00:00:00"/>
    <m/>
    <d v="2022-02-18T00:00:00"/>
    <n v="0"/>
    <d v="2022-02-18T00:00:00"/>
    <n v="0"/>
    <n v="0"/>
    <n v="0"/>
    <n v="0"/>
    <n v="0"/>
    <n v="0"/>
  </r>
  <r>
    <x v="16"/>
    <n v="42"/>
    <x v="1"/>
    <x v="9"/>
    <x v="14"/>
    <n v="1401"/>
    <x v="1"/>
    <x v="1"/>
    <x v="1"/>
    <n v="25"/>
    <n v="14.999999999999998"/>
    <n v="180"/>
    <x v="2"/>
    <x v="2"/>
    <s v="Social Media"/>
    <x v="3"/>
    <s v="Medium"/>
    <x v="0"/>
    <x v="0"/>
    <n v="180"/>
    <d v="2023-01-14T00:00:00"/>
    <m/>
    <d v="2023-01-14T00:00:00"/>
    <n v="0"/>
    <d v="2023-01-14T00:00:00"/>
    <n v="0"/>
    <n v="0"/>
    <n v="1"/>
    <n v="1"/>
    <n v="0"/>
    <n v="0"/>
  </r>
  <r>
    <x v="17"/>
    <n v="73"/>
    <x v="1"/>
    <x v="10"/>
    <x v="15"/>
    <n v="1400"/>
    <x v="0"/>
    <x v="0"/>
    <x v="0"/>
    <n v="18"/>
    <n v="12.15"/>
    <n v="72.900000000000006"/>
    <x v="4"/>
    <x v="2"/>
    <s v="Social Media"/>
    <x v="5"/>
    <s v="Low"/>
    <x v="3"/>
    <x v="0"/>
    <n v="72.900000000000006"/>
    <d v="2022-07-19T00:00:00"/>
    <m/>
    <d v="2022-07-19T00:00:00"/>
    <n v="0"/>
    <d v="2022-07-19T00:00:00"/>
    <n v="0"/>
    <n v="0"/>
    <n v="1"/>
    <n v="0"/>
    <n v="0"/>
    <n v="0"/>
  </r>
  <r>
    <x v="18"/>
    <n v="53"/>
    <x v="1"/>
    <x v="11"/>
    <x v="16"/>
    <n v="1398"/>
    <x v="1"/>
    <x v="1"/>
    <x v="2"/>
    <n v="10"/>
    <n v="6"/>
    <n v="72"/>
    <x v="0"/>
    <x v="0"/>
    <s v="Email Campaign"/>
    <x v="5"/>
    <s v="Low"/>
    <x v="0"/>
    <x v="0"/>
    <n v="72"/>
    <d v="2023-01-17T00:00:00"/>
    <m/>
    <d v="2023-01-17T00:00:00"/>
    <n v="0"/>
    <d v="2023-01-17T00:00:00"/>
    <n v="0"/>
    <n v="0"/>
    <n v="1"/>
    <n v="1"/>
    <n v="0"/>
    <n v="0"/>
  </r>
  <r>
    <x v="19"/>
    <n v="23"/>
    <x v="1"/>
    <x v="11"/>
    <x v="16"/>
    <n v="1398"/>
    <x v="1"/>
    <x v="1"/>
    <x v="2"/>
    <n v="10"/>
    <n v="6"/>
    <n v="72"/>
    <x v="1"/>
    <x v="3"/>
    <s v="Search Engine"/>
    <x v="0"/>
    <s v="Low"/>
    <x v="1"/>
    <x v="0"/>
    <n v="72"/>
    <d v="2023-01-17T00:00:00"/>
    <m/>
    <d v="2023-01-17T00:00:00"/>
    <n v="0"/>
    <d v="2023-01-17T00:00:00"/>
    <n v="0"/>
    <n v="0"/>
    <n v="1"/>
    <n v="1"/>
    <n v="0"/>
    <n v="0"/>
  </r>
  <r>
    <x v="20"/>
    <n v="57"/>
    <x v="1"/>
    <x v="12"/>
    <x v="17"/>
    <n v="1396"/>
    <x v="1"/>
    <x v="1"/>
    <x v="0"/>
    <n v="18"/>
    <n v="10.8"/>
    <n v="129.6"/>
    <x v="0"/>
    <x v="3"/>
    <s v="Email Campaign"/>
    <x v="0"/>
    <s v="Medium"/>
    <x v="0"/>
    <x v="0"/>
    <n v="129.6"/>
    <d v="2023-01-19T00:00:00"/>
    <m/>
    <d v="2023-01-19T00:00:00"/>
    <n v="0"/>
    <d v="2023-01-19T00:00:00"/>
    <n v="0"/>
    <n v="0"/>
    <n v="1"/>
    <n v="1"/>
    <n v="0"/>
    <n v="0"/>
  </r>
  <r>
    <x v="21"/>
    <n v="41"/>
    <x v="1"/>
    <x v="12"/>
    <x v="2"/>
    <n v="1396"/>
    <x v="2"/>
    <x v="1"/>
    <x v="2"/>
    <n v="10"/>
    <n v="6.6666666666666661"/>
    <n v="312"/>
    <x v="2"/>
    <x v="1"/>
    <s v="None"/>
    <x v="2"/>
    <s v="High"/>
    <x v="0"/>
    <x v="1"/>
    <n v="392"/>
    <m/>
    <d v="2026-01-03T00:00:00"/>
    <d v="2026-01-03T00:00:00"/>
    <n v="3"/>
    <d v="2025-11-20T00:00:00"/>
    <n v="1"/>
    <n v="0"/>
    <n v="1"/>
    <n v="1"/>
    <n v="1"/>
    <n v="1"/>
  </r>
  <r>
    <x v="22"/>
    <n v="66"/>
    <x v="1"/>
    <x v="13"/>
    <x v="18"/>
    <n v="1394"/>
    <x v="3"/>
    <x v="2"/>
    <x v="2"/>
    <n v="10"/>
    <n v="9"/>
    <n v="0"/>
    <x v="3"/>
    <x v="2"/>
    <s v="None"/>
    <x v="1"/>
    <s v="Low"/>
    <x v="2"/>
    <x v="0"/>
    <n v="0"/>
    <d v="2022-02-25T00:00:00"/>
    <m/>
    <d v="2022-02-25T00:00:00"/>
    <n v="0"/>
    <d v="2022-02-25T00:00:00"/>
    <n v="0"/>
    <n v="0"/>
    <n v="0"/>
    <n v="0"/>
    <n v="0"/>
    <n v="0"/>
  </r>
  <r>
    <x v="23"/>
    <n v="58"/>
    <x v="0"/>
    <x v="14"/>
    <x v="19"/>
    <n v="1392"/>
    <x v="1"/>
    <x v="1"/>
    <x v="2"/>
    <n v="10"/>
    <n v="6"/>
    <n v="72"/>
    <x v="0"/>
    <x v="1"/>
    <s v="Social Media"/>
    <x v="1"/>
    <s v="Low"/>
    <x v="0"/>
    <x v="0"/>
    <n v="72"/>
    <d v="2023-01-23T00:00:00"/>
    <m/>
    <d v="2023-01-23T00:00:00"/>
    <n v="0"/>
    <d v="2023-01-23T00:00:00"/>
    <n v="0"/>
    <n v="0"/>
    <n v="1"/>
    <n v="1"/>
    <n v="0"/>
    <n v="0"/>
  </r>
  <r>
    <x v="24"/>
    <n v="28"/>
    <x v="0"/>
    <x v="14"/>
    <x v="19"/>
    <n v="1392"/>
    <x v="1"/>
    <x v="1"/>
    <x v="2"/>
    <n v="10"/>
    <n v="6"/>
    <n v="72"/>
    <x v="2"/>
    <x v="2"/>
    <s v="Email Campaign"/>
    <x v="4"/>
    <s v="Low"/>
    <x v="0"/>
    <x v="0"/>
    <n v="72"/>
    <d v="2023-01-23T00:00:00"/>
    <m/>
    <d v="2023-01-23T00:00:00"/>
    <n v="0"/>
    <d v="2023-01-23T00:00:00"/>
    <n v="0"/>
    <n v="0"/>
    <n v="1"/>
    <n v="1"/>
    <n v="0"/>
    <n v="0"/>
  </r>
  <r>
    <x v="25"/>
    <n v="32"/>
    <x v="1"/>
    <x v="15"/>
    <x v="20"/>
    <n v="1390"/>
    <x v="0"/>
    <x v="0"/>
    <x v="2"/>
    <n v="10"/>
    <n v="6.75"/>
    <n v="40.5"/>
    <x v="2"/>
    <x v="3"/>
    <s v="Social Media"/>
    <x v="1"/>
    <s v="Low"/>
    <x v="0"/>
    <x v="0"/>
    <n v="40.5"/>
    <d v="2022-07-29T00:00:00"/>
    <m/>
    <d v="2022-07-29T00:00:00"/>
    <n v="0"/>
    <d v="2022-07-29T00:00:00"/>
    <n v="0"/>
    <n v="0"/>
    <n v="1"/>
    <n v="0"/>
    <n v="0"/>
    <n v="0"/>
  </r>
  <r>
    <x v="26"/>
    <n v="60"/>
    <x v="1"/>
    <x v="16"/>
    <x v="21"/>
    <n v="1389"/>
    <x v="1"/>
    <x v="1"/>
    <x v="0"/>
    <n v="18"/>
    <n v="10.8"/>
    <n v="129.6"/>
    <x v="3"/>
    <x v="3"/>
    <s v="Social Media"/>
    <x v="4"/>
    <s v="Medium"/>
    <x v="2"/>
    <x v="0"/>
    <n v="129.6"/>
    <d v="2023-01-26T00:00:00"/>
    <m/>
    <d v="2023-01-26T00:00:00"/>
    <n v="0"/>
    <d v="2023-01-26T00:00:00"/>
    <n v="0"/>
    <n v="0"/>
    <n v="1"/>
    <n v="1"/>
    <n v="0"/>
    <n v="0"/>
  </r>
  <r>
    <x v="27"/>
    <n v="54"/>
    <x v="1"/>
    <x v="17"/>
    <x v="2"/>
    <n v="1387"/>
    <x v="2"/>
    <x v="0"/>
    <x v="2"/>
    <n v="10"/>
    <n v="7.5"/>
    <n v="351"/>
    <x v="0"/>
    <x v="1"/>
    <s v="Social Media"/>
    <x v="2"/>
    <s v="High"/>
    <x v="0"/>
    <x v="1"/>
    <n v="396"/>
    <m/>
    <d v="2026-01-12T00:00:00"/>
    <d v="2026-01-12T00:00:00"/>
    <n v="7"/>
    <d v="2025-11-20T00:00:00"/>
    <n v="1"/>
    <n v="0"/>
    <n v="1"/>
    <n v="1"/>
    <n v="1"/>
    <n v="1"/>
  </r>
  <r>
    <x v="28"/>
    <n v="38"/>
    <x v="0"/>
    <x v="18"/>
    <x v="22"/>
    <n v="1385"/>
    <x v="0"/>
    <x v="0"/>
    <x v="2"/>
    <n v="10"/>
    <n v="6.75"/>
    <n v="40.5"/>
    <x v="2"/>
    <x v="1"/>
    <s v="Social Media"/>
    <x v="3"/>
    <s v="Low"/>
    <x v="0"/>
    <x v="0"/>
    <n v="40.5"/>
    <d v="2022-08-03T00:00:00"/>
    <m/>
    <d v="2022-08-03T00:00:00"/>
    <n v="0"/>
    <d v="2022-08-03T00:00:00"/>
    <n v="0"/>
    <n v="0"/>
    <n v="1"/>
    <n v="0"/>
    <n v="0"/>
    <n v="0"/>
  </r>
  <r>
    <x v="29"/>
    <n v="31"/>
    <x v="1"/>
    <x v="18"/>
    <x v="23"/>
    <n v="1385"/>
    <x v="1"/>
    <x v="1"/>
    <x v="0"/>
    <n v="18"/>
    <n v="10.8"/>
    <n v="129.6"/>
    <x v="2"/>
    <x v="2"/>
    <s v="Friend"/>
    <x v="3"/>
    <s v="Medium"/>
    <x v="0"/>
    <x v="0"/>
    <n v="129.6"/>
    <d v="2023-01-30T00:00:00"/>
    <m/>
    <d v="2023-01-30T00:00:00"/>
    <n v="0"/>
    <d v="2023-01-30T00:00:00"/>
    <n v="0"/>
    <n v="0"/>
    <n v="1"/>
    <n v="1"/>
    <n v="0"/>
    <n v="0"/>
  </r>
  <r>
    <x v="30"/>
    <n v="20"/>
    <x v="0"/>
    <x v="19"/>
    <x v="24"/>
    <n v="1384"/>
    <x v="1"/>
    <x v="1"/>
    <x v="0"/>
    <n v="18"/>
    <n v="10.8"/>
    <n v="129.6"/>
    <x v="1"/>
    <x v="0"/>
    <s v="Friend"/>
    <x v="3"/>
    <s v="Medium"/>
    <x v="1"/>
    <x v="0"/>
    <n v="129.6"/>
    <d v="2023-01-31T00:00:00"/>
    <m/>
    <d v="2023-01-31T00:00:00"/>
    <n v="0"/>
    <d v="2023-01-31T00:00:00"/>
    <n v="0"/>
    <n v="0"/>
    <n v="1"/>
    <n v="1"/>
    <n v="0"/>
    <n v="0"/>
  </r>
  <r>
    <x v="31"/>
    <n v="28"/>
    <x v="0"/>
    <x v="20"/>
    <x v="25"/>
    <n v="1382"/>
    <x v="1"/>
    <x v="1"/>
    <x v="0"/>
    <n v="18"/>
    <n v="10.8"/>
    <n v="129.6"/>
    <x v="2"/>
    <x v="1"/>
    <s v="None"/>
    <x v="3"/>
    <s v="Medium"/>
    <x v="0"/>
    <x v="0"/>
    <n v="129.6"/>
    <d v="2023-02-02T00:00:00"/>
    <m/>
    <d v="2023-02-02T00:00:00"/>
    <n v="0"/>
    <d v="2023-02-02T00:00:00"/>
    <n v="0"/>
    <n v="0"/>
    <n v="1"/>
    <n v="1"/>
    <n v="0"/>
    <n v="0"/>
  </r>
  <r>
    <x v="32"/>
    <n v="26"/>
    <x v="1"/>
    <x v="20"/>
    <x v="25"/>
    <n v="1382"/>
    <x v="1"/>
    <x v="1"/>
    <x v="1"/>
    <n v="25"/>
    <n v="14.999999999999998"/>
    <n v="180"/>
    <x v="2"/>
    <x v="3"/>
    <s v="Search Engine"/>
    <x v="1"/>
    <s v="Medium"/>
    <x v="0"/>
    <x v="0"/>
    <n v="180"/>
    <d v="2023-02-02T00:00:00"/>
    <m/>
    <d v="2023-02-02T00:00:00"/>
    <n v="0"/>
    <d v="2023-02-02T00:00:00"/>
    <n v="0"/>
    <n v="0"/>
    <n v="1"/>
    <n v="1"/>
    <n v="0"/>
    <n v="0"/>
  </r>
  <r>
    <x v="33"/>
    <n v="27"/>
    <x v="1"/>
    <x v="21"/>
    <x v="26"/>
    <n v="1381"/>
    <x v="0"/>
    <x v="0"/>
    <x v="2"/>
    <n v="10"/>
    <n v="6.75"/>
    <n v="40.5"/>
    <x v="2"/>
    <x v="1"/>
    <s v="Social Media"/>
    <x v="3"/>
    <s v="Low"/>
    <x v="0"/>
    <x v="0"/>
    <n v="40.5"/>
    <d v="2022-08-07T00:00:00"/>
    <m/>
    <d v="2022-08-07T00:00:00"/>
    <n v="0"/>
    <d v="2022-08-07T00:00:00"/>
    <n v="0"/>
    <n v="0"/>
    <n v="1"/>
    <n v="0"/>
    <n v="0"/>
    <n v="0"/>
  </r>
  <r>
    <x v="34"/>
    <n v="32"/>
    <x v="1"/>
    <x v="22"/>
    <x v="27"/>
    <n v="1380"/>
    <x v="0"/>
    <x v="0"/>
    <x v="1"/>
    <n v="25"/>
    <n v="16.875"/>
    <n v="101.25"/>
    <x v="2"/>
    <x v="2"/>
    <s v="Friend"/>
    <x v="5"/>
    <s v="Medium"/>
    <x v="0"/>
    <x v="0"/>
    <n v="101.25"/>
    <d v="2022-08-08T00:00:00"/>
    <m/>
    <d v="2022-08-08T00:00:00"/>
    <n v="0"/>
    <d v="2022-08-08T00:00:00"/>
    <n v="0"/>
    <n v="0"/>
    <n v="1"/>
    <n v="0"/>
    <n v="0"/>
    <n v="0"/>
  </r>
  <r>
    <x v="35"/>
    <n v="53"/>
    <x v="0"/>
    <x v="23"/>
    <x v="28"/>
    <n v="1378"/>
    <x v="1"/>
    <x v="1"/>
    <x v="0"/>
    <n v="18"/>
    <n v="10.8"/>
    <n v="129.6"/>
    <x v="0"/>
    <x v="0"/>
    <s v="Social Media"/>
    <x v="4"/>
    <s v="Medium"/>
    <x v="0"/>
    <x v="0"/>
    <n v="129.6"/>
    <d v="2023-02-06T00:00:00"/>
    <m/>
    <d v="2023-02-06T00:00:00"/>
    <n v="0"/>
    <d v="2023-02-06T00:00:00"/>
    <n v="0"/>
    <n v="0"/>
    <n v="1"/>
    <n v="1"/>
    <n v="0"/>
    <n v="0"/>
  </r>
  <r>
    <x v="36"/>
    <n v="72"/>
    <x v="0"/>
    <x v="24"/>
    <x v="29"/>
    <n v="1375"/>
    <x v="1"/>
    <x v="1"/>
    <x v="0"/>
    <n v="18"/>
    <n v="10.8"/>
    <n v="129.6"/>
    <x v="4"/>
    <x v="2"/>
    <s v="Email Campaign"/>
    <x v="4"/>
    <s v="Medium"/>
    <x v="3"/>
    <x v="0"/>
    <n v="129.6"/>
    <d v="2023-02-09T00:00:00"/>
    <m/>
    <d v="2023-02-09T00:00:00"/>
    <n v="0"/>
    <d v="2023-02-09T00:00:00"/>
    <n v="0"/>
    <n v="0"/>
    <n v="1"/>
    <n v="1"/>
    <n v="0"/>
    <n v="0"/>
  </r>
  <r>
    <x v="37"/>
    <n v="47"/>
    <x v="0"/>
    <x v="24"/>
    <x v="2"/>
    <n v="1375"/>
    <x v="2"/>
    <x v="0"/>
    <x v="2"/>
    <n v="10"/>
    <n v="7.5"/>
    <n v="351"/>
    <x v="2"/>
    <x v="3"/>
    <s v="Social Media"/>
    <x v="2"/>
    <s v="High"/>
    <x v="0"/>
    <x v="1"/>
    <n v="396"/>
    <m/>
    <d v="2026-01-24T00:00:00"/>
    <d v="2026-01-24T00:00:00"/>
    <n v="7"/>
    <d v="2025-11-20T00:00:00"/>
    <n v="1"/>
    <n v="0"/>
    <n v="1"/>
    <n v="1"/>
    <n v="1"/>
    <n v="1"/>
  </r>
  <r>
    <x v="38"/>
    <n v="21"/>
    <x v="0"/>
    <x v="25"/>
    <x v="30"/>
    <n v="1374"/>
    <x v="0"/>
    <x v="0"/>
    <x v="1"/>
    <n v="25"/>
    <n v="16.875"/>
    <n v="101.25"/>
    <x v="1"/>
    <x v="2"/>
    <s v="Friend"/>
    <x v="1"/>
    <s v="Medium"/>
    <x v="1"/>
    <x v="0"/>
    <n v="101.25"/>
    <d v="2022-08-14T00:00:00"/>
    <m/>
    <d v="2022-08-14T00:00:00"/>
    <n v="0"/>
    <d v="2022-08-14T00:00:00"/>
    <n v="0"/>
    <n v="0"/>
    <n v="1"/>
    <n v="0"/>
    <n v="0"/>
    <n v="0"/>
  </r>
  <r>
    <x v="39"/>
    <n v="29"/>
    <x v="0"/>
    <x v="25"/>
    <x v="2"/>
    <n v="1374"/>
    <x v="2"/>
    <x v="1"/>
    <x v="1"/>
    <n v="25"/>
    <n v="16.666666666666664"/>
    <n v="780"/>
    <x v="2"/>
    <x v="3"/>
    <s v="Search Engine"/>
    <x v="2"/>
    <s v="Very High"/>
    <x v="0"/>
    <x v="1"/>
    <n v="980"/>
    <m/>
    <d v="2026-01-25T00:00:00"/>
    <d v="2026-01-25T00:00:00"/>
    <n v="3"/>
    <d v="2025-11-20T00:00:00"/>
    <n v="1"/>
    <n v="0"/>
    <n v="1"/>
    <n v="1"/>
    <n v="1"/>
    <n v="1"/>
  </r>
  <r>
    <x v="40"/>
    <n v="42"/>
    <x v="0"/>
    <x v="26"/>
    <x v="31"/>
    <n v="1373"/>
    <x v="3"/>
    <x v="2"/>
    <x v="1"/>
    <n v="25"/>
    <n v="22.5"/>
    <n v="0"/>
    <x v="2"/>
    <x v="0"/>
    <s v="Social Media"/>
    <x v="1"/>
    <s v="Low"/>
    <x v="0"/>
    <x v="0"/>
    <n v="0"/>
    <d v="2022-03-18T00:00:00"/>
    <m/>
    <d v="2022-03-18T00:00:00"/>
    <n v="0"/>
    <d v="2022-03-18T00:00:00"/>
    <n v="0"/>
    <n v="0"/>
    <n v="0"/>
    <n v="0"/>
    <n v="0"/>
    <n v="0"/>
  </r>
  <r>
    <x v="41"/>
    <n v="39"/>
    <x v="0"/>
    <x v="26"/>
    <x v="32"/>
    <n v="1373"/>
    <x v="0"/>
    <x v="0"/>
    <x v="2"/>
    <n v="10"/>
    <n v="6.75"/>
    <n v="40.5"/>
    <x v="2"/>
    <x v="1"/>
    <s v="Social Media"/>
    <x v="0"/>
    <s v="Low"/>
    <x v="0"/>
    <x v="0"/>
    <n v="40.5"/>
    <d v="2022-08-15T00:00:00"/>
    <m/>
    <d v="2022-08-15T00:00:00"/>
    <n v="0"/>
    <d v="2022-08-15T00:00:00"/>
    <n v="0"/>
    <n v="0"/>
    <n v="1"/>
    <n v="0"/>
    <n v="0"/>
    <n v="0"/>
  </r>
  <r>
    <x v="42"/>
    <n v="42"/>
    <x v="1"/>
    <x v="27"/>
    <x v="2"/>
    <n v="1372"/>
    <x v="4"/>
    <x v="2"/>
    <x v="1"/>
    <n v="25"/>
    <n v="25"/>
    <n v="1097.5"/>
    <x v="2"/>
    <x v="3"/>
    <s v="Friend"/>
    <x v="2"/>
    <s v="Very High"/>
    <x v="0"/>
    <x v="1"/>
    <n v="1122.5"/>
    <m/>
    <d v="2025-11-28T00:00:00"/>
    <d v="2025-11-28T00:00:00"/>
    <n v="45"/>
    <d v="2025-11-20T00:00:00"/>
    <n v="1"/>
    <n v="0"/>
    <n v="1"/>
    <n v="1"/>
    <n v="1"/>
    <n v="1"/>
  </r>
  <r>
    <x v="43"/>
    <n v="48"/>
    <x v="0"/>
    <x v="28"/>
    <x v="33"/>
    <n v="1371"/>
    <x v="0"/>
    <x v="0"/>
    <x v="2"/>
    <n v="10"/>
    <n v="6.75"/>
    <n v="40.5"/>
    <x v="2"/>
    <x v="1"/>
    <s v="Search Engine"/>
    <x v="5"/>
    <s v="Low"/>
    <x v="0"/>
    <x v="0"/>
    <n v="40.5"/>
    <d v="2022-08-17T00:00:00"/>
    <m/>
    <d v="2022-08-17T00:00:00"/>
    <n v="0"/>
    <d v="2022-08-17T00:00:00"/>
    <n v="0"/>
    <n v="0"/>
    <n v="1"/>
    <n v="0"/>
    <n v="0"/>
    <n v="0"/>
  </r>
  <r>
    <x v="44"/>
    <n v="70"/>
    <x v="1"/>
    <x v="28"/>
    <x v="2"/>
    <n v="1371"/>
    <x v="2"/>
    <x v="1"/>
    <x v="2"/>
    <n v="10"/>
    <n v="6.6666666666666661"/>
    <n v="312"/>
    <x v="3"/>
    <x v="2"/>
    <s v="Social Media"/>
    <x v="2"/>
    <s v="High"/>
    <x v="3"/>
    <x v="1"/>
    <n v="392"/>
    <m/>
    <d v="2026-01-28T00:00:00"/>
    <d v="2026-01-28T00:00:00"/>
    <n v="3"/>
    <d v="2025-11-20T00:00:00"/>
    <n v="1"/>
    <n v="0"/>
    <n v="1"/>
    <n v="1"/>
    <n v="1"/>
    <n v="1"/>
  </r>
  <r>
    <x v="45"/>
    <n v="33"/>
    <x v="1"/>
    <x v="28"/>
    <x v="2"/>
    <n v="1371"/>
    <x v="2"/>
    <x v="1"/>
    <x v="1"/>
    <n v="25"/>
    <n v="16.666666666666664"/>
    <n v="780"/>
    <x v="2"/>
    <x v="3"/>
    <s v="None"/>
    <x v="2"/>
    <s v="Very High"/>
    <x v="0"/>
    <x v="1"/>
    <n v="980"/>
    <m/>
    <d v="2026-01-28T00:00:00"/>
    <d v="2026-01-28T00:00:00"/>
    <n v="3"/>
    <d v="2025-11-20T00:00:00"/>
    <n v="1"/>
    <n v="0"/>
    <n v="1"/>
    <n v="1"/>
    <n v="1"/>
    <n v="1"/>
  </r>
  <r>
    <x v="46"/>
    <n v="59"/>
    <x v="0"/>
    <x v="29"/>
    <x v="34"/>
    <n v="1366"/>
    <x v="1"/>
    <x v="1"/>
    <x v="0"/>
    <n v="18"/>
    <n v="10.8"/>
    <n v="129.6"/>
    <x v="0"/>
    <x v="2"/>
    <s v="Social Media"/>
    <x v="4"/>
    <s v="Medium"/>
    <x v="0"/>
    <x v="0"/>
    <n v="129.6"/>
    <d v="2023-02-18T00:00:00"/>
    <m/>
    <d v="2023-02-18T00:00:00"/>
    <n v="0"/>
    <d v="2023-02-18T00:00:00"/>
    <n v="0"/>
    <n v="0"/>
    <n v="1"/>
    <n v="1"/>
    <n v="0"/>
    <n v="0"/>
  </r>
  <r>
    <x v="47"/>
    <n v="38"/>
    <x v="0"/>
    <x v="30"/>
    <x v="35"/>
    <n v="1365"/>
    <x v="1"/>
    <x v="1"/>
    <x v="0"/>
    <n v="18"/>
    <n v="10.8"/>
    <n v="129.6"/>
    <x v="2"/>
    <x v="0"/>
    <s v="Friend"/>
    <x v="1"/>
    <s v="Medium"/>
    <x v="0"/>
    <x v="0"/>
    <n v="129.6"/>
    <d v="2023-02-19T00:00:00"/>
    <m/>
    <d v="2023-02-19T00:00:00"/>
    <n v="0"/>
    <d v="2023-02-19T00:00:00"/>
    <n v="0"/>
    <n v="0"/>
    <n v="1"/>
    <n v="1"/>
    <n v="0"/>
    <n v="0"/>
  </r>
  <r>
    <x v="48"/>
    <n v="42"/>
    <x v="0"/>
    <x v="30"/>
    <x v="35"/>
    <n v="1365"/>
    <x v="1"/>
    <x v="1"/>
    <x v="1"/>
    <n v="25"/>
    <n v="14.999999999999998"/>
    <n v="180"/>
    <x v="2"/>
    <x v="3"/>
    <s v="Friend"/>
    <x v="1"/>
    <s v="Medium"/>
    <x v="0"/>
    <x v="0"/>
    <n v="180"/>
    <d v="2023-02-19T00:00:00"/>
    <m/>
    <d v="2023-02-19T00:00:00"/>
    <n v="0"/>
    <d v="2023-02-19T00:00:00"/>
    <n v="0"/>
    <n v="0"/>
    <n v="1"/>
    <n v="1"/>
    <n v="0"/>
    <n v="0"/>
  </r>
  <r>
    <x v="49"/>
    <n v="40"/>
    <x v="0"/>
    <x v="31"/>
    <x v="36"/>
    <n v="1364"/>
    <x v="1"/>
    <x v="1"/>
    <x v="1"/>
    <n v="25"/>
    <n v="14.999999999999998"/>
    <n v="180"/>
    <x v="2"/>
    <x v="1"/>
    <s v="Social Media"/>
    <x v="5"/>
    <s v="Medium"/>
    <x v="0"/>
    <x v="0"/>
    <n v="180"/>
    <d v="2023-02-20T00:00:00"/>
    <m/>
    <d v="2023-02-20T00:00:00"/>
    <n v="0"/>
    <d v="2023-02-20T00:00:00"/>
    <n v="0"/>
    <n v="0"/>
    <n v="1"/>
    <n v="1"/>
    <n v="0"/>
    <n v="0"/>
  </r>
  <r>
    <x v="50"/>
    <n v="21"/>
    <x v="0"/>
    <x v="31"/>
    <x v="36"/>
    <n v="1364"/>
    <x v="1"/>
    <x v="1"/>
    <x v="0"/>
    <n v="18"/>
    <n v="10.8"/>
    <n v="129.6"/>
    <x v="1"/>
    <x v="2"/>
    <s v="None"/>
    <x v="5"/>
    <s v="Medium"/>
    <x v="1"/>
    <x v="0"/>
    <n v="129.6"/>
    <d v="2023-02-20T00:00:00"/>
    <m/>
    <d v="2023-02-20T00:00:00"/>
    <n v="0"/>
    <d v="2023-02-20T00:00:00"/>
    <n v="0"/>
    <n v="0"/>
    <n v="1"/>
    <n v="1"/>
    <n v="0"/>
    <n v="0"/>
  </r>
  <r>
    <x v="51"/>
    <n v="31"/>
    <x v="1"/>
    <x v="32"/>
    <x v="37"/>
    <n v="1363"/>
    <x v="3"/>
    <x v="2"/>
    <x v="1"/>
    <n v="25"/>
    <n v="22.5"/>
    <n v="0"/>
    <x v="2"/>
    <x v="0"/>
    <s v="Email Campaign"/>
    <x v="4"/>
    <s v="Low"/>
    <x v="0"/>
    <x v="0"/>
    <n v="0"/>
    <d v="2022-03-28T00:00:00"/>
    <m/>
    <d v="2022-03-28T00:00:00"/>
    <n v="0"/>
    <d v="2022-03-28T00:00:00"/>
    <n v="0"/>
    <n v="0"/>
    <n v="0"/>
    <n v="0"/>
    <n v="0"/>
    <n v="0"/>
  </r>
  <r>
    <x v="52"/>
    <n v="38"/>
    <x v="0"/>
    <x v="33"/>
    <x v="38"/>
    <n v="1362"/>
    <x v="3"/>
    <x v="2"/>
    <x v="2"/>
    <n v="10"/>
    <n v="9"/>
    <n v="0"/>
    <x v="2"/>
    <x v="1"/>
    <s v="Friend"/>
    <x v="4"/>
    <s v="Low"/>
    <x v="0"/>
    <x v="0"/>
    <n v="0"/>
    <d v="2022-03-29T00:00:00"/>
    <m/>
    <d v="2022-03-29T00:00:00"/>
    <n v="0"/>
    <d v="2022-03-29T00:00:00"/>
    <n v="0"/>
    <n v="0"/>
    <n v="0"/>
    <n v="0"/>
    <n v="0"/>
    <n v="0"/>
  </r>
  <r>
    <x v="53"/>
    <n v="62"/>
    <x v="0"/>
    <x v="33"/>
    <x v="2"/>
    <n v="1362"/>
    <x v="2"/>
    <x v="1"/>
    <x v="1"/>
    <n v="25"/>
    <n v="16.666666666666664"/>
    <n v="780"/>
    <x v="3"/>
    <x v="3"/>
    <s v="Email Campaign"/>
    <x v="2"/>
    <s v="Very High"/>
    <x v="2"/>
    <x v="1"/>
    <n v="980"/>
    <m/>
    <d v="2026-02-06T00:00:00"/>
    <d v="2026-02-06T00:00:00"/>
    <n v="3"/>
    <d v="2025-11-20T00:00:00"/>
    <n v="1"/>
    <n v="0"/>
    <n v="1"/>
    <n v="1"/>
    <n v="1"/>
    <n v="1"/>
  </r>
  <r>
    <x v="54"/>
    <n v="18"/>
    <x v="0"/>
    <x v="34"/>
    <x v="2"/>
    <n v="1360"/>
    <x v="4"/>
    <x v="2"/>
    <x v="2"/>
    <n v="10"/>
    <n v="10"/>
    <n v="439"/>
    <x v="1"/>
    <x v="1"/>
    <s v="Social Media"/>
    <x v="2"/>
    <s v="High"/>
    <x v="4"/>
    <x v="1"/>
    <n v="449"/>
    <m/>
    <d v="2025-12-10T00:00:00"/>
    <d v="2025-12-10T00:00:00"/>
    <n v="45"/>
    <d v="2025-11-20T00:00:00"/>
    <n v="1"/>
    <n v="0"/>
    <n v="1"/>
    <n v="1"/>
    <n v="1"/>
    <n v="1"/>
  </r>
  <r>
    <x v="55"/>
    <n v="21"/>
    <x v="1"/>
    <x v="35"/>
    <x v="39"/>
    <n v="1357"/>
    <x v="1"/>
    <x v="1"/>
    <x v="1"/>
    <n v="25"/>
    <n v="14.999999999999998"/>
    <n v="180"/>
    <x v="1"/>
    <x v="0"/>
    <s v="None"/>
    <x v="5"/>
    <s v="Medium"/>
    <x v="1"/>
    <x v="0"/>
    <n v="180"/>
    <d v="2023-02-27T00:00:00"/>
    <m/>
    <d v="2023-02-27T00:00:00"/>
    <n v="0"/>
    <d v="2023-02-27T00:00:00"/>
    <n v="0"/>
    <n v="0"/>
    <n v="1"/>
    <n v="1"/>
    <n v="0"/>
    <n v="0"/>
  </r>
  <r>
    <x v="56"/>
    <n v="29"/>
    <x v="0"/>
    <x v="36"/>
    <x v="40"/>
    <n v="1355"/>
    <x v="0"/>
    <x v="0"/>
    <x v="0"/>
    <n v="18"/>
    <n v="12.15"/>
    <n v="72.900000000000006"/>
    <x v="2"/>
    <x v="1"/>
    <s v="Search Engine"/>
    <x v="0"/>
    <s v="Low"/>
    <x v="0"/>
    <x v="0"/>
    <n v="72.900000000000006"/>
    <d v="2022-09-02T00:00:00"/>
    <m/>
    <d v="2022-09-02T00:00:00"/>
    <n v="0"/>
    <d v="2022-09-02T00:00:00"/>
    <n v="0"/>
    <n v="0"/>
    <n v="1"/>
    <n v="0"/>
    <n v="0"/>
    <n v="0"/>
  </r>
  <r>
    <x v="57"/>
    <n v="65"/>
    <x v="1"/>
    <x v="37"/>
    <x v="2"/>
    <n v="1354"/>
    <x v="2"/>
    <x v="0"/>
    <x v="0"/>
    <n v="18"/>
    <n v="13.5"/>
    <n v="631.79999999999995"/>
    <x v="3"/>
    <x v="1"/>
    <s v="Friend"/>
    <x v="2"/>
    <s v="Very High"/>
    <x v="2"/>
    <x v="1"/>
    <n v="712.8"/>
    <m/>
    <d v="2026-02-14T00:00:00"/>
    <d v="2026-02-14T00:00:00"/>
    <n v="7"/>
    <d v="2025-11-20T00:00:00"/>
    <n v="1"/>
    <n v="0"/>
    <n v="1"/>
    <n v="1"/>
    <n v="1"/>
    <n v="1"/>
  </r>
  <r>
    <x v="58"/>
    <n v="26"/>
    <x v="1"/>
    <x v="37"/>
    <x v="2"/>
    <n v="1354"/>
    <x v="4"/>
    <x v="2"/>
    <x v="1"/>
    <n v="25"/>
    <n v="25"/>
    <n v="1097.5"/>
    <x v="2"/>
    <x v="0"/>
    <s v="Search Engine"/>
    <x v="2"/>
    <s v="Very High"/>
    <x v="0"/>
    <x v="1"/>
    <n v="1122.5"/>
    <m/>
    <d v="2025-12-16T00:00:00"/>
    <d v="2025-12-16T00:00:00"/>
    <n v="45"/>
    <d v="2025-11-20T00:00:00"/>
    <n v="1"/>
    <n v="0"/>
    <n v="1"/>
    <n v="1"/>
    <n v="1"/>
    <n v="1"/>
  </r>
  <r>
    <x v="59"/>
    <n v="36"/>
    <x v="0"/>
    <x v="38"/>
    <x v="41"/>
    <n v="1353"/>
    <x v="1"/>
    <x v="1"/>
    <x v="2"/>
    <n v="10"/>
    <n v="6"/>
    <n v="72"/>
    <x v="2"/>
    <x v="2"/>
    <s v="Friend"/>
    <x v="3"/>
    <s v="Low"/>
    <x v="0"/>
    <x v="0"/>
    <n v="72"/>
    <d v="2023-03-03T00:00:00"/>
    <m/>
    <d v="2023-03-03T00:00:00"/>
    <n v="0"/>
    <d v="2023-03-03T00:00:00"/>
    <n v="0"/>
    <n v="0"/>
    <n v="1"/>
    <n v="1"/>
    <n v="0"/>
    <n v="0"/>
  </r>
  <r>
    <x v="60"/>
    <n v="23"/>
    <x v="0"/>
    <x v="39"/>
    <x v="2"/>
    <n v="1352"/>
    <x v="2"/>
    <x v="1"/>
    <x v="2"/>
    <n v="10"/>
    <n v="6.6666666666666661"/>
    <n v="312"/>
    <x v="1"/>
    <x v="0"/>
    <s v="None"/>
    <x v="2"/>
    <s v="High"/>
    <x v="1"/>
    <x v="1"/>
    <n v="392"/>
    <m/>
    <d v="2026-02-16T00:00:00"/>
    <d v="2026-02-16T00:00:00"/>
    <n v="3"/>
    <d v="2025-11-20T00:00:00"/>
    <n v="1"/>
    <n v="0"/>
    <n v="1"/>
    <n v="1"/>
    <n v="1"/>
    <n v="1"/>
  </r>
  <r>
    <x v="61"/>
    <n v="25"/>
    <x v="1"/>
    <x v="40"/>
    <x v="2"/>
    <n v="1351"/>
    <x v="2"/>
    <x v="0"/>
    <x v="1"/>
    <n v="25"/>
    <n v="18.75"/>
    <n v="877.5"/>
    <x v="1"/>
    <x v="2"/>
    <s v="Social Media"/>
    <x v="2"/>
    <s v="Very High"/>
    <x v="1"/>
    <x v="1"/>
    <n v="990"/>
    <m/>
    <d v="2026-02-17T00:00:00"/>
    <d v="2026-02-17T00:00:00"/>
    <n v="7"/>
    <d v="2025-11-20T00:00:00"/>
    <n v="1"/>
    <n v="0"/>
    <n v="1"/>
    <n v="1"/>
    <n v="1"/>
    <n v="1"/>
  </r>
  <r>
    <x v="62"/>
    <n v="40"/>
    <x v="0"/>
    <x v="40"/>
    <x v="2"/>
    <n v="1351"/>
    <x v="4"/>
    <x v="2"/>
    <x v="2"/>
    <n v="10"/>
    <n v="10"/>
    <n v="439"/>
    <x v="2"/>
    <x v="2"/>
    <s v="None"/>
    <x v="2"/>
    <s v="High"/>
    <x v="0"/>
    <x v="1"/>
    <n v="449"/>
    <m/>
    <d v="2025-12-19T00:00:00"/>
    <d v="2025-12-19T00:00:00"/>
    <n v="45"/>
    <d v="2025-11-20T00:00:00"/>
    <n v="1"/>
    <n v="0"/>
    <n v="1"/>
    <n v="1"/>
    <n v="1"/>
    <n v="1"/>
  </r>
  <r>
    <x v="63"/>
    <n v="44"/>
    <x v="0"/>
    <x v="41"/>
    <x v="42"/>
    <n v="1350"/>
    <x v="1"/>
    <x v="1"/>
    <x v="1"/>
    <n v="25"/>
    <n v="14.999999999999998"/>
    <n v="180"/>
    <x v="2"/>
    <x v="1"/>
    <s v="None"/>
    <x v="4"/>
    <s v="Medium"/>
    <x v="0"/>
    <x v="0"/>
    <n v="180"/>
    <d v="2023-03-06T00:00:00"/>
    <m/>
    <d v="2023-03-06T00:00:00"/>
    <n v="0"/>
    <d v="2023-03-06T00:00:00"/>
    <n v="0"/>
    <n v="0"/>
    <n v="1"/>
    <n v="1"/>
    <n v="0"/>
    <n v="0"/>
  </r>
  <r>
    <x v="64"/>
    <n v="67"/>
    <x v="0"/>
    <x v="42"/>
    <x v="43"/>
    <n v="1349"/>
    <x v="1"/>
    <x v="1"/>
    <x v="2"/>
    <n v="10"/>
    <n v="6"/>
    <n v="72"/>
    <x v="3"/>
    <x v="0"/>
    <s v="Social Media"/>
    <x v="4"/>
    <s v="Low"/>
    <x v="2"/>
    <x v="0"/>
    <n v="72"/>
    <d v="2023-03-07T00:00:00"/>
    <m/>
    <d v="2023-03-07T00:00:00"/>
    <n v="0"/>
    <d v="2023-03-07T00:00:00"/>
    <n v="0"/>
    <n v="0"/>
    <n v="1"/>
    <n v="1"/>
    <n v="0"/>
    <n v="0"/>
  </r>
  <r>
    <x v="65"/>
    <n v="56"/>
    <x v="1"/>
    <x v="43"/>
    <x v="44"/>
    <n v="1348"/>
    <x v="1"/>
    <x v="1"/>
    <x v="2"/>
    <n v="10"/>
    <n v="6"/>
    <n v="72"/>
    <x v="0"/>
    <x v="0"/>
    <s v="Social Media"/>
    <x v="4"/>
    <s v="Low"/>
    <x v="0"/>
    <x v="0"/>
    <n v="72"/>
    <d v="2023-03-08T00:00:00"/>
    <m/>
    <d v="2023-03-08T00:00:00"/>
    <n v="0"/>
    <d v="2023-03-08T00:00:00"/>
    <n v="0"/>
    <n v="0"/>
    <n v="1"/>
    <n v="1"/>
    <n v="0"/>
    <n v="0"/>
  </r>
  <r>
    <x v="66"/>
    <n v="31"/>
    <x v="1"/>
    <x v="44"/>
    <x v="45"/>
    <n v="1346"/>
    <x v="0"/>
    <x v="0"/>
    <x v="0"/>
    <n v="18"/>
    <n v="12.15"/>
    <n v="72.900000000000006"/>
    <x v="2"/>
    <x v="1"/>
    <s v="Social Media"/>
    <x v="5"/>
    <s v="Low"/>
    <x v="0"/>
    <x v="0"/>
    <n v="72.900000000000006"/>
    <d v="2022-09-11T00:00:00"/>
    <m/>
    <d v="2022-09-11T00:00:00"/>
    <n v="0"/>
    <d v="2022-09-11T00:00:00"/>
    <n v="0"/>
    <n v="0"/>
    <n v="1"/>
    <n v="0"/>
    <n v="0"/>
    <n v="0"/>
  </r>
  <r>
    <x v="67"/>
    <n v="27"/>
    <x v="1"/>
    <x v="44"/>
    <x v="46"/>
    <n v="1346"/>
    <x v="1"/>
    <x v="1"/>
    <x v="2"/>
    <n v="10"/>
    <n v="6"/>
    <n v="72"/>
    <x v="2"/>
    <x v="1"/>
    <s v="Friend"/>
    <x v="0"/>
    <s v="Low"/>
    <x v="0"/>
    <x v="0"/>
    <n v="72"/>
    <d v="2023-03-10T00:00:00"/>
    <m/>
    <d v="2023-03-10T00:00:00"/>
    <n v="0"/>
    <d v="2023-03-10T00:00:00"/>
    <n v="0"/>
    <n v="0"/>
    <n v="1"/>
    <n v="1"/>
    <n v="0"/>
    <n v="0"/>
  </r>
  <r>
    <x v="68"/>
    <n v="36"/>
    <x v="1"/>
    <x v="45"/>
    <x v="47"/>
    <n v="1345"/>
    <x v="0"/>
    <x v="0"/>
    <x v="2"/>
    <n v="10"/>
    <n v="6.75"/>
    <n v="40.5"/>
    <x v="2"/>
    <x v="0"/>
    <s v="Search Engine"/>
    <x v="0"/>
    <s v="Low"/>
    <x v="0"/>
    <x v="0"/>
    <n v="40.5"/>
    <d v="2022-09-12T00:00:00"/>
    <m/>
    <d v="2022-09-12T00:00:00"/>
    <n v="0"/>
    <d v="2022-09-12T00:00:00"/>
    <n v="0"/>
    <n v="0"/>
    <n v="1"/>
    <n v="0"/>
    <n v="0"/>
    <n v="0"/>
  </r>
  <r>
    <x v="69"/>
    <n v="27"/>
    <x v="0"/>
    <x v="46"/>
    <x v="48"/>
    <n v="1343"/>
    <x v="1"/>
    <x v="1"/>
    <x v="2"/>
    <n v="10"/>
    <n v="6"/>
    <n v="72"/>
    <x v="2"/>
    <x v="0"/>
    <s v="Search Engine"/>
    <x v="3"/>
    <s v="Low"/>
    <x v="0"/>
    <x v="0"/>
    <n v="72"/>
    <d v="2023-03-13T00:00:00"/>
    <m/>
    <d v="2023-03-13T00:00:00"/>
    <n v="0"/>
    <d v="2023-03-13T00:00:00"/>
    <n v="0"/>
    <n v="0"/>
    <n v="1"/>
    <n v="1"/>
    <n v="0"/>
    <n v="0"/>
  </r>
  <r>
    <x v="70"/>
    <n v="29"/>
    <x v="0"/>
    <x v="46"/>
    <x v="2"/>
    <n v="1343"/>
    <x v="5"/>
    <x v="2"/>
    <x v="0"/>
    <n v="18"/>
    <n v="18"/>
    <n v="772.2"/>
    <x v="2"/>
    <x v="1"/>
    <s v="None"/>
    <x v="2"/>
    <s v="Very High"/>
    <x v="0"/>
    <x v="1"/>
    <n v="790.2"/>
    <m/>
    <d v="2025-11-27T00:00:00"/>
    <d v="2025-11-27T00:00:00"/>
    <n v="44"/>
    <d v="2025-11-20T00:00:00"/>
    <n v="1"/>
    <n v="0"/>
    <n v="1"/>
    <n v="1"/>
    <n v="1"/>
    <n v="1"/>
  </r>
  <r>
    <x v="71"/>
    <n v="40"/>
    <x v="1"/>
    <x v="47"/>
    <x v="49"/>
    <n v="1339"/>
    <x v="1"/>
    <x v="1"/>
    <x v="2"/>
    <n v="10"/>
    <n v="6"/>
    <n v="72"/>
    <x v="2"/>
    <x v="3"/>
    <s v="None"/>
    <x v="1"/>
    <s v="Low"/>
    <x v="0"/>
    <x v="0"/>
    <n v="72"/>
    <d v="2023-03-17T00:00:00"/>
    <m/>
    <d v="2023-03-17T00:00:00"/>
    <n v="0"/>
    <d v="2023-03-17T00:00:00"/>
    <n v="0"/>
    <n v="0"/>
    <n v="1"/>
    <n v="1"/>
    <n v="0"/>
    <n v="0"/>
  </r>
  <r>
    <x v="72"/>
    <n v="57"/>
    <x v="0"/>
    <x v="48"/>
    <x v="50"/>
    <n v="1337"/>
    <x v="1"/>
    <x v="1"/>
    <x v="1"/>
    <n v="25"/>
    <n v="14.999999999999998"/>
    <n v="180"/>
    <x v="0"/>
    <x v="1"/>
    <s v="None"/>
    <x v="5"/>
    <s v="Medium"/>
    <x v="0"/>
    <x v="0"/>
    <n v="180"/>
    <d v="2023-03-19T00:00:00"/>
    <m/>
    <d v="2023-03-19T00:00:00"/>
    <n v="0"/>
    <d v="2023-03-19T00:00:00"/>
    <n v="0"/>
    <n v="0"/>
    <n v="1"/>
    <n v="1"/>
    <n v="0"/>
    <n v="0"/>
  </r>
  <r>
    <x v="73"/>
    <n v="56"/>
    <x v="1"/>
    <x v="49"/>
    <x v="51"/>
    <n v="1336"/>
    <x v="0"/>
    <x v="0"/>
    <x v="2"/>
    <n v="10"/>
    <n v="6.75"/>
    <n v="40.5"/>
    <x v="0"/>
    <x v="0"/>
    <s v="Email Campaign"/>
    <x v="0"/>
    <s v="Low"/>
    <x v="0"/>
    <x v="0"/>
    <n v="40.5"/>
    <d v="2022-09-21T00:00:00"/>
    <m/>
    <d v="2022-09-21T00:00:00"/>
    <n v="0"/>
    <d v="2022-09-21T00:00:00"/>
    <n v="0"/>
    <n v="0"/>
    <n v="1"/>
    <n v="0"/>
    <n v="0"/>
    <n v="0"/>
  </r>
  <r>
    <x v="74"/>
    <n v="55"/>
    <x v="1"/>
    <x v="49"/>
    <x v="2"/>
    <n v="1336"/>
    <x v="2"/>
    <x v="1"/>
    <x v="0"/>
    <n v="18"/>
    <n v="12"/>
    <n v="561.6"/>
    <x v="0"/>
    <x v="1"/>
    <s v="None"/>
    <x v="2"/>
    <s v="High"/>
    <x v="0"/>
    <x v="1"/>
    <n v="705.6"/>
    <m/>
    <d v="2026-03-04T00:00:00"/>
    <d v="2026-03-04T00:00:00"/>
    <n v="3"/>
    <d v="2025-11-20T00:00:00"/>
    <n v="1"/>
    <n v="0"/>
    <n v="1"/>
    <n v="1"/>
    <n v="1"/>
    <n v="1"/>
  </r>
  <r>
    <x v="75"/>
    <n v="46"/>
    <x v="1"/>
    <x v="50"/>
    <x v="52"/>
    <n v="1335"/>
    <x v="1"/>
    <x v="1"/>
    <x v="2"/>
    <n v="10"/>
    <n v="6"/>
    <n v="72"/>
    <x v="2"/>
    <x v="1"/>
    <s v="Search Engine"/>
    <x v="1"/>
    <s v="Low"/>
    <x v="0"/>
    <x v="0"/>
    <n v="72"/>
    <d v="2023-03-21T00:00:00"/>
    <m/>
    <d v="2023-03-21T00:00:00"/>
    <n v="0"/>
    <d v="2023-03-21T00:00:00"/>
    <n v="0"/>
    <n v="0"/>
    <n v="1"/>
    <n v="1"/>
    <n v="0"/>
    <n v="0"/>
  </r>
  <r>
    <x v="76"/>
    <n v="59"/>
    <x v="0"/>
    <x v="50"/>
    <x v="52"/>
    <n v="1335"/>
    <x v="1"/>
    <x v="1"/>
    <x v="1"/>
    <n v="25"/>
    <n v="14.999999999999998"/>
    <n v="180"/>
    <x v="0"/>
    <x v="1"/>
    <s v="None"/>
    <x v="4"/>
    <s v="Medium"/>
    <x v="0"/>
    <x v="0"/>
    <n v="180"/>
    <d v="2023-03-21T00:00:00"/>
    <m/>
    <d v="2023-03-21T00:00:00"/>
    <n v="0"/>
    <d v="2023-03-21T00:00:00"/>
    <n v="0"/>
    <n v="0"/>
    <n v="1"/>
    <n v="1"/>
    <n v="0"/>
    <n v="0"/>
  </r>
  <r>
    <x v="77"/>
    <n v="52"/>
    <x v="1"/>
    <x v="51"/>
    <x v="2"/>
    <n v="1334"/>
    <x v="5"/>
    <x v="2"/>
    <x v="1"/>
    <n v="25"/>
    <n v="25"/>
    <n v="1072.5"/>
    <x v="0"/>
    <x v="1"/>
    <s v="Friend"/>
    <x v="2"/>
    <s v="Very High"/>
    <x v="0"/>
    <x v="1"/>
    <n v="1097.5"/>
    <m/>
    <d v="2025-12-06T00:00:00"/>
    <d v="2025-12-06T00:00:00"/>
    <n v="44"/>
    <d v="2025-11-20T00:00:00"/>
    <n v="1"/>
    <n v="0"/>
    <n v="1"/>
    <n v="1"/>
    <n v="1"/>
    <n v="1"/>
  </r>
  <r>
    <x v="78"/>
    <n v="18"/>
    <x v="1"/>
    <x v="52"/>
    <x v="53"/>
    <n v="1333"/>
    <x v="1"/>
    <x v="1"/>
    <x v="1"/>
    <n v="25"/>
    <n v="14.999999999999998"/>
    <n v="180"/>
    <x v="1"/>
    <x v="1"/>
    <s v="Social Media"/>
    <x v="0"/>
    <s v="Medium"/>
    <x v="4"/>
    <x v="0"/>
    <n v="180"/>
    <d v="2023-03-23T00:00:00"/>
    <m/>
    <d v="2023-03-23T00:00:00"/>
    <n v="0"/>
    <d v="2023-03-23T00:00:00"/>
    <n v="0"/>
    <n v="0"/>
    <n v="1"/>
    <n v="1"/>
    <n v="0"/>
    <n v="0"/>
  </r>
  <r>
    <x v="79"/>
    <n v="61"/>
    <x v="0"/>
    <x v="52"/>
    <x v="53"/>
    <n v="1333"/>
    <x v="1"/>
    <x v="1"/>
    <x v="1"/>
    <n v="25"/>
    <n v="14.999999999999998"/>
    <n v="180"/>
    <x v="3"/>
    <x v="1"/>
    <s v="Email Campaign"/>
    <x v="3"/>
    <s v="Medium"/>
    <x v="2"/>
    <x v="0"/>
    <n v="180"/>
    <d v="2023-03-23T00:00:00"/>
    <m/>
    <d v="2023-03-23T00:00:00"/>
    <n v="0"/>
    <d v="2023-03-23T00:00:00"/>
    <n v="0"/>
    <n v="0"/>
    <n v="1"/>
    <n v="1"/>
    <n v="0"/>
    <n v="0"/>
  </r>
  <r>
    <x v="80"/>
    <n v="48"/>
    <x v="1"/>
    <x v="52"/>
    <x v="53"/>
    <n v="1333"/>
    <x v="1"/>
    <x v="1"/>
    <x v="2"/>
    <n v="10"/>
    <n v="6"/>
    <n v="72"/>
    <x v="2"/>
    <x v="2"/>
    <s v="Social Media"/>
    <x v="0"/>
    <s v="Low"/>
    <x v="0"/>
    <x v="0"/>
    <n v="72"/>
    <d v="2023-03-23T00:00:00"/>
    <m/>
    <d v="2023-03-23T00:00:00"/>
    <n v="0"/>
    <d v="2023-03-23T00:00:00"/>
    <n v="0"/>
    <n v="0"/>
    <n v="1"/>
    <n v="1"/>
    <n v="0"/>
    <n v="0"/>
  </r>
  <r>
    <x v="81"/>
    <n v="58"/>
    <x v="0"/>
    <x v="53"/>
    <x v="2"/>
    <n v="1332"/>
    <x v="2"/>
    <x v="0"/>
    <x v="2"/>
    <n v="10"/>
    <n v="7.5"/>
    <n v="351"/>
    <x v="0"/>
    <x v="0"/>
    <s v="Friend"/>
    <x v="2"/>
    <s v="High"/>
    <x v="0"/>
    <x v="1"/>
    <n v="396"/>
    <m/>
    <d v="2026-03-08T00:00:00"/>
    <d v="2026-03-08T00:00:00"/>
    <n v="7"/>
    <d v="2025-11-20T00:00:00"/>
    <n v="1"/>
    <n v="0"/>
    <n v="1"/>
    <n v="1"/>
    <n v="1"/>
    <n v="1"/>
  </r>
  <r>
    <x v="82"/>
    <n v="32"/>
    <x v="1"/>
    <x v="54"/>
    <x v="54"/>
    <n v="1330"/>
    <x v="0"/>
    <x v="0"/>
    <x v="1"/>
    <n v="25"/>
    <n v="16.875"/>
    <n v="101.25"/>
    <x v="2"/>
    <x v="0"/>
    <s v="Search Engine"/>
    <x v="4"/>
    <s v="Medium"/>
    <x v="0"/>
    <x v="0"/>
    <n v="101.25"/>
    <d v="2022-09-27T00:00:00"/>
    <m/>
    <d v="2022-09-27T00:00:00"/>
    <n v="0"/>
    <d v="2022-09-27T00:00:00"/>
    <n v="0"/>
    <n v="0"/>
    <n v="1"/>
    <n v="0"/>
    <n v="0"/>
    <n v="0"/>
  </r>
  <r>
    <x v="83"/>
    <n v="46"/>
    <x v="1"/>
    <x v="55"/>
    <x v="55"/>
    <n v="1329"/>
    <x v="1"/>
    <x v="1"/>
    <x v="0"/>
    <n v="18"/>
    <n v="10.8"/>
    <n v="129.6"/>
    <x v="2"/>
    <x v="1"/>
    <s v="Friend"/>
    <x v="1"/>
    <s v="Medium"/>
    <x v="0"/>
    <x v="0"/>
    <n v="129.6"/>
    <d v="2023-03-27T00:00:00"/>
    <m/>
    <d v="2023-03-27T00:00:00"/>
    <n v="0"/>
    <d v="2023-03-27T00:00:00"/>
    <n v="0"/>
    <n v="0"/>
    <n v="1"/>
    <n v="1"/>
    <n v="0"/>
    <n v="0"/>
  </r>
  <r>
    <x v="84"/>
    <n v="56"/>
    <x v="0"/>
    <x v="55"/>
    <x v="55"/>
    <n v="1329"/>
    <x v="1"/>
    <x v="1"/>
    <x v="1"/>
    <n v="25"/>
    <n v="14.999999999999998"/>
    <n v="180"/>
    <x v="0"/>
    <x v="3"/>
    <s v="Social Media"/>
    <x v="5"/>
    <s v="Medium"/>
    <x v="0"/>
    <x v="0"/>
    <n v="180"/>
    <d v="2023-03-27T00:00:00"/>
    <m/>
    <d v="2023-03-27T00:00:00"/>
    <n v="0"/>
    <d v="2023-03-27T00:00:00"/>
    <n v="0"/>
    <n v="0"/>
    <n v="1"/>
    <n v="1"/>
    <n v="0"/>
    <n v="0"/>
  </r>
  <r>
    <x v="85"/>
    <n v="35"/>
    <x v="1"/>
    <x v="56"/>
    <x v="56"/>
    <n v="1328"/>
    <x v="1"/>
    <x v="1"/>
    <x v="1"/>
    <n v="25"/>
    <n v="14.999999999999998"/>
    <n v="180"/>
    <x v="2"/>
    <x v="3"/>
    <s v="Friend"/>
    <x v="4"/>
    <s v="Medium"/>
    <x v="0"/>
    <x v="0"/>
    <n v="180"/>
    <d v="2023-03-28T00:00:00"/>
    <m/>
    <d v="2023-03-28T00:00:00"/>
    <n v="0"/>
    <d v="2023-03-28T00:00:00"/>
    <n v="0"/>
    <n v="0"/>
    <n v="1"/>
    <n v="1"/>
    <n v="0"/>
    <n v="0"/>
  </r>
  <r>
    <x v="86"/>
    <n v="28"/>
    <x v="0"/>
    <x v="57"/>
    <x v="57"/>
    <n v="1326"/>
    <x v="0"/>
    <x v="0"/>
    <x v="0"/>
    <n v="18"/>
    <n v="12.15"/>
    <n v="72.900000000000006"/>
    <x v="2"/>
    <x v="0"/>
    <s v="Search Engine"/>
    <x v="4"/>
    <s v="Low"/>
    <x v="0"/>
    <x v="0"/>
    <n v="72.900000000000006"/>
    <d v="2022-10-01T00:00:00"/>
    <m/>
    <d v="2022-10-01T00:00:00"/>
    <n v="0"/>
    <d v="2022-10-01T00:00:00"/>
    <n v="0"/>
    <n v="0"/>
    <n v="1"/>
    <n v="0"/>
    <n v="0"/>
    <n v="0"/>
  </r>
  <r>
    <x v="87"/>
    <n v="43"/>
    <x v="0"/>
    <x v="58"/>
    <x v="58"/>
    <n v="1325"/>
    <x v="1"/>
    <x v="1"/>
    <x v="1"/>
    <n v="25"/>
    <n v="14.999999999999998"/>
    <n v="180"/>
    <x v="2"/>
    <x v="0"/>
    <s v="None"/>
    <x v="3"/>
    <s v="Medium"/>
    <x v="0"/>
    <x v="0"/>
    <n v="180"/>
    <d v="2023-03-31T00:00:00"/>
    <m/>
    <d v="2023-03-31T00:00:00"/>
    <n v="0"/>
    <d v="2023-03-31T00:00:00"/>
    <n v="0"/>
    <n v="0"/>
    <n v="1"/>
    <n v="1"/>
    <n v="0"/>
    <n v="0"/>
  </r>
  <r>
    <x v="88"/>
    <n v="74"/>
    <x v="1"/>
    <x v="59"/>
    <x v="59"/>
    <n v="1324"/>
    <x v="3"/>
    <x v="2"/>
    <x v="0"/>
    <n v="18"/>
    <n v="16.2"/>
    <n v="0"/>
    <x v="4"/>
    <x v="1"/>
    <s v="Search Engine"/>
    <x v="5"/>
    <s v="Low"/>
    <x v="3"/>
    <x v="0"/>
    <n v="0"/>
    <d v="2022-05-06T00:00:00"/>
    <m/>
    <d v="2022-05-06T00:00:00"/>
    <n v="0"/>
    <d v="2022-05-06T00:00:00"/>
    <n v="0"/>
    <n v="0"/>
    <n v="0"/>
    <n v="0"/>
    <n v="0"/>
    <n v="0"/>
  </r>
  <r>
    <x v="89"/>
    <n v="58"/>
    <x v="0"/>
    <x v="60"/>
    <x v="60"/>
    <n v="1323"/>
    <x v="1"/>
    <x v="1"/>
    <x v="1"/>
    <n v="25"/>
    <n v="14.999999999999998"/>
    <n v="180"/>
    <x v="0"/>
    <x v="0"/>
    <s v="None"/>
    <x v="3"/>
    <s v="Medium"/>
    <x v="0"/>
    <x v="0"/>
    <n v="180"/>
    <d v="2023-04-02T00:00:00"/>
    <m/>
    <d v="2023-04-02T00:00:00"/>
    <n v="0"/>
    <d v="2023-04-02T00:00:00"/>
    <n v="0"/>
    <n v="0"/>
    <n v="1"/>
    <n v="1"/>
    <n v="0"/>
    <n v="0"/>
  </r>
  <r>
    <x v="90"/>
    <n v="20"/>
    <x v="0"/>
    <x v="60"/>
    <x v="2"/>
    <n v="1323"/>
    <x v="5"/>
    <x v="2"/>
    <x v="1"/>
    <n v="25"/>
    <n v="25"/>
    <n v="1072.5"/>
    <x v="1"/>
    <x v="3"/>
    <s v="None"/>
    <x v="2"/>
    <s v="Very High"/>
    <x v="1"/>
    <x v="1"/>
    <n v="1097.5"/>
    <m/>
    <d v="2025-12-17T00:00:00"/>
    <d v="2025-12-17T00:00:00"/>
    <n v="44"/>
    <d v="2025-11-20T00:00:00"/>
    <n v="1"/>
    <n v="0"/>
    <n v="1"/>
    <n v="1"/>
    <n v="1"/>
    <n v="1"/>
  </r>
  <r>
    <x v="91"/>
    <n v="28"/>
    <x v="1"/>
    <x v="61"/>
    <x v="2"/>
    <n v="1322"/>
    <x v="2"/>
    <x v="1"/>
    <x v="1"/>
    <n v="25"/>
    <n v="16.666666666666664"/>
    <n v="780"/>
    <x v="2"/>
    <x v="0"/>
    <s v="Search Engine"/>
    <x v="2"/>
    <s v="Very High"/>
    <x v="0"/>
    <x v="1"/>
    <n v="980"/>
    <m/>
    <d v="2026-03-18T00:00:00"/>
    <d v="2026-03-18T00:00:00"/>
    <n v="3"/>
    <d v="2025-11-20T00:00:00"/>
    <n v="1"/>
    <n v="0"/>
    <n v="1"/>
    <n v="1"/>
    <n v="1"/>
    <n v="1"/>
  </r>
  <r>
    <x v="92"/>
    <n v="24"/>
    <x v="1"/>
    <x v="62"/>
    <x v="61"/>
    <n v="1319"/>
    <x v="1"/>
    <x v="1"/>
    <x v="0"/>
    <n v="18"/>
    <n v="10.8"/>
    <n v="129.6"/>
    <x v="1"/>
    <x v="1"/>
    <s v="Social Media"/>
    <x v="3"/>
    <s v="Medium"/>
    <x v="1"/>
    <x v="0"/>
    <n v="129.6"/>
    <d v="2023-04-06T00:00:00"/>
    <m/>
    <d v="2023-04-06T00:00:00"/>
    <n v="0"/>
    <d v="2023-04-06T00:00:00"/>
    <n v="0"/>
    <n v="0"/>
    <n v="1"/>
    <n v="1"/>
    <n v="0"/>
    <n v="0"/>
  </r>
  <r>
    <x v="93"/>
    <n v="61"/>
    <x v="0"/>
    <x v="63"/>
    <x v="62"/>
    <n v="1316"/>
    <x v="0"/>
    <x v="0"/>
    <x v="2"/>
    <n v="10"/>
    <n v="6.75"/>
    <n v="40.5"/>
    <x v="3"/>
    <x v="0"/>
    <s v="None"/>
    <x v="0"/>
    <s v="Low"/>
    <x v="2"/>
    <x v="0"/>
    <n v="40.5"/>
    <d v="2022-10-11T00:00:00"/>
    <m/>
    <d v="2022-10-11T00:00:00"/>
    <n v="0"/>
    <d v="2022-10-11T00:00:00"/>
    <n v="0"/>
    <n v="0"/>
    <n v="1"/>
    <n v="0"/>
    <n v="0"/>
    <n v="0"/>
  </r>
  <r>
    <x v="94"/>
    <n v="43"/>
    <x v="0"/>
    <x v="64"/>
    <x v="63"/>
    <n v="1312"/>
    <x v="1"/>
    <x v="1"/>
    <x v="0"/>
    <n v="18"/>
    <n v="10.8"/>
    <n v="129.6"/>
    <x v="2"/>
    <x v="1"/>
    <s v="Social Media"/>
    <x v="4"/>
    <s v="Medium"/>
    <x v="0"/>
    <x v="0"/>
    <n v="129.6"/>
    <d v="2023-04-13T00:00:00"/>
    <m/>
    <d v="2023-04-13T00:00:00"/>
    <n v="0"/>
    <d v="2023-04-13T00:00:00"/>
    <n v="0"/>
    <n v="0"/>
    <n v="1"/>
    <n v="1"/>
    <n v="0"/>
    <n v="0"/>
  </r>
  <r>
    <x v="95"/>
    <n v="28"/>
    <x v="0"/>
    <x v="64"/>
    <x v="2"/>
    <n v="1312"/>
    <x v="2"/>
    <x v="1"/>
    <x v="1"/>
    <n v="25"/>
    <n v="16.666666666666664"/>
    <n v="780"/>
    <x v="2"/>
    <x v="2"/>
    <s v="None"/>
    <x v="2"/>
    <s v="Very High"/>
    <x v="0"/>
    <x v="1"/>
    <n v="980"/>
    <m/>
    <d v="2026-03-28T00:00:00"/>
    <d v="2026-03-28T00:00:00"/>
    <n v="3"/>
    <d v="2025-11-20T00:00:00"/>
    <n v="1"/>
    <n v="0"/>
    <n v="1"/>
    <n v="1"/>
    <n v="1"/>
    <n v="1"/>
  </r>
  <r>
    <x v="96"/>
    <n v="30"/>
    <x v="1"/>
    <x v="65"/>
    <x v="64"/>
    <n v="1311"/>
    <x v="3"/>
    <x v="2"/>
    <x v="2"/>
    <n v="10"/>
    <n v="9"/>
    <n v="0"/>
    <x v="2"/>
    <x v="3"/>
    <s v="Email Campaign"/>
    <x v="3"/>
    <s v="Low"/>
    <x v="0"/>
    <x v="0"/>
    <n v="0"/>
    <d v="2022-05-19T00:00:00"/>
    <m/>
    <d v="2022-05-19T00:00:00"/>
    <n v="0"/>
    <d v="2022-05-19T00:00:00"/>
    <n v="0"/>
    <n v="0"/>
    <n v="0"/>
    <n v="0"/>
    <n v="0"/>
    <n v="0"/>
  </r>
  <r>
    <x v="97"/>
    <n v="39"/>
    <x v="1"/>
    <x v="66"/>
    <x v="65"/>
    <n v="1309"/>
    <x v="0"/>
    <x v="0"/>
    <x v="1"/>
    <n v="25"/>
    <n v="16.875"/>
    <n v="101.25"/>
    <x v="2"/>
    <x v="1"/>
    <s v="Search Engine"/>
    <x v="1"/>
    <s v="Medium"/>
    <x v="0"/>
    <x v="0"/>
    <n v="101.25"/>
    <d v="2022-10-18T00:00:00"/>
    <m/>
    <d v="2022-10-18T00:00:00"/>
    <n v="0"/>
    <d v="2022-10-18T00:00:00"/>
    <n v="0"/>
    <n v="0"/>
    <n v="1"/>
    <n v="0"/>
    <n v="0"/>
    <n v="0"/>
  </r>
  <r>
    <x v="98"/>
    <n v="34"/>
    <x v="0"/>
    <x v="66"/>
    <x v="2"/>
    <n v="1309"/>
    <x v="6"/>
    <x v="2"/>
    <x v="0"/>
    <n v="18"/>
    <n v="18"/>
    <n v="754.2"/>
    <x v="2"/>
    <x v="1"/>
    <s v="Search Engine"/>
    <x v="2"/>
    <s v="Very High"/>
    <x v="0"/>
    <x v="1"/>
    <n v="772.2"/>
    <m/>
    <d v="2025-12-01T00:00:00"/>
    <d v="2025-12-01T00:00:00"/>
    <n v="43"/>
    <d v="2025-11-20T00:00:00"/>
    <n v="1"/>
    <n v="0"/>
    <n v="1"/>
    <n v="1"/>
    <n v="1"/>
    <n v="1"/>
  </r>
  <r>
    <x v="99"/>
    <n v="61"/>
    <x v="0"/>
    <x v="67"/>
    <x v="66"/>
    <n v="1308"/>
    <x v="3"/>
    <x v="2"/>
    <x v="2"/>
    <n v="10"/>
    <n v="9"/>
    <n v="0"/>
    <x v="3"/>
    <x v="1"/>
    <s v="Search Engine"/>
    <x v="4"/>
    <s v="Low"/>
    <x v="2"/>
    <x v="0"/>
    <n v="0"/>
    <d v="2022-05-22T00:00:00"/>
    <m/>
    <d v="2022-05-22T00:00:00"/>
    <n v="0"/>
    <d v="2022-05-22T00:00:00"/>
    <n v="0"/>
    <n v="0"/>
    <n v="0"/>
    <n v="0"/>
    <n v="0"/>
    <n v="0"/>
  </r>
  <r>
    <x v="100"/>
    <n v="57"/>
    <x v="0"/>
    <x v="68"/>
    <x v="67"/>
    <n v="1307"/>
    <x v="0"/>
    <x v="0"/>
    <x v="0"/>
    <n v="18"/>
    <n v="12.15"/>
    <n v="72.900000000000006"/>
    <x v="0"/>
    <x v="0"/>
    <s v="Email Campaign"/>
    <x v="4"/>
    <s v="Low"/>
    <x v="0"/>
    <x v="0"/>
    <n v="72.900000000000006"/>
    <d v="2022-10-20T00:00:00"/>
    <m/>
    <d v="2022-10-20T00:00:00"/>
    <n v="0"/>
    <d v="2022-10-20T00:00:00"/>
    <n v="0"/>
    <n v="0"/>
    <n v="1"/>
    <n v="0"/>
    <n v="0"/>
    <n v="0"/>
  </r>
  <r>
    <x v="101"/>
    <n v="38"/>
    <x v="1"/>
    <x v="69"/>
    <x v="68"/>
    <n v="1306"/>
    <x v="3"/>
    <x v="2"/>
    <x v="0"/>
    <n v="18"/>
    <n v="16.2"/>
    <n v="0"/>
    <x v="2"/>
    <x v="1"/>
    <s v="Friend"/>
    <x v="0"/>
    <s v="Low"/>
    <x v="0"/>
    <x v="0"/>
    <n v="0"/>
    <d v="2022-05-24T00:00:00"/>
    <m/>
    <d v="2022-05-24T00:00:00"/>
    <n v="0"/>
    <d v="2022-05-24T00:00:00"/>
    <n v="0"/>
    <n v="0"/>
    <n v="0"/>
    <n v="0"/>
    <n v="0"/>
    <n v="0"/>
  </r>
  <r>
    <x v="102"/>
    <n v="46"/>
    <x v="0"/>
    <x v="69"/>
    <x v="69"/>
    <n v="1306"/>
    <x v="1"/>
    <x v="1"/>
    <x v="2"/>
    <n v="10"/>
    <n v="6"/>
    <n v="72"/>
    <x v="2"/>
    <x v="1"/>
    <s v="Search Engine"/>
    <x v="4"/>
    <s v="Low"/>
    <x v="0"/>
    <x v="0"/>
    <n v="72"/>
    <d v="2023-04-19T00:00:00"/>
    <m/>
    <d v="2023-04-19T00:00:00"/>
    <n v="0"/>
    <d v="2023-04-19T00:00:00"/>
    <n v="0"/>
    <n v="0"/>
    <n v="1"/>
    <n v="1"/>
    <n v="0"/>
    <n v="0"/>
  </r>
  <r>
    <x v="103"/>
    <n v="71"/>
    <x v="1"/>
    <x v="70"/>
    <x v="70"/>
    <n v="1304"/>
    <x v="1"/>
    <x v="1"/>
    <x v="1"/>
    <n v="25"/>
    <n v="14.999999999999998"/>
    <n v="180"/>
    <x v="4"/>
    <x v="1"/>
    <s v="Social Media"/>
    <x v="1"/>
    <s v="Medium"/>
    <x v="3"/>
    <x v="0"/>
    <n v="180"/>
    <d v="2023-04-21T00:00:00"/>
    <m/>
    <d v="2023-04-21T00:00:00"/>
    <n v="0"/>
    <d v="2023-04-21T00:00:00"/>
    <n v="0"/>
    <n v="0"/>
    <n v="1"/>
    <n v="1"/>
    <n v="0"/>
    <n v="0"/>
  </r>
  <r>
    <x v="104"/>
    <n v="28"/>
    <x v="1"/>
    <x v="71"/>
    <x v="71"/>
    <n v="1301"/>
    <x v="1"/>
    <x v="1"/>
    <x v="2"/>
    <n v="10"/>
    <n v="6"/>
    <n v="72"/>
    <x v="2"/>
    <x v="1"/>
    <s v="Email Campaign"/>
    <x v="3"/>
    <s v="Low"/>
    <x v="0"/>
    <x v="0"/>
    <n v="72"/>
    <d v="2023-04-24T00:00:00"/>
    <m/>
    <d v="2023-04-24T00:00:00"/>
    <n v="0"/>
    <d v="2023-04-24T00:00:00"/>
    <n v="0"/>
    <n v="0"/>
    <n v="1"/>
    <n v="1"/>
    <n v="0"/>
    <n v="0"/>
  </r>
  <r>
    <x v="105"/>
    <n v="36"/>
    <x v="0"/>
    <x v="72"/>
    <x v="72"/>
    <n v="1300"/>
    <x v="1"/>
    <x v="1"/>
    <x v="2"/>
    <n v="10"/>
    <n v="6"/>
    <n v="72"/>
    <x v="2"/>
    <x v="2"/>
    <s v="Social Media"/>
    <x v="5"/>
    <s v="Low"/>
    <x v="0"/>
    <x v="0"/>
    <n v="72"/>
    <d v="2023-04-25T00:00:00"/>
    <m/>
    <d v="2023-04-25T00:00:00"/>
    <n v="0"/>
    <d v="2023-04-25T00:00:00"/>
    <n v="0"/>
    <n v="0"/>
    <n v="1"/>
    <n v="1"/>
    <n v="0"/>
    <n v="0"/>
  </r>
  <r>
    <x v="106"/>
    <n v="55"/>
    <x v="0"/>
    <x v="73"/>
    <x v="73"/>
    <n v="1299"/>
    <x v="1"/>
    <x v="1"/>
    <x v="1"/>
    <n v="25"/>
    <n v="14.999999999999998"/>
    <n v="180"/>
    <x v="0"/>
    <x v="3"/>
    <s v="Email Campaign"/>
    <x v="4"/>
    <s v="Medium"/>
    <x v="0"/>
    <x v="0"/>
    <n v="180"/>
    <d v="2023-04-26T00:00:00"/>
    <m/>
    <d v="2023-04-26T00:00:00"/>
    <n v="0"/>
    <d v="2023-04-26T00:00:00"/>
    <n v="0"/>
    <n v="0"/>
    <n v="1"/>
    <n v="1"/>
    <n v="0"/>
    <n v="0"/>
  </r>
  <r>
    <x v="107"/>
    <n v="40"/>
    <x v="1"/>
    <x v="74"/>
    <x v="2"/>
    <n v="1298"/>
    <x v="6"/>
    <x v="2"/>
    <x v="1"/>
    <n v="25"/>
    <n v="25"/>
    <n v="1047.5"/>
    <x v="2"/>
    <x v="2"/>
    <s v="Search Engine"/>
    <x v="2"/>
    <s v="Very High"/>
    <x v="0"/>
    <x v="1"/>
    <n v="1072.5"/>
    <m/>
    <d v="2025-12-12T00:00:00"/>
    <d v="2025-12-12T00:00:00"/>
    <n v="43"/>
    <d v="2025-11-20T00:00:00"/>
    <n v="1"/>
    <n v="0"/>
    <n v="1"/>
    <n v="1"/>
    <n v="1"/>
    <n v="1"/>
  </r>
  <r>
    <x v="108"/>
    <n v="66"/>
    <x v="0"/>
    <x v="75"/>
    <x v="74"/>
    <n v="1297"/>
    <x v="0"/>
    <x v="0"/>
    <x v="0"/>
    <n v="18"/>
    <n v="12.15"/>
    <n v="72.900000000000006"/>
    <x v="3"/>
    <x v="0"/>
    <s v="Search Engine"/>
    <x v="5"/>
    <s v="Low"/>
    <x v="2"/>
    <x v="0"/>
    <n v="72.900000000000006"/>
    <d v="2022-10-30T00:00:00"/>
    <m/>
    <d v="2022-10-30T00:00:00"/>
    <n v="0"/>
    <d v="2022-10-30T00:00:00"/>
    <n v="0"/>
    <n v="0"/>
    <n v="1"/>
    <n v="0"/>
    <n v="0"/>
    <n v="0"/>
  </r>
  <r>
    <x v="109"/>
    <n v="39"/>
    <x v="1"/>
    <x v="76"/>
    <x v="2"/>
    <n v="1295"/>
    <x v="6"/>
    <x v="2"/>
    <x v="1"/>
    <n v="25"/>
    <n v="25"/>
    <n v="1047.5"/>
    <x v="2"/>
    <x v="3"/>
    <s v="None"/>
    <x v="2"/>
    <s v="Very High"/>
    <x v="0"/>
    <x v="1"/>
    <n v="1072.5"/>
    <m/>
    <d v="2025-12-15T00:00:00"/>
    <d v="2025-12-15T00:00:00"/>
    <n v="43"/>
    <d v="2025-11-20T00:00:00"/>
    <n v="1"/>
    <n v="0"/>
    <n v="1"/>
    <n v="1"/>
    <n v="1"/>
    <n v="1"/>
  </r>
  <r>
    <x v="110"/>
    <n v="67"/>
    <x v="0"/>
    <x v="77"/>
    <x v="2"/>
    <n v="1294"/>
    <x v="2"/>
    <x v="0"/>
    <x v="2"/>
    <n v="10"/>
    <n v="7.5"/>
    <n v="351"/>
    <x v="3"/>
    <x v="1"/>
    <s v="Friend"/>
    <x v="2"/>
    <s v="High"/>
    <x v="2"/>
    <x v="1"/>
    <n v="396"/>
    <m/>
    <d v="2026-04-15T00:00:00"/>
    <d v="2026-04-15T00:00:00"/>
    <n v="7"/>
    <d v="2025-11-20T00:00:00"/>
    <n v="1"/>
    <n v="0"/>
    <n v="1"/>
    <n v="1"/>
    <n v="1"/>
    <n v="1"/>
  </r>
  <r>
    <x v="111"/>
    <n v="36"/>
    <x v="0"/>
    <x v="78"/>
    <x v="75"/>
    <n v="1293"/>
    <x v="1"/>
    <x v="1"/>
    <x v="1"/>
    <n v="25"/>
    <n v="14.999999999999998"/>
    <n v="180"/>
    <x v="2"/>
    <x v="2"/>
    <s v="None"/>
    <x v="1"/>
    <s v="Medium"/>
    <x v="0"/>
    <x v="0"/>
    <n v="180"/>
    <d v="2023-05-02T00:00:00"/>
    <m/>
    <d v="2023-05-02T00:00:00"/>
    <n v="0"/>
    <d v="2023-05-02T00:00:00"/>
    <n v="0"/>
    <n v="0"/>
    <n v="1"/>
    <n v="1"/>
    <n v="0"/>
    <n v="0"/>
  </r>
  <r>
    <x v="112"/>
    <n v="42"/>
    <x v="0"/>
    <x v="78"/>
    <x v="75"/>
    <n v="1293"/>
    <x v="1"/>
    <x v="1"/>
    <x v="2"/>
    <n v="10"/>
    <n v="6"/>
    <n v="72"/>
    <x v="2"/>
    <x v="2"/>
    <s v="Social Media"/>
    <x v="5"/>
    <s v="Low"/>
    <x v="0"/>
    <x v="0"/>
    <n v="72"/>
    <d v="2023-05-02T00:00:00"/>
    <m/>
    <d v="2023-05-02T00:00:00"/>
    <n v="0"/>
    <d v="2023-05-02T00:00:00"/>
    <n v="0"/>
    <n v="0"/>
    <n v="1"/>
    <n v="1"/>
    <n v="0"/>
    <n v="0"/>
  </r>
  <r>
    <x v="113"/>
    <n v="41"/>
    <x v="0"/>
    <x v="79"/>
    <x v="76"/>
    <n v="1292"/>
    <x v="0"/>
    <x v="0"/>
    <x v="0"/>
    <n v="18"/>
    <n v="12.15"/>
    <n v="72.900000000000006"/>
    <x v="2"/>
    <x v="2"/>
    <s v="Search Engine"/>
    <x v="3"/>
    <s v="Low"/>
    <x v="0"/>
    <x v="0"/>
    <n v="72.900000000000006"/>
    <d v="2022-11-04T00:00:00"/>
    <m/>
    <d v="2022-11-04T00:00:00"/>
    <n v="0"/>
    <d v="2022-11-04T00:00:00"/>
    <n v="0"/>
    <n v="0"/>
    <n v="1"/>
    <n v="0"/>
    <n v="0"/>
    <n v="0"/>
  </r>
  <r>
    <x v="114"/>
    <n v="53"/>
    <x v="1"/>
    <x v="79"/>
    <x v="77"/>
    <n v="1292"/>
    <x v="1"/>
    <x v="1"/>
    <x v="0"/>
    <n v="18"/>
    <n v="10.8"/>
    <n v="129.6"/>
    <x v="0"/>
    <x v="1"/>
    <s v="None"/>
    <x v="3"/>
    <s v="Medium"/>
    <x v="0"/>
    <x v="0"/>
    <n v="129.6"/>
    <d v="2023-05-03T00:00:00"/>
    <m/>
    <d v="2023-05-03T00:00:00"/>
    <n v="0"/>
    <d v="2023-05-03T00:00:00"/>
    <n v="0"/>
    <n v="0"/>
    <n v="1"/>
    <n v="1"/>
    <n v="0"/>
    <n v="0"/>
  </r>
  <r>
    <x v="115"/>
    <n v="59"/>
    <x v="0"/>
    <x v="79"/>
    <x v="77"/>
    <n v="1292"/>
    <x v="1"/>
    <x v="1"/>
    <x v="2"/>
    <n v="10"/>
    <n v="6"/>
    <n v="72"/>
    <x v="0"/>
    <x v="2"/>
    <s v="Search Engine"/>
    <x v="0"/>
    <s v="Low"/>
    <x v="0"/>
    <x v="0"/>
    <n v="72"/>
    <d v="2023-05-03T00:00:00"/>
    <m/>
    <d v="2023-05-03T00:00:00"/>
    <n v="0"/>
    <d v="2023-05-03T00:00:00"/>
    <n v="0"/>
    <n v="0"/>
    <n v="1"/>
    <n v="1"/>
    <n v="0"/>
    <n v="0"/>
  </r>
  <r>
    <x v="116"/>
    <n v="27"/>
    <x v="1"/>
    <x v="80"/>
    <x v="78"/>
    <n v="1290"/>
    <x v="1"/>
    <x v="1"/>
    <x v="0"/>
    <n v="18"/>
    <n v="10.8"/>
    <n v="129.6"/>
    <x v="2"/>
    <x v="3"/>
    <s v="Social Media"/>
    <x v="5"/>
    <s v="Medium"/>
    <x v="0"/>
    <x v="0"/>
    <n v="129.6"/>
    <d v="2023-05-05T00:00:00"/>
    <m/>
    <d v="2023-05-05T00:00:00"/>
    <n v="0"/>
    <d v="2023-05-05T00:00:00"/>
    <n v="0"/>
    <n v="0"/>
    <n v="1"/>
    <n v="1"/>
    <n v="0"/>
    <n v="0"/>
  </r>
  <r>
    <x v="117"/>
    <n v="41"/>
    <x v="1"/>
    <x v="81"/>
    <x v="2"/>
    <n v="1289"/>
    <x v="2"/>
    <x v="1"/>
    <x v="2"/>
    <n v="10"/>
    <n v="6.6666666666666661"/>
    <n v="312"/>
    <x v="2"/>
    <x v="1"/>
    <s v="Friend"/>
    <x v="2"/>
    <s v="High"/>
    <x v="0"/>
    <x v="1"/>
    <n v="392"/>
    <m/>
    <d v="2026-04-20T00:00:00"/>
    <d v="2026-04-20T00:00:00"/>
    <n v="3"/>
    <d v="2025-11-20T00:00:00"/>
    <n v="1"/>
    <n v="0"/>
    <n v="1"/>
    <n v="1"/>
    <n v="1"/>
    <n v="1"/>
  </r>
  <r>
    <x v="118"/>
    <n v="73"/>
    <x v="1"/>
    <x v="82"/>
    <x v="79"/>
    <n v="1287"/>
    <x v="3"/>
    <x v="2"/>
    <x v="1"/>
    <n v="25"/>
    <n v="22.5"/>
    <n v="0"/>
    <x v="4"/>
    <x v="1"/>
    <s v="Social Media"/>
    <x v="5"/>
    <s v="Low"/>
    <x v="3"/>
    <x v="0"/>
    <n v="0"/>
    <d v="2022-06-12T00:00:00"/>
    <m/>
    <d v="2022-06-12T00:00:00"/>
    <n v="0"/>
    <d v="2022-06-12T00:00:00"/>
    <n v="0"/>
    <n v="0"/>
    <n v="1"/>
    <n v="0"/>
    <n v="0"/>
    <n v="0"/>
  </r>
  <r>
    <x v="119"/>
    <n v="41"/>
    <x v="1"/>
    <x v="82"/>
    <x v="2"/>
    <n v="1287"/>
    <x v="2"/>
    <x v="1"/>
    <x v="0"/>
    <n v="18"/>
    <n v="12"/>
    <n v="561.6"/>
    <x v="2"/>
    <x v="3"/>
    <s v="Social Media"/>
    <x v="2"/>
    <s v="High"/>
    <x v="0"/>
    <x v="1"/>
    <n v="705.6"/>
    <m/>
    <d v="2026-04-22T00:00:00"/>
    <d v="2026-04-22T00:00:00"/>
    <n v="3"/>
    <d v="2025-11-20T00:00:00"/>
    <n v="1"/>
    <n v="0"/>
    <n v="1"/>
    <n v="1"/>
    <n v="1"/>
    <n v="1"/>
  </r>
  <r>
    <x v="120"/>
    <n v="24"/>
    <x v="0"/>
    <x v="83"/>
    <x v="80"/>
    <n v="1284"/>
    <x v="1"/>
    <x v="1"/>
    <x v="1"/>
    <n v="25"/>
    <n v="14.999999999999998"/>
    <n v="180"/>
    <x v="1"/>
    <x v="0"/>
    <s v="Friend"/>
    <x v="4"/>
    <s v="Medium"/>
    <x v="1"/>
    <x v="0"/>
    <n v="180"/>
    <d v="2023-05-11T00:00:00"/>
    <m/>
    <d v="2023-05-11T00:00:00"/>
    <n v="0"/>
    <d v="2023-05-11T00:00:00"/>
    <n v="0"/>
    <n v="0"/>
    <n v="1"/>
    <n v="1"/>
    <n v="0"/>
    <n v="0"/>
  </r>
  <r>
    <x v="121"/>
    <n v="59"/>
    <x v="1"/>
    <x v="84"/>
    <x v="81"/>
    <n v="1283"/>
    <x v="1"/>
    <x v="1"/>
    <x v="2"/>
    <n v="10"/>
    <n v="6"/>
    <n v="72"/>
    <x v="0"/>
    <x v="2"/>
    <s v="Email Campaign"/>
    <x v="1"/>
    <s v="Low"/>
    <x v="0"/>
    <x v="0"/>
    <n v="72"/>
    <d v="2023-05-12T00:00:00"/>
    <m/>
    <d v="2023-05-12T00:00:00"/>
    <n v="0"/>
    <d v="2023-05-12T00:00:00"/>
    <n v="0"/>
    <n v="0"/>
    <n v="1"/>
    <n v="1"/>
    <n v="0"/>
    <n v="0"/>
  </r>
  <r>
    <x v="122"/>
    <n v="62"/>
    <x v="1"/>
    <x v="85"/>
    <x v="82"/>
    <n v="1281"/>
    <x v="1"/>
    <x v="1"/>
    <x v="0"/>
    <n v="18"/>
    <n v="10.8"/>
    <n v="129.6"/>
    <x v="3"/>
    <x v="3"/>
    <s v="Search Engine"/>
    <x v="4"/>
    <s v="Medium"/>
    <x v="2"/>
    <x v="0"/>
    <n v="129.6"/>
    <d v="2023-05-14T00:00:00"/>
    <m/>
    <d v="2023-05-14T00:00:00"/>
    <n v="0"/>
    <d v="2023-05-14T00:00:00"/>
    <n v="0"/>
    <n v="0"/>
    <n v="1"/>
    <n v="1"/>
    <n v="0"/>
    <n v="0"/>
  </r>
  <r>
    <x v="123"/>
    <n v="44"/>
    <x v="0"/>
    <x v="85"/>
    <x v="2"/>
    <n v="1281"/>
    <x v="7"/>
    <x v="2"/>
    <x v="0"/>
    <n v="18"/>
    <n v="18"/>
    <n v="736.2"/>
    <x v="2"/>
    <x v="1"/>
    <s v="Email Campaign"/>
    <x v="2"/>
    <s v="Very High"/>
    <x v="0"/>
    <x v="1"/>
    <n v="754.2"/>
    <m/>
    <d v="2025-11-29T00:00:00"/>
    <d v="2025-11-29T00:00:00"/>
    <n v="42"/>
    <d v="2025-11-20T00:00:00"/>
    <n v="1"/>
    <n v="0"/>
    <n v="1"/>
    <n v="1"/>
    <n v="1"/>
    <n v="1"/>
  </r>
  <r>
    <x v="124"/>
    <n v="42"/>
    <x v="1"/>
    <x v="86"/>
    <x v="83"/>
    <n v="1279"/>
    <x v="1"/>
    <x v="1"/>
    <x v="2"/>
    <n v="10"/>
    <n v="6"/>
    <n v="72"/>
    <x v="2"/>
    <x v="3"/>
    <s v="Email Campaign"/>
    <x v="0"/>
    <s v="Low"/>
    <x v="0"/>
    <x v="0"/>
    <n v="72"/>
    <d v="2023-05-16T00:00:00"/>
    <m/>
    <d v="2023-05-16T00:00:00"/>
    <n v="0"/>
    <d v="2023-05-16T00:00:00"/>
    <n v="0"/>
    <n v="0"/>
    <n v="1"/>
    <n v="1"/>
    <n v="0"/>
    <n v="0"/>
  </r>
  <r>
    <x v="125"/>
    <n v="62"/>
    <x v="1"/>
    <x v="87"/>
    <x v="84"/>
    <n v="1278"/>
    <x v="1"/>
    <x v="1"/>
    <x v="0"/>
    <n v="18"/>
    <n v="10.8"/>
    <n v="129.6"/>
    <x v="3"/>
    <x v="1"/>
    <s v="Social Media"/>
    <x v="3"/>
    <s v="Medium"/>
    <x v="2"/>
    <x v="0"/>
    <n v="129.6"/>
    <d v="2023-05-17T00:00:00"/>
    <m/>
    <d v="2023-05-17T00:00:00"/>
    <n v="0"/>
    <d v="2023-05-17T00:00:00"/>
    <n v="0"/>
    <n v="0"/>
    <n v="1"/>
    <n v="1"/>
    <n v="0"/>
    <n v="0"/>
  </r>
  <r>
    <x v="126"/>
    <n v="30"/>
    <x v="1"/>
    <x v="87"/>
    <x v="2"/>
    <n v="1278"/>
    <x v="2"/>
    <x v="0"/>
    <x v="0"/>
    <n v="18"/>
    <n v="13.5"/>
    <n v="631.79999999999995"/>
    <x v="2"/>
    <x v="3"/>
    <s v="None"/>
    <x v="2"/>
    <s v="Very High"/>
    <x v="0"/>
    <x v="1"/>
    <n v="712.8"/>
    <m/>
    <d v="2026-05-01T00:00:00"/>
    <d v="2026-05-01T00:00:00"/>
    <n v="7"/>
    <d v="2025-11-20T00:00:00"/>
    <n v="1"/>
    <n v="0"/>
    <n v="1"/>
    <n v="1"/>
    <n v="1"/>
    <n v="1"/>
  </r>
  <r>
    <x v="127"/>
    <n v="69"/>
    <x v="0"/>
    <x v="88"/>
    <x v="85"/>
    <n v="1277"/>
    <x v="0"/>
    <x v="0"/>
    <x v="1"/>
    <n v="25"/>
    <n v="16.875"/>
    <n v="101.25"/>
    <x v="3"/>
    <x v="1"/>
    <s v="Email Campaign"/>
    <x v="1"/>
    <s v="Medium"/>
    <x v="2"/>
    <x v="0"/>
    <n v="101.25"/>
    <d v="2022-11-19T00:00:00"/>
    <m/>
    <d v="2022-11-19T00:00:00"/>
    <n v="0"/>
    <d v="2022-11-19T00:00:00"/>
    <n v="0"/>
    <n v="0"/>
    <n v="1"/>
    <n v="0"/>
    <n v="0"/>
    <n v="0"/>
  </r>
  <r>
    <x v="128"/>
    <n v="46"/>
    <x v="0"/>
    <x v="88"/>
    <x v="2"/>
    <n v="1277"/>
    <x v="7"/>
    <x v="2"/>
    <x v="0"/>
    <n v="18"/>
    <n v="18"/>
    <n v="736.2"/>
    <x v="2"/>
    <x v="1"/>
    <s v="Social Media"/>
    <x v="2"/>
    <s v="Very High"/>
    <x v="0"/>
    <x v="1"/>
    <n v="754.2"/>
    <m/>
    <d v="2025-12-03T00:00:00"/>
    <d v="2025-12-03T00:00:00"/>
    <n v="42"/>
    <d v="2025-11-20T00:00:00"/>
    <n v="1"/>
    <n v="0"/>
    <n v="1"/>
    <n v="1"/>
    <n v="1"/>
    <n v="1"/>
  </r>
  <r>
    <x v="129"/>
    <n v="61"/>
    <x v="1"/>
    <x v="89"/>
    <x v="86"/>
    <n v="1276"/>
    <x v="0"/>
    <x v="0"/>
    <x v="0"/>
    <n v="18"/>
    <n v="12.15"/>
    <n v="72.900000000000006"/>
    <x v="3"/>
    <x v="1"/>
    <s v="Email Campaign"/>
    <x v="5"/>
    <s v="Low"/>
    <x v="2"/>
    <x v="0"/>
    <n v="72.900000000000006"/>
    <d v="2022-11-20T00:00:00"/>
    <m/>
    <d v="2022-11-20T00:00:00"/>
    <n v="0"/>
    <d v="2022-11-20T00:00:00"/>
    <n v="0"/>
    <n v="0"/>
    <n v="1"/>
    <n v="0"/>
    <n v="0"/>
    <n v="0"/>
  </r>
  <r>
    <x v="130"/>
    <n v="27"/>
    <x v="1"/>
    <x v="89"/>
    <x v="86"/>
    <n v="1276"/>
    <x v="0"/>
    <x v="0"/>
    <x v="1"/>
    <n v="25"/>
    <n v="16.875"/>
    <n v="101.25"/>
    <x v="2"/>
    <x v="1"/>
    <s v="Social Media"/>
    <x v="0"/>
    <s v="Medium"/>
    <x v="0"/>
    <x v="0"/>
    <n v="101.25"/>
    <d v="2022-11-20T00:00:00"/>
    <m/>
    <d v="2022-11-20T00:00:00"/>
    <n v="0"/>
    <d v="2022-11-20T00:00:00"/>
    <n v="0"/>
    <n v="0"/>
    <n v="1"/>
    <n v="0"/>
    <n v="0"/>
    <n v="0"/>
  </r>
  <r>
    <x v="131"/>
    <n v="54"/>
    <x v="1"/>
    <x v="90"/>
    <x v="87"/>
    <n v="1275"/>
    <x v="3"/>
    <x v="2"/>
    <x v="2"/>
    <n v="10"/>
    <n v="9"/>
    <n v="0"/>
    <x v="0"/>
    <x v="3"/>
    <s v="Friend"/>
    <x v="4"/>
    <s v="Low"/>
    <x v="0"/>
    <x v="0"/>
    <n v="0"/>
    <d v="2022-06-24T00:00:00"/>
    <m/>
    <d v="2022-06-24T00:00:00"/>
    <n v="0"/>
    <d v="2022-06-24T00:00:00"/>
    <n v="0"/>
    <n v="0"/>
    <n v="1"/>
    <n v="0"/>
    <n v="0"/>
    <n v="0"/>
  </r>
  <r>
    <x v="132"/>
    <n v="43"/>
    <x v="1"/>
    <x v="91"/>
    <x v="88"/>
    <n v="1273"/>
    <x v="1"/>
    <x v="1"/>
    <x v="1"/>
    <n v="25"/>
    <n v="14.999999999999998"/>
    <n v="180"/>
    <x v="2"/>
    <x v="1"/>
    <s v="Email Campaign"/>
    <x v="1"/>
    <s v="Medium"/>
    <x v="0"/>
    <x v="0"/>
    <n v="180"/>
    <d v="2023-05-22T00:00:00"/>
    <m/>
    <d v="2023-05-22T00:00:00"/>
    <n v="0"/>
    <d v="2023-05-22T00:00:00"/>
    <n v="0"/>
    <n v="0"/>
    <n v="1"/>
    <n v="1"/>
    <n v="0"/>
    <n v="0"/>
  </r>
  <r>
    <x v="133"/>
    <n v="33"/>
    <x v="1"/>
    <x v="92"/>
    <x v="89"/>
    <n v="1272"/>
    <x v="0"/>
    <x v="0"/>
    <x v="1"/>
    <n v="25"/>
    <n v="16.875"/>
    <n v="101.25"/>
    <x v="2"/>
    <x v="1"/>
    <s v="Email Campaign"/>
    <x v="0"/>
    <s v="Medium"/>
    <x v="0"/>
    <x v="0"/>
    <n v="101.25"/>
    <d v="2022-11-24T00:00:00"/>
    <m/>
    <d v="2022-11-24T00:00:00"/>
    <n v="0"/>
    <d v="2022-11-24T00:00:00"/>
    <n v="0"/>
    <n v="0"/>
    <n v="1"/>
    <n v="0"/>
    <n v="0"/>
    <n v="0"/>
  </r>
  <r>
    <x v="134"/>
    <n v="26"/>
    <x v="0"/>
    <x v="93"/>
    <x v="2"/>
    <n v="1270"/>
    <x v="7"/>
    <x v="2"/>
    <x v="2"/>
    <n v="10"/>
    <n v="10"/>
    <n v="409"/>
    <x v="2"/>
    <x v="3"/>
    <s v="None"/>
    <x v="2"/>
    <s v="High"/>
    <x v="0"/>
    <x v="1"/>
    <n v="419"/>
    <m/>
    <d v="2025-12-10T00:00:00"/>
    <d v="2025-12-10T00:00:00"/>
    <n v="42"/>
    <d v="2025-11-20T00:00:00"/>
    <n v="1"/>
    <n v="0"/>
    <n v="1"/>
    <n v="1"/>
    <n v="1"/>
    <n v="1"/>
  </r>
  <r>
    <x v="135"/>
    <n v="27"/>
    <x v="0"/>
    <x v="94"/>
    <x v="0"/>
    <n v="1269"/>
    <x v="3"/>
    <x v="2"/>
    <x v="1"/>
    <n v="25"/>
    <n v="22.5"/>
    <n v="0"/>
    <x v="2"/>
    <x v="2"/>
    <s v="None"/>
    <x v="5"/>
    <s v="Low"/>
    <x v="0"/>
    <x v="0"/>
    <n v="0"/>
    <d v="2022-06-30T00:00:00"/>
    <m/>
    <d v="2022-06-30T00:00:00"/>
    <n v="0"/>
    <d v="2022-06-30T00:00:00"/>
    <n v="0"/>
    <n v="0"/>
    <n v="1"/>
    <n v="0"/>
    <n v="0"/>
    <n v="0"/>
  </r>
  <r>
    <x v="136"/>
    <n v="74"/>
    <x v="0"/>
    <x v="94"/>
    <x v="90"/>
    <n v="1269"/>
    <x v="1"/>
    <x v="1"/>
    <x v="0"/>
    <n v="18"/>
    <n v="10.8"/>
    <n v="129.6"/>
    <x v="4"/>
    <x v="2"/>
    <s v="Social Media"/>
    <x v="1"/>
    <s v="Medium"/>
    <x v="3"/>
    <x v="0"/>
    <n v="129.6"/>
    <d v="2023-05-26T00:00:00"/>
    <m/>
    <d v="2023-05-26T00:00:00"/>
    <n v="0"/>
    <d v="2023-05-26T00:00:00"/>
    <n v="0"/>
    <n v="0"/>
    <n v="1"/>
    <n v="1"/>
    <n v="0"/>
    <n v="0"/>
  </r>
  <r>
    <x v="137"/>
    <n v="23"/>
    <x v="1"/>
    <x v="95"/>
    <x v="91"/>
    <n v="1268"/>
    <x v="1"/>
    <x v="1"/>
    <x v="1"/>
    <n v="25"/>
    <n v="14.999999999999998"/>
    <n v="180"/>
    <x v="1"/>
    <x v="0"/>
    <s v="Social Media"/>
    <x v="4"/>
    <s v="Medium"/>
    <x v="1"/>
    <x v="0"/>
    <n v="180"/>
    <d v="2023-05-27T00:00:00"/>
    <m/>
    <d v="2023-05-27T00:00:00"/>
    <n v="0"/>
    <d v="2023-05-27T00:00:00"/>
    <n v="0"/>
    <n v="0"/>
    <n v="1"/>
    <n v="1"/>
    <n v="0"/>
    <n v="0"/>
  </r>
  <r>
    <x v="138"/>
    <n v="18"/>
    <x v="0"/>
    <x v="95"/>
    <x v="91"/>
    <n v="1268"/>
    <x v="1"/>
    <x v="1"/>
    <x v="0"/>
    <n v="18"/>
    <n v="10.8"/>
    <n v="129.6"/>
    <x v="1"/>
    <x v="3"/>
    <s v="Email Campaign"/>
    <x v="1"/>
    <s v="Medium"/>
    <x v="4"/>
    <x v="0"/>
    <n v="129.6"/>
    <d v="2023-05-27T00:00:00"/>
    <m/>
    <d v="2023-05-27T00:00:00"/>
    <n v="0"/>
    <d v="2023-05-27T00:00:00"/>
    <n v="0"/>
    <n v="0"/>
    <n v="1"/>
    <n v="1"/>
    <n v="0"/>
    <n v="0"/>
  </r>
  <r>
    <x v="139"/>
    <n v="38"/>
    <x v="1"/>
    <x v="96"/>
    <x v="92"/>
    <n v="1267"/>
    <x v="3"/>
    <x v="2"/>
    <x v="1"/>
    <n v="25"/>
    <n v="22.5"/>
    <n v="0"/>
    <x v="2"/>
    <x v="0"/>
    <s v="None"/>
    <x v="4"/>
    <s v="Low"/>
    <x v="0"/>
    <x v="0"/>
    <n v="0"/>
    <d v="2022-07-02T00:00:00"/>
    <m/>
    <d v="2022-07-02T00:00:00"/>
    <n v="0"/>
    <d v="2022-07-02T00:00:00"/>
    <n v="0"/>
    <n v="0"/>
    <n v="0"/>
    <n v="0"/>
    <n v="0"/>
    <n v="0"/>
  </r>
  <r>
    <x v="140"/>
    <n v="41"/>
    <x v="0"/>
    <x v="97"/>
    <x v="93"/>
    <n v="1265"/>
    <x v="1"/>
    <x v="1"/>
    <x v="2"/>
    <n v="10"/>
    <n v="6"/>
    <n v="72"/>
    <x v="2"/>
    <x v="1"/>
    <s v="Search Engine"/>
    <x v="1"/>
    <s v="Low"/>
    <x v="0"/>
    <x v="0"/>
    <n v="72"/>
    <d v="2023-05-30T00:00:00"/>
    <m/>
    <d v="2023-05-30T00:00:00"/>
    <n v="0"/>
    <d v="2023-05-30T00:00:00"/>
    <n v="0"/>
    <n v="0"/>
    <n v="0"/>
    <n v="1"/>
    <n v="0"/>
    <n v="0"/>
  </r>
  <r>
    <x v="141"/>
    <n v="23"/>
    <x v="1"/>
    <x v="98"/>
    <x v="4"/>
    <n v="1264"/>
    <x v="3"/>
    <x v="2"/>
    <x v="1"/>
    <n v="25"/>
    <n v="22.5"/>
    <n v="0"/>
    <x v="1"/>
    <x v="3"/>
    <s v="Friend"/>
    <x v="4"/>
    <s v="Low"/>
    <x v="1"/>
    <x v="0"/>
    <n v="0"/>
    <d v="2022-07-05T00:00:00"/>
    <m/>
    <d v="2022-07-05T00:00:00"/>
    <n v="0"/>
    <d v="2022-07-05T00:00:00"/>
    <n v="0"/>
    <n v="0"/>
    <n v="0"/>
    <n v="0"/>
    <n v="0"/>
    <n v="0"/>
  </r>
  <r>
    <x v="142"/>
    <n v="54"/>
    <x v="0"/>
    <x v="98"/>
    <x v="4"/>
    <n v="1264"/>
    <x v="3"/>
    <x v="2"/>
    <x v="1"/>
    <n v="25"/>
    <n v="22.5"/>
    <n v="0"/>
    <x v="0"/>
    <x v="0"/>
    <s v="Social Media"/>
    <x v="3"/>
    <s v="Low"/>
    <x v="0"/>
    <x v="0"/>
    <n v="0"/>
    <d v="2022-07-05T00:00:00"/>
    <m/>
    <d v="2022-07-05T00:00:00"/>
    <n v="0"/>
    <d v="2022-07-05T00:00:00"/>
    <n v="0"/>
    <n v="0"/>
    <n v="0"/>
    <n v="0"/>
    <n v="0"/>
    <n v="0"/>
  </r>
  <r>
    <x v="143"/>
    <n v="30"/>
    <x v="0"/>
    <x v="99"/>
    <x v="94"/>
    <n v="1263"/>
    <x v="0"/>
    <x v="0"/>
    <x v="2"/>
    <n v="10"/>
    <n v="6.75"/>
    <n v="40.5"/>
    <x v="2"/>
    <x v="3"/>
    <s v="Social Media"/>
    <x v="3"/>
    <s v="Low"/>
    <x v="0"/>
    <x v="0"/>
    <n v="40.5"/>
    <d v="2022-12-03T00:00:00"/>
    <m/>
    <d v="2022-12-03T00:00:00"/>
    <n v="0"/>
    <d v="2022-12-03T00:00:00"/>
    <n v="0"/>
    <n v="0"/>
    <n v="0"/>
    <n v="0"/>
    <n v="0"/>
    <n v="0"/>
  </r>
  <r>
    <x v="144"/>
    <n v="62"/>
    <x v="1"/>
    <x v="99"/>
    <x v="94"/>
    <n v="1263"/>
    <x v="0"/>
    <x v="0"/>
    <x v="0"/>
    <n v="18"/>
    <n v="12.15"/>
    <n v="72.900000000000006"/>
    <x v="3"/>
    <x v="2"/>
    <s v="Search Engine"/>
    <x v="5"/>
    <s v="Low"/>
    <x v="2"/>
    <x v="0"/>
    <n v="72.900000000000006"/>
    <d v="2022-12-03T00:00:00"/>
    <m/>
    <d v="2022-12-03T00:00:00"/>
    <n v="0"/>
    <d v="2022-12-03T00:00:00"/>
    <n v="0"/>
    <n v="0"/>
    <n v="0"/>
    <n v="0"/>
    <n v="0"/>
    <n v="0"/>
  </r>
  <r>
    <x v="145"/>
    <n v="45"/>
    <x v="1"/>
    <x v="100"/>
    <x v="95"/>
    <n v="1261"/>
    <x v="1"/>
    <x v="1"/>
    <x v="2"/>
    <n v="10"/>
    <n v="6"/>
    <n v="72"/>
    <x v="2"/>
    <x v="2"/>
    <s v="Search Engine"/>
    <x v="5"/>
    <s v="Low"/>
    <x v="0"/>
    <x v="0"/>
    <n v="72"/>
    <d v="2023-06-03T00:00:00"/>
    <m/>
    <d v="2023-06-03T00:00:00"/>
    <n v="0"/>
    <d v="2023-06-03T00:00:00"/>
    <n v="0"/>
    <n v="0"/>
    <n v="0"/>
    <n v="1"/>
    <n v="1"/>
    <n v="0"/>
  </r>
  <r>
    <x v="146"/>
    <n v="73"/>
    <x v="0"/>
    <x v="101"/>
    <x v="96"/>
    <n v="1259"/>
    <x v="0"/>
    <x v="0"/>
    <x v="1"/>
    <n v="25"/>
    <n v="16.875"/>
    <n v="101.25"/>
    <x v="4"/>
    <x v="1"/>
    <s v="Search Engine"/>
    <x v="5"/>
    <s v="Medium"/>
    <x v="3"/>
    <x v="0"/>
    <n v="101.25"/>
    <d v="2022-12-07T00:00:00"/>
    <m/>
    <d v="2022-12-07T00:00:00"/>
    <n v="0"/>
    <d v="2022-12-07T00:00:00"/>
    <n v="0"/>
    <n v="0"/>
    <n v="0"/>
    <n v="0"/>
    <n v="0"/>
    <n v="0"/>
  </r>
  <r>
    <x v="147"/>
    <n v="75"/>
    <x v="1"/>
    <x v="101"/>
    <x v="97"/>
    <n v="1259"/>
    <x v="1"/>
    <x v="1"/>
    <x v="2"/>
    <n v="10"/>
    <n v="6"/>
    <n v="72"/>
    <x v="4"/>
    <x v="1"/>
    <s v="None"/>
    <x v="3"/>
    <s v="Low"/>
    <x v="3"/>
    <x v="0"/>
    <n v="72"/>
    <d v="2023-06-05T00:00:00"/>
    <m/>
    <d v="2023-06-05T00:00:00"/>
    <n v="0"/>
    <d v="2023-06-05T00:00:00"/>
    <n v="0"/>
    <n v="0"/>
    <n v="0"/>
    <n v="1"/>
    <n v="1"/>
    <n v="0"/>
  </r>
  <r>
    <x v="148"/>
    <n v="50"/>
    <x v="0"/>
    <x v="101"/>
    <x v="2"/>
    <n v="1259"/>
    <x v="8"/>
    <x v="2"/>
    <x v="0"/>
    <n v="18"/>
    <n v="18"/>
    <n v="718.2"/>
    <x v="0"/>
    <x v="0"/>
    <s v="Search Engine"/>
    <x v="2"/>
    <s v="Very High"/>
    <x v="0"/>
    <x v="1"/>
    <n v="736.2"/>
    <m/>
    <d v="2025-11-21T00:00:00"/>
    <d v="2025-11-21T00:00:00"/>
    <n v="41"/>
    <d v="2025-11-20T00:00:00"/>
    <n v="1"/>
    <n v="0"/>
    <n v="0"/>
    <n v="1"/>
    <n v="1"/>
    <n v="1"/>
  </r>
  <r>
    <x v="149"/>
    <n v="21"/>
    <x v="0"/>
    <x v="102"/>
    <x v="98"/>
    <n v="1257"/>
    <x v="1"/>
    <x v="1"/>
    <x v="2"/>
    <n v="10"/>
    <n v="6"/>
    <n v="72"/>
    <x v="1"/>
    <x v="0"/>
    <s v="Social Media"/>
    <x v="1"/>
    <s v="Low"/>
    <x v="1"/>
    <x v="0"/>
    <n v="72"/>
    <d v="2023-06-07T00:00:00"/>
    <m/>
    <d v="2023-06-07T00:00:00"/>
    <n v="0"/>
    <d v="2023-06-07T00:00:00"/>
    <n v="0"/>
    <n v="0"/>
    <n v="0"/>
    <n v="1"/>
    <n v="1"/>
    <n v="0"/>
  </r>
  <r>
    <x v="150"/>
    <n v="18"/>
    <x v="1"/>
    <x v="103"/>
    <x v="99"/>
    <n v="1254"/>
    <x v="0"/>
    <x v="0"/>
    <x v="1"/>
    <n v="25"/>
    <n v="16.875"/>
    <n v="101.25"/>
    <x v="1"/>
    <x v="3"/>
    <s v="Search Engine"/>
    <x v="4"/>
    <s v="Medium"/>
    <x v="4"/>
    <x v="0"/>
    <n v="101.25"/>
    <d v="2022-12-12T00:00:00"/>
    <m/>
    <d v="2022-12-12T00:00:00"/>
    <n v="0"/>
    <d v="2022-12-12T00:00:00"/>
    <n v="0"/>
    <n v="0"/>
    <n v="0"/>
    <n v="0"/>
    <n v="0"/>
    <n v="0"/>
  </r>
  <r>
    <x v="151"/>
    <n v="53"/>
    <x v="0"/>
    <x v="104"/>
    <x v="100"/>
    <n v="1253"/>
    <x v="3"/>
    <x v="2"/>
    <x v="1"/>
    <n v="25"/>
    <n v="22.5"/>
    <n v="0"/>
    <x v="0"/>
    <x v="1"/>
    <s v="Social Media"/>
    <x v="1"/>
    <s v="Low"/>
    <x v="0"/>
    <x v="0"/>
    <n v="0"/>
    <d v="2022-07-16T00:00:00"/>
    <m/>
    <d v="2022-07-16T00:00:00"/>
    <n v="0"/>
    <d v="2022-07-16T00:00:00"/>
    <n v="0"/>
    <n v="0"/>
    <n v="0"/>
    <n v="0"/>
    <n v="0"/>
    <n v="0"/>
  </r>
  <r>
    <x v="152"/>
    <n v="61"/>
    <x v="0"/>
    <x v="104"/>
    <x v="101"/>
    <n v="1253"/>
    <x v="1"/>
    <x v="1"/>
    <x v="0"/>
    <n v="18"/>
    <n v="10.8"/>
    <n v="129.6"/>
    <x v="3"/>
    <x v="2"/>
    <s v="None"/>
    <x v="5"/>
    <s v="Medium"/>
    <x v="2"/>
    <x v="0"/>
    <n v="129.6"/>
    <d v="2023-06-11T00:00:00"/>
    <m/>
    <d v="2023-06-11T00:00:00"/>
    <n v="0"/>
    <d v="2023-06-11T00:00:00"/>
    <n v="0"/>
    <n v="0"/>
    <n v="0"/>
    <n v="1"/>
    <n v="1"/>
    <n v="0"/>
  </r>
  <r>
    <x v="153"/>
    <n v="73"/>
    <x v="0"/>
    <x v="105"/>
    <x v="102"/>
    <n v="1252"/>
    <x v="0"/>
    <x v="0"/>
    <x v="2"/>
    <n v="10"/>
    <n v="6.75"/>
    <n v="40.5"/>
    <x v="4"/>
    <x v="1"/>
    <s v="Search Engine"/>
    <x v="3"/>
    <s v="Low"/>
    <x v="3"/>
    <x v="0"/>
    <n v="40.5"/>
    <d v="2022-12-14T00:00:00"/>
    <m/>
    <d v="2022-12-14T00:00:00"/>
    <n v="0"/>
    <d v="2022-12-14T00:00:00"/>
    <n v="0"/>
    <n v="0"/>
    <n v="0"/>
    <n v="0"/>
    <n v="0"/>
    <n v="0"/>
  </r>
  <r>
    <x v="154"/>
    <n v="69"/>
    <x v="1"/>
    <x v="105"/>
    <x v="103"/>
    <n v="1252"/>
    <x v="1"/>
    <x v="1"/>
    <x v="1"/>
    <n v="25"/>
    <n v="14.999999999999998"/>
    <n v="180"/>
    <x v="3"/>
    <x v="2"/>
    <s v="None"/>
    <x v="5"/>
    <s v="Medium"/>
    <x v="2"/>
    <x v="0"/>
    <n v="180"/>
    <d v="2023-06-12T00:00:00"/>
    <m/>
    <d v="2023-06-12T00:00:00"/>
    <n v="0"/>
    <d v="2023-06-12T00:00:00"/>
    <n v="0"/>
    <n v="0"/>
    <n v="0"/>
    <n v="1"/>
    <n v="1"/>
    <n v="0"/>
  </r>
  <r>
    <x v="155"/>
    <n v="30"/>
    <x v="0"/>
    <x v="106"/>
    <x v="15"/>
    <n v="1250"/>
    <x v="3"/>
    <x v="2"/>
    <x v="1"/>
    <n v="25"/>
    <n v="22.5"/>
    <n v="0"/>
    <x v="2"/>
    <x v="0"/>
    <s v="None"/>
    <x v="4"/>
    <s v="Low"/>
    <x v="0"/>
    <x v="0"/>
    <n v="0"/>
    <d v="2022-07-19T00:00:00"/>
    <m/>
    <d v="2022-07-19T00:00:00"/>
    <n v="0"/>
    <d v="2022-07-19T00:00:00"/>
    <n v="0"/>
    <n v="0"/>
    <n v="0"/>
    <n v="0"/>
    <n v="0"/>
    <n v="0"/>
  </r>
  <r>
    <x v="156"/>
    <n v="67"/>
    <x v="1"/>
    <x v="106"/>
    <x v="104"/>
    <n v="1250"/>
    <x v="1"/>
    <x v="1"/>
    <x v="1"/>
    <n v="25"/>
    <n v="14.999999999999998"/>
    <n v="180"/>
    <x v="3"/>
    <x v="2"/>
    <s v="Email Campaign"/>
    <x v="0"/>
    <s v="Medium"/>
    <x v="2"/>
    <x v="0"/>
    <n v="180"/>
    <d v="2023-06-14T00:00:00"/>
    <m/>
    <d v="2023-06-14T00:00:00"/>
    <n v="0"/>
    <d v="2023-06-14T00:00:00"/>
    <n v="0"/>
    <n v="0"/>
    <n v="0"/>
    <n v="1"/>
    <n v="1"/>
    <n v="0"/>
  </r>
  <r>
    <x v="157"/>
    <n v="60"/>
    <x v="1"/>
    <x v="107"/>
    <x v="105"/>
    <n v="1248"/>
    <x v="3"/>
    <x v="2"/>
    <x v="2"/>
    <n v="10"/>
    <n v="9"/>
    <n v="0"/>
    <x v="3"/>
    <x v="2"/>
    <s v="Social Media"/>
    <x v="4"/>
    <s v="Low"/>
    <x v="2"/>
    <x v="0"/>
    <n v="0"/>
    <d v="2022-07-21T00:00:00"/>
    <m/>
    <d v="2022-07-21T00:00:00"/>
    <n v="0"/>
    <d v="2022-07-21T00:00:00"/>
    <n v="0"/>
    <n v="0"/>
    <n v="0"/>
    <n v="0"/>
    <n v="0"/>
    <n v="0"/>
  </r>
  <r>
    <x v="158"/>
    <n v="41"/>
    <x v="0"/>
    <x v="108"/>
    <x v="106"/>
    <n v="1242"/>
    <x v="1"/>
    <x v="1"/>
    <x v="0"/>
    <n v="18"/>
    <n v="10.8"/>
    <n v="129.6"/>
    <x v="2"/>
    <x v="2"/>
    <s v="Search Engine"/>
    <x v="1"/>
    <s v="Medium"/>
    <x v="0"/>
    <x v="0"/>
    <n v="129.6"/>
    <d v="2023-06-22T00:00:00"/>
    <m/>
    <d v="2023-06-22T00:00:00"/>
    <n v="0"/>
    <d v="2023-06-22T00:00:00"/>
    <n v="0"/>
    <n v="0"/>
    <n v="0"/>
    <n v="1"/>
    <n v="1"/>
    <n v="0"/>
  </r>
  <r>
    <x v="159"/>
    <n v="51"/>
    <x v="1"/>
    <x v="109"/>
    <x v="2"/>
    <n v="1241"/>
    <x v="8"/>
    <x v="2"/>
    <x v="0"/>
    <n v="18"/>
    <n v="18"/>
    <n v="718.2"/>
    <x v="0"/>
    <x v="3"/>
    <s v="Friend"/>
    <x v="2"/>
    <s v="Very High"/>
    <x v="0"/>
    <x v="1"/>
    <n v="736.2"/>
    <m/>
    <d v="2025-12-09T00:00:00"/>
    <d v="2025-12-09T00:00:00"/>
    <n v="41"/>
    <d v="2025-11-20T00:00:00"/>
    <n v="1"/>
    <n v="0"/>
    <n v="0"/>
    <n v="1"/>
    <n v="1"/>
    <n v="1"/>
  </r>
  <r>
    <x v="160"/>
    <n v="25"/>
    <x v="1"/>
    <x v="110"/>
    <x v="107"/>
    <n v="1240"/>
    <x v="1"/>
    <x v="1"/>
    <x v="0"/>
    <n v="18"/>
    <n v="10.8"/>
    <n v="129.6"/>
    <x v="1"/>
    <x v="1"/>
    <s v="None"/>
    <x v="1"/>
    <s v="Medium"/>
    <x v="1"/>
    <x v="0"/>
    <n v="129.6"/>
    <d v="2023-06-24T00:00:00"/>
    <m/>
    <d v="2023-06-24T00:00:00"/>
    <n v="0"/>
    <d v="2023-06-24T00:00:00"/>
    <n v="0"/>
    <n v="0"/>
    <n v="0"/>
    <n v="1"/>
    <n v="1"/>
    <n v="0"/>
  </r>
  <r>
    <x v="161"/>
    <n v="23"/>
    <x v="0"/>
    <x v="110"/>
    <x v="2"/>
    <n v="1240"/>
    <x v="2"/>
    <x v="1"/>
    <x v="2"/>
    <n v="10"/>
    <n v="6.6666666666666661"/>
    <n v="312"/>
    <x v="1"/>
    <x v="0"/>
    <s v="None"/>
    <x v="2"/>
    <s v="High"/>
    <x v="1"/>
    <x v="1"/>
    <n v="392"/>
    <m/>
    <d v="2026-06-08T00:00:00"/>
    <d v="2026-06-08T00:00:00"/>
    <n v="3"/>
    <d v="2025-11-20T00:00:00"/>
    <n v="1"/>
    <n v="0"/>
    <n v="0"/>
    <n v="1"/>
    <n v="1"/>
    <n v="1"/>
  </r>
  <r>
    <x v="162"/>
    <n v="35"/>
    <x v="0"/>
    <x v="110"/>
    <x v="2"/>
    <n v="1240"/>
    <x v="8"/>
    <x v="2"/>
    <x v="2"/>
    <n v="10"/>
    <n v="10"/>
    <n v="399"/>
    <x v="2"/>
    <x v="1"/>
    <s v="Email Campaign"/>
    <x v="2"/>
    <s v="High"/>
    <x v="0"/>
    <x v="1"/>
    <n v="409"/>
    <m/>
    <d v="2025-12-10T00:00:00"/>
    <d v="2025-12-10T00:00:00"/>
    <n v="41"/>
    <d v="2025-11-20T00:00:00"/>
    <n v="1"/>
    <n v="0"/>
    <n v="0"/>
    <n v="1"/>
    <n v="1"/>
    <n v="1"/>
  </r>
  <r>
    <x v="163"/>
    <n v="67"/>
    <x v="0"/>
    <x v="111"/>
    <x v="108"/>
    <n v="1238"/>
    <x v="3"/>
    <x v="2"/>
    <x v="0"/>
    <n v="18"/>
    <n v="16.2"/>
    <n v="0"/>
    <x v="3"/>
    <x v="2"/>
    <s v="None"/>
    <x v="4"/>
    <s v="Low"/>
    <x v="2"/>
    <x v="0"/>
    <n v="0"/>
    <d v="2022-07-31T00:00:00"/>
    <m/>
    <d v="2022-07-31T00:00:00"/>
    <n v="0"/>
    <d v="2022-07-31T00:00:00"/>
    <n v="0"/>
    <n v="0"/>
    <n v="0"/>
    <n v="0"/>
    <n v="0"/>
    <n v="0"/>
  </r>
  <r>
    <x v="164"/>
    <n v="58"/>
    <x v="1"/>
    <x v="111"/>
    <x v="109"/>
    <n v="1238"/>
    <x v="1"/>
    <x v="1"/>
    <x v="1"/>
    <n v="25"/>
    <n v="14.999999999999998"/>
    <n v="180"/>
    <x v="0"/>
    <x v="1"/>
    <s v="Search Engine"/>
    <x v="0"/>
    <s v="Medium"/>
    <x v="0"/>
    <x v="0"/>
    <n v="180"/>
    <d v="2023-06-26T00:00:00"/>
    <m/>
    <d v="2023-06-26T00:00:00"/>
    <n v="0"/>
    <d v="2023-06-26T00:00:00"/>
    <n v="0"/>
    <n v="0"/>
    <n v="0"/>
    <n v="1"/>
    <n v="1"/>
    <n v="0"/>
  </r>
  <r>
    <x v="165"/>
    <n v="41"/>
    <x v="1"/>
    <x v="112"/>
    <x v="110"/>
    <n v="1237"/>
    <x v="3"/>
    <x v="2"/>
    <x v="2"/>
    <n v="10"/>
    <n v="9"/>
    <n v="0"/>
    <x v="2"/>
    <x v="3"/>
    <s v="Email Campaign"/>
    <x v="5"/>
    <s v="Low"/>
    <x v="0"/>
    <x v="0"/>
    <n v="0"/>
    <d v="2022-08-01T00:00:00"/>
    <m/>
    <d v="2022-08-01T00:00:00"/>
    <n v="0"/>
    <d v="2022-08-01T00:00:00"/>
    <n v="0"/>
    <n v="0"/>
    <n v="0"/>
    <n v="0"/>
    <n v="0"/>
    <n v="0"/>
  </r>
  <r>
    <x v="166"/>
    <n v="32"/>
    <x v="0"/>
    <x v="113"/>
    <x v="111"/>
    <n v="1235"/>
    <x v="0"/>
    <x v="0"/>
    <x v="2"/>
    <n v="10"/>
    <n v="6.75"/>
    <n v="40.5"/>
    <x v="2"/>
    <x v="2"/>
    <s v="Search Engine"/>
    <x v="0"/>
    <s v="Low"/>
    <x v="0"/>
    <x v="0"/>
    <n v="40.5"/>
    <d v="2022-12-31T00:00:00"/>
    <m/>
    <d v="2022-12-31T00:00:00"/>
    <n v="0"/>
    <d v="2022-12-31T00:00:00"/>
    <n v="0"/>
    <n v="0"/>
    <n v="0"/>
    <n v="0"/>
    <n v="0"/>
    <n v="0"/>
  </r>
  <r>
    <x v="167"/>
    <n v="53"/>
    <x v="0"/>
    <x v="114"/>
    <x v="112"/>
    <n v="1234"/>
    <x v="0"/>
    <x v="0"/>
    <x v="0"/>
    <n v="18"/>
    <n v="12.15"/>
    <n v="72.900000000000006"/>
    <x v="0"/>
    <x v="0"/>
    <s v="Search Engine"/>
    <x v="4"/>
    <s v="Low"/>
    <x v="0"/>
    <x v="0"/>
    <n v="72.900000000000006"/>
    <d v="2023-01-01T00:00:00"/>
    <m/>
    <d v="2023-01-01T00:00:00"/>
    <n v="0"/>
    <d v="2023-01-01T00:00:00"/>
    <n v="0"/>
    <n v="0"/>
    <n v="0"/>
    <n v="1"/>
    <n v="0"/>
    <n v="0"/>
  </r>
  <r>
    <x v="168"/>
    <n v="40"/>
    <x v="0"/>
    <x v="115"/>
    <x v="113"/>
    <n v="1233"/>
    <x v="3"/>
    <x v="2"/>
    <x v="0"/>
    <n v="18"/>
    <n v="16.2"/>
    <n v="0"/>
    <x v="2"/>
    <x v="0"/>
    <s v="Email Campaign"/>
    <x v="3"/>
    <s v="Low"/>
    <x v="0"/>
    <x v="0"/>
    <n v="0"/>
    <d v="2022-08-05T00:00:00"/>
    <m/>
    <d v="2022-08-05T00:00:00"/>
    <n v="0"/>
    <d v="2022-08-05T00:00:00"/>
    <n v="0"/>
    <n v="0"/>
    <n v="0"/>
    <n v="0"/>
    <n v="0"/>
    <n v="0"/>
  </r>
  <r>
    <x v="169"/>
    <n v="40"/>
    <x v="0"/>
    <x v="115"/>
    <x v="114"/>
    <n v="1233"/>
    <x v="0"/>
    <x v="0"/>
    <x v="0"/>
    <n v="18"/>
    <n v="12.15"/>
    <n v="72.900000000000006"/>
    <x v="2"/>
    <x v="2"/>
    <s v="Email Campaign"/>
    <x v="5"/>
    <s v="Low"/>
    <x v="0"/>
    <x v="0"/>
    <n v="72.900000000000006"/>
    <d v="2023-01-02T00:00:00"/>
    <m/>
    <d v="2023-01-02T00:00:00"/>
    <n v="0"/>
    <d v="2023-01-02T00:00:00"/>
    <n v="0"/>
    <n v="0"/>
    <n v="0"/>
    <n v="1"/>
    <n v="0"/>
    <n v="0"/>
  </r>
  <r>
    <x v="170"/>
    <n v="62"/>
    <x v="0"/>
    <x v="116"/>
    <x v="115"/>
    <n v="1232"/>
    <x v="0"/>
    <x v="0"/>
    <x v="1"/>
    <n v="25"/>
    <n v="16.875"/>
    <n v="101.25"/>
    <x v="3"/>
    <x v="2"/>
    <s v="Email Campaign"/>
    <x v="4"/>
    <s v="Medium"/>
    <x v="2"/>
    <x v="0"/>
    <n v="101.25"/>
    <d v="2023-01-03T00:00:00"/>
    <m/>
    <d v="2023-01-03T00:00:00"/>
    <n v="0"/>
    <d v="2023-01-03T00:00:00"/>
    <n v="0"/>
    <n v="0"/>
    <n v="0"/>
    <n v="1"/>
    <n v="0"/>
    <n v="0"/>
  </r>
  <r>
    <x v="171"/>
    <n v="44"/>
    <x v="1"/>
    <x v="116"/>
    <x v="116"/>
    <n v="1232"/>
    <x v="1"/>
    <x v="1"/>
    <x v="0"/>
    <n v="18"/>
    <n v="10.8"/>
    <n v="129.6"/>
    <x v="2"/>
    <x v="0"/>
    <s v="Friend"/>
    <x v="3"/>
    <s v="Medium"/>
    <x v="0"/>
    <x v="0"/>
    <n v="129.6"/>
    <d v="2023-07-02T00:00:00"/>
    <m/>
    <d v="2023-07-02T00:00:00"/>
    <n v="0"/>
    <d v="2023-07-02T00:00:00"/>
    <n v="0"/>
    <n v="0"/>
    <n v="0"/>
    <n v="1"/>
    <n v="1"/>
    <n v="0"/>
  </r>
  <r>
    <x v="172"/>
    <n v="60"/>
    <x v="0"/>
    <x v="117"/>
    <x v="117"/>
    <n v="1231"/>
    <x v="1"/>
    <x v="1"/>
    <x v="0"/>
    <n v="18"/>
    <n v="10.8"/>
    <n v="129.6"/>
    <x v="3"/>
    <x v="2"/>
    <s v="Friend"/>
    <x v="3"/>
    <s v="Medium"/>
    <x v="2"/>
    <x v="0"/>
    <n v="129.6"/>
    <d v="2023-07-03T00:00:00"/>
    <m/>
    <d v="2023-07-03T00:00:00"/>
    <n v="0"/>
    <d v="2023-07-03T00:00:00"/>
    <n v="0"/>
    <n v="0"/>
    <n v="0"/>
    <n v="1"/>
    <n v="1"/>
    <n v="0"/>
  </r>
  <r>
    <x v="173"/>
    <n v="64"/>
    <x v="0"/>
    <x v="118"/>
    <x v="118"/>
    <n v="1230"/>
    <x v="1"/>
    <x v="1"/>
    <x v="0"/>
    <n v="18"/>
    <n v="10.8"/>
    <n v="129.6"/>
    <x v="3"/>
    <x v="1"/>
    <s v="Social Media"/>
    <x v="5"/>
    <s v="Medium"/>
    <x v="2"/>
    <x v="0"/>
    <n v="129.6"/>
    <d v="2023-07-04T00:00:00"/>
    <m/>
    <d v="2023-07-04T00:00:00"/>
    <n v="0"/>
    <d v="2023-07-04T00:00:00"/>
    <n v="0"/>
    <n v="0"/>
    <n v="0"/>
    <n v="1"/>
    <n v="1"/>
    <n v="0"/>
  </r>
  <r>
    <x v="174"/>
    <n v="25"/>
    <x v="0"/>
    <x v="119"/>
    <x v="119"/>
    <n v="1229"/>
    <x v="1"/>
    <x v="1"/>
    <x v="1"/>
    <n v="25"/>
    <n v="14.999999999999998"/>
    <n v="180"/>
    <x v="1"/>
    <x v="3"/>
    <s v="Friend"/>
    <x v="5"/>
    <s v="Medium"/>
    <x v="1"/>
    <x v="0"/>
    <n v="180"/>
    <d v="2023-07-05T00:00:00"/>
    <m/>
    <d v="2023-07-05T00:00:00"/>
    <n v="0"/>
    <d v="2023-07-05T00:00:00"/>
    <n v="0"/>
    <n v="0"/>
    <n v="0"/>
    <n v="1"/>
    <n v="1"/>
    <n v="0"/>
  </r>
  <r>
    <x v="175"/>
    <n v="27"/>
    <x v="0"/>
    <x v="120"/>
    <x v="120"/>
    <n v="1227"/>
    <x v="1"/>
    <x v="1"/>
    <x v="0"/>
    <n v="18"/>
    <n v="10.8"/>
    <n v="129.6"/>
    <x v="2"/>
    <x v="0"/>
    <s v="Friend"/>
    <x v="5"/>
    <s v="Medium"/>
    <x v="0"/>
    <x v="0"/>
    <n v="129.6"/>
    <d v="2023-07-07T00:00:00"/>
    <m/>
    <d v="2023-07-07T00:00:00"/>
    <n v="0"/>
    <d v="2023-07-07T00:00:00"/>
    <n v="0"/>
    <n v="0"/>
    <n v="0"/>
    <n v="1"/>
    <n v="1"/>
    <n v="0"/>
  </r>
  <r>
    <x v="176"/>
    <n v="46"/>
    <x v="0"/>
    <x v="121"/>
    <x v="121"/>
    <n v="1226"/>
    <x v="3"/>
    <x v="2"/>
    <x v="2"/>
    <n v="10"/>
    <n v="9"/>
    <n v="0"/>
    <x v="2"/>
    <x v="3"/>
    <s v="Search Engine"/>
    <x v="1"/>
    <s v="Low"/>
    <x v="0"/>
    <x v="0"/>
    <n v="0"/>
    <d v="2022-08-12T00:00:00"/>
    <m/>
    <d v="2022-08-12T00:00:00"/>
    <n v="0"/>
    <d v="2022-08-12T00:00:00"/>
    <n v="0"/>
    <n v="0"/>
    <n v="0"/>
    <n v="0"/>
    <n v="0"/>
    <n v="0"/>
  </r>
  <r>
    <x v="177"/>
    <n v="39"/>
    <x v="0"/>
    <x v="121"/>
    <x v="122"/>
    <n v="1226"/>
    <x v="1"/>
    <x v="1"/>
    <x v="0"/>
    <n v="18"/>
    <n v="10.8"/>
    <n v="129.6"/>
    <x v="2"/>
    <x v="2"/>
    <s v="Email Campaign"/>
    <x v="3"/>
    <s v="Medium"/>
    <x v="0"/>
    <x v="0"/>
    <n v="129.6"/>
    <d v="2023-07-08T00:00:00"/>
    <m/>
    <d v="2023-07-08T00:00:00"/>
    <n v="0"/>
    <d v="2023-07-08T00:00:00"/>
    <n v="0"/>
    <n v="0"/>
    <n v="0"/>
    <n v="1"/>
    <n v="1"/>
    <n v="0"/>
  </r>
  <r>
    <x v="178"/>
    <n v="52"/>
    <x v="0"/>
    <x v="121"/>
    <x v="122"/>
    <n v="1226"/>
    <x v="1"/>
    <x v="1"/>
    <x v="0"/>
    <n v="18"/>
    <n v="10.8"/>
    <n v="129.6"/>
    <x v="0"/>
    <x v="2"/>
    <s v="Email Campaign"/>
    <x v="1"/>
    <s v="Medium"/>
    <x v="0"/>
    <x v="0"/>
    <n v="129.6"/>
    <d v="2023-07-08T00:00:00"/>
    <m/>
    <d v="2023-07-08T00:00:00"/>
    <n v="0"/>
    <d v="2023-07-08T00:00:00"/>
    <n v="0"/>
    <n v="0"/>
    <n v="0"/>
    <n v="1"/>
    <n v="1"/>
    <n v="0"/>
  </r>
  <r>
    <x v="179"/>
    <n v="53"/>
    <x v="0"/>
    <x v="122"/>
    <x v="32"/>
    <n v="1223"/>
    <x v="3"/>
    <x v="2"/>
    <x v="2"/>
    <n v="10"/>
    <n v="9"/>
    <n v="0"/>
    <x v="0"/>
    <x v="2"/>
    <s v="Social Media"/>
    <x v="0"/>
    <s v="Low"/>
    <x v="0"/>
    <x v="0"/>
    <n v="0"/>
    <d v="2022-08-15T00:00:00"/>
    <m/>
    <d v="2022-08-15T00:00:00"/>
    <n v="0"/>
    <d v="2022-08-15T00:00:00"/>
    <n v="0"/>
    <n v="0"/>
    <n v="0"/>
    <n v="0"/>
    <n v="0"/>
    <n v="0"/>
  </r>
  <r>
    <x v="180"/>
    <n v="61"/>
    <x v="1"/>
    <x v="123"/>
    <x v="123"/>
    <n v="1222"/>
    <x v="3"/>
    <x v="2"/>
    <x v="0"/>
    <n v="18"/>
    <n v="16.2"/>
    <n v="0"/>
    <x v="3"/>
    <x v="0"/>
    <s v="Friend"/>
    <x v="4"/>
    <s v="Low"/>
    <x v="2"/>
    <x v="0"/>
    <n v="0"/>
    <d v="2022-08-16T00:00:00"/>
    <m/>
    <d v="2022-08-16T00:00:00"/>
    <n v="0"/>
    <d v="2022-08-16T00:00:00"/>
    <n v="0"/>
    <n v="0"/>
    <n v="0"/>
    <n v="0"/>
    <n v="0"/>
    <n v="0"/>
  </r>
  <r>
    <x v="181"/>
    <n v="30"/>
    <x v="0"/>
    <x v="124"/>
    <x v="2"/>
    <n v="1221"/>
    <x v="2"/>
    <x v="1"/>
    <x v="1"/>
    <n v="25"/>
    <n v="16.666666666666664"/>
    <n v="780"/>
    <x v="2"/>
    <x v="1"/>
    <s v="Email Campaign"/>
    <x v="2"/>
    <s v="Very High"/>
    <x v="0"/>
    <x v="1"/>
    <n v="980"/>
    <m/>
    <d v="2026-06-27T00:00:00"/>
    <d v="2026-06-27T00:00:00"/>
    <n v="3"/>
    <d v="2025-11-20T00:00:00"/>
    <n v="1"/>
    <n v="0"/>
    <n v="0"/>
    <n v="1"/>
    <n v="1"/>
    <n v="1"/>
  </r>
  <r>
    <x v="182"/>
    <n v="66"/>
    <x v="0"/>
    <x v="124"/>
    <x v="2"/>
    <n v="1221"/>
    <x v="2"/>
    <x v="1"/>
    <x v="1"/>
    <n v="25"/>
    <n v="16.666666666666664"/>
    <n v="780"/>
    <x v="3"/>
    <x v="2"/>
    <s v="Email Campaign"/>
    <x v="2"/>
    <s v="Very High"/>
    <x v="2"/>
    <x v="1"/>
    <n v="980"/>
    <m/>
    <d v="2026-06-27T00:00:00"/>
    <d v="2026-06-27T00:00:00"/>
    <n v="3"/>
    <d v="2025-11-20T00:00:00"/>
    <n v="1"/>
    <n v="0"/>
    <n v="0"/>
    <n v="1"/>
    <n v="1"/>
    <n v="1"/>
  </r>
  <r>
    <x v="183"/>
    <n v="47"/>
    <x v="0"/>
    <x v="125"/>
    <x v="124"/>
    <n v="1220"/>
    <x v="1"/>
    <x v="1"/>
    <x v="2"/>
    <n v="10"/>
    <n v="6"/>
    <n v="72"/>
    <x v="2"/>
    <x v="1"/>
    <s v="Email Campaign"/>
    <x v="4"/>
    <s v="Low"/>
    <x v="0"/>
    <x v="0"/>
    <n v="72"/>
    <d v="2023-07-14T00:00:00"/>
    <m/>
    <d v="2023-07-14T00:00:00"/>
    <n v="0"/>
    <d v="2023-07-14T00:00:00"/>
    <n v="0"/>
    <n v="0"/>
    <n v="0"/>
    <n v="1"/>
    <n v="1"/>
    <n v="0"/>
  </r>
  <r>
    <x v="184"/>
    <n v="43"/>
    <x v="1"/>
    <x v="126"/>
    <x v="125"/>
    <n v="1219"/>
    <x v="0"/>
    <x v="0"/>
    <x v="1"/>
    <n v="25"/>
    <n v="16.875"/>
    <n v="101.25"/>
    <x v="2"/>
    <x v="0"/>
    <s v="Friend"/>
    <x v="1"/>
    <s v="Medium"/>
    <x v="0"/>
    <x v="0"/>
    <n v="101.25"/>
    <d v="2023-01-16T00:00:00"/>
    <m/>
    <d v="2023-01-16T00:00:00"/>
    <n v="0"/>
    <d v="2023-01-16T00:00:00"/>
    <n v="0"/>
    <n v="0"/>
    <n v="0"/>
    <n v="1"/>
    <n v="0"/>
    <n v="0"/>
  </r>
  <r>
    <x v="185"/>
    <n v="22"/>
    <x v="0"/>
    <x v="127"/>
    <x v="126"/>
    <n v="1218"/>
    <x v="1"/>
    <x v="1"/>
    <x v="0"/>
    <n v="18"/>
    <n v="10.8"/>
    <n v="129.6"/>
    <x v="1"/>
    <x v="3"/>
    <s v="Social Media"/>
    <x v="1"/>
    <s v="Medium"/>
    <x v="1"/>
    <x v="0"/>
    <n v="129.6"/>
    <d v="2023-07-16T00:00:00"/>
    <m/>
    <d v="2023-07-16T00:00:00"/>
    <n v="0"/>
    <d v="2023-07-16T00:00:00"/>
    <n v="0"/>
    <n v="0"/>
    <n v="0"/>
    <n v="1"/>
    <n v="1"/>
    <n v="0"/>
  </r>
  <r>
    <x v="186"/>
    <n v="63"/>
    <x v="0"/>
    <x v="128"/>
    <x v="127"/>
    <n v="1217"/>
    <x v="0"/>
    <x v="0"/>
    <x v="1"/>
    <n v="25"/>
    <n v="16.875"/>
    <n v="101.25"/>
    <x v="3"/>
    <x v="3"/>
    <s v="Friend"/>
    <x v="3"/>
    <s v="Medium"/>
    <x v="2"/>
    <x v="0"/>
    <n v="101.25"/>
    <d v="2023-01-18T00:00:00"/>
    <m/>
    <d v="2023-01-18T00:00:00"/>
    <n v="0"/>
    <d v="2023-01-18T00:00:00"/>
    <n v="0"/>
    <n v="0"/>
    <n v="0"/>
    <n v="1"/>
    <n v="0"/>
    <n v="0"/>
  </r>
  <r>
    <x v="187"/>
    <n v="71"/>
    <x v="0"/>
    <x v="128"/>
    <x v="128"/>
    <n v="1217"/>
    <x v="1"/>
    <x v="1"/>
    <x v="2"/>
    <n v="10"/>
    <n v="6"/>
    <n v="72"/>
    <x v="4"/>
    <x v="0"/>
    <s v="Friend"/>
    <x v="1"/>
    <s v="Low"/>
    <x v="3"/>
    <x v="0"/>
    <n v="72"/>
    <d v="2023-07-17T00:00:00"/>
    <m/>
    <d v="2023-07-17T00:00:00"/>
    <n v="0"/>
    <d v="2023-07-17T00:00:00"/>
    <n v="0"/>
    <n v="0"/>
    <n v="0"/>
    <n v="1"/>
    <n v="1"/>
    <n v="0"/>
  </r>
  <r>
    <x v="188"/>
    <n v="41"/>
    <x v="0"/>
    <x v="128"/>
    <x v="128"/>
    <n v="1217"/>
    <x v="1"/>
    <x v="1"/>
    <x v="0"/>
    <n v="18"/>
    <n v="10.8"/>
    <n v="129.6"/>
    <x v="2"/>
    <x v="0"/>
    <s v="Friend"/>
    <x v="1"/>
    <s v="Medium"/>
    <x v="0"/>
    <x v="0"/>
    <n v="129.6"/>
    <d v="2023-07-17T00:00:00"/>
    <m/>
    <d v="2023-07-17T00:00:00"/>
    <n v="0"/>
    <d v="2023-07-17T00:00:00"/>
    <n v="0"/>
    <n v="0"/>
    <n v="0"/>
    <n v="1"/>
    <n v="1"/>
    <n v="0"/>
  </r>
  <r>
    <x v="189"/>
    <n v="62"/>
    <x v="0"/>
    <x v="129"/>
    <x v="129"/>
    <n v="1216"/>
    <x v="1"/>
    <x v="1"/>
    <x v="2"/>
    <n v="10"/>
    <n v="6"/>
    <n v="72"/>
    <x v="3"/>
    <x v="2"/>
    <s v="Friend"/>
    <x v="0"/>
    <s v="Low"/>
    <x v="2"/>
    <x v="0"/>
    <n v="72"/>
    <d v="2023-07-18T00:00:00"/>
    <m/>
    <d v="2023-07-18T00:00:00"/>
    <n v="0"/>
    <d v="2023-07-18T00:00:00"/>
    <n v="0"/>
    <n v="0"/>
    <n v="0"/>
    <n v="1"/>
    <n v="1"/>
    <n v="0"/>
  </r>
  <r>
    <x v="190"/>
    <n v="33"/>
    <x v="0"/>
    <x v="130"/>
    <x v="2"/>
    <n v="1215"/>
    <x v="9"/>
    <x v="2"/>
    <x v="0"/>
    <n v="18"/>
    <n v="18"/>
    <n v="700.2"/>
    <x v="2"/>
    <x v="0"/>
    <s v="Friend"/>
    <x v="2"/>
    <s v="Very High"/>
    <x v="0"/>
    <x v="1"/>
    <n v="718.2"/>
    <m/>
    <d v="2025-12-05T00:00:00"/>
    <d v="2025-12-05T00:00:00"/>
    <n v="40"/>
    <d v="2025-11-20T00:00:00"/>
    <n v="1"/>
    <n v="0"/>
    <n v="0"/>
    <n v="1"/>
    <n v="1"/>
    <n v="1"/>
  </r>
  <r>
    <x v="191"/>
    <n v="63"/>
    <x v="1"/>
    <x v="131"/>
    <x v="130"/>
    <n v="1214"/>
    <x v="0"/>
    <x v="0"/>
    <x v="0"/>
    <n v="18"/>
    <n v="12.15"/>
    <n v="72.900000000000006"/>
    <x v="3"/>
    <x v="0"/>
    <s v="Friend"/>
    <x v="5"/>
    <s v="Low"/>
    <x v="2"/>
    <x v="0"/>
    <n v="72.900000000000006"/>
    <d v="2023-01-21T00:00:00"/>
    <m/>
    <d v="2023-01-21T00:00:00"/>
    <n v="0"/>
    <d v="2023-01-21T00:00:00"/>
    <n v="0"/>
    <n v="0"/>
    <n v="0"/>
    <n v="1"/>
    <n v="0"/>
    <n v="0"/>
  </r>
  <r>
    <x v="192"/>
    <n v="70"/>
    <x v="1"/>
    <x v="132"/>
    <x v="131"/>
    <n v="1212"/>
    <x v="3"/>
    <x v="2"/>
    <x v="0"/>
    <n v="18"/>
    <n v="16.2"/>
    <n v="0"/>
    <x v="3"/>
    <x v="1"/>
    <s v="None"/>
    <x v="1"/>
    <s v="Low"/>
    <x v="3"/>
    <x v="0"/>
    <n v="0"/>
    <d v="2022-08-26T00:00:00"/>
    <m/>
    <d v="2022-08-26T00:00:00"/>
    <n v="0"/>
    <d v="2022-08-26T00:00:00"/>
    <n v="0"/>
    <n v="0"/>
    <n v="0"/>
    <n v="0"/>
    <n v="0"/>
    <n v="0"/>
  </r>
  <r>
    <x v="193"/>
    <n v="61"/>
    <x v="0"/>
    <x v="132"/>
    <x v="132"/>
    <n v="1212"/>
    <x v="1"/>
    <x v="1"/>
    <x v="1"/>
    <n v="25"/>
    <n v="14.999999999999998"/>
    <n v="180"/>
    <x v="3"/>
    <x v="3"/>
    <s v="Social Media"/>
    <x v="1"/>
    <s v="Medium"/>
    <x v="2"/>
    <x v="0"/>
    <n v="180"/>
    <d v="2023-07-22T00:00:00"/>
    <m/>
    <d v="2023-07-22T00:00:00"/>
    <n v="0"/>
    <d v="2023-07-22T00:00:00"/>
    <n v="0"/>
    <n v="0"/>
    <n v="0"/>
    <n v="1"/>
    <n v="1"/>
    <n v="0"/>
  </r>
  <r>
    <x v="194"/>
    <n v="68"/>
    <x v="1"/>
    <x v="132"/>
    <x v="132"/>
    <n v="1212"/>
    <x v="1"/>
    <x v="1"/>
    <x v="2"/>
    <n v="10"/>
    <n v="6"/>
    <n v="72"/>
    <x v="3"/>
    <x v="3"/>
    <s v="None"/>
    <x v="1"/>
    <s v="Low"/>
    <x v="2"/>
    <x v="0"/>
    <n v="72"/>
    <d v="2023-07-22T00:00:00"/>
    <m/>
    <d v="2023-07-22T00:00:00"/>
    <n v="0"/>
    <d v="2023-07-22T00:00:00"/>
    <n v="0"/>
    <n v="0"/>
    <n v="0"/>
    <n v="1"/>
    <n v="1"/>
    <n v="0"/>
  </r>
  <r>
    <x v="195"/>
    <n v="49"/>
    <x v="0"/>
    <x v="133"/>
    <x v="133"/>
    <n v="1211"/>
    <x v="1"/>
    <x v="1"/>
    <x v="0"/>
    <n v="18"/>
    <n v="10.8"/>
    <n v="129.6"/>
    <x v="2"/>
    <x v="1"/>
    <s v="Email Campaign"/>
    <x v="3"/>
    <s v="Medium"/>
    <x v="0"/>
    <x v="0"/>
    <n v="129.6"/>
    <d v="2023-07-23T00:00:00"/>
    <m/>
    <d v="2023-07-23T00:00:00"/>
    <n v="0"/>
    <d v="2023-07-23T00:00:00"/>
    <n v="0"/>
    <n v="0"/>
    <n v="0"/>
    <n v="1"/>
    <n v="1"/>
    <n v="0"/>
  </r>
  <r>
    <x v="196"/>
    <n v="53"/>
    <x v="0"/>
    <x v="134"/>
    <x v="134"/>
    <n v="1209"/>
    <x v="1"/>
    <x v="1"/>
    <x v="1"/>
    <n v="25"/>
    <n v="14.999999999999998"/>
    <n v="180"/>
    <x v="0"/>
    <x v="2"/>
    <s v="Social Media"/>
    <x v="5"/>
    <s v="Medium"/>
    <x v="0"/>
    <x v="0"/>
    <n v="180"/>
    <d v="2023-07-25T00:00:00"/>
    <m/>
    <d v="2023-07-25T00:00:00"/>
    <n v="0"/>
    <d v="2023-07-25T00:00:00"/>
    <n v="0"/>
    <n v="0"/>
    <n v="0"/>
    <n v="1"/>
    <n v="1"/>
    <n v="0"/>
  </r>
  <r>
    <x v="197"/>
    <n v="25"/>
    <x v="1"/>
    <x v="134"/>
    <x v="2"/>
    <n v="1209"/>
    <x v="8"/>
    <x v="0"/>
    <x v="1"/>
    <n v="25"/>
    <n v="18.75"/>
    <n v="765"/>
    <x v="1"/>
    <x v="2"/>
    <s v="Social Media"/>
    <x v="2"/>
    <s v="Very High"/>
    <x v="1"/>
    <x v="1"/>
    <n v="877.5"/>
    <m/>
    <d v="2026-01-10T00:00:00"/>
    <d v="2026-01-10T00:00:00"/>
    <n v="6"/>
    <d v="2025-11-20T00:00:00"/>
    <n v="1"/>
    <n v="0"/>
    <n v="0"/>
    <n v="1"/>
    <n v="1"/>
    <n v="1"/>
  </r>
  <r>
    <x v="198"/>
    <n v="50"/>
    <x v="0"/>
    <x v="135"/>
    <x v="2"/>
    <n v="1207"/>
    <x v="8"/>
    <x v="0"/>
    <x v="2"/>
    <n v="10"/>
    <n v="7.5"/>
    <n v="306"/>
    <x v="0"/>
    <x v="3"/>
    <s v="Friend"/>
    <x v="2"/>
    <s v="High"/>
    <x v="0"/>
    <x v="1"/>
    <n v="351"/>
    <m/>
    <d v="2026-01-12T00:00:00"/>
    <d v="2026-01-12T00:00:00"/>
    <n v="6"/>
    <d v="2025-11-20T00:00:00"/>
    <n v="1"/>
    <n v="0"/>
    <n v="0"/>
    <n v="1"/>
    <n v="1"/>
    <n v="1"/>
  </r>
  <r>
    <x v="199"/>
    <n v="54"/>
    <x v="1"/>
    <x v="136"/>
    <x v="2"/>
    <n v="1205"/>
    <x v="8"/>
    <x v="0"/>
    <x v="0"/>
    <n v="18"/>
    <n v="13.5"/>
    <n v="550.79999999999995"/>
    <x v="0"/>
    <x v="1"/>
    <s v="Email Campaign"/>
    <x v="2"/>
    <s v="High"/>
    <x v="0"/>
    <x v="1"/>
    <n v="631.79999999999995"/>
    <m/>
    <d v="2026-01-14T00:00:00"/>
    <d v="2026-01-14T00:00:00"/>
    <n v="6"/>
    <d v="2025-11-20T00:00:00"/>
    <n v="1"/>
    <n v="0"/>
    <n v="0"/>
    <n v="1"/>
    <n v="1"/>
    <n v="1"/>
  </r>
  <r>
    <x v="200"/>
    <n v="67"/>
    <x v="0"/>
    <x v="137"/>
    <x v="135"/>
    <n v="1203"/>
    <x v="0"/>
    <x v="0"/>
    <x v="1"/>
    <n v="25"/>
    <n v="16.875"/>
    <n v="101.25"/>
    <x v="3"/>
    <x v="1"/>
    <s v="Search Engine"/>
    <x v="5"/>
    <s v="Medium"/>
    <x v="2"/>
    <x v="0"/>
    <n v="101.25"/>
    <d v="2023-02-01T00:00:00"/>
    <m/>
    <d v="2023-02-01T00:00:00"/>
    <n v="0"/>
    <d v="2023-02-01T00:00:00"/>
    <n v="0"/>
    <n v="0"/>
    <n v="0"/>
    <n v="1"/>
    <n v="0"/>
    <n v="0"/>
  </r>
  <r>
    <x v="201"/>
    <n v="68"/>
    <x v="1"/>
    <x v="137"/>
    <x v="136"/>
    <n v="1203"/>
    <x v="1"/>
    <x v="1"/>
    <x v="0"/>
    <n v="18"/>
    <n v="10.8"/>
    <n v="129.6"/>
    <x v="3"/>
    <x v="3"/>
    <s v="Friend"/>
    <x v="3"/>
    <s v="Medium"/>
    <x v="2"/>
    <x v="0"/>
    <n v="129.6"/>
    <d v="2023-07-31T00:00:00"/>
    <m/>
    <d v="2023-07-31T00:00:00"/>
    <n v="0"/>
    <d v="2023-07-31T00:00:00"/>
    <n v="0"/>
    <n v="0"/>
    <n v="0"/>
    <n v="1"/>
    <n v="1"/>
    <n v="0"/>
  </r>
  <r>
    <x v="202"/>
    <n v="56"/>
    <x v="0"/>
    <x v="138"/>
    <x v="137"/>
    <n v="1202"/>
    <x v="3"/>
    <x v="2"/>
    <x v="2"/>
    <n v="10"/>
    <n v="9"/>
    <n v="0"/>
    <x v="0"/>
    <x v="0"/>
    <s v="Search Engine"/>
    <x v="1"/>
    <s v="Low"/>
    <x v="0"/>
    <x v="0"/>
    <n v="0"/>
    <d v="2022-09-05T00:00:00"/>
    <m/>
    <d v="2022-09-05T00:00:00"/>
    <n v="0"/>
    <d v="2022-09-05T00:00:00"/>
    <n v="0"/>
    <n v="0"/>
    <n v="0"/>
    <n v="0"/>
    <n v="0"/>
    <n v="0"/>
  </r>
  <r>
    <x v="203"/>
    <n v="75"/>
    <x v="0"/>
    <x v="138"/>
    <x v="138"/>
    <n v="1202"/>
    <x v="1"/>
    <x v="1"/>
    <x v="0"/>
    <n v="18"/>
    <n v="10.8"/>
    <n v="129.6"/>
    <x v="4"/>
    <x v="2"/>
    <s v="Email Campaign"/>
    <x v="4"/>
    <s v="Medium"/>
    <x v="3"/>
    <x v="0"/>
    <n v="129.6"/>
    <d v="2023-08-01T00:00:00"/>
    <m/>
    <d v="2023-08-01T00:00:00"/>
    <n v="0"/>
    <d v="2023-08-01T00:00:00"/>
    <n v="0"/>
    <n v="0"/>
    <n v="0"/>
    <n v="1"/>
    <n v="1"/>
    <n v="0"/>
  </r>
  <r>
    <x v="204"/>
    <n v="38"/>
    <x v="0"/>
    <x v="138"/>
    <x v="2"/>
    <n v="1202"/>
    <x v="8"/>
    <x v="0"/>
    <x v="1"/>
    <n v="25"/>
    <n v="18.75"/>
    <n v="765"/>
    <x v="2"/>
    <x v="3"/>
    <s v="Friend"/>
    <x v="2"/>
    <s v="Very High"/>
    <x v="0"/>
    <x v="1"/>
    <n v="877.5"/>
    <m/>
    <d v="2026-01-17T00:00:00"/>
    <d v="2026-01-17T00:00:00"/>
    <n v="6"/>
    <d v="2025-11-20T00:00:00"/>
    <n v="1"/>
    <n v="0"/>
    <n v="0"/>
    <n v="1"/>
    <n v="1"/>
    <n v="1"/>
  </r>
  <r>
    <x v="205"/>
    <n v="71"/>
    <x v="0"/>
    <x v="139"/>
    <x v="2"/>
    <n v="1200"/>
    <x v="8"/>
    <x v="0"/>
    <x v="2"/>
    <n v="10"/>
    <n v="7.5"/>
    <n v="306"/>
    <x v="4"/>
    <x v="2"/>
    <s v="Friend"/>
    <x v="2"/>
    <s v="High"/>
    <x v="3"/>
    <x v="1"/>
    <n v="351"/>
    <m/>
    <d v="2026-01-19T00:00:00"/>
    <d v="2026-01-19T00:00:00"/>
    <n v="6"/>
    <d v="2025-11-20T00:00:00"/>
    <n v="1"/>
    <n v="0"/>
    <n v="0"/>
    <n v="1"/>
    <n v="1"/>
    <n v="1"/>
  </r>
  <r>
    <x v="206"/>
    <n v="71"/>
    <x v="1"/>
    <x v="140"/>
    <x v="139"/>
    <n v="1199"/>
    <x v="1"/>
    <x v="1"/>
    <x v="2"/>
    <n v="10"/>
    <n v="6"/>
    <n v="72"/>
    <x v="4"/>
    <x v="2"/>
    <s v="Email Campaign"/>
    <x v="1"/>
    <s v="Low"/>
    <x v="3"/>
    <x v="0"/>
    <n v="72"/>
    <d v="2023-08-04T00:00:00"/>
    <m/>
    <d v="2023-08-04T00:00:00"/>
    <n v="0"/>
    <d v="2023-08-04T00:00:00"/>
    <n v="0"/>
    <n v="0"/>
    <n v="0"/>
    <n v="1"/>
    <n v="1"/>
    <n v="0"/>
  </r>
  <r>
    <x v="207"/>
    <n v="71"/>
    <x v="1"/>
    <x v="141"/>
    <x v="140"/>
    <n v="1198"/>
    <x v="1"/>
    <x v="1"/>
    <x v="2"/>
    <n v="10"/>
    <n v="6"/>
    <n v="72"/>
    <x v="4"/>
    <x v="2"/>
    <s v="Search Engine"/>
    <x v="1"/>
    <s v="Low"/>
    <x v="3"/>
    <x v="0"/>
    <n v="72"/>
    <d v="2023-08-05T00:00:00"/>
    <m/>
    <d v="2023-08-05T00:00:00"/>
    <n v="0"/>
    <d v="2023-08-05T00:00:00"/>
    <n v="0"/>
    <n v="0"/>
    <n v="0"/>
    <n v="1"/>
    <n v="1"/>
    <n v="0"/>
  </r>
  <r>
    <x v="208"/>
    <n v="54"/>
    <x v="1"/>
    <x v="142"/>
    <x v="141"/>
    <n v="1197"/>
    <x v="1"/>
    <x v="1"/>
    <x v="0"/>
    <n v="18"/>
    <n v="10.8"/>
    <n v="129.6"/>
    <x v="0"/>
    <x v="1"/>
    <s v="Email Campaign"/>
    <x v="0"/>
    <s v="Medium"/>
    <x v="0"/>
    <x v="0"/>
    <n v="129.6"/>
    <d v="2023-08-06T00:00:00"/>
    <m/>
    <d v="2023-08-06T00:00:00"/>
    <n v="0"/>
    <d v="2023-08-06T00:00:00"/>
    <n v="0"/>
    <n v="0"/>
    <n v="0"/>
    <n v="1"/>
    <n v="1"/>
    <n v="0"/>
  </r>
  <r>
    <x v="209"/>
    <n v="65"/>
    <x v="0"/>
    <x v="142"/>
    <x v="141"/>
    <n v="1197"/>
    <x v="1"/>
    <x v="1"/>
    <x v="2"/>
    <n v="10"/>
    <n v="6"/>
    <n v="72"/>
    <x v="3"/>
    <x v="2"/>
    <s v="Social Media"/>
    <x v="3"/>
    <s v="Low"/>
    <x v="2"/>
    <x v="0"/>
    <n v="72"/>
    <d v="2023-08-06T00:00:00"/>
    <m/>
    <d v="2023-08-06T00:00:00"/>
    <n v="0"/>
    <d v="2023-08-06T00:00:00"/>
    <n v="0"/>
    <n v="0"/>
    <n v="0"/>
    <n v="1"/>
    <n v="1"/>
    <n v="0"/>
  </r>
  <r>
    <x v="210"/>
    <n v="60"/>
    <x v="0"/>
    <x v="143"/>
    <x v="142"/>
    <n v="1196"/>
    <x v="1"/>
    <x v="1"/>
    <x v="1"/>
    <n v="25"/>
    <n v="14.999999999999998"/>
    <n v="180"/>
    <x v="3"/>
    <x v="3"/>
    <s v="Search Engine"/>
    <x v="1"/>
    <s v="Medium"/>
    <x v="2"/>
    <x v="0"/>
    <n v="180"/>
    <d v="2023-08-07T00:00:00"/>
    <m/>
    <d v="2023-08-07T00:00:00"/>
    <n v="0"/>
    <d v="2023-08-07T00:00:00"/>
    <n v="0"/>
    <n v="0"/>
    <n v="0"/>
    <n v="1"/>
    <n v="1"/>
    <n v="0"/>
  </r>
  <r>
    <x v="211"/>
    <n v="37"/>
    <x v="0"/>
    <x v="144"/>
    <x v="2"/>
    <n v="1195"/>
    <x v="10"/>
    <x v="2"/>
    <x v="1"/>
    <n v="25"/>
    <n v="25"/>
    <n v="947.5"/>
    <x v="2"/>
    <x v="3"/>
    <s v="None"/>
    <x v="2"/>
    <s v="Very High"/>
    <x v="0"/>
    <x v="1"/>
    <n v="972.5"/>
    <m/>
    <d v="2025-11-25T00:00:00"/>
    <d v="2025-11-25T00:00:00"/>
    <n v="39"/>
    <d v="2025-11-20T00:00:00"/>
    <n v="1"/>
    <n v="0"/>
    <n v="0"/>
    <n v="1"/>
    <n v="1"/>
    <n v="1"/>
  </r>
  <r>
    <x v="212"/>
    <n v="67"/>
    <x v="0"/>
    <x v="145"/>
    <x v="143"/>
    <n v="1194"/>
    <x v="1"/>
    <x v="1"/>
    <x v="2"/>
    <n v="10"/>
    <n v="6"/>
    <n v="72"/>
    <x v="3"/>
    <x v="0"/>
    <s v="Social Media"/>
    <x v="4"/>
    <s v="Low"/>
    <x v="2"/>
    <x v="0"/>
    <n v="72"/>
    <d v="2023-08-09T00:00:00"/>
    <m/>
    <d v="2023-08-09T00:00:00"/>
    <n v="0"/>
    <d v="2023-08-09T00:00:00"/>
    <n v="0"/>
    <n v="0"/>
    <n v="0"/>
    <n v="1"/>
    <n v="1"/>
    <n v="0"/>
  </r>
  <r>
    <x v="213"/>
    <n v="30"/>
    <x v="1"/>
    <x v="145"/>
    <x v="143"/>
    <n v="1194"/>
    <x v="1"/>
    <x v="1"/>
    <x v="2"/>
    <n v="10"/>
    <n v="6"/>
    <n v="72"/>
    <x v="2"/>
    <x v="2"/>
    <s v="Email Campaign"/>
    <x v="4"/>
    <s v="Low"/>
    <x v="0"/>
    <x v="0"/>
    <n v="72"/>
    <d v="2023-08-09T00:00:00"/>
    <m/>
    <d v="2023-08-09T00:00:00"/>
    <n v="0"/>
    <d v="2023-08-09T00:00:00"/>
    <n v="0"/>
    <n v="0"/>
    <n v="0"/>
    <n v="1"/>
    <n v="1"/>
    <n v="0"/>
  </r>
  <r>
    <x v="214"/>
    <n v="31"/>
    <x v="0"/>
    <x v="146"/>
    <x v="2"/>
    <n v="1193"/>
    <x v="10"/>
    <x v="2"/>
    <x v="1"/>
    <n v="25"/>
    <n v="25"/>
    <n v="947.5"/>
    <x v="2"/>
    <x v="3"/>
    <s v="Friend"/>
    <x v="2"/>
    <s v="Very High"/>
    <x v="0"/>
    <x v="1"/>
    <n v="972.5"/>
    <m/>
    <d v="2025-11-27T00:00:00"/>
    <d v="2025-11-27T00:00:00"/>
    <n v="39"/>
    <d v="2025-11-20T00:00:00"/>
    <n v="1"/>
    <n v="0"/>
    <n v="0"/>
    <n v="1"/>
    <n v="1"/>
    <n v="1"/>
  </r>
  <r>
    <x v="215"/>
    <n v="44"/>
    <x v="0"/>
    <x v="147"/>
    <x v="2"/>
    <n v="1192"/>
    <x v="10"/>
    <x v="2"/>
    <x v="2"/>
    <n v="10"/>
    <n v="10"/>
    <n v="379"/>
    <x v="2"/>
    <x v="3"/>
    <s v="Email Campaign"/>
    <x v="2"/>
    <s v="High"/>
    <x v="0"/>
    <x v="1"/>
    <n v="389"/>
    <m/>
    <d v="2025-11-28T00:00:00"/>
    <d v="2025-11-28T00:00:00"/>
    <n v="39"/>
    <d v="2025-11-20T00:00:00"/>
    <n v="1"/>
    <n v="0"/>
    <n v="0"/>
    <n v="1"/>
    <n v="1"/>
    <n v="1"/>
  </r>
  <r>
    <x v="216"/>
    <n v="32"/>
    <x v="0"/>
    <x v="148"/>
    <x v="2"/>
    <n v="1191"/>
    <x v="8"/>
    <x v="0"/>
    <x v="0"/>
    <n v="18"/>
    <n v="13.5"/>
    <n v="550.79999999999995"/>
    <x v="2"/>
    <x v="2"/>
    <s v="Social Media"/>
    <x v="2"/>
    <s v="High"/>
    <x v="0"/>
    <x v="1"/>
    <n v="631.79999999999995"/>
    <m/>
    <d v="2026-01-28T00:00:00"/>
    <d v="2026-01-28T00:00:00"/>
    <n v="6"/>
    <d v="2025-11-20T00:00:00"/>
    <n v="1"/>
    <n v="0"/>
    <n v="0"/>
    <n v="1"/>
    <n v="1"/>
    <n v="1"/>
  </r>
  <r>
    <x v="217"/>
    <n v="65"/>
    <x v="1"/>
    <x v="149"/>
    <x v="144"/>
    <n v="1189"/>
    <x v="0"/>
    <x v="0"/>
    <x v="1"/>
    <n v="25"/>
    <n v="16.875"/>
    <n v="101.25"/>
    <x v="3"/>
    <x v="3"/>
    <s v="Friend"/>
    <x v="4"/>
    <s v="Medium"/>
    <x v="2"/>
    <x v="0"/>
    <n v="101.25"/>
    <d v="2023-02-15T00:00:00"/>
    <m/>
    <d v="2023-02-15T00:00:00"/>
    <n v="0"/>
    <d v="2023-02-15T00:00:00"/>
    <n v="0"/>
    <n v="0"/>
    <n v="0"/>
    <n v="1"/>
    <n v="0"/>
    <n v="0"/>
  </r>
  <r>
    <x v="218"/>
    <n v="59"/>
    <x v="1"/>
    <x v="149"/>
    <x v="145"/>
    <n v="1189"/>
    <x v="1"/>
    <x v="1"/>
    <x v="2"/>
    <n v="10"/>
    <n v="6"/>
    <n v="72"/>
    <x v="0"/>
    <x v="0"/>
    <s v="Social Media"/>
    <x v="0"/>
    <s v="Low"/>
    <x v="0"/>
    <x v="0"/>
    <n v="72"/>
    <d v="2023-08-14T00:00:00"/>
    <m/>
    <d v="2023-08-14T00:00:00"/>
    <n v="0"/>
    <d v="2023-08-14T00:00:00"/>
    <n v="0"/>
    <n v="0"/>
    <n v="0"/>
    <n v="1"/>
    <n v="1"/>
    <n v="0"/>
  </r>
  <r>
    <x v="219"/>
    <n v="55"/>
    <x v="1"/>
    <x v="150"/>
    <x v="146"/>
    <n v="1188"/>
    <x v="1"/>
    <x v="1"/>
    <x v="2"/>
    <n v="10"/>
    <n v="6"/>
    <n v="72"/>
    <x v="0"/>
    <x v="3"/>
    <s v="None"/>
    <x v="0"/>
    <s v="Low"/>
    <x v="0"/>
    <x v="0"/>
    <n v="72"/>
    <d v="2023-08-15T00:00:00"/>
    <m/>
    <d v="2023-08-15T00:00:00"/>
    <n v="0"/>
    <d v="2023-08-15T00:00:00"/>
    <n v="0"/>
    <n v="0"/>
    <n v="0"/>
    <n v="1"/>
    <n v="1"/>
    <n v="0"/>
  </r>
  <r>
    <x v="220"/>
    <n v="45"/>
    <x v="0"/>
    <x v="151"/>
    <x v="34"/>
    <n v="1186"/>
    <x v="0"/>
    <x v="0"/>
    <x v="0"/>
    <n v="18"/>
    <n v="12.15"/>
    <n v="72.900000000000006"/>
    <x v="2"/>
    <x v="2"/>
    <s v="Search Engine"/>
    <x v="4"/>
    <s v="Low"/>
    <x v="0"/>
    <x v="0"/>
    <n v="72.900000000000006"/>
    <d v="2023-02-18T00:00:00"/>
    <m/>
    <d v="2023-02-18T00:00:00"/>
    <n v="0"/>
    <d v="2023-02-18T00:00:00"/>
    <n v="0"/>
    <n v="0"/>
    <n v="0"/>
    <n v="1"/>
    <n v="0"/>
    <n v="0"/>
  </r>
  <r>
    <x v="221"/>
    <n v="58"/>
    <x v="1"/>
    <x v="151"/>
    <x v="147"/>
    <n v="1186"/>
    <x v="1"/>
    <x v="1"/>
    <x v="1"/>
    <n v="25"/>
    <n v="14.999999999999998"/>
    <n v="180"/>
    <x v="0"/>
    <x v="1"/>
    <s v="None"/>
    <x v="0"/>
    <s v="Medium"/>
    <x v="0"/>
    <x v="0"/>
    <n v="180"/>
    <d v="2023-08-17T00:00:00"/>
    <m/>
    <d v="2023-08-17T00:00:00"/>
    <n v="0"/>
    <d v="2023-08-17T00:00:00"/>
    <n v="0"/>
    <n v="0"/>
    <n v="0"/>
    <n v="1"/>
    <n v="1"/>
    <n v="0"/>
  </r>
  <r>
    <x v="222"/>
    <n v="36"/>
    <x v="0"/>
    <x v="151"/>
    <x v="2"/>
    <n v="1186"/>
    <x v="10"/>
    <x v="2"/>
    <x v="2"/>
    <n v="10"/>
    <n v="10"/>
    <n v="379"/>
    <x v="2"/>
    <x v="2"/>
    <s v="None"/>
    <x v="2"/>
    <s v="High"/>
    <x v="0"/>
    <x v="1"/>
    <n v="389"/>
    <m/>
    <d v="2025-12-04T00:00:00"/>
    <d v="2025-12-04T00:00:00"/>
    <n v="39"/>
    <d v="2025-11-20T00:00:00"/>
    <n v="1"/>
    <n v="0"/>
    <n v="0"/>
    <n v="1"/>
    <n v="1"/>
    <n v="1"/>
  </r>
  <r>
    <x v="223"/>
    <n v="52"/>
    <x v="0"/>
    <x v="152"/>
    <x v="148"/>
    <n v="1185"/>
    <x v="1"/>
    <x v="1"/>
    <x v="2"/>
    <n v="10"/>
    <n v="6"/>
    <n v="72"/>
    <x v="0"/>
    <x v="0"/>
    <s v="Email Campaign"/>
    <x v="4"/>
    <s v="Low"/>
    <x v="0"/>
    <x v="0"/>
    <n v="72"/>
    <d v="2023-08-18T00:00:00"/>
    <m/>
    <d v="2023-08-18T00:00:00"/>
    <n v="0"/>
    <d v="2023-08-18T00:00:00"/>
    <n v="0"/>
    <n v="0"/>
    <n v="0"/>
    <n v="1"/>
    <n v="1"/>
    <n v="0"/>
  </r>
  <r>
    <x v="224"/>
    <n v="55"/>
    <x v="0"/>
    <x v="153"/>
    <x v="2"/>
    <n v="1184"/>
    <x v="10"/>
    <x v="2"/>
    <x v="0"/>
    <n v="18"/>
    <n v="18"/>
    <n v="682.2"/>
    <x v="0"/>
    <x v="1"/>
    <s v="Social Media"/>
    <x v="2"/>
    <s v="Very High"/>
    <x v="0"/>
    <x v="1"/>
    <n v="700.2"/>
    <m/>
    <d v="2025-12-06T00:00:00"/>
    <d v="2025-12-06T00:00:00"/>
    <n v="39"/>
    <d v="2025-11-20T00:00:00"/>
    <n v="1"/>
    <n v="0"/>
    <n v="0"/>
    <n v="1"/>
    <n v="1"/>
    <n v="1"/>
  </r>
  <r>
    <x v="225"/>
    <n v="71"/>
    <x v="0"/>
    <x v="154"/>
    <x v="149"/>
    <n v="1183"/>
    <x v="3"/>
    <x v="2"/>
    <x v="1"/>
    <n v="25"/>
    <n v="22.5"/>
    <n v="0"/>
    <x v="4"/>
    <x v="0"/>
    <s v="None"/>
    <x v="5"/>
    <s v="Low"/>
    <x v="3"/>
    <x v="0"/>
    <n v="0"/>
    <d v="2022-09-24T00:00:00"/>
    <m/>
    <d v="2022-09-24T00:00:00"/>
    <n v="0"/>
    <d v="2022-09-24T00:00:00"/>
    <n v="0"/>
    <n v="0"/>
    <n v="0"/>
    <n v="0"/>
    <n v="0"/>
    <n v="0"/>
  </r>
  <r>
    <x v="226"/>
    <n v="59"/>
    <x v="0"/>
    <x v="154"/>
    <x v="150"/>
    <n v="1183"/>
    <x v="0"/>
    <x v="0"/>
    <x v="1"/>
    <n v="25"/>
    <n v="16.875"/>
    <n v="101.25"/>
    <x v="0"/>
    <x v="3"/>
    <s v="None"/>
    <x v="4"/>
    <s v="Medium"/>
    <x v="0"/>
    <x v="0"/>
    <n v="101.25"/>
    <d v="2023-02-21T00:00:00"/>
    <m/>
    <d v="2023-02-21T00:00:00"/>
    <n v="0"/>
    <d v="2023-02-21T00:00:00"/>
    <n v="0"/>
    <n v="0"/>
    <n v="0"/>
    <n v="1"/>
    <n v="0"/>
    <n v="0"/>
  </r>
  <r>
    <x v="227"/>
    <n v="47"/>
    <x v="0"/>
    <x v="155"/>
    <x v="2"/>
    <n v="1182"/>
    <x v="2"/>
    <x v="1"/>
    <x v="2"/>
    <n v="10"/>
    <n v="6.6666666666666661"/>
    <n v="312"/>
    <x v="2"/>
    <x v="2"/>
    <s v="Search Engine"/>
    <x v="2"/>
    <s v="High"/>
    <x v="0"/>
    <x v="1"/>
    <n v="392"/>
    <m/>
    <d v="2026-08-05T00:00:00"/>
    <d v="2026-08-05T00:00:00"/>
    <n v="3"/>
    <d v="2025-11-20T00:00:00"/>
    <n v="1"/>
    <n v="0"/>
    <n v="0"/>
    <n v="1"/>
    <n v="1"/>
    <n v="1"/>
  </r>
  <r>
    <x v="228"/>
    <n v="64"/>
    <x v="1"/>
    <x v="155"/>
    <x v="2"/>
    <n v="1182"/>
    <x v="10"/>
    <x v="2"/>
    <x v="1"/>
    <n v="25"/>
    <n v="25"/>
    <n v="947.5"/>
    <x v="3"/>
    <x v="0"/>
    <s v="Social Media"/>
    <x v="2"/>
    <s v="Very High"/>
    <x v="2"/>
    <x v="1"/>
    <n v="972.5"/>
    <m/>
    <d v="2025-12-08T00:00:00"/>
    <d v="2025-12-08T00:00:00"/>
    <n v="39"/>
    <d v="2025-11-20T00:00:00"/>
    <n v="1"/>
    <n v="0"/>
    <n v="0"/>
    <n v="1"/>
    <n v="1"/>
    <n v="1"/>
  </r>
  <r>
    <x v="229"/>
    <n v="44"/>
    <x v="0"/>
    <x v="156"/>
    <x v="2"/>
    <n v="1181"/>
    <x v="2"/>
    <x v="1"/>
    <x v="0"/>
    <n v="18"/>
    <n v="12"/>
    <n v="561.6"/>
    <x v="2"/>
    <x v="3"/>
    <s v="Friend"/>
    <x v="2"/>
    <s v="High"/>
    <x v="0"/>
    <x v="1"/>
    <n v="705.6"/>
    <m/>
    <d v="2026-08-06T00:00:00"/>
    <d v="2026-08-06T00:00:00"/>
    <n v="3"/>
    <d v="2025-11-20T00:00:00"/>
    <n v="1"/>
    <n v="0"/>
    <n v="0"/>
    <n v="1"/>
    <n v="1"/>
    <n v="1"/>
  </r>
  <r>
    <x v="230"/>
    <n v="58"/>
    <x v="1"/>
    <x v="157"/>
    <x v="151"/>
    <n v="1180"/>
    <x v="1"/>
    <x v="1"/>
    <x v="2"/>
    <n v="10"/>
    <n v="6"/>
    <n v="72"/>
    <x v="0"/>
    <x v="1"/>
    <s v="Email Campaign"/>
    <x v="5"/>
    <s v="Low"/>
    <x v="0"/>
    <x v="0"/>
    <n v="72"/>
    <d v="2023-08-23T00:00:00"/>
    <m/>
    <d v="2023-08-23T00:00:00"/>
    <n v="0"/>
    <d v="2023-08-23T00:00:00"/>
    <n v="0"/>
    <n v="0"/>
    <n v="0"/>
    <n v="1"/>
    <n v="1"/>
    <n v="0"/>
  </r>
  <r>
    <x v="231"/>
    <n v="71"/>
    <x v="1"/>
    <x v="157"/>
    <x v="151"/>
    <n v="1180"/>
    <x v="1"/>
    <x v="1"/>
    <x v="2"/>
    <n v="10"/>
    <n v="6"/>
    <n v="72"/>
    <x v="4"/>
    <x v="1"/>
    <s v="Search Engine"/>
    <x v="3"/>
    <s v="Low"/>
    <x v="3"/>
    <x v="0"/>
    <n v="72"/>
    <d v="2023-08-23T00:00:00"/>
    <m/>
    <d v="2023-08-23T00:00:00"/>
    <n v="0"/>
    <d v="2023-08-23T00:00:00"/>
    <n v="0"/>
    <n v="0"/>
    <n v="0"/>
    <n v="1"/>
    <n v="1"/>
    <n v="0"/>
  </r>
  <r>
    <x v="232"/>
    <n v="62"/>
    <x v="0"/>
    <x v="158"/>
    <x v="152"/>
    <n v="1177"/>
    <x v="1"/>
    <x v="1"/>
    <x v="2"/>
    <n v="10"/>
    <n v="6"/>
    <n v="72"/>
    <x v="3"/>
    <x v="3"/>
    <s v="Social Media"/>
    <x v="1"/>
    <s v="Low"/>
    <x v="2"/>
    <x v="0"/>
    <n v="72"/>
    <d v="2023-08-26T00:00:00"/>
    <m/>
    <d v="2023-08-26T00:00:00"/>
    <n v="0"/>
    <d v="2023-08-26T00:00:00"/>
    <n v="0"/>
    <n v="0"/>
    <n v="0"/>
    <n v="1"/>
    <n v="1"/>
    <n v="0"/>
  </r>
  <r>
    <x v="233"/>
    <n v="70"/>
    <x v="1"/>
    <x v="159"/>
    <x v="153"/>
    <n v="1176"/>
    <x v="1"/>
    <x v="1"/>
    <x v="0"/>
    <n v="18"/>
    <n v="10.8"/>
    <n v="129.6"/>
    <x v="3"/>
    <x v="3"/>
    <s v="Search Engine"/>
    <x v="0"/>
    <s v="Medium"/>
    <x v="3"/>
    <x v="0"/>
    <n v="129.6"/>
    <d v="2023-08-27T00:00:00"/>
    <m/>
    <d v="2023-08-27T00:00:00"/>
    <n v="0"/>
    <d v="2023-08-27T00:00:00"/>
    <n v="0"/>
    <n v="0"/>
    <n v="0"/>
    <n v="1"/>
    <n v="1"/>
    <n v="0"/>
  </r>
  <r>
    <x v="234"/>
    <n v="73"/>
    <x v="1"/>
    <x v="159"/>
    <x v="153"/>
    <n v="1176"/>
    <x v="1"/>
    <x v="1"/>
    <x v="1"/>
    <n v="25"/>
    <n v="14.999999999999998"/>
    <n v="180"/>
    <x v="4"/>
    <x v="3"/>
    <s v="Search Engine"/>
    <x v="3"/>
    <s v="Medium"/>
    <x v="3"/>
    <x v="0"/>
    <n v="180"/>
    <d v="2023-08-27T00:00:00"/>
    <m/>
    <d v="2023-08-27T00:00:00"/>
    <n v="0"/>
    <d v="2023-08-27T00:00:00"/>
    <n v="0"/>
    <n v="0"/>
    <n v="0"/>
    <n v="1"/>
    <n v="1"/>
    <n v="0"/>
  </r>
  <r>
    <x v="235"/>
    <n v="26"/>
    <x v="0"/>
    <x v="160"/>
    <x v="154"/>
    <n v="1175"/>
    <x v="1"/>
    <x v="1"/>
    <x v="2"/>
    <n v="10"/>
    <n v="6"/>
    <n v="72"/>
    <x v="2"/>
    <x v="2"/>
    <s v="None"/>
    <x v="1"/>
    <s v="Low"/>
    <x v="0"/>
    <x v="0"/>
    <n v="72"/>
    <d v="2023-08-28T00:00:00"/>
    <m/>
    <d v="2023-08-28T00:00:00"/>
    <n v="0"/>
    <d v="2023-08-28T00:00:00"/>
    <n v="0"/>
    <n v="0"/>
    <n v="0"/>
    <n v="1"/>
    <n v="1"/>
    <n v="0"/>
  </r>
  <r>
    <x v="236"/>
    <n v="61"/>
    <x v="0"/>
    <x v="161"/>
    <x v="155"/>
    <n v="1174"/>
    <x v="1"/>
    <x v="1"/>
    <x v="2"/>
    <n v="10"/>
    <n v="6"/>
    <n v="72"/>
    <x v="3"/>
    <x v="3"/>
    <s v="Social Media"/>
    <x v="0"/>
    <s v="Low"/>
    <x v="2"/>
    <x v="0"/>
    <n v="72"/>
    <d v="2023-08-29T00:00:00"/>
    <m/>
    <d v="2023-08-29T00:00:00"/>
    <n v="0"/>
    <d v="2023-08-29T00:00:00"/>
    <n v="0"/>
    <n v="0"/>
    <n v="0"/>
    <n v="1"/>
    <n v="1"/>
    <n v="0"/>
  </r>
  <r>
    <x v="237"/>
    <n v="22"/>
    <x v="0"/>
    <x v="161"/>
    <x v="2"/>
    <n v="1174"/>
    <x v="8"/>
    <x v="0"/>
    <x v="0"/>
    <n v="18"/>
    <n v="13.5"/>
    <n v="550.79999999999995"/>
    <x v="1"/>
    <x v="1"/>
    <s v="None"/>
    <x v="2"/>
    <s v="High"/>
    <x v="1"/>
    <x v="1"/>
    <n v="631.79999999999995"/>
    <m/>
    <d v="2026-02-14T00:00:00"/>
    <d v="2026-02-14T00:00:00"/>
    <n v="6"/>
    <d v="2025-11-20T00:00:00"/>
    <n v="1"/>
    <n v="0"/>
    <n v="0"/>
    <n v="1"/>
    <n v="1"/>
    <n v="1"/>
  </r>
  <r>
    <x v="238"/>
    <n v="51"/>
    <x v="0"/>
    <x v="162"/>
    <x v="156"/>
    <n v="1170"/>
    <x v="1"/>
    <x v="1"/>
    <x v="0"/>
    <n v="18"/>
    <n v="10.8"/>
    <n v="129.6"/>
    <x v="0"/>
    <x v="3"/>
    <s v="None"/>
    <x v="3"/>
    <s v="Medium"/>
    <x v="0"/>
    <x v="0"/>
    <n v="129.6"/>
    <d v="2023-09-02T00:00:00"/>
    <m/>
    <d v="2023-09-02T00:00:00"/>
    <n v="0"/>
    <d v="2023-09-02T00:00:00"/>
    <n v="0"/>
    <n v="0"/>
    <n v="0"/>
    <n v="1"/>
    <n v="1"/>
    <n v="0"/>
  </r>
  <r>
    <x v="239"/>
    <n v="67"/>
    <x v="0"/>
    <x v="163"/>
    <x v="157"/>
    <n v="1169"/>
    <x v="1"/>
    <x v="1"/>
    <x v="0"/>
    <n v="18"/>
    <n v="10.8"/>
    <n v="129.6"/>
    <x v="3"/>
    <x v="0"/>
    <s v="Search Engine"/>
    <x v="3"/>
    <s v="Medium"/>
    <x v="2"/>
    <x v="0"/>
    <n v="129.6"/>
    <d v="2023-09-03T00:00:00"/>
    <m/>
    <d v="2023-09-03T00:00:00"/>
    <n v="0"/>
    <d v="2023-09-03T00:00:00"/>
    <n v="0"/>
    <n v="0"/>
    <n v="0"/>
    <n v="1"/>
    <n v="1"/>
    <n v="0"/>
  </r>
  <r>
    <x v="240"/>
    <n v="26"/>
    <x v="1"/>
    <x v="164"/>
    <x v="158"/>
    <n v="1168"/>
    <x v="1"/>
    <x v="1"/>
    <x v="1"/>
    <n v="25"/>
    <n v="14.999999999999998"/>
    <n v="180"/>
    <x v="2"/>
    <x v="0"/>
    <s v="None"/>
    <x v="1"/>
    <s v="Medium"/>
    <x v="0"/>
    <x v="0"/>
    <n v="180"/>
    <d v="2023-09-04T00:00:00"/>
    <m/>
    <d v="2023-09-04T00:00:00"/>
    <n v="0"/>
    <d v="2023-09-04T00:00:00"/>
    <n v="0"/>
    <n v="0"/>
    <n v="0"/>
    <n v="1"/>
    <n v="1"/>
    <n v="0"/>
  </r>
  <r>
    <x v="241"/>
    <n v="22"/>
    <x v="0"/>
    <x v="165"/>
    <x v="159"/>
    <n v="1166"/>
    <x v="1"/>
    <x v="1"/>
    <x v="2"/>
    <n v="10"/>
    <n v="6"/>
    <n v="72"/>
    <x v="1"/>
    <x v="2"/>
    <s v="Social Media"/>
    <x v="3"/>
    <s v="Low"/>
    <x v="1"/>
    <x v="0"/>
    <n v="72"/>
    <d v="2023-09-06T00:00:00"/>
    <m/>
    <d v="2023-09-06T00:00:00"/>
    <n v="0"/>
    <d v="2023-09-06T00:00:00"/>
    <n v="0"/>
    <n v="0"/>
    <n v="0"/>
    <n v="1"/>
    <n v="1"/>
    <n v="0"/>
  </r>
  <r>
    <x v="242"/>
    <n v="26"/>
    <x v="1"/>
    <x v="165"/>
    <x v="2"/>
    <n v="1166"/>
    <x v="11"/>
    <x v="2"/>
    <x v="1"/>
    <n v="25"/>
    <n v="25"/>
    <n v="922.5"/>
    <x v="2"/>
    <x v="1"/>
    <s v="Email Campaign"/>
    <x v="2"/>
    <s v="Very High"/>
    <x v="0"/>
    <x v="1"/>
    <n v="947.5"/>
    <m/>
    <d v="2025-11-24T00:00:00"/>
    <d v="2025-11-24T00:00:00"/>
    <n v="38"/>
    <d v="2025-11-20T00:00:00"/>
    <n v="1"/>
    <n v="0"/>
    <n v="0"/>
    <n v="1"/>
    <n v="1"/>
    <n v="1"/>
  </r>
  <r>
    <x v="243"/>
    <n v="22"/>
    <x v="1"/>
    <x v="166"/>
    <x v="160"/>
    <n v="1165"/>
    <x v="1"/>
    <x v="1"/>
    <x v="0"/>
    <n v="18"/>
    <n v="10.8"/>
    <n v="129.6"/>
    <x v="1"/>
    <x v="1"/>
    <s v="Friend"/>
    <x v="3"/>
    <s v="Medium"/>
    <x v="1"/>
    <x v="0"/>
    <n v="129.6"/>
    <d v="2023-09-07T00:00:00"/>
    <m/>
    <d v="2023-09-07T00:00:00"/>
    <n v="0"/>
    <d v="2023-09-07T00:00:00"/>
    <n v="0"/>
    <n v="0"/>
    <n v="0"/>
    <n v="1"/>
    <n v="1"/>
    <n v="0"/>
  </r>
  <r>
    <x v="244"/>
    <n v="61"/>
    <x v="0"/>
    <x v="167"/>
    <x v="2"/>
    <n v="1164"/>
    <x v="11"/>
    <x v="2"/>
    <x v="1"/>
    <n v="25"/>
    <n v="25"/>
    <n v="922.5"/>
    <x v="3"/>
    <x v="0"/>
    <s v="Search Engine"/>
    <x v="2"/>
    <s v="Very High"/>
    <x v="2"/>
    <x v="1"/>
    <n v="947.5"/>
    <m/>
    <d v="2025-11-26T00:00:00"/>
    <d v="2025-11-26T00:00:00"/>
    <n v="38"/>
    <d v="2025-11-20T00:00:00"/>
    <n v="1"/>
    <n v="0"/>
    <n v="0"/>
    <n v="1"/>
    <n v="1"/>
    <n v="1"/>
  </r>
  <r>
    <x v="245"/>
    <n v="36"/>
    <x v="0"/>
    <x v="168"/>
    <x v="161"/>
    <n v="1163"/>
    <x v="3"/>
    <x v="2"/>
    <x v="2"/>
    <n v="10"/>
    <n v="9"/>
    <n v="0"/>
    <x v="2"/>
    <x v="2"/>
    <s v="None"/>
    <x v="0"/>
    <s v="Low"/>
    <x v="0"/>
    <x v="0"/>
    <n v="0"/>
    <d v="2022-10-14T00:00:00"/>
    <m/>
    <d v="2022-10-14T00:00:00"/>
    <n v="0"/>
    <d v="2022-10-14T00:00:00"/>
    <n v="0"/>
    <n v="0"/>
    <n v="0"/>
    <n v="0"/>
    <n v="0"/>
    <n v="0"/>
  </r>
  <r>
    <x v="246"/>
    <n v="29"/>
    <x v="0"/>
    <x v="168"/>
    <x v="162"/>
    <n v="1163"/>
    <x v="1"/>
    <x v="1"/>
    <x v="0"/>
    <n v="18"/>
    <n v="10.8"/>
    <n v="129.6"/>
    <x v="2"/>
    <x v="0"/>
    <s v="Social Media"/>
    <x v="1"/>
    <s v="Medium"/>
    <x v="0"/>
    <x v="0"/>
    <n v="129.6"/>
    <d v="2023-09-09T00:00:00"/>
    <m/>
    <d v="2023-09-09T00:00:00"/>
    <n v="0"/>
    <d v="2023-09-09T00:00:00"/>
    <n v="0"/>
    <n v="0"/>
    <n v="0"/>
    <n v="1"/>
    <n v="1"/>
    <n v="0"/>
  </r>
  <r>
    <x v="247"/>
    <n v="72"/>
    <x v="1"/>
    <x v="169"/>
    <x v="163"/>
    <n v="1162"/>
    <x v="3"/>
    <x v="2"/>
    <x v="0"/>
    <n v="18"/>
    <n v="16.2"/>
    <n v="0"/>
    <x v="4"/>
    <x v="2"/>
    <s v="Email Campaign"/>
    <x v="5"/>
    <s v="Low"/>
    <x v="3"/>
    <x v="0"/>
    <n v="0"/>
    <d v="2022-10-15T00:00:00"/>
    <m/>
    <d v="2022-10-15T00:00:00"/>
    <n v="0"/>
    <d v="2022-10-15T00:00:00"/>
    <n v="0"/>
    <n v="0"/>
    <n v="0"/>
    <n v="0"/>
    <n v="0"/>
    <n v="0"/>
  </r>
  <r>
    <x v="248"/>
    <n v="74"/>
    <x v="1"/>
    <x v="169"/>
    <x v="164"/>
    <n v="1162"/>
    <x v="1"/>
    <x v="1"/>
    <x v="1"/>
    <n v="25"/>
    <n v="14.999999999999998"/>
    <n v="180"/>
    <x v="4"/>
    <x v="0"/>
    <s v="Search Engine"/>
    <x v="0"/>
    <s v="Medium"/>
    <x v="3"/>
    <x v="0"/>
    <n v="180"/>
    <d v="2023-09-10T00:00:00"/>
    <m/>
    <d v="2023-09-10T00:00:00"/>
    <n v="0"/>
    <d v="2023-09-10T00:00:00"/>
    <n v="0"/>
    <n v="0"/>
    <n v="0"/>
    <n v="1"/>
    <n v="1"/>
    <n v="0"/>
  </r>
  <r>
    <x v="249"/>
    <n v="72"/>
    <x v="0"/>
    <x v="169"/>
    <x v="164"/>
    <n v="1162"/>
    <x v="1"/>
    <x v="1"/>
    <x v="1"/>
    <n v="25"/>
    <n v="14.999999999999998"/>
    <n v="180"/>
    <x v="4"/>
    <x v="1"/>
    <s v="Friend"/>
    <x v="1"/>
    <s v="Medium"/>
    <x v="3"/>
    <x v="0"/>
    <n v="180"/>
    <d v="2023-09-10T00:00:00"/>
    <m/>
    <d v="2023-09-10T00:00:00"/>
    <n v="0"/>
    <d v="2023-09-10T00:00:00"/>
    <n v="0"/>
    <n v="0"/>
    <n v="0"/>
    <n v="1"/>
    <n v="1"/>
    <n v="0"/>
  </r>
  <r>
    <x v="250"/>
    <n v="35"/>
    <x v="1"/>
    <x v="170"/>
    <x v="165"/>
    <n v="1159"/>
    <x v="1"/>
    <x v="1"/>
    <x v="0"/>
    <n v="18"/>
    <n v="10.8"/>
    <n v="129.6"/>
    <x v="2"/>
    <x v="0"/>
    <s v="None"/>
    <x v="1"/>
    <s v="Medium"/>
    <x v="0"/>
    <x v="0"/>
    <n v="129.6"/>
    <d v="2023-09-13T00:00:00"/>
    <m/>
    <d v="2023-09-13T00:00:00"/>
    <n v="0"/>
    <d v="2023-09-13T00:00:00"/>
    <n v="0"/>
    <n v="0"/>
    <n v="0"/>
    <n v="1"/>
    <n v="1"/>
    <n v="0"/>
  </r>
  <r>
    <x v="251"/>
    <n v="41"/>
    <x v="0"/>
    <x v="171"/>
    <x v="166"/>
    <n v="1157"/>
    <x v="1"/>
    <x v="1"/>
    <x v="0"/>
    <n v="18"/>
    <n v="10.8"/>
    <n v="129.6"/>
    <x v="2"/>
    <x v="0"/>
    <s v="Friend"/>
    <x v="1"/>
    <s v="Medium"/>
    <x v="0"/>
    <x v="0"/>
    <n v="129.6"/>
    <d v="2023-09-15T00:00:00"/>
    <m/>
    <d v="2023-09-15T00:00:00"/>
    <n v="0"/>
    <d v="2023-09-15T00:00:00"/>
    <n v="0"/>
    <n v="0"/>
    <n v="0"/>
    <n v="1"/>
    <n v="1"/>
    <n v="0"/>
  </r>
  <r>
    <x v="252"/>
    <n v="44"/>
    <x v="0"/>
    <x v="171"/>
    <x v="2"/>
    <n v="1157"/>
    <x v="2"/>
    <x v="1"/>
    <x v="1"/>
    <n v="25"/>
    <n v="16.666666666666664"/>
    <n v="780"/>
    <x v="2"/>
    <x v="1"/>
    <s v="Email Campaign"/>
    <x v="2"/>
    <s v="Very High"/>
    <x v="0"/>
    <x v="1"/>
    <n v="980"/>
    <m/>
    <d v="2026-08-30T00:00:00"/>
    <d v="2026-08-30T00:00:00"/>
    <n v="3"/>
    <d v="2025-11-20T00:00:00"/>
    <n v="1"/>
    <n v="0"/>
    <n v="0"/>
    <n v="1"/>
    <n v="1"/>
    <n v="1"/>
  </r>
  <r>
    <x v="253"/>
    <n v="38"/>
    <x v="1"/>
    <x v="172"/>
    <x v="167"/>
    <n v="1156"/>
    <x v="1"/>
    <x v="1"/>
    <x v="0"/>
    <n v="18"/>
    <n v="10.8"/>
    <n v="129.6"/>
    <x v="2"/>
    <x v="0"/>
    <s v="Friend"/>
    <x v="5"/>
    <s v="Medium"/>
    <x v="0"/>
    <x v="0"/>
    <n v="129.6"/>
    <d v="2023-09-16T00:00:00"/>
    <m/>
    <d v="2023-09-16T00:00:00"/>
    <n v="0"/>
    <d v="2023-09-16T00:00:00"/>
    <n v="0"/>
    <n v="0"/>
    <n v="0"/>
    <n v="1"/>
    <n v="1"/>
    <n v="0"/>
  </r>
  <r>
    <x v="254"/>
    <n v="26"/>
    <x v="1"/>
    <x v="173"/>
    <x v="168"/>
    <n v="1155"/>
    <x v="1"/>
    <x v="1"/>
    <x v="0"/>
    <n v="18"/>
    <n v="10.8"/>
    <n v="129.6"/>
    <x v="2"/>
    <x v="2"/>
    <s v="Search Engine"/>
    <x v="0"/>
    <s v="Medium"/>
    <x v="0"/>
    <x v="0"/>
    <n v="129.6"/>
    <d v="2023-09-17T00:00:00"/>
    <m/>
    <d v="2023-09-17T00:00:00"/>
    <n v="0"/>
    <d v="2023-09-17T00:00:00"/>
    <n v="0"/>
    <n v="0"/>
    <n v="0"/>
    <n v="1"/>
    <n v="1"/>
    <n v="0"/>
  </r>
  <r>
    <x v="255"/>
    <n v="56"/>
    <x v="0"/>
    <x v="174"/>
    <x v="169"/>
    <n v="1154"/>
    <x v="3"/>
    <x v="2"/>
    <x v="2"/>
    <n v="10"/>
    <n v="9"/>
    <n v="0"/>
    <x v="0"/>
    <x v="2"/>
    <s v="Email Campaign"/>
    <x v="0"/>
    <s v="Low"/>
    <x v="0"/>
    <x v="0"/>
    <n v="0"/>
    <d v="2022-10-23T00:00:00"/>
    <m/>
    <d v="2022-10-23T00:00:00"/>
    <n v="0"/>
    <d v="2022-10-23T00:00:00"/>
    <n v="0"/>
    <n v="0"/>
    <n v="0"/>
    <n v="0"/>
    <n v="0"/>
    <n v="0"/>
  </r>
  <r>
    <x v="256"/>
    <n v="20"/>
    <x v="0"/>
    <x v="175"/>
    <x v="170"/>
    <n v="1152"/>
    <x v="3"/>
    <x v="2"/>
    <x v="2"/>
    <n v="10"/>
    <n v="9"/>
    <n v="0"/>
    <x v="1"/>
    <x v="0"/>
    <s v="None"/>
    <x v="1"/>
    <s v="Low"/>
    <x v="1"/>
    <x v="0"/>
    <n v="0"/>
    <d v="2022-10-25T00:00:00"/>
    <m/>
    <d v="2022-10-25T00:00:00"/>
    <n v="0"/>
    <d v="2022-10-25T00:00:00"/>
    <n v="0"/>
    <n v="0"/>
    <n v="0"/>
    <n v="0"/>
    <n v="0"/>
    <n v="0"/>
  </r>
  <r>
    <x v="257"/>
    <n v="67"/>
    <x v="1"/>
    <x v="176"/>
    <x v="2"/>
    <n v="1150"/>
    <x v="8"/>
    <x v="0"/>
    <x v="1"/>
    <n v="25"/>
    <n v="18.75"/>
    <n v="765"/>
    <x v="3"/>
    <x v="3"/>
    <s v="None"/>
    <x v="2"/>
    <s v="Very High"/>
    <x v="2"/>
    <x v="1"/>
    <n v="877.5"/>
    <m/>
    <d v="2026-03-10T00:00:00"/>
    <d v="2026-03-10T00:00:00"/>
    <n v="6"/>
    <d v="2025-11-20T00:00:00"/>
    <n v="1"/>
    <n v="0"/>
    <n v="0"/>
    <n v="1"/>
    <n v="1"/>
    <n v="1"/>
  </r>
  <r>
    <x v="258"/>
    <n v="59"/>
    <x v="1"/>
    <x v="177"/>
    <x v="171"/>
    <n v="1148"/>
    <x v="1"/>
    <x v="1"/>
    <x v="2"/>
    <n v="10"/>
    <n v="6"/>
    <n v="72"/>
    <x v="0"/>
    <x v="1"/>
    <s v="Search Engine"/>
    <x v="3"/>
    <s v="Low"/>
    <x v="0"/>
    <x v="0"/>
    <n v="72"/>
    <d v="2023-09-24T00:00:00"/>
    <m/>
    <d v="2023-09-24T00:00:00"/>
    <n v="0"/>
    <d v="2023-09-24T00:00:00"/>
    <n v="0"/>
    <n v="0"/>
    <n v="0"/>
    <n v="1"/>
    <n v="1"/>
    <n v="0"/>
  </r>
  <r>
    <x v="259"/>
    <n v="72"/>
    <x v="1"/>
    <x v="178"/>
    <x v="172"/>
    <n v="1147"/>
    <x v="1"/>
    <x v="1"/>
    <x v="0"/>
    <n v="18"/>
    <n v="10.8"/>
    <n v="129.6"/>
    <x v="4"/>
    <x v="2"/>
    <s v="None"/>
    <x v="1"/>
    <s v="Medium"/>
    <x v="3"/>
    <x v="0"/>
    <n v="129.6"/>
    <d v="2023-09-25T00:00:00"/>
    <m/>
    <d v="2023-09-25T00:00:00"/>
    <n v="0"/>
    <d v="2023-09-25T00:00:00"/>
    <n v="0"/>
    <n v="0"/>
    <n v="0"/>
    <n v="1"/>
    <n v="1"/>
    <n v="0"/>
  </r>
  <r>
    <x v="260"/>
    <n v="31"/>
    <x v="1"/>
    <x v="179"/>
    <x v="173"/>
    <n v="1146"/>
    <x v="1"/>
    <x v="1"/>
    <x v="1"/>
    <n v="25"/>
    <n v="14.999999999999998"/>
    <n v="180"/>
    <x v="2"/>
    <x v="0"/>
    <s v="None"/>
    <x v="1"/>
    <s v="Medium"/>
    <x v="0"/>
    <x v="0"/>
    <n v="180"/>
    <d v="2023-09-26T00:00:00"/>
    <m/>
    <d v="2023-09-26T00:00:00"/>
    <n v="0"/>
    <d v="2023-09-26T00:00:00"/>
    <n v="0"/>
    <n v="0"/>
    <n v="0"/>
    <n v="1"/>
    <n v="1"/>
    <n v="0"/>
  </r>
  <r>
    <x v="261"/>
    <n v="43"/>
    <x v="1"/>
    <x v="179"/>
    <x v="2"/>
    <n v="1146"/>
    <x v="11"/>
    <x v="2"/>
    <x v="0"/>
    <n v="18"/>
    <n v="18"/>
    <n v="664.2"/>
    <x v="2"/>
    <x v="3"/>
    <s v="None"/>
    <x v="2"/>
    <s v="Very High"/>
    <x v="0"/>
    <x v="1"/>
    <n v="682.2"/>
    <m/>
    <d v="2025-12-14T00:00:00"/>
    <d v="2025-12-14T00:00:00"/>
    <n v="38"/>
    <d v="2025-11-20T00:00:00"/>
    <n v="1"/>
    <n v="0"/>
    <n v="0"/>
    <n v="1"/>
    <n v="1"/>
    <n v="1"/>
  </r>
  <r>
    <x v="262"/>
    <n v="36"/>
    <x v="0"/>
    <x v="180"/>
    <x v="174"/>
    <n v="1144"/>
    <x v="0"/>
    <x v="0"/>
    <x v="2"/>
    <n v="10"/>
    <n v="6.75"/>
    <n v="40.5"/>
    <x v="2"/>
    <x v="1"/>
    <s v="Email Campaign"/>
    <x v="5"/>
    <s v="Low"/>
    <x v="0"/>
    <x v="0"/>
    <n v="40.5"/>
    <d v="2023-04-01T00:00:00"/>
    <m/>
    <d v="2023-04-01T00:00:00"/>
    <n v="0"/>
    <d v="2023-04-01T00:00:00"/>
    <n v="0"/>
    <n v="0"/>
    <n v="0"/>
    <n v="1"/>
    <n v="0"/>
    <n v="0"/>
  </r>
  <r>
    <x v="263"/>
    <n v="42"/>
    <x v="0"/>
    <x v="180"/>
    <x v="174"/>
    <n v="1144"/>
    <x v="0"/>
    <x v="0"/>
    <x v="1"/>
    <n v="25"/>
    <n v="16.875"/>
    <n v="101.25"/>
    <x v="2"/>
    <x v="1"/>
    <s v="Social Media"/>
    <x v="5"/>
    <s v="Medium"/>
    <x v="0"/>
    <x v="0"/>
    <n v="101.25"/>
    <d v="2023-04-01T00:00:00"/>
    <m/>
    <d v="2023-04-01T00:00:00"/>
    <n v="0"/>
    <d v="2023-04-01T00:00:00"/>
    <n v="0"/>
    <n v="0"/>
    <n v="0"/>
    <n v="1"/>
    <n v="0"/>
    <n v="0"/>
  </r>
  <r>
    <x v="264"/>
    <n v="37"/>
    <x v="1"/>
    <x v="180"/>
    <x v="175"/>
    <n v="1144"/>
    <x v="1"/>
    <x v="1"/>
    <x v="1"/>
    <n v="25"/>
    <n v="14.999999999999998"/>
    <n v="180"/>
    <x v="2"/>
    <x v="0"/>
    <s v="Email Campaign"/>
    <x v="0"/>
    <s v="Medium"/>
    <x v="0"/>
    <x v="0"/>
    <n v="180"/>
    <d v="2023-09-28T00:00:00"/>
    <m/>
    <d v="2023-09-28T00:00:00"/>
    <n v="0"/>
    <d v="2023-09-28T00:00:00"/>
    <n v="0"/>
    <n v="0"/>
    <n v="0"/>
    <n v="1"/>
    <n v="1"/>
    <n v="0"/>
  </r>
  <r>
    <x v="265"/>
    <n v="23"/>
    <x v="1"/>
    <x v="181"/>
    <x v="176"/>
    <n v="1142"/>
    <x v="1"/>
    <x v="1"/>
    <x v="2"/>
    <n v="10"/>
    <n v="6"/>
    <n v="72"/>
    <x v="1"/>
    <x v="0"/>
    <s v="Social Media"/>
    <x v="4"/>
    <s v="Low"/>
    <x v="1"/>
    <x v="0"/>
    <n v="72"/>
    <d v="2023-09-30T00:00:00"/>
    <m/>
    <d v="2023-09-30T00:00:00"/>
    <n v="0"/>
    <d v="2023-09-30T00:00:00"/>
    <n v="0"/>
    <n v="0"/>
    <n v="0"/>
    <n v="1"/>
    <n v="1"/>
    <n v="0"/>
  </r>
  <r>
    <x v="266"/>
    <n v="74"/>
    <x v="0"/>
    <x v="181"/>
    <x v="176"/>
    <n v="1142"/>
    <x v="1"/>
    <x v="1"/>
    <x v="2"/>
    <n v="10"/>
    <n v="6"/>
    <n v="72"/>
    <x v="4"/>
    <x v="0"/>
    <s v="Search Engine"/>
    <x v="3"/>
    <s v="Low"/>
    <x v="3"/>
    <x v="0"/>
    <n v="72"/>
    <d v="2023-09-30T00:00:00"/>
    <m/>
    <d v="2023-09-30T00:00:00"/>
    <n v="0"/>
    <d v="2023-09-30T00:00:00"/>
    <n v="0"/>
    <n v="0"/>
    <n v="0"/>
    <n v="1"/>
    <n v="1"/>
    <n v="0"/>
  </r>
  <r>
    <x v="267"/>
    <n v="25"/>
    <x v="0"/>
    <x v="182"/>
    <x v="177"/>
    <n v="1140"/>
    <x v="0"/>
    <x v="0"/>
    <x v="0"/>
    <n v="18"/>
    <n v="12.15"/>
    <n v="72.900000000000006"/>
    <x v="1"/>
    <x v="0"/>
    <s v="Friend"/>
    <x v="5"/>
    <s v="Low"/>
    <x v="1"/>
    <x v="0"/>
    <n v="72.900000000000006"/>
    <d v="2023-04-05T00:00:00"/>
    <m/>
    <d v="2023-04-05T00:00:00"/>
    <n v="0"/>
    <d v="2023-04-05T00:00:00"/>
    <n v="0"/>
    <n v="0"/>
    <n v="0"/>
    <n v="1"/>
    <n v="0"/>
    <n v="0"/>
  </r>
  <r>
    <x v="268"/>
    <n v="19"/>
    <x v="1"/>
    <x v="183"/>
    <x v="178"/>
    <n v="1137"/>
    <x v="1"/>
    <x v="1"/>
    <x v="2"/>
    <n v="10"/>
    <n v="6"/>
    <n v="72"/>
    <x v="1"/>
    <x v="0"/>
    <s v="Friend"/>
    <x v="5"/>
    <s v="Low"/>
    <x v="1"/>
    <x v="0"/>
    <n v="72"/>
    <d v="2023-10-05T00:00:00"/>
    <m/>
    <d v="2023-10-05T00:00:00"/>
    <n v="0"/>
    <d v="2023-10-05T00:00:00"/>
    <n v="0"/>
    <n v="0"/>
    <n v="0"/>
    <n v="1"/>
    <n v="1"/>
    <n v="0"/>
  </r>
  <r>
    <x v="269"/>
    <n v="72"/>
    <x v="1"/>
    <x v="184"/>
    <x v="179"/>
    <n v="1136"/>
    <x v="0"/>
    <x v="0"/>
    <x v="0"/>
    <n v="18"/>
    <n v="12.15"/>
    <n v="72.900000000000006"/>
    <x v="4"/>
    <x v="3"/>
    <s v="None"/>
    <x v="5"/>
    <s v="Low"/>
    <x v="3"/>
    <x v="0"/>
    <n v="72.900000000000006"/>
    <d v="2023-04-09T00:00:00"/>
    <m/>
    <d v="2023-04-09T00:00:00"/>
    <n v="0"/>
    <d v="2023-04-09T00:00:00"/>
    <n v="0"/>
    <n v="0"/>
    <n v="0"/>
    <n v="1"/>
    <n v="0"/>
    <n v="0"/>
  </r>
  <r>
    <x v="270"/>
    <n v="71"/>
    <x v="0"/>
    <x v="184"/>
    <x v="180"/>
    <n v="1136"/>
    <x v="1"/>
    <x v="1"/>
    <x v="1"/>
    <n v="25"/>
    <n v="14.999999999999998"/>
    <n v="180"/>
    <x v="4"/>
    <x v="3"/>
    <s v="Social Media"/>
    <x v="4"/>
    <s v="Medium"/>
    <x v="3"/>
    <x v="0"/>
    <n v="180"/>
    <d v="2023-10-06T00:00:00"/>
    <m/>
    <d v="2023-10-06T00:00:00"/>
    <n v="0"/>
    <d v="2023-10-06T00:00:00"/>
    <n v="0"/>
    <n v="0"/>
    <n v="0"/>
    <n v="1"/>
    <n v="1"/>
    <n v="0"/>
  </r>
  <r>
    <x v="271"/>
    <n v="60"/>
    <x v="0"/>
    <x v="185"/>
    <x v="181"/>
    <n v="1135"/>
    <x v="0"/>
    <x v="0"/>
    <x v="1"/>
    <n v="25"/>
    <n v="16.875"/>
    <n v="101.25"/>
    <x v="3"/>
    <x v="1"/>
    <s v="Social Media"/>
    <x v="0"/>
    <s v="Medium"/>
    <x v="2"/>
    <x v="0"/>
    <n v="101.25"/>
    <d v="2023-04-10T00:00:00"/>
    <m/>
    <d v="2023-04-10T00:00:00"/>
    <n v="0"/>
    <d v="2023-04-10T00:00:00"/>
    <n v="0"/>
    <n v="0"/>
    <n v="0"/>
    <n v="1"/>
    <n v="0"/>
    <n v="0"/>
  </r>
  <r>
    <x v="272"/>
    <n v="75"/>
    <x v="0"/>
    <x v="186"/>
    <x v="182"/>
    <n v="1134"/>
    <x v="1"/>
    <x v="1"/>
    <x v="2"/>
    <n v="10"/>
    <n v="6"/>
    <n v="72"/>
    <x v="4"/>
    <x v="0"/>
    <s v="Search Engine"/>
    <x v="0"/>
    <s v="Low"/>
    <x v="3"/>
    <x v="0"/>
    <n v="72"/>
    <d v="2023-10-08T00:00:00"/>
    <m/>
    <d v="2023-10-08T00:00:00"/>
    <n v="0"/>
    <d v="2023-10-08T00:00:00"/>
    <n v="0"/>
    <n v="0"/>
    <n v="0"/>
    <n v="1"/>
    <n v="1"/>
    <n v="0"/>
  </r>
  <r>
    <x v="273"/>
    <n v="44"/>
    <x v="1"/>
    <x v="187"/>
    <x v="183"/>
    <n v="1133"/>
    <x v="1"/>
    <x v="1"/>
    <x v="1"/>
    <n v="25"/>
    <n v="14.999999999999998"/>
    <n v="180"/>
    <x v="2"/>
    <x v="3"/>
    <s v="None"/>
    <x v="4"/>
    <s v="Medium"/>
    <x v="0"/>
    <x v="0"/>
    <n v="180"/>
    <d v="2023-10-09T00:00:00"/>
    <m/>
    <d v="2023-10-09T00:00:00"/>
    <n v="0"/>
    <d v="2023-10-09T00:00:00"/>
    <n v="0"/>
    <n v="0"/>
    <n v="0"/>
    <n v="1"/>
    <n v="1"/>
    <n v="0"/>
  </r>
  <r>
    <x v="274"/>
    <n v="63"/>
    <x v="0"/>
    <x v="188"/>
    <x v="63"/>
    <n v="1132"/>
    <x v="0"/>
    <x v="0"/>
    <x v="1"/>
    <n v="25"/>
    <n v="16.875"/>
    <n v="101.25"/>
    <x v="3"/>
    <x v="2"/>
    <s v="Email Campaign"/>
    <x v="0"/>
    <s v="Medium"/>
    <x v="2"/>
    <x v="0"/>
    <n v="101.25"/>
    <d v="2023-04-13T00:00:00"/>
    <m/>
    <d v="2023-04-13T00:00:00"/>
    <n v="0"/>
    <d v="2023-04-13T00:00:00"/>
    <n v="0"/>
    <n v="0"/>
    <n v="0"/>
    <n v="1"/>
    <n v="0"/>
    <n v="0"/>
  </r>
  <r>
    <x v="275"/>
    <n v="56"/>
    <x v="1"/>
    <x v="189"/>
    <x v="184"/>
    <n v="1131"/>
    <x v="3"/>
    <x v="2"/>
    <x v="0"/>
    <n v="18"/>
    <n v="16.2"/>
    <n v="0"/>
    <x v="0"/>
    <x v="1"/>
    <s v="Email Campaign"/>
    <x v="5"/>
    <s v="Low"/>
    <x v="0"/>
    <x v="0"/>
    <n v="0"/>
    <d v="2022-11-15T00:00:00"/>
    <m/>
    <d v="2022-11-15T00:00:00"/>
    <n v="0"/>
    <d v="2022-11-15T00:00:00"/>
    <n v="0"/>
    <n v="0"/>
    <n v="0"/>
    <n v="0"/>
    <n v="0"/>
    <n v="0"/>
  </r>
  <r>
    <x v="276"/>
    <n v="53"/>
    <x v="0"/>
    <x v="189"/>
    <x v="2"/>
    <n v="1131"/>
    <x v="2"/>
    <x v="1"/>
    <x v="2"/>
    <n v="10"/>
    <n v="6.6666666666666661"/>
    <n v="312"/>
    <x v="0"/>
    <x v="2"/>
    <s v="Social Media"/>
    <x v="2"/>
    <s v="High"/>
    <x v="0"/>
    <x v="1"/>
    <n v="392"/>
    <m/>
    <d v="2026-09-25T00:00:00"/>
    <d v="2026-09-25T00:00:00"/>
    <n v="3"/>
    <d v="2025-11-20T00:00:00"/>
    <n v="1"/>
    <n v="0"/>
    <n v="0"/>
    <n v="1"/>
    <n v="1"/>
    <n v="1"/>
  </r>
  <r>
    <x v="277"/>
    <n v="38"/>
    <x v="1"/>
    <x v="189"/>
    <x v="2"/>
    <n v="1131"/>
    <x v="12"/>
    <x v="2"/>
    <x v="0"/>
    <n v="18"/>
    <n v="18"/>
    <n v="646.20000000000005"/>
    <x v="2"/>
    <x v="3"/>
    <s v="Social Media"/>
    <x v="2"/>
    <s v="Very High"/>
    <x v="0"/>
    <x v="1"/>
    <n v="664.2"/>
    <m/>
    <d v="2025-11-29T00:00:00"/>
    <d v="2025-11-29T00:00:00"/>
    <n v="37"/>
    <d v="2025-11-20T00:00:00"/>
    <n v="1"/>
    <n v="0"/>
    <n v="0"/>
    <n v="1"/>
    <n v="1"/>
    <n v="1"/>
  </r>
  <r>
    <x v="278"/>
    <n v="20"/>
    <x v="1"/>
    <x v="190"/>
    <x v="185"/>
    <n v="1130"/>
    <x v="1"/>
    <x v="1"/>
    <x v="1"/>
    <n v="25"/>
    <n v="14.999999999999998"/>
    <n v="180"/>
    <x v="1"/>
    <x v="1"/>
    <s v="Friend"/>
    <x v="1"/>
    <s v="Medium"/>
    <x v="1"/>
    <x v="0"/>
    <n v="180"/>
    <d v="2023-10-12T00:00:00"/>
    <m/>
    <d v="2023-10-12T00:00:00"/>
    <n v="0"/>
    <d v="2023-10-12T00:00:00"/>
    <n v="0"/>
    <n v="0"/>
    <n v="0"/>
    <n v="1"/>
    <n v="1"/>
    <n v="0"/>
  </r>
  <r>
    <x v="279"/>
    <n v="44"/>
    <x v="0"/>
    <x v="191"/>
    <x v="186"/>
    <n v="1128"/>
    <x v="3"/>
    <x v="2"/>
    <x v="2"/>
    <n v="10"/>
    <n v="9"/>
    <n v="0"/>
    <x v="2"/>
    <x v="3"/>
    <s v="None"/>
    <x v="3"/>
    <s v="Low"/>
    <x v="0"/>
    <x v="0"/>
    <n v="0"/>
    <d v="2022-11-18T00:00:00"/>
    <m/>
    <d v="2022-11-18T00:00:00"/>
    <n v="0"/>
    <d v="2022-11-18T00:00:00"/>
    <n v="0"/>
    <n v="0"/>
    <n v="0"/>
    <n v="0"/>
    <n v="0"/>
    <n v="0"/>
  </r>
  <r>
    <x v="280"/>
    <n v="21"/>
    <x v="0"/>
    <x v="192"/>
    <x v="187"/>
    <n v="1126"/>
    <x v="1"/>
    <x v="1"/>
    <x v="1"/>
    <n v="25"/>
    <n v="14.999999999999998"/>
    <n v="180"/>
    <x v="1"/>
    <x v="3"/>
    <s v="Search Engine"/>
    <x v="5"/>
    <s v="Medium"/>
    <x v="1"/>
    <x v="0"/>
    <n v="180"/>
    <d v="2023-10-16T00:00:00"/>
    <m/>
    <d v="2023-10-16T00:00:00"/>
    <n v="0"/>
    <d v="2023-10-16T00:00:00"/>
    <n v="0"/>
    <n v="0"/>
    <n v="0"/>
    <n v="1"/>
    <n v="1"/>
    <n v="0"/>
  </r>
  <r>
    <x v="281"/>
    <n v="57"/>
    <x v="0"/>
    <x v="192"/>
    <x v="2"/>
    <n v="1126"/>
    <x v="2"/>
    <x v="1"/>
    <x v="2"/>
    <n v="10"/>
    <n v="6.6666666666666661"/>
    <n v="312"/>
    <x v="0"/>
    <x v="1"/>
    <s v="None"/>
    <x v="2"/>
    <s v="High"/>
    <x v="0"/>
    <x v="1"/>
    <n v="392"/>
    <m/>
    <d v="2026-09-30T00:00:00"/>
    <d v="2026-09-30T00:00:00"/>
    <n v="3"/>
    <d v="2025-11-20T00:00:00"/>
    <n v="1"/>
    <n v="0"/>
    <n v="0"/>
    <n v="1"/>
    <n v="1"/>
    <n v="1"/>
  </r>
  <r>
    <x v="282"/>
    <n v="60"/>
    <x v="1"/>
    <x v="193"/>
    <x v="188"/>
    <n v="1125"/>
    <x v="3"/>
    <x v="2"/>
    <x v="0"/>
    <n v="18"/>
    <n v="16.2"/>
    <n v="0"/>
    <x v="3"/>
    <x v="0"/>
    <s v="Search Engine"/>
    <x v="0"/>
    <s v="Low"/>
    <x v="2"/>
    <x v="0"/>
    <n v="0"/>
    <d v="2022-11-21T00:00:00"/>
    <m/>
    <d v="2022-11-21T00:00:00"/>
    <n v="0"/>
    <d v="2022-11-21T00:00:00"/>
    <n v="0"/>
    <n v="0"/>
    <n v="0"/>
    <n v="0"/>
    <n v="0"/>
    <n v="0"/>
  </r>
  <r>
    <x v="283"/>
    <n v="41"/>
    <x v="0"/>
    <x v="193"/>
    <x v="189"/>
    <n v="1125"/>
    <x v="1"/>
    <x v="1"/>
    <x v="1"/>
    <n v="25"/>
    <n v="14.999999999999998"/>
    <n v="180"/>
    <x v="2"/>
    <x v="1"/>
    <s v="Friend"/>
    <x v="1"/>
    <s v="Medium"/>
    <x v="0"/>
    <x v="0"/>
    <n v="180"/>
    <d v="2023-10-17T00:00:00"/>
    <m/>
    <d v="2023-10-17T00:00:00"/>
    <n v="0"/>
    <d v="2023-10-17T00:00:00"/>
    <n v="0"/>
    <n v="0"/>
    <n v="0"/>
    <n v="1"/>
    <n v="1"/>
    <n v="0"/>
  </r>
  <r>
    <x v="284"/>
    <n v="69"/>
    <x v="0"/>
    <x v="194"/>
    <x v="190"/>
    <n v="1124"/>
    <x v="3"/>
    <x v="2"/>
    <x v="1"/>
    <n v="25"/>
    <n v="22.5"/>
    <n v="0"/>
    <x v="3"/>
    <x v="2"/>
    <s v="None"/>
    <x v="3"/>
    <s v="Low"/>
    <x v="2"/>
    <x v="0"/>
    <n v="0"/>
    <d v="2022-11-22T00:00:00"/>
    <m/>
    <d v="2022-11-22T00:00:00"/>
    <n v="0"/>
    <d v="2022-11-22T00:00:00"/>
    <n v="0"/>
    <n v="0"/>
    <n v="0"/>
    <n v="0"/>
    <n v="0"/>
    <n v="0"/>
  </r>
  <r>
    <x v="285"/>
    <n v="59"/>
    <x v="1"/>
    <x v="194"/>
    <x v="70"/>
    <n v="1124"/>
    <x v="0"/>
    <x v="0"/>
    <x v="2"/>
    <n v="10"/>
    <n v="6.75"/>
    <n v="40.5"/>
    <x v="0"/>
    <x v="1"/>
    <s v="Email Campaign"/>
    <x v="1"/>
    <s v="Low"/>
    <x v="0"/>
    <x v="0"/>
    <n v="40.5"/>
    <d v="2023-04-21T00:00:00"/>
    <m/>
    <d v="2023-04-21T00:00:00"/>
    <n v="0"/>
    <d v="2023-04-21T00:00:00"/>
    <n v="0"/>
    <n v="0"/>
    <n v="0"/>
    <n v="1"/>
    <n v="0"/>
    <n v="0"/>
  </r>
  <r>
    <x v="286"/>
    <n v="35"/>
    <x v="0"/>
    <x v="194"/>
    <x v="2"/>
    <n v="1124"/>
    <x v="8"/>
    <x v="0"/>
    <x v="2"/>
    <n v="10"/>
    <n v="7.5"/>
    <n v="306"/>
    <x v="2"/>
    <x v="3"/>
    <s v="Search Engine"/>
    <x v="2"/>
    <s v="High"/>
    <x v="0"/>
    <x v="1"/>
    <n v="351"/>
    <m/>
    <d v="2026-04-05T00:00:00"/>
    <d v="2026-04-05T00:00:00"/>
    <n v="6"/>
    <d v="2025-11-20T00:00:00"/>
    <n v="1"/>
    <n v="0"/>
    <n v="0"/>
    <n v="1"/>
    <n v="1"/>
    <n v="1"/>
  </r>
  <r>
    <x v="287"/>
    <n v="44"/>
    <x v="0"/>
    <x v="195"/>
    <x v="191"/>
    <n v="1123"/>
    <x v="1"/>
    <x v="1"/>
    <x v="2"/>
    <n v="10"/>
    <n v="6"/>
    <n v="72"/>
    <x v="2"/>
    <x v="0"/>
    <s v="Email Campaign"/>
    <x v="3"/>
    <s v="Low"/>
    <x v="0"/>
    <x v="0"/>
    <n v="72"/>
    <d v="2023-10-19T00:00:00"/>
    <m/>
    <d v="2023-10-19T00:00:00"/>
    <n v="0"/>
    <d v="2023-10-19T00:00:00"/>
    <n v="0"/>
    <n v="0"/>
    <n v="0"/>
    <n v="1"/>
    <n v="1"/>
    <n v="0"/>
  </r>
  <r>
    <x v="288"/>
    <n v="68"/>
    <x v="1"/>
    <x v="196"/>
    <x v="2"/>
    <n v="1122"/>
    <x v="12"/>
    <x v="2"/>
    <x v="1"/>
    <n v="25"/>
    <n v="25"/>
    <n v="897.5"/>
    <x v="3"/>
    <x v="1"/>
    <s v="Friend"/>
    <x v="2"/>
    <s v="Very High"/>
    <x v="2"/>
    <x v="1"/>
    <n v="922.5"/>
    <m/>
    <d v="2025-12-08T00:00:00"/>
    <d v="2025-12-08T00:00:00"/>
    <n v="37"/>
    <d v="2025-11-20T00:00:00"/>
    <n v="1"/>
    <n v="0"/>
    <n v="0"/>
    <n v="1"/>
    <n v="1"/>
    <n v="1"/>
  </r>
  <r>
    <x v="289"/>
    <n v="51"/>
    <x v="1"/>
    <x v="197"/>
    <x v="2"/>
    <n v="1121"/>
    <x v="12"/>
    <x v="2"/>
    <x v="0"/>
    <n v="18"/>
    <n v="18"/>
    <n v="646.20000000000005"/>
    <x v="0"/>
    <x v="0"/>
    <s v="None"/>
    <x v="2"/>
    <s v="Very High"/>
    <x v="0"/>
    <x v="1"/>
    <n v="664.2"/>
    <m/>
    <d v="2025-12-09T00:00:00"/>
    <d v="2025-12-09T00:00:00"/>
    <n v="37"/>
    <d v="2025-11-20T00:00:00"/>
    <n v="1"/>
    <n v="0"/>
    <n v="0"/>
    <n v="1"/>
    <n v="1"/>
    <n v="1"/>
  </r>
  <r>
    <x v="290"/>
    <n v="68"/>
    <x v="0"/>
    <x v="198"/>
    <x v="192"/>
    <n v="1120"/>
    <x v="3"/>
    <x v="2"/>
    <x v="1"/>
    <n v="25"/>
    <n v="22.5"/>
    <n v="0"/>
    <x v="3"/>
    <x v="1"/>
    <s v="Email Campaign"/>
    <x v="0"/>
    <s v="Low"/>
    <x v="2"/>
    <x v="0"/>
    <n v="0"/>
    <d v="2022-11-26T00:00:00"/>
    <m/>
    <d v="2022-11-26T00:00:00"/>
    <n v="0"/>
    <d v="2022-11-26T00:00:00"/>
    <n v="0"/>
    <n v="0"/>
    <n v="0"/>
    <n v="0"/>
    <n v="0"/>
    <n v="0"/>
  </r>
  <r>
    <x v="291"/>
    <n v="42"/>
    <x v="0"/>
    <x v="198"/>
    <x v="72"/>
    <n v="1120"/>
    <x v="0"/>
    <x v="0"/>
    <x v="1"/>
    <n v="25"/>
    <n v="16.875"/>
    <n v="101.25"/>
    <x v="2"/>
    <x v="3"/>
    <s v="Friend"/>
    <x v="3"/>
    <s v="Medium"/>
    <x v="0"/>
    <x v="0"/>
    <n v="101.25"/>
    <d v="2023-04-25T00:00:00"/>
    <m/>
    <d v="2023-04-25T00:00:00"/>
    <n v="0"/>
    <d v="2023-04-25T00:00:00"/>
    <n v="0"/>
    <n v="0"/>
    <n v="0"/>
    <n v="1"/>
    <n v="0"/>
    <n v="0"/>
  </r>
  <r>
    <x v="292"/>
    <n v="64"/>
    <x v="1"/>
    <x v="198"/>
    <x v="72"/>
    <n v="1120"/>
    <x v="0"/>
    <x v="0"/>
    <x v="1"/>
    <n v="25"/>
    <n v="16.875"/>
    <n v="101.25"/>
    <x v="3"/>
    <x v="0"/>
    <s v="None"/>
    <x v="3"/>
    <s v="Medium"/>
    <x v="2"/>
    <x v="0"/>
    <n v="101.25"/>
    <d v="2023-04-25T00:00:00"/>
    <m/>
    <d v="2023-04-25T00:00:00"/>
    <n v="0"/>
    <d v="2023-04-25T00:00:00"/>
    <n v="0"/>
    <n v="0"/>
    <n v="0"/>
    <n v="1"/>
    <n v="0"/>
    <n v="0"/>
  </r>
  <r>
    <x v="293"/>
    <n v="23"/>
    <x v="0"/>
    <x v="199"/>
    <x v="2"/>
    <n v="1119"/>
    <x v="12"/>
    <x v="2"/>
    <x v="0"/>
    <n v="18"/>
    <n v="18"/>
    <n v="646.20000000000005"/>
    <x v="1"/>
    <x v="3"/>
    <s v="Friend"/>
    <x v="2"/>
    <s v="Very High"/>
    <x v="1"/>
    <x v="1"/>
    <n v="664.2"/>
    <m/>
    <d v="2025-12-11T00:00:00"/>
    <d v="2025-12-11T00:00:00"/>
    <n v="37"/>
    <d v="2025-11-20T00:00:00"/>
    <n v="1"/>
    <n v="0"/>
    <n v="0"/>
    <n v="1"/>
    <n v="1"/>
    <n v="1"/>
  </r>
  <r>
    <x v="294"/>
    <n v="37"/>
    <x v="0"/>
    <x v="200"/>
    <x v="193"/>
    <n v="1118"/>
    <x v="0"/>
    <x v="0"/>
    <x v="1"/>
    <n v="25"/>
    <n v="16.875"/>
    <n v="101.25"/>
    <x v="2"/>
    <x v="0"/>
    <s v="Social Media"/>
    <x v="0"/>
    <s v="Medium"/>
    <x v="0"/>
    <x v="0"/>
    <n v="101.25"/>
    <d v="2023-04-27T00:00:00"/>
    <m/>
    <d v="2023-04-27T00:00:00"/>
    <n v="0"/>
    <d v="2023-04-27T00:00:00"/>
    <n v="0"/>
    <n v="0"/>
    <n v="0"/>
    <n v="1"/>
    <n v="0"/>
    <n v="0"/>
  </r>
  <r>
    <x v="295"/>
    <n v="56"/>
    <x v="0"/>
    <x v="200"/>
    <x v="2"/>
    <n v="1118"/>
    <x v="2"/>
    <x v="1"/>
    <x v="0"/>
    <n v="18"/>
    <n v="12"/>
    <n v="561.6"/>
    <x v="0"/>
    <x v="2"/>
    <s v="Email Campaign"/>
    <x v="2"/>
    <s v="High"/>
    <x v="0"/>
    <x v="1"/>
    <n v="705.6"/>
    <m/>
    <d v="2026-10-08T00:00:00"/>
    <d v="2026-10-08T00:00:00"/>
    <n v="3"/>
    <d v="2025-11-20T00:00:00"/>
    <n v="1"/>
    <n v="0"/>
    <n v="0"/>
    <n v="1"/>
    <n v="1"/>
    <n v="1"/>
  </r>
  <r>
    <x v="296"/>
    <n v="60"/>
    <x v="0"/>
    <x v="201"/>
    <x v="194"/>
    <n v="1117"/>
    <x v="1"/>
    <x v="1"/>
    <x v="2"/>
    <n v="10"/>
    <n v="6"/>
    <n v="72"/>
    <x v="3"/>
    <x v="2"/>
    <s v="None"/>
    <x v="1"/>
    <s v="Low"/>
    <x v="2"/>
    <x v="0"/>
    <n v="72"/>
    <d v="2023-10-25T00:00:00"/>
    <m/>
    <d v="2023-10-25T00:00:00"/>
    <n v="0"/>
    <d v="2023-10-25T00:00:00"/>
    <n v="0"/>
    <n v="0"/>
    <n v="0"/>
    <n v="1"/>
    <n v="1"/>
    <n v="0"/>
  </r>
  <r>
    <x v="297"/>
    <n v="35"/>
    <x v="1"/>
    <x v="202"/>
    <x v="195"/>
    <n v="1115"/>
    <x v="1"/>
    <x v="1"/>
    <x v="1"/>
    <n v="25"/>
    <n v="14.999999999999998"/>
    <n v="180"/>
    <x v="2"/>
    <x v="2"/>
    <s v="Email Campaign"/>
    <x v="0"/>
    <s v="Medium"/>
    <x v="0"/>
    <x v="0"/>
    <n v="180"/>
    <d v="2023-10-27T00:00:00"/>
    <m/>
    <d v="2023-10-27T00:00:00"/>
    <n v="0"/>
    <d v="2023-10-27T00:00:00"/>
    <n v="0"/>
    <n v="0"/>
    <n v="0"/>
    <n v="1"/>
    <n v="1"/>
    <n v="0"/>
  </r>
  <r>
    <x v="298"/>
    <n v="47"/>
    <x v="0"/>
    <x v="203"/>
    <x v="196"/>
    <n v="1114"/>
    <x v="1"/>
    <x v="1"/>
    <x v="0"/>
    <n v="18"/>
    <n v="10.8"/>
    <n v="129.6"/>
    <x v="2"/>
    <x v="3"/>
    <s v="None"/>
    <x v="5"/>
    <s v="Medium"/>
    <x v="0"/>
    <x v="0"/>
    <n v="129.6"/>
    <d v="2023-10-28T00:00:00"/>
    <m/>
    <d v="2023-10-28T00:00:00"/>
    <n v="0"/>
    <d v="2023-10-28T00:00:00"/>
    <n v="0"/>
    <n v="0"/>
    <n v="0"/>
    <n v="1"/>
    <n v="1"/>
    <n v="0"/>
  </r>
  <r>
    <x v="299"/>
    <n v="33"/>
    <x v="1"/>
    <x v="203"/>
    <x v="2"/>
    <n v="1114"/>
    <x v="8"/>
    <x v="0"/>
    <x v="1"/>
    <n v="25"/>
    <n v="18.75"/>
    <n v="765"/>
    <x v="2"/>
    <x v="3"/>
    <s v="None"/>
    <x v="2"/>
    <s v="Very High"/>
    <x v="0"/>
    <x v="1"/>
    <n v="877.5"/>
    <m/>
    <d v="2026-04-15T00:00:00"/>
    <d v="2026-04-15T00:00:00"/>
    <n v="6"/>
    <d v="2025-11-20T00:00:00"/>
    <n v="1"/>
    <n v="0"/>
    <n v="0"/>
    <n v="1"/>
    <n v="1"/>
    <n v="1"/>
  </r>
  <r>
    <x v="300"/>
    <n v="33"/>
    <x v="1"/>
    <x v="203"/>
    <x v="2"/>
    <n v="1114"/>
    <x v="8"/>
    <x v="0"/>
    <x v="0"/>
    <n v="18"/>
    <n v="13.5"/>
    <n v="550.79999999999995"/>
    <x v="2"/>
    <x v="2"/>
    <s v="Search Engine"/>
    <x v="2"/>
    <s v="High"/>
    <x v="0"/>
    <x v="1"/>
    <n v="631.79999999999995"/>
    <m/>
    <d v="2026-04-15T00:00:00"/>
    <d v="2026-04-15T00:00:00"/>
    <n v="6"/>
    <d v="2025-11-20T00:00:00"/>
    <n v="1"/>
    <n v="0"/>
    <n v="0"/>
    <n v="1"/>
    <n v="1"/>
    <n v="1"/>
  </r>
  <r>
    <x v="301"/>
    <n v="75"/>
    <x v="1"/>
    <x v="204"/>
    <x v="77"/>
    <n v="1112"/>
    <x v="0"/>
    <x v="0"/>
    <x v="0"/>
    <n v="18"/>
    <n v="12.15"/>
    <n v="72.900000000000006"/>
    <x v="4"/>
    <x v="0"/>
    <s v="Search Engine"/>
    <x v="1"/>
    <s v="Low"/>
    <x v="3"/>
    <x v="0"/>
    <n v="72.900000000000006"/>
    <d v="2023-05-03T00:00:00"/>
    <m/>
    <d v="2023-05-03T00:00:00"/>
    <n v="0"/>
    <d v="2023-05-03T00:00:00"/>
    <n v="0"/>
    <n v="0"/>
    <n v="0"/>
    <n v="1"/>
    <n v="0"/>
    <n v="0"/>
  </r>
  <r>
    <x v="302"/>
    <n v="50"/>
    <x v="1"/>
    <x v="205"/>
    <x v="197"/>
    <n v="1111"/>
    <x v="3"/>
    <x v="2"/>
    <x v="0"/>
    <n v="18"/>
    <n v="16.2"/>
    <n v="0"/>
    <x v="0"/>
    <x v="1"/>
    <s v="Search Engine"/>
    <x v="5"/>
    <s v="Low"/>
    <x v="0"/>
    <x v="0"/>
    <n v="0"/>
    <d v="2022-12-05T00:00:00"/>
    <m/>
    <d v="2022-12-05T00:00:00"/>
    <n v="0"/>
    <d v="2022-12-05T00:00:00"/>
    <n v="0"/>
    <n v="0"/>
    <n v="0"/>
    <n v="0"/>
    <n v="0"/>
    <n v="0"/>
  </r>
  <r>
    <x v="303"/>
    <n v="53"/>
    <x v="0"/>
    <x v="205"/>
    <x v="198"/>
    <n v="1111"/>
    <x v="1"/>
    <x v="1"/>
    <x v="1"/>
    <n v="25"/>
    <n v="14.999999999999998"/>
    <n v="180"/>
    <x v="0"/>
    <x v="2"/>
    <s v="Social Media"/>
    <x v="4"/>
    <s v="Medium"/>
    <x v="0"/>
    <x v="0"/>
    <n v="180"/>
    <d v="2023-10-31T00:00:00"/>
    <m/>
    <d v="2023-10-31T00:00:00"/>
    <n v="0"/>
    <d v="2023-10-31T00:00:00"/>
    <n v="0"/>
    <n v="0"/>
    <n v="0"/>
    <n v="1"/>
    <n v="1"/>
    <n v="0"/>
  </r>
  <r>
    <x v="304"/>
    <n v="71"/>
    <x v="0"/>
    <x v="206"/>
    <x v="78"/>
    <n v="1110"/>
    <x v="0"/>
    <x v="0"/>
    <x v="2"/>
    <n v="10"/>
    <n v="6.75"/>
    <n v="40.5"/>
    <x v="4"/>
    <x v="1"/>
    <s v="Email Campaign"/>
    <x v="5"/>
    <s v="Low"/>
    <x v="3"/>
    <x v="0"/>
    <n v="40.5"/>
    <d v="2023-05-05T00:00:00"/>
    <m/>
    <d v="2023-05-05T00:00:00"/>
    <n v="0"/>
    <d v="2023-05-05T00:00:00"/>
    <n v="0"/>
    <n v="0"/>
    <n v="0"/>
    <n v="1"/>
    <n v="0"/>
    <n v="0"/>
  </r>
  <r>
    <x v="305"/>
    <n v="46"/>
    <x v="1"/>
    <x v="207"/>
    <x v="199"/>
    <n v="1109"/>
    <x v="1"/>
    <x v="1"/>
    <x v="0"/>
    <n v="18"/>
    <n v="10.8"/>
    <n v="129.6"/>
    <x v="2"/>
    <x v="1"/>
    <s v="Email Campaign"/>
    <x v="4"/>
    <s v="Medium"/>
    <x v="0"/>
    <x v="0"/>
    <n v="129.6"/>
    <d v="2023-11-02T00:00:00"/>
    <m/>
    <d v="2023-11-02T00:00:00"/>
    <n v="0"/>
    <d v="2023-11-02T00:00:00"/>
    <n v="0"/>
    <n v="0"/>
    <n v="0"/>
    <n v="1"/>
    <n v="1"/>
    <n v="0"/>
  </r>
  <r>
    <x v="306"/>
    <n v="21"/>
    <x v="0"/>
    <x v="208"/>
    <x v="200"/>
    <n v="1108"/>
    <x v="1"/>
    <x v="1"/>
    <x v="2"/>
    <n v="10"/>
    <n v="6"/>
    <n v="72"/>
    <x v="1"/>
    <x v="0"/>
    <s v="None"/>
    <x v="0"/>
    <s v="Low"/>
    <x v="1"/>
    <x v="0"/>
    <n v="72"/>
    <d v="2023-11-03T00:00:00"/>
    <m/>
    <d v="2023-11-03T00:00:00"/>
    <n v="0"/>
    <d v="2023-11-03T00:00:00"/>
    <n v="0"/>
    <n v="0"/>
    <n v="0"/>
    <n v="1"/>
    <n v="1"/>
    <n v="0"/>
  </r>
  <r>
    <x v="307"/>
    <n v="49"/>
    <x v="1"/>
    <x v="209"/>
    <x v="201"/>
    <n v="1107"/>
    <x v="0"/>
    <x v="0"/>
    <x v="0"/>
    <n v="18"/>
    <n v="12.15"/>
    <n v="72.900000000000006"/>
    <x v="2"/>
    <x v="3"/>
    <s v="Friend"/>
    <x v="5"/>
    <s v="Low"/>
    <x v="0"/>
    <x v="0"/>
    <n v="72.900000000000006"/>
    <d v="2023-05-08T00:00:00"/>
    <m/>
    <d v="2023-05-08T00:00:00"/>
    <n v="0"/>
    <d v="2023-05-08T00:00:00"/>
    <n v="0"/>
    <n v="0"/>
    <n v="0"/>
    <n v="1"/>
    <n v="0"/>
    <n v="0"/>
  </r>
  <r>
    <x v="308"/>
    <n v="33"/>
    <x v="0"/>
    <x v="210"/>
    <x v="202"/>
    <n v="1106"/>
    <x v="1"/>
    <x v="1"/>
    <x v="1"/>
    <n v="25"/>
    <n v="14.999999999999998"/>
    <n v="180"/>
    <x v="2"/>
    <x v="2"/>
    <s v="Social Media"/>
    <x v="5"/>
    <s v="Medium"/>
    <x v="0"/>
    <x v="0"/>
    <n v="180"/>
    <d v="2023-11-05T00:00:00"/>
    <m/>
    <d v="2023-11-05T00:00:00"/>
    <n v="0"/>
    <d v="2023-11-05T00:00:00"/>
    <n v="0"/>
    <n v="0"/>
    <n v="0"/>
    <n v="1"/>
    <n v="1"/>
    <n v="0"/>
  </r>
  <r>
    <x v="309"/>
    <n v="31"/>
    <x v="0"/>
    <x v="211"/>
    <x v="203"/>
    <n v="1105"/>
    <x v="1"/>
    <x v="1"/>
    <x v="2"/>
    <n v="10"/>
    <n v="6"/>
    <n v="72"/>
    <x v="2"/>
    <x v="2"/>
    <s v="None"/>
    <x v="0"/>
    <s v="Low"/>
    <x v="0"/>
    <x v="0"/>
    <n v="72"/>
    <d v="2023-11-06T00:00:00"/>
    <m/>
    <d v="2023-11-06T00:00:00"/>
    <n v="0"/>
    <d v="2023-11-06T00:00:00"/>
    <n v="0"/>
    <n v="0"/>
    <n v="0"/>
    <n v="1"/>
    <n v="1"/>
    <n v="0"/>
  </r>
  <r>
    <x v="310"/>
    <n v="47"/>
    <x v="1"/>
    <x v="211"/>
    <x v="203"/>
    <n v="1105"/>
    <x v="1"/>
    <x v="1"/>
    <x v="0"/>
    <n v="18"/>
    <n v="10.8"/>
    <n v="129.6"/>
    <x v="2"/>
    <x v="2"/>
    <s v="Email Campaign"/>
    <x v="0"/>
    <s v="Medium"/>
    <x v="0"/>
    <x v="0"/>
    <n v="129.6"/>
    <d v="2023-11-06T00:00:00"/>
    <m/>
    <d v="2023-11-06T00:00:00"/>
    <n v="0"/>
    <d v="2023-11-06T00:00:00"/>
    <n v="0"/>
    <n v="0"/>
    <n v="0"/>
    <n v="1"/>
    <n v="1"/>
    <n v="0"/>
  </r>
  <r>
    <x v="311"/>
    <n v="57"/>
    <x v="0"/>
    <x v="212"/>
    <x v="2"/>
    <n v="1103"/>
    <x v="8"/>
    <x v="0"/>
    <x v="0"/>
    <n v="18"/>
    <n v="13.5"/>
    <n v="550.79999999999995"/>
    <x v="0"/>
    <x v="2"/>
    <s v="Friend"/>
    <x v="2"/>
    <s v="High"/>
    <x v="0"/>
    <x v="1"/>
    <n v="631.79999999999995"/>
    <m/>
    <d v="2026-04-26T00:00:00"/>
    <d v="2026-04-26T00:00:00"/>
    <n v="6"/>
    <d v="2025-11-20T00:00:00"/>
    <n v="1"/>
    <n v="0"/>
    <n v="0"/>
    <n v="1"/>
    <n v="1"/>
    <n v="1"/>
  </r>
  <r>
    <x v="312"/>
    <n v="61"/>
    <x v="1"/>
    <x v="213"/>
    <x v="204"/>
    <n v="1102"/>
    <x v="1"/>
    <x v="1"/>
    <x v="1"/>
    <n v="25"/>
    <n v="14.999999999999998"/>
    <n v="180"/>
    <x v="3"/>
    <x v="1"/>
    <s v="None"/>
    <x v="5"/>
    <s v="Medium"/>
    <x v="2"/>
    <x v="0"/>
    <n v="180"/>
    <d v="2023-11-09T00:00:00"/>
    <m/>
    <d v="2023-11-09T00:00:00"/>
    <n v="0"/>
    <d v="2023-11-09T00:00:00"/>
    <n v="0"/>
    <n v="0"/>
    <n v="0"/>
    <n v="1"/>
    <n v="1"/>
    <n v="0"/>
  </r>
  <r>
    <x v="313"/>
    <n v="73"/>
    <x v="1"/>
    <x v="214"/>
    <x v="2"/>
    <n v="1101"/>
    <x v="2"/>
    <x v="1"/>
    <x v="0"/>
    <n v="18"/>
    <n v="12"/>
    <n v="561.6"/>
    <x v="4"/>
    <x v="1"/>
    <s v="Social Media"/>
    <x v="2"/>
    <s v="High"/>
    <x v="3"/>
    <x v="1"/>
    <n v="705.6"/>
    <m/>
    <d v="2026-10-25T00:00:00"/>
    <d v="2026-10-25T00:00:00"/>
    <n v="3"/>
    <d v="2025-11-20T00:00:00"/>
    <n v="1"/>
    <n v="0"/>
    <n v="0"/>
    <n v="1"/>
    <n v="1"/>
    <n v="1"/>
  </r>
  <r>
    <x v="314"/>
    <n v="18"/>
    <x v="0"/>
    <x v="214"/>
    <x v="2"/>
    <n v="1101"/>
    <x v="13"/>
    <x v="2"/>
    <x v="1"/>
    <n v="25"/>
    <n v="25"/>
    <n v="872.5"/>
    <x v="1"/>
    <x v="2"/>
    <s v="Social Media"/>
    <x v="2"/>
    <s v="Very High"/>
    <x v="4"/>
    <x v="1"/>
    <n v="897.5"/>
    <m/>
    <d v="2025-11-29T00:00:00"/>
    <d v="2025-11-29T00:00:00"/>
    <n v="36"/>
    <d v="2025-11-20T00:00:00"/>
    <n v="1"/>
    <n v="0"/>
    <n v="0"/>
    <n v="1"/>
    <n v="1"/>
    <n v="1"/>
  </r>
  <r>
    <x v="315"/>
    <n v="68"/>
    <x v="1"/>
    <x v="215"/>
    <x v="205"/>
    <n v="1099"/>
    <x v="1"/>
    <x v="1"/>
    <x v="0"/>
    <n v="18"/>
    <n v="10.8"/>
    <n v="129.6"/>
    <x v="3"/>
    <x v="3"/>
    <s v="None"/>
    <x v="5"/>
    <s v="Medium"/>
    <x v="2"/>
    <x v="0"/>
    <n v="129.6"/>
    <d v="2023-11-12T00:00:00"/>
    <m/>
    <d v="2023-11-12T00:00:00"/>
    <n v="0"/>
    <d v="2023-11-12T00:00:00"/>
    <n v="0"/>
    <n v="0"/>
    <n v="0"/>
    <n v="1"/>
    <n v="1"/>
    <n v="0"/>
  </r>
  <r>
    <x v="316"/>
    <n v="48"/>
    <x v="0"/>
    <x v="216"/>
    <x v="2"/>
    <n v="1098"/>
    <x v="2"/>
    <x v="1"/>
    <x v="2"/>
    <n v="10"/>
    <n v="6.6666666666666661"/>
    <n v="312"/>
    <x v="2"/>
    <x v="2"/>
    <s v="Social Media"/>
    <x v="2"/>
    <s v="High"/>
    <x v="0"/>
    <x v="1"/>
    <n v="392"/>
    <m/>
    <d v="2026-10-28T00:00:00"/>
    <d v="2026-10-28T00:00:00"/>
    <n v="3"/>
    <d v="2025-11-20T00:00:00"/>
    <n v="1"/>
    <n v="0"/>
    <n v="0"/>
    <n v="1"/>
    <n v="1"/>
    <n v="1"/>
  </r>
  <r>
    <x v="317"/>
    <n v="50"/>
    <x v="1"/>
    <x v="217"/>
    <x v="206"/>
    <n v="1097"/>
    <x v="3"/>
    <x v="2"/>
    <x v="1"/>
    <n v="25"/>
    <n v="22.5"/>
    <n v="0"/>
    <x v="0"/>
    <x v="3"/>
    <s v="Friend"/>
    <x v="3"/>
    <s v="Low"/>
    <x v="0"/>
    <x v="0"/>
    <n v="0"/>
    <d v="2022-12-19T00:00:00"/>
    <m/>
    <d v="2022-12-19T00:00:00"/>
    <n v="0"/>
    <d v="2022-12-19T00:00:00"/>
    <n v="0"/>
    <n v="0"/>
    <n v="0"/>
    <n v="0"/>
    <n v="0"/>
    <n v="0"/>
  </r>
  <r>
    <x v="318"/>
    <n v="50"/>
    <x v="1"/>
    <x v="217"/>
    <x v="2"/>
    <n v="1097"/>
    <x v="8"/>
    <x v="0"/>
    <x v="1"/>
    <n v="25"/>
    <n v="18.75"/>
    <n v="765"/>
    <x v="0"/>
    <x v="2"/>
    <s v="Social Media"/>
    <x v="2"/>
    <s v="Very High"/>
    <x v="0"/>
    <x v="1"/>
    <n v="877.5"/>
    <m/>
    <d v="2026-05-02T00:00:00"/>
    <d v="2026-05-02T00:00:00"/>
    <n v="6"/>
    <d v="2025-11-20T00:00:00"/>
    <n v="1"/>
    <n v="0"/>
    <n v="0"/>
    <n v="1"/>
    <n v="1"/>
    <n v="1"/>
  </r>
  <r>
    <x v="319"/>
    <n v="49"/>
    <x v="1"/>
    <x v="218"/>
    <x v="2"/>
    <n v="1096"/>
    <x v="8"/>
    <x v="0"/>
    <x v="0"/>
    <n v="18"/>
    <n v="13.5"/>
    <n v="550.79999999999995"/>
    <x v="2"/>
    <x v="3"/>
    <s v="Email Campaign"/>
    <x v="2"/>
    <s v="High"/>
    <x v="0"/>
    <x v="1"/>
    <n v="631.79999999999995"/>
    <m/>
    <d v="2026-05-03T00:00:00"/>
    <d v="2026-05-03T00:00:00"/>
    <n v="6"/>
    <d v="2025-11-20T00:00:00"/>
    <n v="1"/>
    <n v="0"/>
    <n v="0"/>
    <n v="1"/>
    <n v="1"/>
    <n v="1"/>
  </r>
  <r>
    <x v="320"/>
    <n v="23"/>
    <x v="0"/>
    <x v="219"/>
    <x v="207"/>
    <n v="1095"/>
    <x v="1"/>
    <x v="1"/>
    <x v="1"/>
    <n v="25"/>
    <n v="14.999999999999998"/>
    <n v="180"/>
    <x v="1"/>
    <x v="3"/>
    <s v="Search Engine"/>
    <x v="5"/>
    <s v="Medium"/>
    <x v="1"/>
    <x v="0"/>
    <n v="180"/>
    <d v="2023-11-16T00:00:00"/>
    <m/>
    <d v="2023-11-16T00:00:00"/>
    <n v="0"/>
    <d v="2023-11-16T00:00:00"/>
    <n v="0"/>
    <n v="0"/>
    <n v="0"/>
    <n v="1"/>
    <n v="1"/>
    <n v="0"/>
  </r>
  <r>
    <x v="321"/>
    <n v="73"/>
    <x v="1"/>
    <x v="219"/>
    <x v="207"/>
    <n v="1095"/>
    <x v="1"/>
    <x v="1"/>
    <x v="2"/>
    <n v="10"/>
    <n v="6"/>
    <n v="72"/>
    <x v="4"/>
    <x v="3"/>
    <s v="Social Media"/>
    <x v="1"/>
    <s v="Low"/>
    <x v="3"/>
    <x v="0"/>
    <n v="72"/>
    <d v="2023-11-16T00:00:00"/>
    <m/>
    <d v="2023-11-16T00:00:00"/>
    <n v="0"/>
    <d v="2023-11-16T00:00:00"/>
    <n v="0"/>
    <n v="0"/>
    <n v="0"/>
    <n v="1"/>
    <n v="1"/>
    <n v="0"/>
  </r>
  <r>
    <x v="322"/>
    <n v="47"/>
    <x v="1"/>
    <x v="219"/>
    <x v="207"/>
    <n v="1095"/>
    <x v="1"/>
    <x v="1"/>
    <x v="2"/>
    <n v="10"/>
    <n v="6"/>
    <n v="72"/>
    <x v="2"/>
    <x v="1"/>
    <s v="Social Media"/>
    <x v="3"/>
    <s v="Low"/>
    <x v="0"/>
    <x v="0"/>
    <n v="72"/>
    <d v="2023-11-16T00:00:00"/>
    <m/>
    <d v="2023-11-16T00:00:00"/>
    <n v="0"/>
    <d v="2023-11-16T00:00:00"/>
    <n v="0"/>
    <n v="0"/>
    <n v="0"/>
    <n v="1"/>
    <n v="1"/>
    <n v="0"/>
  </r>
  <r>
    <x v="323"/>
    <n v="38"/>
    <x v="1"/>
    <x v="219"/>
    <x v="2"/>
    <n v="1095"/>
    <x v="13"/>
    <x v="2"/>
    <x v="1"/>
    <n v="25"/>
    <n v="25"/>
    <n v="872.5"/>
    <x v="2"/>
    <x v="1"/>
    <s v="Email Campaign"/>
    <x v="2"/>
    <s v="Very High"/>
    <x v="0"/>
    <x v="1"/>
    <n v="897.5"/>
    <m/>
    <d v="2025-12-05T00:00:00"/>
    <d v="2025-12-05T00:00:00"/>
    <n v="36"/>
    <d v="2025-11-20T00:00:00"/>
    <n v="1"/>
    <n v="0"/>
    <n v="0"/>
    <n v="1"/>
    <n v="1"/>
    <n v="1"/>
  </r>
  <r>
    <x v="324"/>
    <n v="31"/>
    <x v="0"/>
    <x v="220"/>
    <x v="208"/>
    <n v="1094"/>
    <x v="1"/>
    <x v="1"/>
    <x v="0"/>
    <n v="18"/>
    <n v="10.8"/>
    <n v="129.6"/>
    <x v="2"/>
    <x v="3"/>
    <s v="None"/>
    <x v="3"/>
    <s v="Medium"/>
    <x v="0"/>
    <x v="0"/>
    <n v="129.6"/>
    <d v="2023-11-17T00:00:00"/>
    <m/>
    <d v="2023-11-17T00:00:00"/>
    <n v="0"/>
    <d v="2023-11-17T00:00:00"/>
    <n v="0"/>
    <n v="0"/>
    <n v="0"/>
    <n v="1"/>
    <n v="1"/>
    <n v="0"/>
  </r>
  <r>
    <x v="325"/>
    <n v="68"/>
    <x v="0"/>
    <x v="220"/>
    <x v="2"/>
    <n v="1094"/>
    <x v="8"/>
    <x v="0"/>
    <x v="0"/>
    <n v="18"/>
    <n v="13.5"/>
    <n v="550.79999999999995"/>
    <x v="3"/>
    <x v="3"/>
    <s v="Social Media"/>
    <x v="2"/>
    <s v="High"/>
    <x v="2"/>
    <x v="1"/>
    <n v="631.79999999999995"/>
    <m/>
    <d v="2026-05-05T00:00:00"/>
    <d v="2026-05-05T00:00:00"/>
    <n v="6"/>
    <d v="2025-11-20T00:00:00"/>
    <n v="1"/>
    <n v="0"/>
    <n v="0"/>
    <n v="1"/>
    <n v="1"/>
    <n v="1"/>
  </r>
  <r>
    <x v="326"/>
    <n v="32"/>
    <x v="0"/>
    <x v="221"/>
    <x v="88"/>
    <n v="1093"/>
    <x v="0"/>
    <x v="0"/>
    <x v="0"/>
    <n v="18"/>
    <n v="12.15"/>
    <n v="72.900000000000006"/>
    <x v="2"/>
    <x v="2"/>
    <s v="Email Campaign"/>
    <x v="5"/>
    <s v="Low"/>
    <x v="0"/>
    <x v="0"/>
    <n v="72.900000000000006"/>
    <d v="2023-05-22T00:00:00"/>
    <m/>
    <d v="2023-05-22T00:00:00"/>
    <n v="0"/>
    <d v="2023-05-22T00:00:00"/>
    <n v="0"/>
    <n v="0"/>
    <n v="0"/>
    <n v="1"/>
    <n v="0"/>
    <n v="0"/>
  </r>
  <r>
    <x v="327"/>
    <n v="63"/>
    <x v="0"/>
    <x v="222"/>
    <x v="209"/>
    <n v="1092"/>
    <x v="1"/>
    <x v="1"/>
    <x v="2"/>
    <n v="10"/>
    <n v="6"/>
    <n v="72"/>
    <x v="3"/>
    <x v="0"/>
    <s v="Search Engine"/>
    <x v="0"/>
    <s v="Low"/>
    <x v="2"/>
    <x v="0"/>
    <n v="72"/>
    <d v="2023-11-19T00:00:00"/>
    <m/>
    <d v="2023-11-19T00:00:00"/>
    <n v="0"/>
    <d v="2023-11-19T00:00:00"/>
    <n v="0"/>
    <n v="0"/>
    <n v="0"/>
    <n v="1"/>
    <n v="1"/>
    <n v="0"/>
  </r>
  <r>
    <x v="328"/>
    <n v="65"/>
    <x v="0"/>
    <x v="222"/>
    <x v="209"/>
    <n v="1092"/>
    <x v="1"/>
    <x v="1"/>
    <x v="1"/>
    <n v="25"/>
    <n v="14.999999999999998"/>
    <n v="180"/>
    <x v="3"/>
    <x v="2"/>
    <s v="Email Campaign"/>
    <x v="3"/>
    <s v="Medium"/>
    <x v="2"/>
    <x v="0"/>
    <n v="180"/>
    <d v="2023-11-19T00:00:00"/>
    <m/>
    <d v="2023-11-19T00:00:00"/>
    <n v="0"/>
    <d v="2023-11-19T00:00:00"/>
    <n v="0"/>
    <n v="0"/>
    <n v="0"/>
    <n v="1"/>
    <n v="1"/>
    <n v="0"/>
  </r>
  <r>
    <x v="329"/>
    <n v="72"/>
    <x v="0"/>
    <x v="222"/>
    <x v="209"/>
    <n v="1092"/>
    <x v="1"/>
    <x v="1"/>
    <x v="0"/>
    <n v="18"/>
    <n v="10.8"/>
    <n v="129.6"/>
    <x v="4"/>
    <x v="2"/>
    <s v="Social Media"/>
    <x v="5"/>
    <s v="Medium"/>
    <x v="3"/>
    <x v="0"/>
    <n v="129.6"/>
    <d v="2023-11-19T00:00:00"/>
    <m/>
    <d v="2023-11-19T00:00:00"/>
    <n v="0"/>
    <d v="2023-11-19T00:00:00"/>
    <n v="0"/>
    <n v="0"/>
    <n v="0"/>
    <n v="1"/>
    <n v="1"/>
    <n v="0"/>
  </r>
  <r>
    <x v="330"/>
    <n v="34"/>
    <x v="0"/>
    <x v="223"/>
    <x v="210"/>
    <n v="1091"/>
    <x v="3"/>
    <x v="2"/>
    <x v="0"/>
    <n v="18"/>
    <n v="16.2"/>
    <n v="0"/>
    <x v="2"/>
    <x v="3"/>
    <s v="Search Engine"/>
    <x v="1"/>
    <s v="Low"/>
    <x v="0"/>
    <x v="0"/>
    <n v="0"/>
    <d v="2022-12-25T00:00:00"/>
    <m/>
    <d v="2022-12-25T00:00:00"/>
    <n v="0"/>
    <d v="2022-12-25T00:00:00"/>
    <n v="0"/>
    <n v="0"/>
    <n v="0"/>
    <n v="0"/>
    <n v="0"/>
    <n v="0"/>
  </r>
  <r>
    <x v="331"/>
    <n v="74"/>
    <x v="0"/>
    <x v="223"/>
    <x v="211"/>
    <n v="1091"/>
    <x v="1"/>
    <x v="1"/>
    <x v="1"/>
    <n v="25"/>
    <n v="14.999999999999998"/>
    <n v="180"/>
    <x v="4"/>
    <x v="0"/>
    <s v="Social Media"/>
    <x v="1"/>
    <s v="Medium"/>
    <x v="3"/>
    <x v="0"/>
    <n v="180"/>
    <d v="2023-11-20T00:00:00"/>
    <m/>
    <d v="2023-11-20T00:00:00"/>
    <n v="0"/>
    <d v="2023-11-20T00:00:00"/>
    <n v="0"/>
    <n v="0"/>
    <n v="0"/>
    <n v="1"/>
    <n v="1"/>
    <n v="0"/>
  </r>
  <r>
    <x v="332"/>
    <n v="33"/>
    <x v="1"/>
    <x v="223"/>
    <x v="2"/>
    <n v="1091"/>
    <x v="2"/>
    <x v="1"/>
    <x v="1"/>
    <n v="25"/>
    <n v="16.666666666666664"/>
    <n v="780"/>
    <x v="2"/>
    <x v="1"/>
    <s v="Email Campaign"/>
    <x v="2"/>
    <s v="Very High"/>
    <x v="0"/>
    <x v="1"/>
    <n v="980"/>
    <m/>
    <d v="2026-11-04T00:00:00"/>
    <d v="2026-11-04T00:00:00"/>
    <n v="3"/>
    <d v="2025-11-20T00:00:00"/>
    <n v="1"/>
    <n v="0"/>
    <n v="0"/>
    <n v="1"/>
    <n v="1"/>
    <n v="1"/>
  </r>
  <r>
    <x v="333"/>
    <n v="49"/>
    <x v="0"/>
    <x v="224"/>
    <x v="2"/>
    <n v="1090"/>
    <x v="13"/>
    <x v="2"/>
    <x v="0"/>
    <n v="18"/>
    <n v="18"/>
    <n v="628.20000000000005"/>
    <x v="2"/>
    <x v="1"/>
    <s v="Social Media"/>
    <x v="2"/>
    <s v="Very High"/>
    <x v="0"/>
    <x v="1"/>
    <n v="646.20000000000005"/>
    <m/>
    <d v="2025-12-10T00:00:00"/>
    <d v="2025-12-10T00:00:00"/>
    <n v="36"/>
    <d v="2025-11-20T00:00:00"/>
    <n v="1"/>
    <n v="0"/>
    <n v="0"/>
    <n v="1"/>
    <n v="1"/>
    <n v="1"/>
  </r>
  <r>
    <x v="334"/>
    <n v="21"/>
    <x v="0"/>
    <x v="225"/>
    <x v="212"/>
    <n v="1089"/>
    <x v="1"/>
    <x v="1"/>
    <x v="0"/>
    <n v="18"/>
    <n v="10.8"/>
    <n v="129.6"/>
    <x v="1"/>
    <x v="0"/>
    <s v="Email Campaign"/>
    <x v="5"/>
    <s v="Medium"/>
    <x v="1"/>
    <x v="0"/>
    <n v="129.6"/>
    <d v="2023-11-22T00:00:00"/>
    <m/>
    <d v="2023-11-22T00:00:00"/>
    <n v="0"/>
    <d v="2023-11-22T00:00:00"/>
    <n v="0"/>
    <n v="0"/>
    <n v="0"/>
    <n v="1"/>
    <n v="1"/>
    <n v="0"/>
  </r>
  <r>
    <x v="335"/>
    <n v="40"/>
    <x v="0"/>
    <x v="226"/>
    <x v="213"/>
    <n v="1087"/>
    <x v="1"/>
    <x v="1"/>
    <x v="2"/>
    <n v="10"/>
    <n v="6"/>
    <n v="72"/>
    <x v="2"/>
    <x v="1"/>
    <s v="Email Campaign"/>
    <x v="4"/>
    <s v="Low"/>
    <x v="0"/>
    <x v="0"/>
    <n v="72"/>
    <d v="2023-11-24T00:00:00"/>
    <m/>
    <d v="2023-11-24T00:00:00"/>
    <n v="0"/>
    <d v="2023-11-24T00:00:00"/>
    <n v="0"/>
    <n v="0"/>
    <n v="0"/>
    <n v="1"/>
    <n v="1"/>
    <n v="0"/>
  </r>
  <r>
    <x v="336"/>
    <n v="31"/>
    <x v="1"/>
    <x v="227"/>
    <x v="214"/>
    <n v="1086"/>
    <x v="0"/>
    <x v="0"/>
    <x v="2"/>
    <n v="10"/>
    <n v="6.75"/>
    <n v="40.5"/>
    <x v="2"/>
    <x v="3"/>
    <s v="Search Engine"/>
    <x v="1"/>
    <s v="Low"/>
    <x v="0"/>
    <x v="0"/>
    <n v="40.5"/>
    <d v="2023-05-29T00:00:00"/>
    <m/>
    <d v="2023-05-29T00:00:00"/>
    <n v="0"/>
    <d v="2023-05-29T00:00:00"/>
    <n v="0"/>
    <n v="0"/>
    <n v="0"/>
    <n v="1"/>
    <n v="0"/>
    <n v="0"/>
  </r>
  <r>
    <x v="337"/>
    <n v="46"/>
    <x v="1"/>
    <x v="228"/>
    <x v="215"/>
    <n v="1084"/>
    <x v="1"/>
    <x v="1"/>
    <x v="1"/>
    <n v="25"/>
    <n v="14.999999999999998"/>
    <n v="180"/>
    <x v="2"/>
    <x v="1"/>
    <s v="Search Engine"/>
    <x v="0"/>
    <s v="Medium"/>
    <x v="0"/>
    <x v="0"/>
    <n v="180"/>
    <d v="2023-11-27T00:00:00"/>
    <m/>
    <d v="2023-11-27T00:00:00"/>
    <n v="0"/>
    <d v="2023-11-27T00:00:00"/>
    <n v="0"/>
    <n v="0"/>
    <n v="0"/>
    <n v="1"/>
    <n v="1"/>
    <n v="0"/>
  </r>
  <r>
    <x v="338"/>
    <n v="50"/>
    <x v="1"/>
    <x v="229"/>
    <x v="216"/>
    <n v="1083"/>
    <x v="1"/>
    <x v="1"/>
    <x v="1"/>
    <n v="25"/>
    <n v="14.999999999999998"/>
    <n v="180"/>
    <x v="0"/>
    <x v="3"/>
    <s v="Friend"/>
    <x v="0"/>
    <s v="Medium"/>
    <x v="0"/>
    <x v="0"/>
    <n v="180"/>
    <d v="2023-11-28T00:00:00"/>
    <m/>
    <d v="2023-11-28T00:00:00"/>
    <n v="0"/>
    <d v="2023-11-28T00:00:00"/>
    <n v="0"/>
    <n v="0"/>
    <n v="0"/>
    <n v="1"/>
    <n v="1"/>
    <n v="0"/>
  </r>
  <r>
    <x v="339"/>
    <n v="59"/>
    <x v="1"/>
    <x v="230"/>
    <x v="2"/>
    <n v="1082"/>
    <x v="13"/>
    <x v="2"/>
    <x v="0"/>
    <n v="18"/>
    <n v="18"/>
    <n v="628.20000000000005"/>
    <x v="0"/>
    <x v="0"/>
    <s v="Email Campaign"/>
    <x v="2"/>
    <s v="Very High"/>
    <x v="0"/>
    <x v="1"/>
    <n v="646.20000000000005"/>
    <m/>
    <d v="2025-12-18T00:00:00"/>
    <d v="2025-12-18T00:00:00"/>
    <n v="36"/>
    <d v="2025-11-20T00:00:00"/>
    <n v="1"/>
    <n v="0"/>
    <n v="0"/>
    <n v="1"/>
    <n v="1"/>
    <n v="1"/>
  </r>
  <r>
    <x v="340"/>
    <n v="32"/>
    <x v="1"/>
    <x v="231"/>
    <x v="217"/>
    <n v="1081"/>
    <x v="3"/>
    <x v="2"/>
    <x v="2"/>
    <n v="10"/>
    <n v="9"/>
    <n v="0"/>
    <x v="2"/>
    <x v="1"/>
    <s v="Email Campaign"/>
    <x v="1"/>
    <s v="Low"/>
    <x v="0"/>
    <x v="0"/>
    <n v="0"/>
    <d v="2023-01-04T00:00:00"/>
    <m/>
    <d v="2023-01-04T00:00:00"/>
    <n v="0"/>
    <d v="2023-01-04T00:00:00"/>
    <n v="0"/>
    <n v="0"/>
    <n v="0"/>
    <n v="1"/>
    <n v="0"/>
    <n v="0"/>
  </r>
  <r>
    <x v="341"/>
    <n v="53"/>
    <x v="0"/>
    <x v="231"/>
    <x v="95"/>
    <n v="1081"/>
    <x v="0"/>
    <x v="0"/>
    <x v="1"/>
    <n v="25"/>
    <n v="16.875"/>
    <n v="101.25"/>
    <x v="0"/>
    <x v="2"/>
    <s v="Social Media"/>
    <x v="0"/>
    <s v="Medium"/>
    <x v="0"/>
    <x v="0"/>
    <n v="101.25"/>
    <d v="2023-06-03T00:00:00"/>
    <m/>
    <d v="2023-06-03T00:00:00"/>
    <n v="0"/>
    <d v="2023-06-03T00:00:00"/>
    <n v="0"/>
    <n v="0"/>
    <n v="0"/>
    <n v="1"/>
    <n v="1"/>
    <n v="0"/>
  </r>
  <r>
    <x v="342"/>
    <n v="45"/>
    <x v="1"/>
    <x v="231"/>
    <x v="218"/>
    <n v="1081"/>
    <x v="1"/>
    <x v="1"/>
    <x v="0"/>
    <n v="18"/>
    <n v="10.8"/>
    <n v="129.6"/>
    <x v="2"/>
    <x v="2"/>
    <s v="Friend"/>
    <x v="4"/>
    <s v="Medium"/>
    <x v="0"/>
    <x v="0"/>
    <n v="129.6"/>
    <d v="2023-11-30T00:00:00"/>
    <m/>
    <d v="2023-11-30T00:00:00"/>
    <n v="0"/>
    <d v="2023-11-30T00:00:00"/>
    <n v="0"/>
    <n v="0"/>
    <n v="0"/>
    <n v="1"/>
    <n v="1"/>
    <n v="0"/>
  </r>
  <r>
    <x v="343"/>
    <n v="42"/>
    <x v="0"/>
    <x v="232"/>
    <x v="219"/>
    <n v="1080"/>
    <x v="0"/>
    <x v="0"/>
    <x v="2"/>
    <n v="10"/>
    <n v="6.75"/>
    <n v="40.5"/>
    <x v="2"/>
    <x v="2"/>
    <s v="Search Engine"/>
    <x v="3"/>
    <s v="Low"/>
    <x v="0"/>
    <x v="0"/>
    <n v="40.5"/>
    <d v="2023-06-04T00:00:00"/>
    <m/>
    <d v="2023-06-04T00:00:00"/>
    <n v="0"/>
    <d v="2023-06-04T00:00:00"/>
    <n v="0"/>
    <n v="0"/>
    <n v="0"/>
    <n v="1"/>
    <n v="1"/>
    <n v="0"/>
  </r>
  <r>
    <x v="344"/>
    <n v="72"/>
    <x v="1"/>
    <x v="233"/>
    <x v="220"/>
    <n v="1076"/>
    <x v="1"/>
    <x v="1"/>
    <x v="2"/>
    <n v="10"/>
    <n v="6"/>
    <n v="72"/>
    <x v="4"/>
    <x v="1"/>
    <s v="Friend"/>
    <x v="3"/>
    <s v="Low"/>
    <x v="3"/>
    <x v="0"/>
    <n v="72"/>
    <d v="2023-12-05T00:00:00"/>
    <m/>
    <d v="2023-12-05T00:00:00"/>
    <n v="0"/>
    <d v="2023-12-05T00:00:00"/>
    <n v="0"/>
    <n v="0"/>
    <n v="0"/>
    <n v="1"/>
    <n v="1"/>
    <n v="0"/>
  </r>
  <r>
    <x v="345"/>
    <n v="41"/>
    <x v="1"/>
    <x v="233"/>
    <x v="220"/>
    <n v="1076"/>
    <x v="1"/>
    <x v="1"/>
    <x v="1"/>
    <n v="25"/>
    <n v="14.999999999999998"/>
    <n v="180"/>
    <x v="2"/>
    <x v="0"/>
    <s v="Social Media"/>
    <x v="0"/>
    <s v="Medium"/>
    <x v="0"/>
    <x v="0"/>
    <n v="180"/>
    <d v="2023-12-05T00:00:00"/>
    <m/>
    <d v="2023-12-05T00:00:00"/>
    <n v="0"/>
    <d v="2023-12-05T00:00:00"/>
    <n v="0"/>
    <n v="0"/>
    <n v="0"/>
    <n v="1"/>
    <n v="1"/>
    <n v="0"/>
  </r>
  <r>
    <x v="346"/>
    <n v="25"/>
    <x v="0"/>
    <x v="233"/>
    <x v="2"/>
    <n v="1076"/>
    <x v="14"/>
    <x v="1"/>
    <x v="2"/>
    <n v="10"/>
    <n v="6.6666666666666661"/>
    <n v="232"/>
    <x v="1"/>
    <x v="3"/>
    <s v="Friend"/>
    <x v="2"/>
    <s v="Medium"/>
    <x v="1"/>
    <x v="1"/>
    <n v="312"/>
    <m/>
    <d v="2025-11-24T00:00:00"/>
    <d v="2025-11-24T00:00:00"/>
    <n v="2"/>
    <d v="2025-11-20T00:00:00"/>
    <n v="1"/>
    <n v="0"/>
    <n v="0"/>
    <n v="1"/>
    <n v="1"/>
    <n v="1"/>
  </r>
  <r>
    <x v="347"/>
    <n v="74"/>
    <x v="0"/>
    <x v="234"/>
    <x v="221"/>
    <n v="1075"/>
    <x v="1"/>
    <x v="1"/>
    <x v="1"/>
    <n v="25"/>
    <n v="14.999999999999998"/>
    <n v="180"/>
    <x v="4"/>
    <x v="2"/>
    <s v="Social Media"/>
    <x v="5"/>
    <s v="Medium"/>
    <x v="3"/>
    <x v="0"/>
    <n v="180"/>
    <d v="2023-12-06T00:00:00"/>
    <m/>
    <d v="2023-12-06T00:00:00"/>
    <n v="0"/>
    <d v="2023-12-06T00:00:00"/>
    <n v="0"/>
    <n v="0"/>
    <n v="0"/>
    <n v="1"/>
    <n v="1"/>
    <n v="0"/>
  </r>
  <r>
    <x v="348"/>
    <n v="56"/>
    <x v="0"/>
    <x v="234"/>
    <x v="2"/>
    <n v="1075"/>
    <x v="14"/>
    <x v="0"/>
    <x v="0"/>
    <n v="18"/>
    <n v="13.5"/>
    <n v="469.8"/>
    <x v="0"/>
    <x v="3"/>
    <s v="Friend"/>
    <x v="2"/>
    <s v="High"/>
    <x v="0"/>
    <x v="1"/>
    <n v="550.79999999999995"/>
    <m/>
    <d v="2025-11-25T00:00:00"/>
    <d v="2025-11-25T00:00:00"/>
    <n v="5"/>
    <d v="2025-11-20T00:00:00"/>
    <n v="1"/>
    <n v="0"/>
    <n v="0"/>
    <n v="1"/>
    <n v="1"/>
    <n v="1"/>
  </r>
  <r>
    <x v="349"/>
    <n v="44"/>
    <x v="1"/>
    <x v="235"/>
    <x v="10"/>
    <n v="1074"/>
    <x v="3"/>
    <x v="2"/>
    <x v="0"/>
    <n v="18"/>
    <n v="16.2"/>
    <n v="0"/>
    <x v="2"/>
    <x v="2"/>
    <s v="Email Campaign"/>
    <x v="0"/>
    <s v="Low"/>
    <x v="0"/>
    <x v="0"/>
    <n v="0"/>
    <d v="2023-01-11T00:00:00"/>
    <m/>
    <d v="2023-01-11T00:00:00"/>
    <n v="0"/>
    <d v="2023-01-11T00:00:00"/>
    <n v="0"/>
    <n v="0"/>
    <n v="0"/>
    <n v="1"/>
    <n v="0"/>
    <n v="0"/>
  </r>
  <r>
    <x v="350"/>
    <n v="42"/>
    <x v="0"/>
    <x v="235"/>
    <x v="222"/>
    <n v="1074"/>
    <x v="1"/>
    <x v="1"/>
    <x v="0"/>
    <n v="18"/>
    <n v="10.8"/>
    <n v="129.6"/>
    <x v="2"/>
    <x v="1"/>
    <s v="Search Engine"/>
    <x v="1"/>
    <s v="Medium"/>
    <x v="0"/>
    <x v="0"/>
    <n v="129.6"/>
    <d v="2023-12-07T00:00:00"/>
    <m/>
    <d v="2023-12-07T00:00:00"/>
    <n v="0"/>
    <d v="2023-12-07T00:00:00"/>
    <n v="0"/>
    <n v="0"/>
    <n v="0"/>
    <n v="1"/>
    <n v="1"/>
    <n v="0"/>
  </r>
  <r>
    <x v="351"/>
    <n v="61"/>
    <x v="0"/>
    <x v="235"/>
    <x v="2"/>
    <n v="1074"/>
    <x v="14"/>
    <x v="0"/>
    <x v="0"/>
    <n v="18"/>
    <n v="13.5"/>
    <n v="469.8"/>
    <x v="3"/>
    <x v="0"/>
    <s v="Search Engine"/>
    <x v="2"/>
    <s v="High"/>
    <x v="2"/>
    <x v="1"/>
    <n v="550.79999999999995"/>
    <m/>
    <d v="2025-11-26T00:00:00"/>
    <d v="2025-11-26T00:00:00"/>
    <n v="5"/>
    <d v="2025-11-20T00:00:00"/>
    <n v="1"/>
    <n v="0"/>
    <n v="0"/>
    <n v="1"/>
    <n v="1"/>
    <n v="1"/>
  </r>
  <r>
    <x v="352"/>
    <n v="54"/>
    <x v="0"/>
    <x v="236"/>
    <x v="2"/>
    <n v="1073"/>
    <x v="14"/>
    <x v="1"/>
    <x v="2"/>
    <n v="10"/>
    <n v="6.6666666666666661"/>
    <n v="232"/>
    <x v="0"/>
    <x v="1"/>
    <s v="Social Media"/>
    <x v="2"/>
    <s v="Medium"/>
    <x v="0"/>
    <x v="1"/>
    <n v="312"/>
    <m/>
    <d v="2025-11-27T00:00:00"/>
    <d v="2025-11-27T00:00:00"/>
    <n v="2"/>
    <d v="2025-11-20T00:00:00"/>
    <n v="1"/>
    <n v="0"/>
    <n v="0"/>
    <n v="1"/>
    <n v="1"/>
    <n v="1"/>
  </r>
  <r>
    <x v="353"/>
    <n v="29"/>
    <x v="0"/>
    <x v="237"/>
    <x v="223"/>
    <n v="1072"/>
    <x v="1"/>
    <x v="1"/>
    <x v="0"/>
    <n v="18"/>
    <n v="10.8"/>
    <n v="129.6"/>
    <x v="2"/>
    <x v="3"/>
    <s v="None"/>
    <x v="3"/>
    <s v="Medium"/>
    <x v="0"/>
    <x v="0"/>
    <n v="129.6"/>
    <d v="2023-12-09T00:00:00"/>
    <m/>
    <d v="2023-12-09T00:00:00"/>
    <n v="0"/>
    <d v="2023-12-09T00:00:00"/>
    <n v="0"/>
    <n v="0"/>
    <n v="0"/>
    <n v="1"/>
    <n v="1"/>
    <n v="0"/>
  </r>
  <r>
    <x v="354"/>
    <n v="18"/>
    <x v="1"/>
    <x v="237"/>
    <x v="223"/>
    <n v="1072"/>
    <x v="1"/>
    <x v="1"/>
    <x v="2"/>
    <n v="10"/>
    <n v="6"/>
    <n v="72"/>
    <x v="1"/>
    <x v="0"/>
    <s v="Social Media"/>
    <x v="4"/>
    <s v="Low"/>
    <x v="4"/>
    <x v="0"/>
    <n v="72"/>
    <d v="2023-12-09T00:00:00"/>
    <m/>
    <d v="2023-12-09T00:00:00"/>
    <n v="0"/>
    <d v="2023-12-09T00:00:00"/>
    <n v="0"/>
    <n v="0"/>
    <n v="0"/>
    <n v="1"/>
    <n v="1"/>
    <n v="0"/>
  </r>
  <r>
    <x v="355"/>
    <n v="54"/>
    <x v="0"/>
    <x v="238"/>
    <x v="224"/>
    <n v="1071"/>
    <x v="0"/>
    <x v="0"/>
    <x v="2"/>
    <n v="10"/>
    <n v="6.75"/>
    <n v="40.5"/>
    <x v="0"/>
    <x v="1"/>
    <s v="Search Engine"/>
    <x v="5"/>
    <s v="Low"/>
    <x v="0"/>
    <x v="0"/>
    <n v="40.5"/>
    <d v="2023-06-13T00:00:00"/>
    <m/>
    <d v="2023-06-13T00:00:00"/>
    <n v="0"/>
    <d v="2023-06-13T00:00:00"/>
    <n v="0"/>
    <n v="0"/>
    <n v="0"/>
    <n v="1"/>
    <n v="1"/>
    <n v="0"/>
  </r>
  <r>
    <x v="356"/>
    <n v="57"/>
    <x v="1"/>
    <x v="238"/>
    <x v="224"/>
    <n v="1071"/>
    <x v="0"/>
    <x v="0"/>
    <x v="1"/>
    <n v="25"/>
    <n v="16.875"/>
    <n v="101.25"/>
    <x v="0"/>
    <x v="0"/>
    <s v="Search Engine"/>
    <x v="4"/>
    <s v="Medium"/>
    <x v="0"/>
    <x v="0"/>
    <n v="101.25"/>
    <d v="2023-06-13T00:00:00"/>
    <m/>
    <d v="2023-06-13T00:00:00"/>
    <n v="0"/>
    <d v="2023-06-13T00:00:00"/>
    <n v="0"/>
    <n v="0"/>
    <n v="0"/>
    <n v="1"/>
    <n v="1"/>
    <n v="0"/>
  </r>
  <r>
    <x v="357"/>
    <n v="39"/>
    <x v="1"/>
    <x v="238"/>
    <x v="225"/>
    <n v="1071"/>
    <x v="1"/>
    <x v="1"/>
    <x v="2"/>
    <n v="10"/>
    <n v="6"/>
    <n v="72"/>
    <x v="2"/>
    <x v="0"/>
    <s v="Email Campaign"/>
    <x v="5"/>
    <s v="Low"/>
    <x v="0"/>
    <x v="0"/>
    <n v="72"/>
    <d v="2023-12-10T00:00:00"/>
    <m/>
    <d v="2023-12-10T00:00:00"/>
    <n v="0"/>
    <d v="2023-12-10T00:00:00"/>
    <n v="0"/>
    <n v="0"/>
    <n v="0"/>
    <n v="1"/>
    <n v="1"/>
    <n v="0"/>
  </r>
  <r>
    <x v="358"/>
    <n v="58"/>
    <x v="0"/>
    <x v="239"/>
    <x v="226"/>
    <n v="1070"/>
    <x v="1"/>
    <x v="1"/>
    <x v="2"/>
    <n v="10"/>
    <n v="6"/>
    <n v="72"/>
    <x v="0"/>
    <x v="0"/>
    <s v="Search Engine"/>
    <x v="0"/>
    <s v="Low"/>
    <x v="0"/>
    <x v="0"/>
    <n v="72"/>
    <d v="2023-12-11T00:00:00"/>
    <m/>
    <d v="2023-12-11T00:00:00"/>
    <n v="0"/>
    <d v="2023-12-11T00:00:00"/>
    <n v="0"/>
    <n v="0"/>
    <n v="0"/>
    <n v="1"/>
    <n v="1"/>
    <n v="0"/>
  </r>
  <r>
    <x v="359"/>
    <n v="30"/>
    <x v="1"/>
    <x v="240"/>
    <x v="227"/>
    <n v="1069"/>
    <x v="0"/>
    <x v="0"/>
    <x v="2"/>
    <n v="10"/>
    <n v="6.75"/>
    <n v="40.5"/>
    <x v="2"/>
    <x v="3"/>
    <s v="Search Engine"/>
    <x v="0"/>
    <s v="Low"/>
    <x v="0"/>
    <x v="0"/>
    <n v="40.5"/>
    <d v="2023-06-15T00:00:00"/>
    <m/>
    <d v="2023-06-15T00:00:00"/>
    <n v="0"/>
    <d v="2023-06-15T00:00:00"/>
    <n v="0"/>
    <n v="0"/>
    <n v="0"/>
    <n v="1"/>
    <n v="1"/>
    <n v="0"/>
  </r>
  <r>
    <x v="360"/>
    <n v="44"/>
    <x v="0"/>
    <x v="240"/>
    <x v="227"/>
    <n v="1069"/>
    <x v="0"/>
    <x v="0"/>
    <x v="1"/>
    <n v="25"/>
    <n v="16.875"/>
    <n v="101.25"/>
    <x v="2"/>
    <x v="0"/>
    <s v="Email Campaign"/>
    <x v="0"/>
    <s v="Medium"/>
    <x v="0"/>
    <x v="0"/>
    <n v="101.25"/>
    <d v="2023-06-15T00:00:00"/>
    <m/>
    <d v="2023-06-15T00:00:00"/>
    <n v="0"/>
    <d v="2023-06-15T00:00:00"/>
    <n v="0"/>
    <n v="0"/>
    <n v="0"/>
    <n v="1"/>
    <n v="1"/>
    <n v="0"/>
  </r>
  <r>
    <x v="361"/>
    <n v="74"/>
    <x v="1"/>
    <x v="240"/>
    <x v="228"/>
    <n v="1069"/>
    <x v="1"/>
    <x v="1"/>
    <x v="1"/>
    <n v="25"/>
    <n v="14.999999999999998"/>
    <n v="180"/>
    <x v="4"/>
    <x v="1"/>
    <s v="Search Engine"/>
    <x v="5"/>
    <s v="Medium"/>
    <x v="3"/>
    <x v="0"/>
    <n v="180"/>
    <d v="2023-12-12T00:00:00"/>
    <m/>
    <d v="2023-12-12T00:00:00"/>
    <n v="0"/>
    <d v="2023-12-12T00:00:00"/>
    <n v="0"/>
    <n v="0"/>
    <n v="0"/>
    <n v="1"/>
    <n v="1"/>
    <n v="0"/>
  </r>
  <r>
    <x v="362"/>
    <n v="64"/>
    <x v="0"/>
    <x v="240"/>
    <x v="2"/>
    <n v="1069"/>
    <x v="14"/>
    <x v="2"/>
    <x v="1"/>
    <n v="25"/>
    <n v="25"/>
    <n v="847.5"/>
    <x v="3"/>
    <x v="3"/>
    <s v="Search Engine"/>
    <x v="2"/>
    <s v="Very High"/>
    <x v="2"/>
    <x v="1"/>
    <n v="872.5"/>
    <m/>
    <d v="2025-12-01T00:00:00"/>
    <d v="2025-12-01T00:00:00"/>
    <n v="35"/>
    <d v="2025-11-20T00:00:00"/>
    <n v="1"/>
    <n v="0"/>
    <n v="0"/>
    <n v="1"/>
    <n v="1"/>
    <n v="1"/>
  </r>
  <r>
    <x v="363"/>
    <n v="70"/>
    <x v="1"/>
    <x v="241"/>
    <x v="2"/>
    <n v="1068"/>
    <x v="14"/>
    <x v="0"/>
    <x v="1"/>
    <n v="25"/>
    <n v="18.75"/>
    <n v="652.5"/>
    <x v="3"/>
    <x v="3"/>
    <s v="None"/>
    <x v="2"/>
    <s v="Very High"/>
    <x v="3"/>
    <x v="1"/>
    <n v="765"/>
    <m/>
    <d v="2025-12-02T00:00:00"/>
    <d v="2025-12-02T00:00:00"/>
    <n v="5"/>
    <d v="2025-11-20T00:00:00"/>
    <n v="1"/>
    <n v="0"/>
    <n v="0"/>
    <n v="1"/>
    <n v="1"/>
    <n v="1"/>
  </r>
  <r>
    <x v="364"/>
    <n v="56"/>
    <x v="0"/>
    <x v="242"/>
    <x v="229"/>
    <n v="1067"/>
    <x v="1"/>
    <x v="1"/>
    <x v="2"/>
    <n v="10"/>
    <n v="6"/>
    <n v="72"/>
    <x v="0"/>
    <x v="2"/>
    <s v="Email Campaign"/>
    <x v="4"/>
    <s v="Low"/>
    <x v="0"/>
    <x v="0"/>
    <n v="72"/>
    <d v="2023-12-14T00:00:00"/>
    <m/>
    <d v="2023-12-14T00:00:00"/>
    <n v="0"/>
    <d v="2023-12-14T00:00:00"/>
    <n v="0"/>
    <n v="0"/>
    <n v="0"/>
    <n v="1"/>
    <n v="1"/>
    <n v="0"/>
  </r>
  <r>
    <x v="365"/>
    <n v="49"/>
    <x v="0"/>
    <x v="243"/>
    <x v="230"/>
    <n v="1066"/>
    <x v="1"/>
    <x v="1"/>
    <x v="1"/>
    <n v="25"/>
    <n v="14.999999999999998"/>
    <n v="180"/>
    <x v="2"/>
    <x v="3"/>
    <s v="Social Media"/>
    <x v="5"/>
    <s v="Medium"/>
    <x v="0"/>
    <x v="0"/>
    <n v="180"/>
    <d v="2023-12-15T00:00:00"/>
    <m/>
    <d v="2023-12-15T00:00:00"/>
    <n v="0"/>
    <d v="2023-12-15T00:00:00"/>
    <n v="0"/>
    <n v="0"/>
    <n v="0"/>
    <n v="1"/>
    <n v="1"/>
    <n v="0"/>
  </r>
  <r>
    <x v="366"/>
    <n v="75"/>
    <x v="0"/>
    <x v="243"/>
    <x v="230"/>
    <n v="1066"/>
    <x v="1"/>
    <x v="1"/>
    <x v="0"/>
    <n v="18"/>
    <n v="10.8"/>
    <n v="129.6"/>
    <x v="4"/>
    <x v="1"/>
    <s v="Social Media"/>
    <x v="4"/>
    <s v="Medium"/>
    <x v="3"/>
    <x v="0"/>
    <n v="129.6"/>
    <d v="2023-12-15T00:00:00"/>
    <m/>
    <d v="2023-12-15T00:00:00"/>
    <n v="0"/>
    <d v="2023-12-15T00:00:00"/>
    <n v="0"/>
    <n v="0"/>
    <n v="0"/>
    <n v="1"/>
    <n v="1"/>
    <n v="0"/>
  </r>
  <r>
    <x v="367"/>
    <n v="75"/>
    <x v="1"/>
    <x v="243"/>
    <x v="230"/>
    <n v="1066"/>
    <x v="1"/>
    <x v="1"/>
    <x v="0"/>
    <n v="18"/>
    <n v="10.8"/>
    <n v="129.6"/>
    <x v="4"/>
    <x v="0"/>
    <s v="Friend"/>
    <x v="1"/>
    <s v="Medium"/>
    <x v="3"/>
    <x v="0"/>
    <n v="129.6"/>
    <d v="2023-12-15T00:00:00"/>
    <m/>
    <d v="2023-12-15T00:00:00"/>
    <n v="0"/>
    <d v="2023-12-15T00:00:00"/>
    <n v="0"/>
    <n v="0"/>
    <n v="0"/>
    <n v="1"/>
    <n v="1"/>
    <n v="0"/>
  </r>
  <r>
    <x v="368"/>
    <n v="46"/>
    <x v="0"/>
    <x v="243"/>
    <x v="230"/>
    <n v="1066"/>
    <x v="1"/>
    <x v="1"/>
    <x v="1"/>
    <n v="25"/>
    <n v="14.999999999999998"/>
    <n v="180"/>
    <x v="2"/>
    <x v="3"/>
    <s v="Friend"/>
    <x v="4"/>
    <s v="Medium"/>
    <x v="0"/>
    <x v="0"/>
    <n v="180"/>
    <d v="2023-12-15T00:00:00"/>
    <m/>
    <d v="2023-12-15T00:00:00"/>
    <n v="0"/>
    <d v="2023-12-15T00:00:00"/>
    <n v="0"/>
    <n v="0"/>
    <n v="0"/>
    <n v="1"/>
    <n v="1"/>
    <n v="0"/>
  </r>
  <r>
    <x v="369"/>
    <n v="64"/>
    <x v="0"/>
    <x v="244"/>
    <x v="231"/>
    <n v="1065"/>
    <x v="1"/>
    <x v="1"/>
    <x v="1"/>
    <n v="25"/>
    <n v="14.999999999999998"/>
    <n v="180"/>
    <x v="3"/>
    <x v="3"/>
    <s v="Friend"/>
    <x v="5"/>
    <s v="Medium"/>
    <x v="2"/>
    <x v="0"/>
    <n v="180"/>
    <d v="2023-12-16T00:00:00"/>
    <m/>
    <d v="2023-12-16T00:00:00"/>
    <n v="0"/>
    <d v="2023-12-16T00:00:00"/>
    <n v="0"/>
    <n v="0"/>
    <n v="0"/>
    <n v="1"/>
    <n v="1"/>
    <n v="0"/>
  </r>
  <r>
    <x v="370"/>
    <n v="72"/>
    <x v="0"/>
    <x v="245"/>
    <x v="232"/>
    <n v="1064"/>
    <x v="0"/>
    <x v="0"/>
    <x v="2"/>
    <n v="10"/>
    <n v="6.75"/>
    <n v="40.5"/>
    <x v="4"/>
    <x v="3"/>
    <s v="Social Media"/>
    <x v="1"/>
    <s v="Low"/>
    <x v="3"/>
    <x v="0"/>
    <n v="40.5"/>
    <d v="2023-06-20T00:00:00"/>
    <m/>
    <d v="2023-06-20T00:00:00"/>
    <n v="0"/>
    <d v="2023-06-20T00:00:00"/>
    <n v="0"/>
    <n v="0"/>
    <n v="0"/>
    <n v="1"/>
    <n v="1"/>
    <n v="0"/>
  </r>
  <r>
    <x v="371"/>
    <n v="23"/>
    <x v="1"/>
    <x v="246"/>
    <x v="233"/>
    <n v="1063"/>
    <x v="1"/>
    <x v="1"/>
    <x v="0"/>
    <n v="18"/>
    <n v="10.8"/>
    <n v="129.6"/>
    <x v="1"/>
    <x v="2"/>
    <s v="Email Campaign"/>
    <x v="0"/>
    <s v="Medium"/>
    <x v="1"/>
    <x v="0"/>
    <n v="129.6"/>
    <d v="2023-12-18T00:00:00"/>
    <m/>
    <d v="2023-12-18T00:00:00"/>
    <n v="0"/>
    <d v="2023-12-18T00:00:00"/>
    <n v="0"/>
    <n v="0"/>
    <n v="0"/>
    <n v="1"/>
    <n v="1"/>
    <n v="0"/>
  </r>
  <r>
    <x v="372"/>
    <n v="37"/>
    <x v="1"/>
    <x v="247"/>
    <x v="234"/>
    <n v="1062"/>
    <x v="1"/>
    <x v="1"/>
    <x v="2"/>
    <n v="10"/>
    <n v="6"/>
    <n v="72"/>
    <x v="2"/>
    <x v="0"/>
    <s v="None"/>
    <x v="3"/>
    <s v="Low"/>
    <x v="0"/>
    <x v="0"/>
    <n v="72"/>
    <d v="2023-12-19T00:00:00"/>
    <m/>
    <d v="2023-12-19T00:00:00"/>
    <n v="0"/>
    <d v="2023-12-19T00:00:00"/>
    <n v="0"/>
    <n v="0"/>
    <n v="0"/>
    <n v="1"/>
    <n v="1"/>
    <n v="0"/>
  </r>
  <r>
    <x v="373"/>
    <n v="21"/>
    <x v="0"/>
    <x v="247"/>
    <x v="234"/>
    <n v="1062"/>
    <x v="1"/>
    <x v="1"/>
    <x v="1"/>
    <n v="25"/>
    <n v="14.999999999999998"/>
    <n v="180"/>
    <x v="1"/>
    <x v="3"/>
    <s v="Friend"/>
    <x v="3"/>
    <s v="Medium"/>
    <x v="1"/>
    <x v="0"/>
    <n v="180"/>
    <d v="2023-12-19T00:00:00"/>
    <m/>
    <d v="2023-12-19T00:00:00"/>
    <n v="0"/>
    <d v="2023-12-19T00:00:00"/>
    <n v="0"/>
    <n v="0"/>
    <n v="0"/>
    <n v="1"/>
    <n v="1"/>
    <n v="0"/>
  </r>
  <r>
    <x v="374"/>
    <n v="32"/>
    <x v="1"/>
    <x v="247"/>
    <x v="234"/>
    <n v="1062"/>
    <x v="1"/>
    <x v="1"/>
    <x v="0"/>
    <n v="18"/>
    <n v="10.8"/>
    <n v="129.6"/>
    <x v="2"/>
    <x v="2"/>
    <s v="Friend"/>
    <x v="3"/>
    <s v="Medium"/>
    <x v="0"/>
    <x v="0"/>
    <n v="129.6"/>
    <d v="2023-12-19T00:00:00"/>
    <m/>
    <d v="2023-12-19T00:00:00"/>
    <n v="0"/>
    <d v="2023-12-19T00:00:00"/>
    <n v="0"/>
    <n v="0"/>
    <n v="0"/>
    <n v="1"/>
    <n v="1"/>
    <n v="0"/>
  </r>
  <r>
    <x v="375"/>
    <n v="51"/>
    <x v="1"/>
    <x v="248"/>
    <x v="235"/>
    <n v="1061"/>
    <x v="0"/>
    <x v="0"/>
    <x v="2"/>
    <n v="10"/>
    <n v="6.75"/>
    <n v="40.5"/>
    <x v="0"/>
    <x v="0"/>
    <s v="Email Campaign"/>
    <x v="1"/>
    <s v="Low"/>
    <x v="0"/>
    <x v="0"/>
    <n v="40.5"/>
    <d v="2023-06-23T00:00:00"/>
    <m/>
    <d v="2023-06-23T00:00:00"/>
    <n v="0"/>
    <d v="2023-06-23T00:00:00"/>
    <n v="0"/>
    <n v="0"/>
    <n v="0"/>
    <n v="1"/>
    <n v="1"/>
    <n v="0"/>
  </r>
  <r>
    <x v="376"/>
    <n v="42"/>
    <x v="1"/>
    <x v="248"/>
    <x v="235"/>
    <n v="1061"/>
    <x v="0"/>
    <x v="0"/>
    <x v="0"/>
    <n v="18"/>
    <n v="12.15"/>
    <n v="72.900000000000006"/>
    <x v="2"/>
    <x v="1"/>
    <s v="Search Engine"/>
    <x v="4"/>
    <s v="Low"/>
    <x v="0"/>
    <x v="0"/>
    <n v="72.900000000000006"/>
    <d v="2023-06-23T00:00:00"/>
    <m/>
    <d v="2023-06-23T00:00:00"/>
    <n v="0"/>
    <d v="2023-06-23T00:00:00"/>
    <n v="0"/>
    <n v="0"/>
    <n v="0"/>
    <n v="1"/>
    <n v="1"/>
    <n v="0"/>
  </r>
  <r>
    <x v="377"/>
    <n v="40"/>
    <x v="1"/>
    <x v="248"/>
    <x v="2"/>
    <n v="1061"/>
    <x v="14"/>
    <x v="1"/>
    <x v="0"/>
    <n v="18"/>
    <n v="12"/>
    <n v="417.6"/>
    <x v="2"/>
    <x v="0"/>
    <s v="Friend"/>
    <x v="2"/>
    <s v="High"/>
    <x v="0"/>
    <x v="1"/>
    <n v="561.6"/>
    <m/>
    <d v="2025-12-09T00:00:00"/>
    <d v="2025-12-09T00:00:00"/>
    <n v="2"/>
    <d v="2025-11-20T00:00:00"/>
    <n v="1"/>
    <n v="0"/>
    <n v="0"/>
    <n v="1"/>
    <n v="1"/>
    <n v="1"/>
  </r>
  <r>
    <x v="378"/>
    <n v="27"/>
    <x v="0"/>
    <x v="249"/>
    <x v="107"/>
    <n v="1060"/>
    <x v="0"/>
    <x v="0"/>
    <x v="1"/>
    <n v="25"/>
    <n v="16.875"/>
    <n v="101.25"/>
    <x v="2"/>
    <x v="1"/>
    <s v="Social Media"/>
    <x v="0"/>
    <s v="Medium"/>
    <x v="0"/>
    <x v="0"/>
    <n v="101.25"/>
    <d v="2023-06-24T00:00:00"/>
    <m/>
    <d v="2023-06-24T00:00:00"/>
    <n v="0"/>
    <d v="2023-06-24T00:00:00"/>
    <n v="0"/>
    <n v="0"/>
    <n v="0"/>
    <n v="1"/>
    <n v="1"/>
    <n v="0"/>
  </r>
  <r>
    <x v="379"/>
    <n v="46"/>
    <x v="0"/>
    <x v="249"/>
    <x v="236"/>
    <n v="1060"/>
    <x v="1"/>
    <x v="1"/>
    <x v="2"/>
    <n v="10"/>
    <n v="6"/>
    <n v="72"/>
    <x v="2"/>
    <x v="3"/>
    <s v="Search Engine"/>
    <x v="3"/>
    <s v="Low"/>
    <x v="0"/>
    <x v="0"/>
    <n v="72"/>
    <d v="2023-12-21T00:00:00"/>
    <m/>
    <d v="2023-12-21T00:00:00"/>
    <n v="0"/>
    <d v="2023-12-21T00:00:00"/>
    <n v="0"/>
    <n v="0"/>
    <n v="0"/>
    <n v="1"/>
    <n v="1"/>
    <n v="0"/>
  </r>
  <r>
    <x v="380"/>
    <n v="73"/>
    <x v="0"/>
    <x v="249"/>
    <x v="2"/>
    <n v="1060"/>
    <x v="14"/>
    <x v="1"/>
    <x v="1"/>
    <n v="25"/>
    <n v="16.666666666666664"/>
    <n v="580"/>
    <x v="4"/>
    <x v="3"/>
    <s v="Friend"/>
    <x v="2"/>
    <s v="High"/>
    <x v="3"/>
    <x v="1"/>
    <n v="780"/>
    <m/>
    <d v="2025-12-10T00:00:00"/>
    <d v="2025-12-10T00:00:00"/>
    <n v="2"/>
    <d v="2025-11-20T00:00:00"/>
    <n v="1"/>
    <n v="0"/>
    <n v="0"/>
    <n v="1"/>
    <n v="1"/>
    <n v="1"/>
  </r>
  <r>
    <x v="381"/>
    <n v="62"/>
    <x v="0"/>
    <x v="250"/>
    <x v="237"/>
    <n v="1058"/>
    <x v="1"/>
    <x v="1"/>
    <x v="0"/>
    <n v="18"/>
    <n v="10.8"/>
    <n v="129.6"/>
    <x v="3"/>
    <x v="1"/>
    <s v="Social Media"/>
    <x v="3"/>
    <s v="Medium"/>
    <x v="2"/>
    <x v="0"/>
    <n v="129.6"/>
    <d v="2023-12-23T00:00:00"/>
    <m/>
    <d v="2023-12-23T00:00:00"/>
    <n v="0"/>
    <d v="2023-12-23T00:00:00"/>
    <n v="0"/>
    <n v="0"/>
    <n v="0"/>
    <n v="1"/>
    <n v="1"/>
    <n v="0"/>
  </r>
  <r>
    <x v="382"/>
    <n v="31"/>
    <x v="0"/>
    <x v="251"/>
    <x v="238"/>
    <n v="1056"/>
    <x v="1"/>
    <x v="1"/>
    <x v="2"/>
    <n v="10"/>
    <n v="6"/>
    <n v="72"/>
    <x v="2"/>
    <x v="1"/>
    <s v="Email Campaign"/>
    <x v="5"/>
    <s v="Low"/>
    <x v="0"/>
    <x v="0"/>
    <n v="72"/>
    <d v="2023-12-25T00:00:00"/>
    <m/>
    <d v="2023-12-25T00:00:00"/>
    <n v="0"/>
    <d v="2023-12-25T00:00:00"/>
    <n v="0"/>
    <n v="0"/>
    <n v="0"/>
    <n v="1"/>
    <n v="1"/>
    <n v="0"/>
  </r>
  <r>
    <x v="383"/>
    <n v="65"/>
    <x v="0"/>
    <x v="251"/>
    <x v="2"/>
    <n v="1056"/>
    <x v="14"/>
    <x v="2"/>
    <x v="0"/>
    <n v="18"/>
    <n v="18"/>
    <n v="610.20000000000005"/>
    <x v="3"/>
    <x v="1"/>
    <s v="Search Engine"/>
    <x v="2"/>
    <s v="Very High"/>
    <x v="2"/>
    <x v="1"/>
    <n v="628.20000000000005"/>
    <m/>
    <d v="2025-12-14T00:00:00"/>
    <d v="2025-12-14T00:00:00"/>
    <n v="35"/>
    <d v="2025-11-20T00:00:00"/>
    <n v="1"/>
    <n v="0"/>
    <n v="0"/>
    <n v="1"/>
    <n v="1"/>
    <n v="1"/>
  </r>
  <r>
    <x v="384"/>
    <n v="34"/>
    <x v="1"/>
    <x v="252"/>
    <x v="23"/>
    <n v="1055"/>
    <x v="3"/>
    <x v="2"/>
    <x v="0"/>
    <n v="18"/>
    <n v="16.2"/>
    <n v="0"/>
    <x v="2"/>
    <x v="1"/>
    <s v="None"/>
    <x v="1"/>
    <s v="Low"/>
    <x v="0"/>
    <x v="0"/>
    <n v="0"/>
    <d v="2023-01-30T00:00:00"/>
    <m/>
    <d v="2023-01-30T00:00:00"/>
    <n v="0"/>
    <d v="2023-01-30T00:00:00"/>
    <n v="0"/>
    <n v="0"/>
    <n v="0"/>
    <n v="1"/>
    <n v="0"/>
    <n v="0"/>
  </r>
  <r>
    <x v="385"/>
    <n v="54"/>
    <x v="1"/>
    <x v="252"/>
    <x v="239"/>
    <n v="1055"/>
    <x v="1"/>
    <x v="1"/>
    <x v="1"/>
    <n v="25"/>
    <n v="14.999999999999998"/>
    <n v="180"/>
    <x v="0"/>
    <x v="3"/>
    <s v="None"/>
    <x v="4"/>
    <s v="Medium"/>
    <x v="0"/>
    <x v="0"/>
    <n v="180"/>
    <d v="2023-12-26T00:00:00"/>
    <m/>
    <d v="2023-12-26T00:00:00"/>
    <n v="0"/>
    <d v="2023-12-26T00:00:00"/>
    <n v="0"/>
    <n v="0"/>
    <n v="0"/>
    <n v="1"/>
    <n v="1"/>
    <n v="0"/>
  </r>
  <r>
    <x v="386"/>
    <n v="48"/>
    <x v="1"/>
    <x v="252"/>
    <x v="2"/>
    <n v="1055"/>
    <x v="14"/>
    <x v="2"/>
    <x v="0"/>
    <n v="18"/>
    <n v="18"/>
    <n v="610.20000000000005"/>
    <x v="2"/>
    <x v="0"/>
    <s v="Friend"/>
    <x v="2"/>
    <s v="Very High"/>
    <x v="0"/>
    <x v="1"/>
    <n v="628.20000000000005"/>
    <m/>
    <d v="2025-12-15T00:00:00"/>
    <d v="2025-12-15T00:00:00"/>
    <n v="35"/>
    <d v="2025-11-20T00:00:00"/>
    <n v="1"/>
    <n v="0"/>
    <n v="0"/>
    <n v="1"/>
    <n v="1"/>
    <n v="1"/>
  </r>
  <r>
    <x v="387"/>
    <n v="42"/>
    <x v="0"/>
    <x v="253"/>
    <x v="25"/>
    <n v="1052"/>
    <x v="3"/>
    <x v="2"/>
    <x v="1"/>
    <n v="25"/>
    <n v="22.5"/>
    <n v="0"/>
    <x v="2"/>
    <x v="1"/>
    <s v="Email Campaign"/>
    <x v="5"/>
    <s v="Low"/>
    <x v="0"/>
    <x v="0"/>
    <n v="0"/>
    <d v="2023-02-02T00:00:00"/>
    <m/>
    <d v="2023-02-02T00:00:00"/>
    <n v="0"/>
    <d v="2023-02-02T00:00:00"/>
    <n v="0"/>
    <n v="0"/>
    <n v="0"/>
    <n v="0"/>
    <n v="0"/>
    <n v="0"/>
  </r>
  <r>
    <x v="388"/>
    <n v="55"/>
    <x v="0"/>
    <x v="254"/>
    <x v="2"/>
    <n v="1051"/>
    <x v="14"/>
    <x v="2"/>
    <x v="1"/>
    <n v="25"/>
    <n v="25"/>
    <n v="847.5"/>
    <x v="0"/>
    <x v="3"/>
    <s v="Social Media"/>
    <x v="2"/>
    <s v="Very High"/>
    <x v="0"/>
    <x v="1"/>
    <n v="872.5"/>
    <m/>
    <d v="2025-12-19T00:00:00"/>
    <d v="2025-12-19T00:00:00"/>
    <n v="35"/>
    <d v="2025-11-20T00:00:00"/>
    <n v="1"/>
    <n v="0"/>
    <n v="0"/>
    <n v="0"/>
    <n v="1"/>
    <n v="1"/>
  </r>
  <r>
    <x v="389"/>
    <n v="41"/>
    <x v="0"/>
    <x v="255"/>
    <x v="118"/>
    <n v="1050"/>
    <x v="0"/>
    <x v="0"/>
    <x v="1"/>
    <n v="25"/>
    <n v="16.875"/>
    <n v="101.25"/>
    <x v="2"/>
    <x v="1"/>
    <s v="Search Engine"/>
    <x v="4"/>
    <s v="Medium"/>
    <x v="0"/>
    <x v="0"/>
    <n v="101.25"/>
    <d v="2023-07-04T00:00:00"/>
    <m/>
    <d v="2023-07-04T00:00:00"/>
    <n v="0"/>
    <d v="2023-07-04T00:00:00"/>
    <n v="0"/>
    <n v="0"/>
    <n v="0"/>
    <n v="0"/>
    <n v="1"/>
    <n v="0"/>
  </r>
  <r>
    <x v="390"/>
    <n v="65"/>
    <x v="1"/>
    <x v="255"/>
    <x v="118"/>
    <n v="1050"/>
    <x v="0"/>
    <x v="0"/>
    <x v="2"/>
    <n v="10"/>
    <n v="6.75"/>
    <n v="40.5"/>
    <x v="3"/>
    <x v="3"/>
    <s v="Friend"/>
    <x v="5"/>
    <s v="Low"/>
    <x v="2"/>
    <x v="0"/>
    <n v="40.5"/>
    <d v="2023-07-04T00:00:00"/>
    <m/>
    <d v="2023-07-04T00:00:00"/>
    <n v="0"/>
    <d v="2023-07-04T00:00:00"/>
    <n v="0"/>
    <n v="0"/>
    <n v="0"/>
    <n v="0"/>
    <n v="1"/>
    <n v="0"/>
  </r>
  <r>
    <x v="391"/>
    <n v="30"/>
    <x v="1"/>
    <x v="256"/>
    <x v="240"/>
    <n v="1048"/>
    <x v="1"/>
    <x v="1"/>
    <x v="1"/>
    <n v="25"/>
    <n v="14.999999999999998"/>
    <n v="180"/>
    <x v="2"/>
    <x v="1"/>
    <s v="Friend"/>
    <x v="5"/>
    <s v="Medium"/>
    <x v="0"/>
    <x v="0"/>
    <n v="180"/>
    <d v="2024-01-02T00:00:00"/>
    <m/>
    <d v="2024-01-02T00:00:00"/>
    <n v="0"/>
    <d v="2024-01-02T00:00:00"/>
    <n v="0"/>
    <n v="0"/>
    <n v="0"/>
    <n v="0"/>
    <n v="1"/>
    <n v="0"/>
  </r>
  <r>
    <x v="392"/>
    <n v="54"/>
    <x v="1"/>
    <x v="256"/>
    <x v="240"/>
    <n v="1048"/>
    <x v="1"/>
    <x v="1"/>
    <x v="1"/>
    <n v="25"/>
    <n v="14.999999999999998"/>
    <n v="180"/>
    <x v="0"/>
    <x v="0"/>
    <s v="Social Media"/>
    <x v="4"/>
    <s v="Medium"/>
    <x v="0"/>
    <x v="0"/>
    <n v="180"/>
    <d v="2024-01-02T00:00:00"/>
    <m/>
    <d v="2024-01-02T00:00:00"/>
    <n v="0"/>
    <d v="2024-01-02T00:00:00"/>
    <n v="0"/>
    <n v="0"/>
    <n v="0"/>
    <n v="0"/>
    <n v="1"/>
    <n v="0"/>
  </r>
  <r>
    <x v="393"/>
    <n v="64"/>
    <x v="1"/>
    <x v="256"/>
    <x v="240"/>
    <n v="1048"/>
    <x v="1"/>
    <x v="1"/>
    <x v="2"/>
    <n v="10"/>
    <n v="6"/>
    <n v="72"/>
    <x v="3"/>
    <x v="3"/>
    <s v="Social Media"/>
    <x v="1"/>
    <s v="Low"/>
    <x v="2"/>
    <x v="0"/>
    <n v="72"/>
    <d v="2024-01-02T00:00:00"/>
    <m/>
    <d v="2024-01-02T00:00:00"/>
    <n v="0"/>
    <d v="2024-01-02T00:00:00"/>
    <n v="0"/>
    <n v="0"/>
    <n v="0"/>
    <n v="0"/>
    <n v="1"/>
    <n v="0"/>
  </r>
  <r>
    <x v="394"/>
    <n v="26"/>
    <x v="0"/>
    <x v="257"/>
    <x v="120"/>
    <n v="1047"/>
    <x v="0"/>
    <x v="0"/>
    <x v="0"/>
    <n v="18"/>
    <n v="12.15"/>
    <n v="72.900000000000006"/>
    <x v="2"/>
    <x v="2"/>
    <s v="None"/>
    <x v="5"/>
    <s v="Low"/>
    <x v="0"/>
    <x v="0"/>
    <n v="72.900000000000006"/>
    <d v="2023-07-07T00:00:00"/>
    <m/>
    <d v="2023-07-07T00:00:00"/>
    <n v="0"/>
    <d v="2023-07-07T00:00:00"/>
    <n v="0"/>
    <n v="0"/>
    <n v="0"/>
    <n v="0"/>
    <n v="1"/>
    <n v="0"/>
  </r>
  <r>
    <x v="395"/>
    <n v="65"/>
    <x v="1"/>
    <x v="258"/>
    <x v="29"/>
    <n v="1045"/>
    <x v="3"/>
    <x v="2"/>
    <x v="0"/>
    <n v="18"/>
    <n v="16.2"/>
    <n v="0"/>
    <x v="3"/>
    <x v="0"/>
    <s v="Email Campaign"/>
    <x v="5"/>
    <s v="Low"/>
    <x v="2"/>
    <x v="0"/>
    <n v="0"/>
    <d v="2023-02-09T00:00:00"/>
    <m/>
    <d v="2023-02-09T00:00:00"/>
    <n v="0"/>
    <d v="2023-02-09T00:00:00"/>
    <n v="0"/>
    <n v="0"/>
    <n v="0"/>
    <n v="0"/>
    <n v="0"/>
    <n v="0"/>
  </r>
  <r>
    <x v="396"/>
    <n v="27"/>
    <x v="1"/>
    <x v="259"/>
    <x v="2"/>
    <n v="1044"/>
    <x v="14"/>
    <x v="1"/>
    <x v="0"/>
    <n v="18"/>
    <n v="12"/>
    <n v="417.6"/>
    <x v="2"/>
    <x v="0"/>
    <s v="Social Media"/>
    <x v="2"/>
    <s v="High"/>
    <x v="0"/>
    <x v="1"/>
    <n v="561.6"/>
    <m/>
    <d v="2025-12-26T00:00:00"/>
    <d v="2025-12-26T00:00:00"/>
    <n v="2"/>
    <d v="2025-11-20T00:00:00"/>
    <n v="1"/>
    <n v="0"/>
    <n v="0"/>
    <n v="0"/>
    <n v="1"/>
    <n v="1"/>
  </r>
  <r>
    <x v="397"/>
    <n v="50"/>
    <x v="1"/>
    <x v="260"/>
    <x v="2"/>
    <n v="1041"/>
    <x v="15"/>
    <x v="2"/>
    <x v="2"/>
    <n v="10"/>
    <n v="10"/>
    <n v="329"/>
    <x v="0"/>
    <x v="2"/>
    <s v="Friend"/>
    <x v="2"/>
    <s v="High"/>
    <x v="0"/>
    <x v="1"/>
    <n v="339"/>
    <m/>
    <d v="2025-11-29T00:00:00"/>
    <d v="2025-11-29T00:00:00"/>
    <n v="34"/>
    <d v="2025-11-20T00:00:00"/>
    <n v="1"/>
    <n v="0"/>
    <n v="0"/>
    <n v="0"/>
    <n v="1"/>
    <n v="1"/>
  </r>
  <r>
    <x v="398"/>
    <n v="61"/>
    <x v="1"/>
    <x v="261"/>
    <x v="241"/>
    <n v="1040"/>
    <x v="1"/>
    <x v="1"/>
    <x v="1"/>
    <n v="25"/>
    <n v="14.999999999999998"/>
    <n v="180"/>
    <x v="3"/>
    <x v="0"/>
    <s v="Search Engine"/>
    <x v="1"/>
    <s v="Medium"/>
    <x v="2"/>
    <x v="0"/>
    <n v="180"/>
    <d v="2024-01-10T00:00:00"/>
    <m/>
    <d v="2024-01-10T00:00:00"/>
    <n v="0"/>
    <d v="2024-01-10T00:00:00"/>
    <n v="0"/>
    <n v="0"/>
    <n v="0"/>
    <n v="0"/>
    <n v="1"/>
    <n v="0"/>
  </r>
  <r>
    <x v="399"/>
    <n v="69"/>
    <x v="1"/>
    <x v="262"/>
    <x v="242"/>
    <n v="1038"/>
    <x v="1"/>
    <x v="1"/>
    <x v="0"/>
    <n v="18"/>
    <n v="10.8"/>
    <n v="129.6"/>
    <x v="3"/>
    <x v="2"/>
    <s v="Friend"/>
    <x v="4"/>
    <s v="Medium"/>
    <x v="2"/>
    <x v="0"/>
    <n v="129.6"/>
    <d v="2024-01-12T00:00:00"/>
    <m/>
    <d v="2024-01-12T00:00:00"/>
    <n v="0"/>
    <d v="2024-01-12T00:00:00"/>
    <n v="0"/>
    <n v="0"/>
    <n v="0"/>
    <n v="0"/>
    <n v="1"/>
    <n v="0"/>
  </r>
  <r>
    <x v="400"/>
    <n v="25"/>
    <x v="1"/>
    <x v="262"/>
    <x v="242"/>
    <n v="1038"/>
    <x v="1"/>
    <x v="1"/>
    <x v="0"/>
    <n v="18"/>
    <n v="10.8"/>
    <n v="129.6"/>
    <x v="1"/>
    <x v="0"/>
    <s v="Email Campaign"/>
    <x v="3"/>
    <s v="Medium"/>
    <x v="1"/>
    <x v="0"/>
    <n v="129.6"/>
    <d v="2024-01-12T00:00:00"/>
    <m/>
    <d v="2024-01-12T00:00:00"/>
    <n v="0"/>
    <d v="2024-01-12T00:00:00"/>
    <n v="0"/>
    <n v="0"/>
    <n v="0"/>
    <n v="0"/>
    <n v="1"/>
    <n v="0"/>
  </r>
  <r>
    <x v="401"/>
    <n v="74"/>
    <x v="0"/>
    <x v="263"/>
    <x v="243"/>
    <n v="1037"/>
    <x v="3"/>
    <x v="2"/>
    <x v="1"/>
    <n v="25"/>
    <n v="22.5"/>
    <n v="0"/>
    <x v="4"/>
    <x v="1"/>
    <s v="Email Campaign"/>
    <x v="0"/>
    <s v="Low"/>
    <x v="3"/>
    <x v="0"/>
    <n v="0"/>
    <d v="2023-02-17T00:00:00"/>
    <m/>
    <d v="2023-02-17T00:00:00"/>
    <n v="0"/>
    <d v="2023-02-17T00:00:00"/>
    <n v="0"/>
    <n v="0"/>
    <n v="0"/>
    <n v="0"/>
    <n v="0"/>
    <n v="0"/>
  </r>
  <r>
    <x v="402"/>
    <n v="74"/>
    <x v="1"/>
    <x v="263"/>
    <x v="244"/>
    <n v="1037"/>
    <x v="1"/>
    <x v="1"/>
    <x v="2"/>
    <n v="10"/>
    <n v="6"/>
    <n v="72"/>
    <x v="4"/>
    <x v="3"/>
    <s v="Friend"/>
    <x v="5"/>
    <s v="Low"/>
    <x v="3"/>
    <x v="0"/>
    <n v="72"/>
    <d v="2024-01-13T00:00:00"/>
    <m/>
    <d v="2024-01-13T00:00:00"/>
    <n v="0"/>
    <d v="2024-01-13T00:00:00"/>
    <n v="0"/>
    <n v="0"/>
    <n v="0"/>
    <n v="0"/>
    <n v="1"/>
    <n v="0"/>
  </r>
  <r>
    <x v="403"/>
    <n v="41"/>
    <x v="1"/>
    <x v="264"/>
    <x v="129"/>
    <n v="1036"/>
    <x v="0"/>
    <x v="0"/>
    <x v="2"/>
    <n v="10"/>
    <n v="6.75"/>
    <n v="40.5"/>
    <x v="2"/>
    <x v="2"/>
    <s v="Email Campaign"/>
    <x v="1"/>
    <s v="Low"/>
    <x v="0"/>
    <x v="0"/>
    <n v="40.5"/>
    <d v="2023-07-18T00:00:00"/>
    <m/>
    <d v="2023-07-18T00:00:00"/>
    <n v="0"/>
    <d v="2023-07-18T00:00:00"/>
    <n v="0"/>
    <n v="0"/>
    <n v="0"/>
    <n v="0"/>
    <n v="1"/>
    <n v="0"/>
  </r>
  <r>
    <x v="404"/>
    <n v="73"/>
    <x v="1"/>
    <x v="265"/>
    <x v="35"/>
    <n v="1035"/>
    <x v="3"/>
    <x v="2"/>
    <x v="2"/>
    <n v="10"/>
    <n v="9"/>
    <n v="0"/>
    <x v="4"/>
    <x v="3"/>
    <s v="Email Campaign"/>
    <x v="1"/>
    <s v="Low"/>
    <x v="3"/>
    <x v="0"/>
    <n v="0"/>
    <d v="2023-02-19T00:00:00"/>
    <m/>
    <d v="2023-02-19T00:00:00"/>
    <n v="0"/>
    <d v="2023-02-19T00:00:00"/>
    <n v="0"/>
    <n v="0"/>
    <n v="0"/>
    <n v="0"/>
    <n v="0"/>
    <n v="0"/>
  </r>
  <r>
    <x v="405"/>
    <n v="71"/>
    <x v="0"/>
    <x v="266"/>
    <x v="2"/>
    <n v="1034"/>
    <x v="14"/>
    <x v="1"/>
    <x v="0"/>
    <n v="18"/>
    <n v="12"/>
    <n v="417.6"/>
    <x v="4"/>
    <x v="3"/>
    <s v="None"/>
    <x v="2"/>
    <s v="High"/>
    <x v="3"/>
    <x v="1"/>
    <n v="561.6"/>
    <m/>
    <d v="2026-01-05T00:00:00"/>
    <d v="2026-01-05T00:00:00"/>
    <n v="2"/>
    <d v="2025-11-20T00:00:00"/>
    <n v="1"/>
    <n v="0"/>
    <n v="0"/>
    <n v="0"/>
    <n v="1"/>
    <n v="1"/>
  </r>
  <r>
    <x v="406"/>
    <n v="26"/>
    <x v="0"/>
    <x v="267"/>
    <x v="150"/>
    <n v="1033"/>
    <x v="3"/>
    <x v="2"/>
    <x v="2"/>
    <n v="10"/>
    <n v="9"/>
    <n v="0"/>
    <x v="2"/>
    <x v="1"/>
    <s v="Email Campaign"/>
    <x v="4"/>
    <s v="Low"/>
    <x v="0"/>
    <x v="0"/>
    <n v="0"/>
    <d v="2023-02-21T00:00:00"/>
    <m/>
    <d v="2023-02-21T00:00:00"/>
    <n v="0"/>
    <d v="2023-02-21T00:00:00"/>
    <n v="0"/>
    <n v="0"/>
    <n v="0"/>
    <n v="0"/>
    <n v="0"/>
    <n v="0"/>
  </r>
  <r>
    <x v="407"/>
    <n v="72"/>
    <x v="1"/>
    <x v="268"/>
    <x v="2"/>
    <n v="1032"/>
    <x v="14"/>
    <x v="0"/>
    <x v="1"/>
    <n v="25"/>
    <n v="18.75"/>
    <n v="652.5"/>
    <x v="4"/>
    <x v="1"/>
    <s v="Search Engine"/>
    <x v="2"/>
    <s v="Very High"/>
    <x v="3"/>
    <x v="1"/>
    <n v="765"/>
    <m/>
    <d v="2026-01-07T00:00:00"/>
    <d v="2026-01-07T00:00:00"/>
    <n v="5"/>
    <d v="2025-11-20T00:00:00"/>
    <n v="1"/>
    <n v="0"/>
    <n v="0"/>
    <n v="0"/>
    <n v="1"/>
    <n v="1"/>
  </r>
  <r>
    <x v="408"/>
    <n v="42"/>
    <x v="1"/>
    <x v="269"/>
    <x v="245"/>
    <n v="1030"/>
    <x v="1"/>
    <x v="1"/>
    <x v="0"/>
    <n v="18"/>
    <n v="10.8"/>
    <n v="129.6"/>
    <x v="2"/>
    <x v="3"/>
    <s v="Email Campaign"/>
    <x v="0"/>
    <s v="Medium"/>
    <x v="0"/>
    <x v="0"/>
    <n v="129.6"/>
    <d v="2024-01-20T00:00:00"/>
    <m/>
    <d v="2024-01-20T00:00:00"/>
    <n v="0"/>
    <d v="2024-01-20T00:00:00"/>
    <n v="0"/>
    <n v="0"/>
    <n v="0"/>
    <n v="0"/>
    <n v="1"/>
    <n v="0"/>
  </r>
  <r>
    <x v="409"/>
    <n v="27"/>
    <x v="1"/>
    <x v="270"/>
    <x v="246"/>
    <n v="1028"/>
    <x v="0"/>
    <x v="0"/>
    <x v="1"/>
    <n v="25"/>
    <n v="16.875"/>
    <n v="101.25"/>
    <x v="2"/>
    <x v="0"/>
    <s v="Search Engine"/>
    <x v="1"/>
    <s v="Medium"/>
    <x v="0"/>
    <x v="0"/>
    <n v="101.25"/>
    <d v="2023-07-26T00:00:00"/>
    <m/>
    <d v="2023-07-26T00:00:00"/>
    <n v="0"/>
    <d v="2023-07-26T00:00:00"/>
    <n v="0"/>
    <n v="0"/>
    <n v="0"/>
    <n v="0"/>
    <n v="1"/>
    <n v="0"/>
  </r>
  <r>
    <x v="410"/>
    <n v="55"/>
    <x v="1"/>
    <x v="270"/>
    <x v="2"/>
    <n v="1028"/>
    <x v="14"/>
    <x v="1"/>
    <x v="2"/>
    <n v="10"/>
    <n v="6.6666666666666661"/>
    <n v="232"/>
    <x v="0"/>
    <x v="0"/>
    <s v="Social Media"/>
    <x v="2"/>
    <s v="Medium"/>
    <x v="0"/>
    <x v="1"/>
    <n v="312"/>
    <m/>
    <d v="2026-01-11T00:00:00"/>
    <d v="2026-01-11T00:00:00"/>
    <n v="2"/>
    <d v="2025-11-20T00:00:00"/>
    <n v="1"/>
    <n v="0"/>
    <n v="0"/>
    <n v="0"/>
    <n v="1"/>
    <n v="1"/>
  </r>
  <r>
    <x v="411"/>
    <n v="51"/>
    <x v="0"/>
    <x v="271"/>
    <x v="2"/>
    <n v="1027"/>
    <x v="15"/>
    <x v="2"/>
    <x v="1"/>
    <n v="25"/>
    <n v="25"/>
    <n v="822.5"/>
    <x v="0"/>
    <x v="3"/>
    <s v="Social Media"/>
    <x v="2"/>
    <s v="Very High"/>
    <x v="0"/>
    <x v="1"/>
    <n v="847.5"/>
    <m/>
    <d v="2025-12-13T00:00:00"/>
    <d v="2025-12-13T00:00:00"/>
    <n v="34"/>
    <d v="2025-11-20T00:00:00"/>
    <n v="1"/>
    <n v="0"/>
    <n v="0"/>
    <n v="0"/>
    <n v="1"/>
    <n v="1"/>
  </r>
  <r>
    <x v="412"/>
    <n v="48"/>
    <x v="0"/>
    <x v="272"/>
    <x v="247"/>
    <n v="1026"/>
    <x v="0"/>
    <x v="0"/>
    <x v="1"/>
    <n v="25"/>
    <n v="16.875"/>
    <n v="101.25"/>
    <x v="2"/>
    <x v="1"/>
    <s v="Email Campaign"/>
    <x v="4"/>
    <s v="Medium"/>
    <x v="0"/>
    <x v="0"/>
    <n v="101.25"/>
    <d v="2023-07-28T00:00:00"/>
    <m/>
    <d v="2023-07-28T00:00:00"/>
    <n v="0"/>
    <d v="2023-07-28T00:00:00"/>
    <n v="0"/>
    <n v="0"/>
    <n v="0"/>
    <n v="0"/>
    <n v="1"/>
    <n v="0"/>
  </r>
  <r>
    <x v="413"/>
    <n v="22"/>
    <x v="0"/>
    <x v="272"/>
    <x v="248"/>
    <n v="1026"/>
    <x v="1"/>
    <x v="1"/>
    <x v="0"/>
    <n v="18"/>
    <n v="10.8"/>
    <n v="129.6"/>
    <x v="1"/>
    <x v="3"/>
    <s v="Friend"/>
    <x v="0"/>
    <s v="Medium"/>
    <x v="1"/>
    <x v="0"/>
    <n v="129.6"/>
    <d v="2024-01-24T00:00:00"/>
    <m/>
    <d v="2024-01-24T00:00:00"/>
    <n v="0"/>
    <d v="2024-01-24T00:00:00"/>
    <n v="0"/>
    <n v="0"/>
    <n v="0"/>
    <n v="0"/>
    <n v="1"/>
    <n v="0"/>
  </r>
  <r>
    <x v="414"/>
    <n v="70"/>
    <x v="0"/>
    <x v="272"/>
    <x v="248"/>
    <n v="1026"/>
    <x v="1"/>
    <x v="1"/>
    <x v="2"/>
    <n v="10"/>
    <n v="6"/>
    <n v="72"/>
    <x v="3"/>
    <x v="2"/>
    <s v="Social Media"/>
    <x v="3"/>
    <s v="Low"/>
    <x v="3"/>
    <x v="0"/>
    <n v="72"/>
    <d v="2024-01-24T00:00:00"/>
    <m/>
    <d v="2024-01-24T00:00:00"/>
    <n v="0"/>
    <d v="2024-01-24T00:00:00"/>
    <n v="0"/>
    <n v="0"/>
    <n v="0"/>
    <n v="0"/>
    <n v="1"/>
    <n v="0"/>
  </r>
  <r>
    <x v="415"/>
    <n v="49"/>
    <x v="0"/>
    <x v="272"/>
    <x v="248"/>
    <n v="1026"/>
    <x v="1"/>
    <x v="1"/>
    <x v="2"/>
    <n v="10"/>
    <n v="6"/>
    <n v="72"/>
    <x v="2"/>
    <x v="1"/>
    <s v="Email Campaign"/>
    <x v="1"/>
    <s v="Low"/>
    <x v="0"/>
    <x v="0"/>
    <n v="72"/>
    <d v="2024-01-24T00:00:00"/>
    <m/>
    <d v="2024-01-24T00:00:00"/>
    <n v="0"/>
    <d v="2024-01-24T00:00:00"/>
    <n v="0"/>
    <n v="0"/>
    <n v="0"/>
    <n v="0"/>
    <n v="1"/>
    <n v="0"/>
  </r>
  <r>
    <x v="416"/>
    <n v="58"/>
    <x v="0"/>
    <x v="273"/>
    <x v="249"/>
    <n v="1025"/>
    <x v="1"/>
    <x v="1"/>
    <x v="0"/>
    <n v="18"/>
    <n v="10.8"/>
    <n v="129.6"/>
    <x v="0"/>
    <x v="1"/>
    <s v="Social Media"/>
    <x v="1"/>
    <s v="Medium"/>
    <x v="0"/>
    <x v="0"/>
    <n v="129.6"/>
    <d v="2024-01-25T00:00:00"/>
    <m/>
    <d v="2024-01-25T00:00:00"/>
    <n v="0"/>
    <d v="2024-01-25T00:00:00"/>
    <n v="0"/>
    <n v="0"/>
    <n v="0"/>
    <n v="0"/>
    <n v="1"/>
    <n v="0"/>
  </r>
  <r>
    <x v="417"/>
    <n v="53"/>
    <x v="0"/>
    <x v="274"/>
    <x v="250"/>
    <n v="1021"/>
    <x v="1"/>
    <x v="1"/>
    <x v="2"/>
    <n v="10"/>
    <n v="6"/>
    <n v="72"/>
    <x v="0"/>
    <x v="3"/>
    <s v="Social Media"/>
    <x v="3"/>
    <s v="Low"/>
    <x v="0"/>
    <x v="0"/>
    <n v="72"/>
    <d v="2024-01-29T00:00:00"/>
    <m/>
    <d v="2024-01-29T00:00:00"/>
    <n v="0"/>
    <d v="2024-01-29T00:00:00"/>
    <n v="0"/>
    <n v="0"/>
    <n v="0"/>
    <n v="0"/>
    <n v="1"/>
    <n v="0"/>
  </r>
  <r>
    <x v="418"/>
    <n v="31"/>
    <x v="0"/>
    <x v="275"/>
    <x v="251"/>
    <n v="1020"/>
    <x v="1"/>
    <x v="1"/>
    <x v="1"/>
    <n v="25"/>
    <n v="14.999999999999998"/>
    <n v="180"/>
    <x v="2"/>
    <x v="1"/>
    <s v="Email Campaign"/>
    <x v="4"/>
    <s v="Medium"/>
    <x v="0"/>
    <x v="0"/>
    <n v="180"/>
    <d v="2024-01-30T00:00:00"/>
    <m/>
    <d v="2024-01-30T00:00:00"/>
    <n v="0"/>
    <d v="2024-01-30T00:00:00"/>
    <n v="0"/>
    <n v="0"/>
    <n v="0"/>
    <n v="0"/>
    <n v="1"/>
    <n v="0"/>
  </r>
  <r>
    <x v="419"/>
    <n v="65"/>
    <x v="1"/>
    <x v="275"/>
    <x v="251"/>
    <n v="1020"/>
    <x v="1"/>
    <x v="1"/>
    <x v="2"/>
    <n v="10"/>
    <n v="6"/>
    <n v="72"/>
    <x v="3"/>
    <x v="1"/>
    <s v="Social Media"/>
    <x v="4"/>
    <s v="Low"/>
    <x v="2"/>
    <x v="0"/>
    <n v="72"/>
    <d v="2024-01-30T00:00:00"/>
    <m/>
    <d v="2024-01-30T00:00:00"/>
    <n v="0"/>
    <d v="2024-01-30T00:00:00"/>
    <n v="0"/>
    <n v="0"/>
    <n v="0"/>
    <n v="0"/>
    <n v="1"/>
    <n v="0"/>
  </r>
  <r>
    <x v="420"/>
    <n v="75"/>
    <x v="0"/>
    <x v="276"/>
    <x v="2"/>
    <n v="1019"/>
    <x v="16"/>
    <x v="2"/>
    <x v="0"/>
    <n v="18"/>
    <n v="18"/>
    <n v="574.20000000000005"/>
    <x v="4"/>
    <x v="2"/>
    <s v="Friend"/>
    <x v="2"/>
    <s v="High"/>
    <x v="3"/>
    <x v="1"/>
    <n v="592.20000000000005"/>
    <m/>
    <d v="2025-11-21T00:00:00"/>
    <d v="2025-11-21T00:00:00"/>
    <n v="33"/>
    <d v="2025-11-20T00:00:00"/>
    <n v="1"/>
    <n v="0"/>
    <n v="0"/>
    <n v="0"/>
    <n v="1"/>
    <n v="1"/>
  </r>
  <r>
    <x v="421"/>
    <n v="32"/>
    <x v="1"/>
    <x v="277"/>
    <x v="140"/>
    <n v="1018"/>
    <x v="0"/>
    <x v="0"/>
    <x v="1"/>
    <n v="25"/>
    <n v="16.875"/>
    <n v="101.25"/>
    <x v="2"/>
    <x v="3"/>
    <s v="Social Media"/>
    <x v="5"/>
    <s v="Medium"/>
    <x v="0"/>
    <x v="0"/>
    <n v="101.25"/>
    <d v="2023-08-05T00:00:00"/>
    <m/>
    <d v="2023-08-05T00:00:00"/>
    <n v="0"/>
    <d v="2023-08-05T00:00:00"/>
    <n v="0"/>
    <n v="0"/>
    <n v="0"/>
    <n v="0"/>
    <n v="1"/>
    <n v="0"/>
  </r>
  <r>
    <x v="422"/>
    <n v="32"/>
    <x v="1"/>
    <x v="277"/>
    <x v="252"/>
    <n v="1018"/>
    <x v="1"/>
    <x v="1"/>
    <x v="0"/>
    <n v="18"/>
    <n v="10.8"/>
    <n v="129.6"/>
    <x v="2"/>
    <x v="2"/>
    <s v="None"/>
    <x v="4"/>
    <s v="Medium"/>
    <x v="0"/>
    <x v="0"/>
    <n v="129.6"/>
    <d v="2024-02-01T00:00:00"/>
    <m/>
    <d v="2024-02-01T00:00:00"/>
    <n v="0"/>
    <d v="2024-02-01T00:00:00"/>
    <n v="0"/>
    <n v="0"/>
    <n v="0"/>
    <n v="0"/>
    <n v="1"/>
    <n v="0"/>
  </r>
  <r>
    <x v="423"/>
    <n v="65"/>
    <x v="1"/>
    <x v="278"/>
    <x v="253"/>
    <n v="1017"/>
    <x v="3"/>
    <x v="2"/>
    <x v="2"/>
    <n v="10"/>
    <n v="9"/>
    <n v="0"/>
    <x v="3"/>
    <x v="2"/>
    <s v="Social Media"/>
    <x v="0"/>
    <s v="Low"/>
    <x v="2"/>
    <x v="0"/>
    <n v="0"/>
    <d v="2023-03-09T00:00:00"/>
    <m/>
    <d v="2023-03-09T00:00:00"/>
    <n v="0"/>
    <d v="2023-03-09T00:00:00"/>
    <n v="0"/>
    <n v="0"/>
    <n v="0"/>
    <n v="0"/>
    <n v="0"/>
    <n v="0"/>
  </r>
  <r>
    <x v="424"/>
    <n v="25"/>
    <x v="0"/>
    <x v="278"/>
    <x v="254"/>
    <n v="1017"/>
    <x v="1"/>
    <x v="1"/>
    <x v="1"/>
    <n v="25"/>
    <n v="14.999999999999998"/>
    <n v="180"/>
    <x v="1"/>
    <x v="1"/>
    <s v="Friend"/>
    <x v="0"/>
    <s v="Medium"/>
    <x v="1"/>
    <x v="0"/>
    <n v="180"/>
    <d v="2024-02-02T00:00:00"/>
    <m/>
    <d v="2024-02-02T00:00:00"/>
    <n v="0"/>
    <d v="2024-02-02T00:00:00"/>
    <n v="0"/>
    <n v="0"/>
    <n v="0"/>
    <n v="0"/>
    <n v="1"/>
    <n v="0"/>
  </r>
  <r>
    <x v="425"/>
    <n v="23"/>
    <x v="0"/>
    <x v="279"/>
    <x v="142"/>
    <n v="1016"/>
    <x v="0"/>
    <x v="0"/>
    <x v="1"/>
    <n v="25"/>
    <n v="16.875"/>
    <n v="101.25"/>
    <x v="1"/>
    <x v="2"/>
    <s v="Search Engine"/>
    <x v="4"/>
    <s v="Medium"/>
    <x v="1"/>
    <x v="0"/>
    <n v="101.25"/>
    <d v="2023-08-07T00:00:00"/>
    <m/>
    <d v="2023-08-07T00:00:00"/>
    <n v="0"/>
    <d v="2023-08-07T00:00:00"/>
    <n v="0"/>
    <n v="0"/>
    <n v="0"/>
    <n v="0"/>
    <n v="1"/>
    <n v="0"/>
  </r>
  <r>
    <x v="426"/>
    <n v="53"/>
    <x v="0"/>
    <x v="280"/>
    <x v="2"/>
    <n v="1015"/>
    <x v="16"/>
    <x v="2"/>
    <x v="2"/>
    <n v="10"/>
    <n v="10"/>
    <n v="319"/>
    <x v="0"/>
    <x v="3"/>
    <s v="Email Campaign"/>
    <x v="2"/>
    <s v="High"/>
    <x v="0"/>
    <x v="1"/>
    <n v="329"/>
    <m/>
    <d v="2025-11-25T00:00:00"/>
    <d v="2025-11-25T00:00:00"/>
    <n v="33"/>
    <d v="2025-11-20T00:00:00"/>
    <n v="1"/>
    <n v="0"/>
    <n v="0"/>
    <n v="0"/>
    <n v="1"/>
    <n v="1"/>
  </r>
  <r>
    <x v="427"/>
    <n v="37"/>
    <x v="1"/>
    <x v="280"/>
    <x v="2"/>
    <n v="1015"/>
    <x v="16"/>
    <x v="2"/>
    <x v="2"/>
    <n v="10"/>
    <n v="10"/>
    <n v="319"/>
    <x v="2"/>
    <x v="0"/>
    <s v="Search Engine"/>
    <x v="2"/>
    <s v="High"/>
    <x v="0"/>
    <x v="1"/>
    <n v="329"/>
    <m/>
    <d v="2025-11-25T00:00:00"/>
    <d v="2025-11-25T00:00:00"/>
    <n v="33"/>
    <d v="2025-11-20T00:00:00"/>
    <n v="1"/>
    <n v="0"/>
    <n v="0"/>
    <n v="0"/>
    <n v="1"/>
    <n v="1"/>
  </r>
  <r>
    <x v="428"/>
    <n v="41"/>
    <x v="1"/>
    <x v="281"/>
    <x v="143"/>
    <n v="1014"/>
    <x v="0"/>
    <x v="0"/>
    <x v="2"/>
    <n v="10"/>
    <n v="6.75"/>
    <n v="40.5"/>
    <x v="2"/>
    <x v="3"/>
    <s v="Email Campaign"/>
    <x v="5"/>
    <s v="Low"/>
    <x v="0"/>
    <x v="0"/>
    <n v="40.5"/>
    <d v="2023-08-09T00:00:00"/>
    <m/>
    <d v="2023-08-09T00:00:00"/>
    <n v="0"/>
    <d v="2023-08-09T00:00:00"/>
    <n v="0"/>
    <n v="0"/>
    <n v="0"/>
    <n v="0"/>
    <n v="1"/>
    <n v="0"/>
  </r>
  <r>
    <x v="429"/>
    <n v="42"/>
    <x v="0"/>
    <x v="281"/>
    <x v="255"/>
    <n v="1014"/>
    <x v="1"/>
    <x v="1"/>
    <x v="1"/>
    <n v="25"/>
    <n v="14.999999999999998"/>
    <n v="180"/>
    <x v="2"/>
    <x v="0"/>
    <s v="Friend"/>
    <x v="0"/>
    <s v="Medium"/>
    <x v="0"/>
    <x v="0"/>
    <n v="180"/>
    <d v="2024-02-05T00:00:00"/>
    <m/>
    <d v="2024-02-05T00:00:00"/>
    <n v="0"/>
    <d v="2024-02-05T00:00:00"/>
    <n v="0"/>
    <n v="0"/>
    <n v="0"/>
    <n v="0"/>
    <n v="1"/>
    <n v="0"/>
  </r>
  <r>
    <x v="430"/>
    <n v="56"/>
    <x v="0"/>
    <x v="282"/>
    <x v="48"/>
    <n v="1013"/>
    <x v="3"/>
    <x v="2"/>
    <x v="0"/>
    <n v="18"/>
    <n v="16.2"/>
    <n v="0"/>
    <x v="0"/>
    <x v="1"/>
    <s v="Email Campaign"/>
    <x v="4"/>
    <s v="Low"/>
    <x v="0"/>
    <x v="0"/>
    <n v="0"/>
    <d v="2023-03-13T00:00:00"/>
    <m/>
    <d v="2023-03-13T00:00:00"/>
    <n v="0"/>
    <d v="2023-03-13T00:00:00"/>
    <n v="0"/>
    <n v="0"/>
    <n v="0"/>
    <n v="0"/>
    <n v="0"/>
    <n v="0"/>
  </r>
  <r>
    <x v="431"/>
    <n v="39"/>
    <x v="1"/>
    <x v="283"/>
    <x v="256"/>
    <n v="1011"/>
    <x v="3"/>
    <x v="2"/>
    <x v="2"/>
    <n v="10"/>
    <n v="9"/>
    <n v="0"/>
    <x v="2"/>
    <x v="3"/>
    <s v="Search Engine"/>
    <x v="1"/>
    <s v="Low"/>
    <x v="0"/>
    <x v="0"/>
    <n v="0"/>
    <d v="2023-03-15T00:00:00"/>
    <m/>
    <d v="2023-03-15T00:00:00"/>
    <n v="0"/>
    <d v="2023-03-15T00:00:00"/>
    <n v="0"/>
    <n v="0"/>
    <n v="0"/>
    <n v="0"/>
    <n v="0"/>
    <n v="0"/>
  </r>
  <r>
    <x v="432"/>
    <n v="39"/>
    <x v="0"/>
    <x v="283"/>
    <x v="257"/>
    <n v="1011"/>
    <x v="1"/>
    <x v="1"/>
    <x v="0"/>
    <n v="18"/>
    <n v="10.8"/>
    <n v="129.6"/>
    <x v="2"/>
    <x v="3"/>
    <s v="None"/>
    <x v="3"/>
    <s v="Medium"/>
    <x v="0"/>
    <x v="0"/>
    <n v="129.6"/>
    <d v="2024-02-08T00:00:00"/>
    <m/>
    <d v="2024-02-08T00:00:00"/>
    <n v="0"/>
    <d v="2024-02-08T00:00:00"/>
    <n v="0"/>
    <n v="0"/>
    <n v="0"/>
    <n v="0"/>
    <n v="1"/>
    <n v="0"/>
  </r>
  <r>
    <x v="433"/>
    <n v="41"/>
    <x v="0"/>
    <x v="284"/>
    <x v="258"/>
    <n v="1010"/>
    <x v="1"/>
    <x v="1"/>
    <x v="2"/>
    <n v="10"/>
    <n v="6"/>
    <n v="72"/>
    <x v="2"/>
    <x v="2"/>
    <s v="Social Media"/>
    <x v="5"/>
    <s v="Low"/>
    <x v="0"/>
    <x v="0"/>
    <n v="72"/>
    <d v="2024-02-09T00:00:00"/>
    <m/>
    <d v="2024-02-09T00:00:00"/>
    <n v="0"/>
    <d v="2024-02-09T00:00:00"/>
    <n v="0"/>
    <n v="0"/>
    <n v="0"/>
    <n v="0"/>
    <n v="1"/>
    <n v="0"/>
  </r>
  <r>
    <x v="434"/>
    <n v="58"/>
    <x v="1"/>
    <x v="284"/>
    <x v="258"/>
    <n v="1010"/>
    <x v="1"/>
    <x v="1"/>
    <x v="0"/>
    <n v="18"/>
    <n v="10.8"/>
    <n v="129.6"/>
    <x v="0"/>
    <x v="2"/>
    <s v="Search Engine"/>
    <x v="1"/>
    <s v="Medium"/>
    <x v="0"/>
    <x v="0"/>
    <n v="129.6"/>
    <d v="2024-02-09T00:00:00"/>
    <m/>
    <d v="2024-02-09T00:00:00"/>
    <n v="0"/>
    <d v="2024-02-09T00:00:00"/>
    <n v="0"/>
    <n v="0"/>
    <n v="0"/>
    <n v="0"/>
    <n v="1"/>
    <n v="0"/>
  </r>
  <r>
    <x v="435"/>
    <n v="31"/>
    <x v="1"/>
    <x v="284"/>
    <x v="2"/>
    <n v="1010"/>
    <x v="14"/>
    <x v="1"/>
    <x v="2"/>
    <n v="10"/>
    <n v="6.6666666666666661"/>
    <n v="232"/>
    <x v="2"/>
    <x v="2"/>
    <s v="None"/>
    <x v="2"/>
    <s v="Medium"/>
    <x v="0"/>
    <x v="1"/>
    <n v="312"/>
    <m/>
    <d v="2026-01-29T00:00:00"/>
    <d v="2026-01-29T00:00:00"/>
    <n v="2"/>
    <d v="2025-11-20T00:00:00"/>
    <n v="1"/>
    <n v="0"/>
    <n v="0"/>
    <n v="0"/>
    <n v="1"/>
    <n v="1"/>
  </r>
  <r>
    <x v="436"/>
    <n v="23"/>
    <x v="0"/>
    <x v="285"/>
    <x v="259"/>
    <n v="1009"/>
    <x v="1"/>
    <x v="1"/>
    <x v="1"/>
    <n v="25"/>
    <n v="14.999999999999998"/>
    <n v="180"/>
    <x v="1"/>
    <x v="2"/>
    <s v="None"/>
    <x v="5"/>
    <s v="Medium"/>
    <x v="1"/>
    <x v="0"/>
    <n v="180"/>
    <d v="2024-02-10T00:00:00"/>
    <m/>
    <d v="2024-02-10T00:00:00"/>
    <n v="0"/>
    <d v="2024-02-10T00:00:00"/>
    <n v="0"/>
    <n v="0"/>
    <n v="0"/>
    <n v="0"/>
    <n v="1"/>
    <n v="0"/>
  </r>
  <r>
    <x v="437"/>
    <n v="50"/>
    <x v="1"/>
    <x v="286"/>
    <x v="260"/>
    <n v="1004"/>
    <x v="1"/>
    <x v="1"/>
    <x v="0"/>
    <n v="18"/>
    <n v="10.8"/>
    <n v="129.6"/>
    <x v="0"/>
    <x v="1"/>
    <s v="Email Campaign"/>
    <x v="1"/>
    <s v="Medium"/>
    <x v="0"/>
    <x v="0"/>
    <n v="129.6"/>
    <d v="2024-02-15T00:00:00"/>
    <m/>
    <d v="2024-02-15T00:00:00"/>
    <n v="0"/>
    <d v="2024-02-15T00:00:00"/>
    <n v="0"/>
    <n v="0"/>
    <n v="0"/>
    <n v="0"/>
    <n v="1"/>
    <n v="0"/>
  </r>
  <r>
    <x v="438"/>
    <n v="34"/>
    <x v="1"/>
    <x v="286"/>
    <x v="2"/>
    <n v="1004"/>
    <x v="16"/>
    <x v="2"/>
    <x v="1"/>
    <n v="25"/>
    <n v="25"/>
    <n v="797.5"/>
    <x v="2"/>
    <x v="3"/>
    <s v="Email Campaign"/>
    <x v="2"/>
    <s v="Very High"/>
    <x v="0"/>
    <x v="1"/>
    <n v="822.5"/>
    <m/>
    <d v="2025-12-06T00:00:00"/>
    <d v="2025-12-06T00:00:00"/>
    <n v="33"/>
    <d v="2025-11-20T00:00:00"/>
    <n v="1"/>
    <n v="0"/>
    <n v="0"/>
    <n v="0"/>
    <n v="1"/>
    <n v="1"/>
  </r>
  <r>
    <x v="439"/>
    <n v="27"/>
    <x v="1"/>
    <x v="287"/>
    <x v="261"/>
    <n v="1003"/>
    <x v="0"/>
    <x v="0"/>
    <x v="1"/>
    <n v="25"/>
    <n v="16.875"/>
    <n v="101.25"/>
    <x v="2"/>
    <x v="3"/>
    <s v="Friend"/>
    <x v="5"/>
    <s v="Medium"/>
    <x v="0"/>
    <x v="0"/>
    <n v="101.25"/>
    <d v="2023-08-20T00:00:00"/>
    <m/>
    <d v="2023-08-20T00:00:00"/>
    <n v="0"/>
    <d v="2023-08-20T00:00:00"/>
    <n v="0"/>
    <n v="0"/>
    <n v="0"/>
    <n v="0"/>
    <n v="1"/>
    <n v="0"/>
  </r>
  <r>
    <x v="440"/>
    <n v="30"/>
    <x v="0"/>
    <x v="288"/>
    <x v="262"/>
    <n v="1002"/>
    <x v="3"/>
    <x v="2"/>
    <x v="1"/>
    <n v="25"/>
    <n v="22.5"/>
    <n v="0"/>
    <x v="2"/>
    <x v="3"/>
    <s v="Friend"/>
    <x v="4"/>
    <s v="Low"/>
    <x v="0"/>
    <x v="0"/>
    <n v="0"/>
    <d v="2023-03-24T00:00:00"/>
    <m/>
    <d v="2023-03-24T00:00:00"/>
    <n v="0"/>
    <d v="2023-03-24T00:00:00"/>
    <n v="0"/>
    <n v="0"/>
    <n v="0"/>
    <n v="0"/>
    <n v="0"/>
    <n v="0"/>
  </r>
  <r>
    <x v="441"/>
    <n v="26"/>
    <x v="0"/>
    <x v="289"/>
    <x v="263"/>
    <n v="998"/>
    <x v="1"/>
    <x v="1"/>
    <x v="1"/>
    <n v="25"/>
    <n v="14.999999999999998"/>
    <n v="180"/>
    <x v="2"/>
    <x v="2"/>
    <s v="Friend"/>
    <x v="4"/>
    <s v="Medium"/>
    <x v="0"/>
    <x v="0"/>
    <n v="180"/>
    <d v="2024-02-21T00:00:00"/>
    <m/>
    <d v="2024-02-21T00:00:00"/>
    <n v="0"/>
    <d v="2024-02-21T00:00:00"/>
    <n v="0"/>
    <n v="0"/>
    <n v="0"/>
    <n v="0"/>
    <n v="1"/>
    <n v="0"/>
  </r>
  <r>
    <x v="442"/>
    <n v="19"/>
    <x v="0"/>
    <x v="290"/>
    <x v="2"/>
    <n v="997"/>
    <x v="16"/>
    <x v="2"/>
    <x v="0"/>
    <n v="18"/>
    <n v="18"/>
    <n v="574.20000000000005"/>
    <x v="1"/>
    <x v="0"/>
    <s v="Search Engine"/>
    <x v="2"/>
    <s v="High"/>
    <x v="1"/>
    <x v="1"/>
    <n v="592.20000000000005"/>
    <m/>
    <d v="2025-12-13T00:00:00"/>
    <d v="2025-12-13T00:00:00"/>
    <n v="33"/>
    <d v="2025-11-20T00:00:00"/>
    <n v="1"/>
    <n v="0"/>
    <n v="0"/>
    <n v="0"/>
    <n v="1"/>
    <n v="1"/>
  </r>
  <r>
    <x v="443"/>
    <n v="29"/>
    <x v="0"/>
    <x v="291"/>
    <x v="264"/>
    <n v="996"/>
    <x v="1"/>
    <x v="1"/>
    <x v="2"/>
    <n v="10"/>
    <n v="6"/>
    <n v="72"/>
    <x v="2"/>
    <x v="2"/>
    <s v="Email Campaign"/>
    <x v="4"/>
    <s v="Low"/>
    <x v="0"/>
    <x v="0"/>
    <n v="72"/>
    <d v="2024-02-23T00:00:00"/>
    <m/>
    <d v="2024-02-23T00:00:00"/>
    <n v="0"/>
    <d v="2024-02-23T00:00:00"/>
    <n v="0"/>
    <n v="0"/>
    <n v="0"/>
    <n v="0"/>
    <n v="1"/>
    <n v="0"/>
  </r>
  <r>
    <x v="444"/>
    <n v="40"/>
    <x v="1"/>
    <x v="291"/>
    <x v="264"/>
    <n v="996"/>
    <x v="1"/>
    <x v="1"/>
    <x v="1"/>
    <n v="25"/>
    <n v="14.999999999999998"/>
    <n v="180"/>
    <x v="2"/>
    <x v="0"/>
    <s v="None"/>
    <x v="4"/>
    <s v="Medium"/>
    <x v="0"/>
    <x v="0"/>
    <n v="180"/>
    <d v="2024-02-23T00:00:00"/>
    <m/>
    <d v="2024-02-23T00:00:00"/>
    <n v="0"/>
    <d v="2024-02-23T00:00:00"/>
    <n v="0"/>
    <n v="0"/>
    <n v="0"/>
    <n v="0"/>
    <n v="1"/>
    <n v="0"/>
  </r>
  <r>
    <x v="445"/>
    <n v="73"/>
    <x v="0"/>
    <x v="291"/>
    <x v="2"/>
    <n v="996"/>
    <x v="14"/>
    <x v="0"/>
    <x v="2"/>
    <n v="10"/>
    <n v="7.5"/>
    <n v="261"/>
    <x v="4"/>
    <x v="1"/>
    <s v="Email Campaign"/>
    <x v="2"/>
    <s v="Medium"/>
    <x v="3"/>
    <x v="1"/>
    <n v="306"/>
    <m/>
    <d v="2026-02-12T00:00:00"/>
    <d v="2026-02-12T00:00:00"/>
    <n v="5"/>
    <d v="2025-11-20T00:00:00"/>
    <n v="1"/>
    <n v="0"/>
    <n v="0"/>
    <n v="0"/>
    <n v="1"/>
    <n v="1"/>
  </r>
  <r>
    <x v="446"/>
    <n v="67"/>
    <x v="0"/>
    <x v="292"/>
    <x v="265"/>
    <n v="994"/>
    <x v="1"/>
    <x v="1"/>
    <x v="0"/>
    <n v="18"/>
    <n v="10.8"/>
    <n v="129.6"/>
    <x v="3"/>
    <x v="1"/>
    <s v="Social Media"/>
    <x v="3"/>
    <s v="Medium"/>
    <x v="2"/>
    <x v="0"/>
    <n v="129.6"/>
    <d v="2024-02-25T00:00:00"/>
    <m/>
    <d v="2024-02-25T00:00:00"/>
    <n v="0"/>
    <d v="2024-02-25T00:00:00"/>
    <n v="0"/>
    <n v="0"/>
    <n v="0"/>
    <n v="0"/>
    <n v="1"/>
    <n v="0"/>
  </r>
  <r>
    <x v="447"/>
    <n v="32"/>
    <x v="1"/>
    <x v="293"/>
    <x v="60"/>
    <n v="993"/>
    <x v="3"/>
    <x v="2"/>
    <x v="2"/>
    <n v="10"/>
    <n v="9"/>
    <n v="0"/>
    <x v="2"/>
    <x v="3"/>
    <s v="None"/>
    <x v="4"/>
    <s v="Low"/>
    <x v="0"/>
    <x v="0"/>
    <n v="0"/>
    <d v="2023-04-02T00:00:00"/>
    <m/>
    <d v="2023-04-02T00:00:00"/>
    <n v="0"/>
    <d v="2023-04-02T00:00:00"/>
    <n v="0"/>
    <n v="0"/>
    <n v="0"/>
    <n v="0"/>
    <n v="0"/>
    <n v="0"/>
  </r>
  <r>
    <x v="448"/>
    <n v="29"/>
    <x v="0"/>
    <x v="293"/>
    <x v="60"/>
    <n v="993"/>
    <x v="3"/>
    <x v="2"/>
    <x v="1"/>
    <n v="25"/>
    <n v="22.5"/>
    <n v="0"/>
    <x v="2"/>
    <x v="1"/>
    <s v="Search Engine"/>
    <x v="1"/>
    <s v="Low"/>
    <x v="0"/>
    <x v="0"/>
    <n v="0"/>
    <d v="2023-04-02T00:00:00"/>
    <m/>
    <d v="2023-04-02T00:00:00"/>
    <n v="0"/>
    <d v="2023-04-02T00:00:00"/>
    <n v="0"/>
    <n v="0"/>
    <n v="0"/>
    <n v="0"/>
    <n v="0"/>
    <n v="0"/>
  </r>
  <r>
    <x v="449"/>
    <n v="25"/>
    <x v="0"/>
    <x v="294"/>
    <x v="266"/>
    <n v="992"/>
    <x v="1"/>
    <x v="1"/>
    <x v="2"/>
    <n v="10"/>
    <n v="6"/>
    <n v="72"/>
    <x v="1"/>
    <x v="2"/>
    <s v="Email Campaign"/>
    <x v="4"/>
    <s v="Low"/>
    <x v="1"/>
    <x v="0"/>
    <n v="72"/>
    <d v="2024-02-27T00:00:00"/>
    <m/>
    <d v="2024-02-27T00:00:00"/>
    <n v="0"/>
    <d v="2024-02-27T00:00:00"/>
    <n v="0"/>
    <n v="0"/>
    <n v="0"/>
    <n v="0"/>
    <n v="1"/>
    <n v="0"/>
  </r>
  <r>
    <x v="450"/>
    <n v="37"/>
    <x v="1"/>
    <x v="294"/>
    <x v="2"/>
    <n v="992"/>
    <x v="16"/>
    <x v="2"/>
    <x v="2"/>
    <n v="10"/>
    <n v="10"/>
    <n v="319"/>
    <x v="2"/>
    <x v="1"/>
    <s v="Friend"/>
    <x v="2"/>
    <s v="High"/>
    <x v="0"/>
    <x v="1"/>
    <n v="329"/>
    <m/>
    <d v="2025-12-18T00:00:00"/>
    <d v="2025-12-18T00:00:00"/>
    <n v="33"/>
    <d v="2025-11-20T00:00:00"/>
    <n v="1"/>
    <n v="0"/>
    <n v="0"/>
    <n v="0"/>
    <n v="1"/>
    <n v="1"/>
  </r>
  <r>
    <x v="451"/>
    <n v="53"/>
    <x v="1"/>
    <x v="295"/>
    <x v="267"/>
    <n v="991"/>
    <x v="3"/>
    <x v="2"/>
    <x v="2"/>
    <n v="10"/>
    <n v="9"/>
    <n v="0"/>
    <x v="0"/>
    <x v="3"/>
    <s v="Social Media"/>
    <x v="4"/>
    <s v="Low"/>
    <x v="0"/>
    <x v="0"/>
    <n v="0"/>
    <d v="2023-04-04T00:00:00"/>
    <m/>
    <d v="2023-04-04T00:00:00"/>
    <n v="0"/>
    <d v="2023-04-04T00:00:00"/>
    <n v="0"/>
    <n v="0"/>
    <n v="0"/>
    <n v="0"/>
    <n v="0"/>
    <n v="0"/>
  </r>
  <r>
    <x v="452"/>
    <n v="29"/>
    <x v="0"/>
    <x v="296"/>
    <x v="177"/>
    <n v="990"/>
    <x v="3"/>
    <x v="2"/>
    <x v="0"/>
    <n v="18"/>
    <n v="16.2"/>
    <n v="0"/>
    <x v="2"/>
    <x v="2"/>
    <s v="Social Media"/>
    <x v="3"/>
    <s v="Low"/>
    <x v="0"/>
    <x v="0"/>
    <n v="0"/>
    <d v="2023-04-05T00:00:00"/>
    <m/>
    <d v="2023-04-05T00:00:00"/>
    <n v="0"/>
    <d v="2023-04-05T00:00:00"/>
    <n v="0"/>
    <n v="0"/>
    <n v="0"/>
    <n v="0"/>
    <n v="0"/>
    <n v="0"/>
  </r>
  <r>
    <x v="453"/>
    <n v="64"/>
    <x v="0"/>
    <x v="296"/>
    <x v="268"/>
    <n v="990"/>
    <x v="1"/>
    <x v="1"/>
    <x v="1"/>
    <n v="25"/>
    <n v="14.999999999999998"/>
    <n v="180"/>
    <x v="3"/>
    <x v="1"/>
    <s v="None"/>
    <x v="1"/>
    <s v="Medium"/>
    <x v="2"/>
    <x v="0"/>
    <n v="180"/>
    <d v="2024-02-29T00:00:00"/>
    <m/>
    <d v="2024-02-29T00:00:00"/>
    <n v="0"/>
    <d v="2024-02-29T00:00:00"/>
    <n v="0"/>
    <n v="0"/>
    <n v="0"/>
    <n v="0"/>
    <n v="1"/>
    <n v="0"/>
  </r>
  <r>
    <x v="454"/>
    <n v="51"/>
    <x v="0"/>
    <x v="297"/>
    <x v="269"/>
    <n v="989"/>
    <x v="1"/>
    <x v="1"/>
    <x v="2"/>
    <n v="10"/>
    <n v="6"/>
    <n v="72"/>
    <x v="0"/>
    <x v="1"/>
    <s v="Friend"/>
    <x v="5"/>
    <s v="Low"/>
    <x v="0"/>
    <x v="0"/>
    <n v="72"/>
    <d v="2024-03-01T00:00:00"/>
    <m/>
    <d v="2024-03-01T00:00:00"/>
    <n v="0"/>
    <d v="2024-03-01T00:00:00"/>
    <n v="0"/>
    <n v="0"/>
    <n v="0"/>
    <n v="0"/>
    <n v="1"/>
    <n v="0"/>
  </r>
  <r>
    <x v="455"/>
    <n v="47"/>
    <x v="0"/>
    <x v="298"/>
    <x v="158"/>
    <n v="988"/>
    <x v="0"/>
    <x v="0"/>
    <x v="0"/>
    <n v="18"/>
    <n v="12.15"/>
    <n v="72.900000000000006"/>
    <x v="2"/>
    <x v="2"/>
    <s v="None"/>
    <x v="0"/>
    <s v="Low"/>
    <x v="0"/>
    <x v="0"/>
    <n v="72.900000000000006"/>
    <d v="2023-09-04T00:00:00"/>
    <m/>
    <d v="2023-09-04T00:00:00"/>
    <n v="0"/>
    <d v="2023-09-04T00:00:00"/>
    <n v="0"/>
    <n v="0"/>
    <n v="0"/>
    <n v="0"/>
    <n v="1"/>
    <n v="0"/>
  </r>
  <r>
    <x v="456"/>
    <n v="50"/>
    <x v="0"/>
    <x v="299"/>
    <x v="270"/>
    <n v="987"/>
    <x v="3"/>
    <x v="2"/>
    <x v="2"/>
    <n v="10"/>
    <n v="9"/>
    <n v="0"/>
    <x v="0"/>
    <x v="3"/>
    <s v="Search Engine"/>
    <x v="3"/>
    <s v="Low"/>
    <x v="0"/>
    <x v="0"/>
    <n v="0"/>
    <d v="2023-04-08T00:00:00"/>
    <m/>
    <d v="2023-04-08T00:00:00"/>
    <n v="0"/>
    <d v="2023-04-08T00:00:00"/>
    <n v="0"/>
    <n v="0"/>
    <n v="0"/>
    <n v="0"/>
    <n v="0"/>
    <n v="0"/>
  </r>
  <r>
    <x v="457"/>
    <n v="68"/>
    <x v="1"/>
    <x v="299"/>
    <x v="2"/>
    <n v="987"/>
    <x v="14"/>
    <x v="1"/>
    <x v="0"/>
    <n v="18"/>
    <n v="12"/>
    <n v="417.6"/>
    <x v="3"/>
    <x v="2"/>
    <s v="Search Engine"/>
    <x v="2"/>
    <s v="High"/>
    <x v="2"/>
    <x v="1"/>
    <n v="561.6"/>
    <m/>
    <d v="2026-02-21T00:00:00"/>
    <d v="2026-02-21T00:00:00"/>
    <n v="2"/>
    <d v="2025-11-20T00:00:00"/>
    <n v="1"/>
    <n v="0"/>
    <n v="0"/>
    <n v="0"/>
    <n v="1"/>
    <n v="1"/>
  </r>
  <r>
    <x v="458"/>
    <n v="64"/>
    <x v="0"/>
    <x v="300"/>
    <x v="179"/>
    <n v="986"/>
    <x v="3"/>
    <x v="2"/>
    <x v="1"/>
    <n v="25"/>
    <n v="22.5"/>
    <n v="0"/>
    <x v="3"/>
    <x v="2"/>
    <s v="Social Media"/>
    <x v="3"/>
    <s v="Low"/>
    <x v="2"/>
    <x v="0"/>
    <n v="0"/>
    <d v="2023-04-09T00:00:00"/>
    <m/>
    <d v="2023-04-09T00:00:00"/>
    <n v="0"/>
    <d v="2023-04-09T00:00:00"/>
    <n v="0"/>
    <n v="0"/>
    <n v="0"/>
    <n v="0"/>
    <n v="0"/>
    <n v="0"/>
  </r>
  <r>
    <x v="459"/>
    <n v="27"/>
    <x v="1"/>
    <x v="301"/>
    <x v="160"/>
    <n v="985"/>
    <x v="0"/>
    <x v="0"/>
    <x v="2"/>
    <n v="10"/>
    <n v="6.75"/>
    <n v="40.5"/>
    <x v="2"/>
    <x v="2"/>
    <s v="None"/>
    <x v="0"/>
    <s v="Low"/>
    <x v="0"/>
    <x v="0"/>
    <n v="40.5"/>
    <d v="2023-09-07T00:00:00"/>
    <m/>
    <d v="2023-09-07T00:00:00"/>
    <n v="0"/>
    <d v="2023-09-07T00:00:00"/>
    <n v="0"/>
    <n v="0"/>
    <n v="0"/>
    <n v="0"/>
    <n v="1"/>
    <n v="0"/>
  </r>
  <r>
    <x v="460"/>
    <n v="34"/>
    <x v="1"/>
    <x v="301"/>
    <x v="271"/>
    <n v="985"/>
    <x v="1"/>
    <x v="1"/>
    <x v="1"/>
    <n v="25"/>
    <n v="14.999999999999998"/>
    <n v="180"/>
    <x v="2"/>
    <x v="1"/>
    <s v="Search Engine"/>
    <x v="4"/>
    <s v="Medium"/>
    <x v="0"/>
    <x v="0"/>
    <n v="180"/>
    <d v="2024-03-05T00:00:00"/>
    <m/>
    <d v="2024-03-05T00:00:00"/>
    <n v="0"/>
    <d v="2024-03-05T00:00:00"/>
    <n v="0"/>
    <n v="0"/>
    <n v="0"/>
    <n v="0"/>
    <n v="1"/>
    <n v="0"/>
  </r>
  <r>
    <x v="461"/>
    <n v="49"/>
    <x v="0"/>
    <x v="301"/>
    <x v="271"/>
    <n v="985"/>
    <x v="1"/>
    <x v="1"/>
    <x v="0"/>
    <n v="18"/>
    <n v="10.8"/>
    <n v="129.6"/>
    <x v="2"/>
    <x v="2"/>
    <s v="Friend"/>
    <x v="0"/>
    <s v="Medium"/>
    <x v="0"/>
    <x v="0"/>
    <n v="129.6"/>
    <d v="2024-03-05T00:00:00"/>
    <m/>
    <d v="2024-03-05T00:00:00"/>
    <n v="0"/>
    <d v="2024-03-05T00:00:00"/>
    <n v="0"/>
    <n v="0"/>
    <n v="0"/>
    <n v="0"/>
    <n v="1"/>
    <n v="0"/>
  </r>
  <r>
    <x v="462"/>
    <n v="63"/>
    <x v="0"/>
    <x v="302"/>
    <x v="272"/>
    <n v="984"/>
    <x v="1"/>
    <x v="1"/>
    <x v="0"/>
    <n v="18"/>
    <n v="10.8"/>
    <n v="129.6"/>
    <x v="3"/>
    <x v="1"/>
    <s v="None"/>
    <x v="0"/>
    <s v="Medium"/>
    <x v="2"/>
    <x v="0"/>
    <n v="129.6"/>
    <d v="2024-03-06T00:00:00"/>
    <m/>
    <d v="2024-03-06T00:00:00"/>
    <n v="0"/>
    <d v="2024-03-06T00:00:00"/>
    <n v="0"/>
    <n v="0"/>
    <n v="0"/>
    <n v="0"/>
    <n v="1"/>
    <n v="0"/>
  </r>
  <r>
    <x v="463"/>
    <n v="49"/>
    <x v="0"/>
    <x v="302"/>
    <x v="2"/>
    <n v="984"/>
    <x v="14"/>
    <x v="1"/>
    <x v="1"/>
    <n v="25"/>
    <n v="16.666666666666664"/>
    <n v="580"/>
    <x v="2"/>
    <x v="3"/>
    <s v="Friend"/>
    <x v="2"/>
    <s v="High"/>
    <x v="0"/>
    <x v="1"/>
    <n v="780"/>
    <m/>
    <d v="2026-02-24T00:00:00"/>
    <d v="2026-02-24T00:00:00"/>
    <n v="2"/>
    <d v="2025-11-20T00:00:00"/>
    <n v="1"/>
    <n v="0"/>
    <n v="0"/>
    <n v="0"/>
    <n v="1"/>
    <n v="1"/>
  </r>
  <r>
    <x v="464"/>
    <n v="44"/>
    <x v="1"/>
    <x v="302"/>
    <x v="2"/>
    <n v="984"/>
    <x v="14"/>
    <x v="1"/>
    <x v="2"/>
    <n v="10"/>
    <n v="6.6666666666666661"/>
    <n v="232"/>
    <x v="2"/>
    <x v="1"/>
    <s v="Social Media"/>
    <x v="2"/>
    <s v="Medium"/>
    <x v="0"/>
    <x v="1"/>
    <n v="312"/>
    <m/>
    <d v="2026-02-24T00:00:00"/>
    <d v="2026-02-24T00:00:00"/>
    <n v="2"/>
    <d v="2025-11-20T00:00:00"/>
    <n v="1"/>
    <n v="0"/>
    <n v="0"/>
    <n v="0"/>
    <n v="1"/>
    <n v="1"/>
  </r>
  <r>
    <x v="465"/>
    <n v="51"/>
    <x v="1"/>
    <x v="303"/>
    <x v="273"/>
    <n v="983"/>
    <x v="1"/>
    <x v="1"/>
    <x v="2"/>
    <n v="10"/>
    <n v="6"/>
    <n v="72"/>
    <x v="0"/>
    <x v="3"/>
    <s v="Friend"/>
    <x v="5"/>
    <s v="Low"/>
    <x v="0"/>
    <x v="0"/>
    <n v="72"/>
    <d v="2024-03-07T00:00:00"/>
    <m/>
    <d v="2024-03-07T00:00:00"/>
    <n v="0"/>
    <d v="2024-03-07T00:00:00"/>
    <n v="0"/>
    <n v="0"/>
    <n v="0"/>
    <n v="0"/>
    <n v="1"/>
    <n v="0"/>
  </r>
  <r>
    <x v="466"/>
    <n v="57"/>
    <x v="1"/>
    <x v="304"/>
    <x v="63"/>
    <n v="982"/>
    <x v="3"/>
    <x v="2"/>
    <x v="2"/>
    <n v="10"/>
    <n v="9"/>
    <n v="0"/>
    <x v="0"/>
    <x v="0"/>
    <s v="None"/>
    <x v="0"/>
    <s v="Low"/>
    <x v="0"/>
    <x v="0"/>
    <n v="0"/>
    <d v="2023-04-13T00:00:00"/>
    <m/>
    <d v="2023-04-13T00:00:00"/>
    <n v="0"/>
    <d v="2023-04-13T00:00:00"/>
    <n v="0"/>
    <n v="0"/>
    <n v="0"/>
    <n v="0"/>
    <n v="0"/>
    <n v="0"/>
  </r>
  <r>
    <x v="467"/>
    <n v="22"/>
    <x v="1"/>
    <x v="305"/>
    <x v="274"/>
    <n v="981"/>
    <x v="1"/>
    <x v="1"/>
    <x v="0"/>
    <n v="18"/>
    <n v="10.8"/>
    <n v="129.6"/>
    <x v="1"/>
    <x v="2"/>
    <s v="Email Campaign"/>
    <x v="1"/>
    <s v="Medium"/>
    <x v="1"/>
    <x v="0"/>
    <n v="129.6"/>
    <d v="2024-03-09T00:00:00"/>
    <m/>
    <d v="2024-03-09T00:00:00"/>
    <n v="0"/>
    <d v="2024-03-09T00:00:00"/>
    <n v="0"/>
    <n v="0"/>
    <n v="0"/>
    <n v="0"/>
    <n v="1"/>
    <n v="0"/>
  </r>
  <r>
    <x v="468"/>
    <n v="23"/>
    <x v="0"/>
    <x v="305"/>
    <x v="274"/>
    <n v="981"/>
    <x v="1"/>
    <x v="1"/>
    <x v="1"/>
    <n v="25"/>
    <n v="14.999999999999998"/>
    <n v="180"/>
    <x v="1"/>
    <x v="3"/>
    <s v="Email Campaign"/>
    <x v="5"/>
    <s v="Medium"/>
    <x v="1"/>
    <x v="0"/>
    <n v="180"/>
    <d v="2024-03-09T00:00:00"/>
    <m/>
    <d v="2024-03-09T00:00:00"/>
    <n v="0"/>
    <d v="2024-03-09T00:00:00"/>
    <n v="0"/>
    <n v="0"/>
    <n v="0"/>
    <n v="0"/>
    <n v="1"/>
    <n v="0"/>
  </r>
  <r>
    <x v="469"/>
    <n v="32"/>
    <x v="1"/>
    <x v="306"/>
    <x v="275"/>
    <n v="980"/>
    <x v="0"/>
    <x v="0"/>
    <x v="2"/>
    <n v="10"/>
    <n v="6.75"/>
    <n v="40.5"/>
    <x v="2"/>
    <x v="2"/>
    <s v="Social Media"/>
    <x v="5"/>
    <s v="Low"/>
    <x v="0"/>
    <x v="0"/>
    <n v="40.5"/>
    <d v="2023-09-12T00:00:00"/>
    <m/>
    <d v="2023-09-12T00:00:00"/>
    <n v="0"/>
    <d v="2023-09-12T00:00:00"/>
    <n v="0"/>
    <n v="0"/>
    <n v="0"/>
    <n v="0"/>
    <n v="1"/>
    <n v="0"/>
  </r>
  <r>
    <x v="470"/>
    <n v="51"/>
    <x v="0"/>
    <x v="307"/>
    <x v="167"/>
    <n v="976"/>
    <x v="0"/>
    <x v="0"/>
    <x v="1"/>
    <n v="25"/>
    <n v="16.875"/>
    <n v="101.25"/>
    <x v="0"/>
    <x v="3"/>
    <s v="Email Campaign"/>
    <x v="5"/>
    <s v="Medium"/>
    <x v="0"/>
    <x v="0"/>
    <n v="101.25"/>
    <d v="2023-09-16T00:00:00"/>
    <m/>
    <d v="2023-09-16T00:00:00"/>
    <n v="0"/>
    <d v="2023-09-16T00:00:00"/>
    <n v="0"/>
    <n v="0"/>
    <n v="0"/>
    <n v="0"/>
    <n v="1"/>
    <n v="0"/>
  </r>
  <r>
    <x v="471"/>
    <n v="57"/>
    <x v="1"/>
    <x v="307"/>
    <x v="276"/>
    <n v="976"/>
    <x v="1"/>
    <x v="1"/>
    <x v="2"/>
    <n v="10"/>
    <n v="6"/>
    <n v="72"/>
    <x v="0"/>
    <x v="0"/>
    <s v="Search Engine"/>
    <x v="3"/>
    <s v="Low"/>
    <x v="0"/>
    <x v="0"/>
    <n v="72"/>
    <d v="2024-03-14T00:00:00"/>
    <m/>
    <d v="2024-03-14T00:00:00"/>
    <n v="0"/>
    <d v="2024-03-14T00:00:00"/>
    <n v="0"/>
    <n v="0"/>
    <n v="0"/>
    <n v="0"/>
    <n v="1"/>
    <n v="0"/>
  </r>
  <r>
    <x v="472"/>
    <n v="48"/>
    <x v="1"/>
    <x v="307"/>
    <x v="276"/>
    <n v="976"/>
    <x v="1"/>
    <x v="1"/>
    <x v="2"/>
    <n v="10"/>
    <n v="6"/>
    <n v="72"/>
    <x v="2"/>
    <x v="2"/>
    <s v="Email Campaign"/>
    <x v="3"/>
    <s v="Low"/>
    <x v="0"/>
    <x v="0"/>
    <n v="72"/>
    <d v="2024-03-14T00:00:00"/>
    <m/>
    <d v="2024-03-14T00:00:00"/>
    <n v="0"/>
    <d v="2024-03-14T00:00:00"/>
    <n v="0"/>
    <n v="0"/>
    <n v="0"/>
    <n v="0"/>
    <n v="1"/>
    <n v="0"/>
  </r>
  <r>
    <x v="473"/>
    <n v="72"/>
    <x v="1"/>
    <x v="307"/>
    <x v="276"/>
    <n v="976"/>
    <x v="1"/>
    <x v="1"/>
    <x v="2"/>
    <n v="10"/>
    <n v="6"/>
    <n v="72"/>
    <x v="4"/>
    <x v="0"/>
    <s v="Social Media"/>
    <x v="4"/>
    <s v="Low"/>
    <x v="3"/>
    <x v="0"/>
    <n v="72"/>
    <d v="2024-03-14T00:00:00"/>
    <m/>
    <d v="2024-03-14T00:00:00"/>
    <n v="0"/>
    <d v="2024-03-14T00:00:00"/>
    <n v="0"/>
    <n v="0"/>
    <n v="0"/>
    <n v="0"/>
    <n v="1"/>
    <n v="0"/>
  </r>
  <r>
    <x v="474"/>
    <n v="61"/>
    <x v="1"/>
    <x v="308"/>
    <x v="2"/>
    <n v="975"/>
    <x v="14"/>
    <x v="0"/>
    <x v="1"/>
    <n v="25"/>
    <n v="18.75"/>
    <n v="652.5"/>
    <x v="3"/>
    <x v="2"/>
    <s v="None"/>
    <x v="2"/>
    <s v="Very High"/>
    <x v="2"/>
    <x v="1"/>
    <n v="765"/>
    <m/>
    <d v="2026-03-05T00:00:00"/>
    <d v="2026-03-05T00:00:00"/>
    <n v="5"/>
    <d v="2025-11-20T00:00:00"/>
    <n v="1"/>
    <n v="0"/>
    <n v="0"/>
    <n v="0"/>
    <n v="1"/>
    <n v="1"/>
  </r>
  <r>
    <x v="475"/>
    <n v="60"/>
    <x v="0"/>
    <x v="309"/>
    <x v="277"/>
    <n v="972"/>
    <x v="0"/>
    <x v="0"/>
    <x v="2"/>
    <n v="10"/>
    <n v="6.75"/>
    <n v="40.5"/>
    <x v="3"/>
    <x v="3"/>
    <s v="Search Engine"/>
    <x v="1"/>
    <s v="Low"/>
    <x v="2"/>
    <x v="0"/>
    <n v="40.5"/>
    <d v="2023-09-20T00:00:00"/>
    <m/>
    <d v="2023-09-20T00:00:00"/>
    <n v="0"/>
    <d v="2023-09-20T00:00:00"/>
    <n v="0"/>
    <n v="0"/>
    <n v="0"/>
    <n v="0"/>
    <n v="1"/>
    <n v="0"/>
  </r>
  <r>
    <x v="476"/>
    <n v="62"/>
    <x v="0"/>
    <x v="309"/>
    <x v="2"/>
    <n v="972"/>
    <x v="14"/>
    <x v="0"/>
    <x v="1"/>
    <n v="25"/>
    <n v="18.75"/>
    <n v="652.5"/>
    <x v="3"/>
    <x v="0"/>
    <s v="Social Media"/>
    <x v="2"/>
    <s v="Very High"/>
    <x v="2"/>
    <x v="1"/>
    <n v="765"/>
    <m/>
    <d v="2026-03-08T00:00:00"/>
    <d v="2026-03-08T00:00:00"/>
    <n v="5"/>
    <d v="2025-11-20T00:00:00"/>
    <n v="1"/>
    <n v="0"/>
    <n v="0"/>
    <n v="0"/>
    <n v="1"/>
    <n v="1"/>
  </r>
  <r>
    <x v="477"/>
    <n v="34"/>
    <x v="0"/>
    <x v="310"/>
    <x v="71"/>
    <n v="971"/>
    <x v="3"/>
    <x v="2"/>
    <x v="1"/>
    <n v="25"/>
    <n v="22.5"/>
    <n v="0"/>
    <x v="2"/>
    <x v="1"/>
    <s v="Search Engine"/>
    <x v="0"/>
    <s v="Low"/>
    <x v="0"/>
    <x v="0"/>
    <n v="0"/>
    <d v="2023-04-24T00:00:00"/>
    <m/>
    <d v="2023-04-24T00:00:00"/>
    <n v="0"/>
    <d v="2023-04-24T00:00:00"/>
    <n v="0"/>
    <n v="0"/>
    <n v="0"/>
    <n v="0"/>
    <n v="0"/>
    <n v="0"/>
  </r>
  <r>
    <x v="478"/>
    <n v="43"/>
    <x v="0"/>
    <x v="310"/>
    <x v="278"/>
    <n v="971"/>
    <x v="0"/>
    <x v="0"/>
    <x v="0"/>
    <n v="18"/>
    <n v="12.15"/>
    <n v="72.900000000000006"/>
    <x v="2"/>
    <x v="2"/>
    <s v="Search Engine"/>
    <x v="1"/>
    <s v="Low"/>
    <x v="0"/>
    <x v="0"/>
    <n v="72.900000000000006"/>
    <d v="2023-09-21T00:00:00"/>
    <m/>
    <d v="2023-09-21T00:00:00"/>
    <n v="0"/>
    <d v="2023-09-21T00:00:00"/>
    <n v="0"/>
    <n v="0"/>
    <n v="0"/>
    <n v="0"/>
    <n v="1"/>
    <n v="0"/>
  </r>
  <r>
    <x v="479"/>
    <n v="37"/>
    <x v="1"/>
    <x v="310"/>
    <x v="278"/>
    <n v="971"/>
    <x v="0"/>
    <x v="0"/>
    <x v="0"/>
    <n v="18"/>
    <n v="12.15"/>
    <n v="72.900000000000006"/>
    <x v="2"/>
    <x v="0"/>
    <s v="None"/>
    <x v="4"/>
    <s v="Low"/>
    <x v="0"/>
    <x v="0"/>
    <n v="72.900000000000006"/>
    <d v="2023-09-21T00:00:00"/>
    <m/>
    <d v="2023-09-21T00:00:00"/>
    <n v="0"/>
    <d v="2023-09-21T00:00:00"/>
    <n v="0"/>
    <n v="0"/>
    <n v="0"/>
    <n v="0"/>
    <n v="1"/>
    <n v="0"/>
  </r>
  <r>
    <x v="480"/>
    <n v="23"/>
    <x v="1"/>
    <x v="311"/>
    <x v="73"/>
    <n v="969"/>
    <x v="3"/>
    <x v="2"/>
    <x v="2"/>
    <n v="10"/>
    <n v="9"/>
    <n v="0"/>
    <x v="1"/>
    <x v="3"/>
    <s v="Email Campaign"/>
    <x v="4"/>
    <s v="Low"/>
    <x v="1"/>
    <x v="0"/>
    <n v="0"/>
    <d v="2023-04-26T00:00:00"/>
    <m/>
    <d v="2023-04-26T00:00:00"/>
    <n v="0"/>
    <d v="2023-04-26T00:00:00"/>
    <n v="0"/>
    <n v="0"/>
    <n v="0"/>
    <n v="0"/>
    <n v="0"/>
    <n v="0"/>
  </r>
  <r>
    <x v="481"/>
    <n v="25"/>
    <x v="0"/>
    <x v="311"/>
    <x v="279"/>
    <n v="969"/>
    <x v="1"/>
    <x v="1"/>
    <x v="1"/>
    <n v="25"/>
    <n v="14.999999999999998"/>
    <n v="180"/>
    <x v="1"/>
    <x v="0"/>
    <s v="None"/>
    <x v="0"/>
    <s v="Medium"/>
    <x v="1"/>
    <x v="0"/>
    <n v="180"/>
    <d v="2024-03-21T00:00:00"/>
    <m/>
    <d v="2024-03-21T00:00:00"/>
    <n v="0"/>
    <d v="2024-03-21T00:00:00"/>
    <n v="0"/>
    <n v="0"/>
    <n v="0"/>
    <n v="0"/>
    <n v="1"/>
    <n v="0"/>
  </r>
  <r>
    <x v="482"/>
    <n v="60"/>
    <x v="0"/>
    <x v="311"/>
    <x v="2"/>
    <n v="969"/>
    <x v="17"/>
    <x v="2"/>
    <x v="2"/>
    <n v="10"/>
    <n v="10"/>
    <n v="309"/>
    <x v="3"/>
    <x v="3"/>
    <s v="Social Media"/>
    <x v="2"/>
    <s v="High"/>
    <x v="2"/>
    <x v="1"/>
    <n v="319"/>
    <m/>
    <d v="2025-12-11T00:00:00"/>
    <d v="2025-12-11T00:00:00"/>
    <n v="32"/>
    <d v="2025-11-20T00:00:00"/>
    <n v="1"/>
    <n v="0"/>
    <n v="0"/>
    <n v="0"/>
    <n v="1"/>
    <n v="1"/>
  </r>
  <r>
    <x v="483"/>
    <n v="59"/>
    <x v="0"/>
    <x v="312"/>
    <x v="2"/>
    <n v="968"/>
    <x v="14"/>
    <x v="0"/>
    <x v="1"/>
    <n v="25"/>
    <n v="18.75"/>
    <n v="652.5"/>
    <x v="0"/>
    <x v="3"/>
    <s v="Social Media"/>
    <x v="2"/>
    <s v="Very High"/>
    <x v="0"/>
    <x v="1"/>
    <n v="765"/>
    <m/>
    <d v="2026-03-12T00:00:00"/>
    <d v="2026-03-12T00:00:00"/>
    <n v="5"/>
    <d v="2025-11-20T00:00:00"/>
    <n v="1"/>
    <n v="0"/>
    <n v="0"/>
    <n v="0"/>
    <n v="1"/>
    <n v="1"/>
  </r>
  <r>
    <x v="484"/>
    <n v="71"/>
    <x v="0"/>
    <x v="313"/>
    <x v="280"/>
    <n v="967"/>
    <x v="3"/>
    <x v="2"/>
    <x v="2"/>
    <n v="10"/>
    <n v="9"/>
    <n v="0"/>
    <x v="4"/>
    <x v="3"/>
    <s v="None"/>
    <x v="3"/>
    <s v="Low"/>
    <x v="3"/>
    <x v="0"/>
    <n v="0"/>
    <d v="2023-04-28T00:00:00"/>
    <m/>
    <d v="2023-04-28T00:00:00"/>
    <n v="0"/>
    <d v="2023-04-28T00:00:00"/>
    <n v="0"/>
    <n v="0"/>
    <n v="0"/>
    <n v="0"/>
    <n v="0"/>
    <n v="0"/>
  </r>
  <r>
    <x v="485"/>
    <n v="33"/>
    <x v="1"/>
    <x v="313"/>
    <x v="281"/>
    <n v="967"/>
    <x v="1"/>
    <x v="1"/>
    <x v="1"/>
    <n v="25"/>
    <n v="14.999999999999998"/>
    <n v="180"/>
    <x v="2"/>
    <x v="0"/>
    <s v="Search Engine"/>
    <x v="5"/>
    <s v="Medium"/>
    <x v="0"/>
    <x v="0"/>
    <n v="180"/>
    <d v="2024-03-23T00:00:00"/>
    <m/>
    <d v="2024-03-23T00:00:00"/>
    <n v="0"/>
    <d v="2024-03-23T00:00:00"/>
    <n v="0"/>
    <n v="0"/>
    <n v="0"/>
    <n v="0"/>
    <n v="1"/>
    <n v="0"/>
  </r>
  <r>
    <x v="486"/>
    <n v="42"/>
    <x v="0"/>
    <x v="313"/>
    <x v="281"/>
    <n v="967"/>
    <x v="1"/>
    <x v="1"/>
    <x v="0"/>
    <n v="18"/>
    <n v="10.8"/>
    <n v="129.6"/>
    <x v="2"/>
    <x v="0"/>
    <s v="Search Engine"/>
    <x v="1"/>
    <s v="Medium"/>
    <x v="0"/>
    <x v="0"/>
    <n v="129.6"/>
    <d v="2024-03-23T00:00:00"/>
    <m/>
    <d v="2024-03-23T00:00:00"/>
    <n v="0"/>
    <d v="2024-03-23T00:00:00"/>
    <n v="0"/>
    <n v="0"/>
    <n v="0"/>
    <n v="0"/>
    <n v="1"/>
    <n v="0"/>
  </r>
  <r>
    <x v="487"/>
    <n v="63"/>
    <x v="1"/>
    <x v="313"/>
    <x v="2"/>
    <n v="967"/>
    <x v="17"/>
    <x v="2"/>
    <x v="2"/>
    <n v="10"/>
    <n v="10"/>
    <n v="309"/>
    <x v="3"/>
    <x v="1"/>
    <s v="Social Media"/>
    <x v="2"/>
    <s v="High"/>
    <x v="2"/>
    <x v="1"/>
    <n v="319"/>
    <m/>
    <d v="2025-12-13T00:00:00"/>
    <d v="2025-12-13T00:00:00"/>
    <n v="32"/>
    <d v="2025-11-20T00:00:00"/>
    <n v="1"/>
    <n v="0"/>
    <n v="0"/>
    <n v="0"/>
    <n v="1"/>
    <n v="1"/>
  </r>
  <r>
    <x v="488"/>
    <n v="53"/>
    <x v="1"/>
    <x v="314"/>
    <x v="2"/>
    <n v="966"/>
    <x v="14"/>
    <x v="0"/>
    <x v="0"/>
    <n v="18"/>
    <n v="13.5"/>
    <n v="469.8"/>
    <x v="0"/>
    <x v="1"/>
    <s v="Email Campaign"/>
    <x v="2"/>
    <s v="High"/>
    <x v="0"/>
    <x v="1"/>
    <n v="550.79999999999995"/>
    <m/>
    <d v="2026-03-14T00:00:00"/>
    <d v="2026-03-14T00:00:00"/>
    <n v="5"/>
    <d v="2025-11-20T00:00:00"/>
    <n v="1"/>
    <n v="0"/>
    <n v="0"/>
    <n v="0"/>
    <n v="1"/>
    <n v="1"/>
  </r>
  <r>
    <x v="489"/>
    <n v="26"/>
    <x v="1"/>
    <x v="315"/>
    <x v="282"/>
    <n v="965"/>
    <x v="3"/>
    <x v="2"/>
    <x v="0"/>
    <n v="18"/>
    <n v="16.2"/>
    <n v="0"/>
    <x v="2"/>
    <x v="1"/>
    <s v="Friend"/>
    <x v="4"/>
    <s v="Low"/>
    <x v="0"/>
    <x v="0"/>
    <n v="0"/>
    <d v="2023-04-30T00:00:00"/>
    <m/>
    <d v="2023-04-30T00:00:00"/>
    <n v="0"/>
    <d v="2023-04-30T00:00:00"/>
    <n v="0"/>
    <n v="0"/>
    <n v="0"/>
    <n v="0"/>
    <n v="0"/>
    <n v="0"/>
  </r>
  <r>
    <x v="490"/>
    <n v="54"/>
    <x v="1"/>
    <x v="315"/>
    <x v="2"/>
    <n v="965"/>
    <x v="17"/>
    <x v="2"/>
    <x v="0"/>
    <n v="18"/>
    <n v="18"/>
    <n v="556.20000000000005"/>
    <x v="0"/>
    <x v="3"/>
    <s v="Email Campaign"/>
    <x v="2"/>
    <s v="High"/>
    <x v="0"/>
    <x v="1"/>
    <n v="574.20000000000005"/>
    <m/>
    <d v="2025-12-15T00:00:00"/>
    <d v="2025-12-15T00:00:00"/>
    <n v="32"/>
    <d v="2025-11-20T00:00:00"/>
    <n v="1"/>
    <n v="0"/>
    <n v="0"/>
    <n v="0"/>
    <n v="1"/>
    <n v="1"/>
  </r>
  <r>
    <x v="491"/>
    <n v="63"/>
    <x v="1"/>
    <x v="316"/>
    <x v="2"/>
    <n v="964"/>
    <x v="14"/>
    <x v="0"/>
    <x v="2"/>
    <n v="10"/>
    <n v="7.5"/>
    <n v="261"/>
    <x v="3"/>
    <x v="2"/>
    <s v="Friend"/>
    <x v="2"/>
    <s v="Medium"/>
    <x v="2"/>
    <x v="1"/>
    <n v="306"/>
    <m/>
    <d v="2026-03-16T00:00:00"/>
    <d v="2026-03-16T00:00:00"/>
    <n v="5"/>
    <d v="2025-11-20T00:00:00"/>
    <n v="1"/>
    <n v="0"/>
    <n v="0"/>
    <n v="0"/>
    <n v="1"/>
    <n v="1"/>
  </r>
  <r>
    <x v="492"/>
    <n v="63"/>
    <x v="1"/>
    <x v="317"/>
    <x v="2"/>
    <n v="963"/>
    <x v="14"/>
    <x v="1"/>
    <x v="0"/>
    <n v="18"/>
    <n v="12"/>
    <n v="417.6"/>
    <x v="3"/>
    <x v="1"/>
    <s v="Email Campaign"/>
    <x v="2"/>
    <s v="High"/>
    <x v="2"/>
    <x v="1"/>
    <n v="561.6"/>
    <m/>
    <d v="2026-03-17T00:00:00"/>
    <d v="2026-03-17T00:00:00"/>
    <n v="2"/>
    <d v="2025-11-20T00:00:00"/>
    <n v="1"/>
    <n v="0"/>
    <n v="0"/>
    <n v="0"/>
    <n v="1"/>
    <n v="1"/>
  </r>
  <r>
    <x v="493"/>
    <n v="40"/>
    <x v="0"/>
    <x v="318"/>
    <x v="77"/>
    <n v="962"/>
    <x v="3"/>
    <x v="2"/>
    <x v="1"/>
    <n v="25"/>
    <n v="22.5"/>
    <n v="0"/>
    <x v="2"/>
    <x v="3"/>
    <s v="Email Campaign"/>
    <x v="3"/>
    <s v="Low"/>
    <x v="0"/>
    <x v="0"/>
    <n v="0"/>
    <d v="2023-05-03T00:00:00"/>
    <m/>
    <d v="2023-05-03T00:00:00"/>
    <n v="0"/>
    <d v="2023-05-03T00:00:00"/>
    <n v="0"/>
    <n v="0"/>
    <n v="0"/>
    <n v="0"/>
    <n v="0"/>
    <n v="0"/>
  </r>
  <r>
    <x v="494"/>
    <n v="39"/>
    <x v="0"/>
    <x v="318"/>
    <x v="2"/>
    <n v="962"/>
    <x v="17"/>
    <x v="2"/>
    <x v="1"/>
    <n v="25"/>
    <n v="25"/>
    <n v="772.5"/>
    <x v="2"/>
    <x v="3"/>
    <s v="Friend"/>
    <x v="2"/>
    <s v="Very High"/>
    <x v="0"/>
    <x v="1"/>
    <n v="797.5"/>
    <m/>
    <d v="2025-12-18T00:00:00"/>
    <d v="2025-12-18T00:00:00"/>
    <n v="32"/>
    <d v="2025-11-20T00:00:00"/>
    <n v="1"/>
    <n v="0"/>
    <n v="0"/>
    <n v="0"/>
    <n v="1"/>
    <n v="1"/>
  </r>
  <r>
    <x v="495"/>
    <n v="53"/>
    <x v="1"/>
    <x v="319"/>
    <x v="2"/>
    <n v="960"/>
    <x v="18"/>
    <x v="2"/>
    <x v="0"/>
    <n v="18"/>
    <n v="18"/>
    <n v="538.20000000000005"/>
    <x v="0"/>
    <x v="1"/>
    <s v="Social Media"/>
    <x v="2"/>
    <s v="High"/>
    <x v="0"/>
    <x v="1"/>
    <n v="556.20000000000005"/>
    <m/>
    <d v="2025-11-20T00:00:00"/>
    <d v="2025-11-20T00:00:00"/>
    <n v="31"/>
    <d v="2025-11-20T00:00:00"/>
    <n v="1"/>
    <n v="0"/>
    <n v="0"/>
    <n v="0"/>
    <n v="1"/>
    <n v="1"/>
  </r>
  <r>
    <x v="496"/>
    <n v="20"/>
    <x v="1"/>
    <x v="320"/>
    <x v="283"/>
    <n v="959"/>
    <x v="3"/>
    <x v="2"/>
    <x v="0"/>
    <n v="18"/>
    <n v="16.2"/>
    <n v="0"/>
    <x v="1"/>
    <x v="2"/>
    <s v="Friend"/>
    <x v="0"/>
    <s v="Low"/>
    <x v="1"/>
    <x v="0"/>
    <n v="0"/>
    <d v="2023-05-06T00:00:00"/>
    <m/>
    <d v="2023-05-06T00:00:00"/>
    <n v="0"/>
    <d v="2023-05-06T00:00:00"/>
    <n v="0"/>
    <n v="0"/>
    <n v="0"/>
    <n v="0"/>
    <n v="0"/>
    <n v="0"/>
  </r>
  <r>
    <x v="497"/>
    <n v="40"/>
    <x v="0"/>
    <x v="320"/>
    <x v="284"/>
    <n v="959"/>
    <x v="0"/>
    <x v="0"/>
    <x v="1"/>
    <n v="25"/>
    <n v="16.875"/>
    <n v="101.25"/>
    <x v="2"/>
    <x v="2"/>
    <s v="Friend"/>
    <x v="0"/>
    <s v="Medium"/>
    <x v="0"/>
    <x v="0"/>
    <n v="101.25"/>
    <d v="2023-10-03T00:00:00"/>
    <m/>
    <d v="2023-10-03T00:00:00"/>
    <n v="0"/>
    <d v="2023-10-03T00:00:00"/>
    <n v="0"/>
    <n v="0"/>
    <n v="0"/>
    <n v="0"/>
    <n v="1"/>
    <n v="0"/>
  </r>
  <r>
    <x v="498"/>
    <n v="39"/>
    <x v="1"/>
    <x v="320"/>
    <x v="285"/>
    <n v="959"/>
    <x v="1"/>
    <x v="1"/>
    <x v="0"/>
    <n v="18"/>
    <n v="10.8"/>
    <n v="129.6"/>
    <x v="2"/>
    <x v="3"/>
    <s v="Search Engine"/>
    <x v="1"/>
    <s v="Medium"/>
    <x v="0"/>
    <x v="0"/>
    <n v="129.6"/>
    <d v="2024-03-31T00:00:00"/>
    <m/>
    <d v="2024-03-31T00:00:00"/>
    <n v="0"/>
    <d v="2024-03-31T00:00:00"/>
    <n v="0"/>
    <n v="0"/>
    <n v="0"/>
    <n v="0"/>
    <n v="1"/>
    <n v="0"/>
  </r>
  <r>
    <x v="499"/>
    <n v="32"/>
    <x v="1"/>
    <x v="320"/>
    <x v="285"/>
    <n v="959"/>
    <x v="1"/>
    <x v="1"/>
    <x v="2"/>
    <n v="10"/>
    <n v="6"/>
    <n v="72"/>
    <x v="2"/>
    <x v="1"/>
    <s v="Social Media"/>
    <x v="4"/>
    <s v="Low"/>
    <x v="0"/>
    <x v="0"/>
    <n v="72"/>
    <d v="2024-03-31T00:00:00"/>
    <m/>
    <d v="2024-03-31T00:00:00"/>
    <n v="0"/>
    <d v="2024-03-31T00:00:00"/>
    <n v="0"/>
    <n v="0"/>
    <n v="0"/>
    <n v="0"/>
    <n v="1"/>
    <n v="0"/>
  </r>
  <r>
    <x v="500"/>
    <n v="22"/>
    <x v="1"/>
    <x v="321"/>
    <x v="286"/>
    <n v="958"/>
    <x v="3"/>
    <x v="2"/>
    <x v="2"/>
    <n v="10"/>
    <n v="9"/>
    <n v="0"/>
    <x v="1"/>
    <x v="1"/>
    <s v="Social Media"/>
    <x v="0"/>
    <s v="Low"/>
    <x v="1"/>
    <x v="0"/>
    <n v="0"/>
    <d v="2023-05-07T00:00:00"/>
    <m/>
    <d v="2023-05-07T00:00:00"/>
    <n v="0"/>
    <d v="2023-05-07T00:00:00"/>
    <n v="0"/>
    <n v="0"/>
    <n v="0"/>
    <n v="0"/>
    <n v="0"/>
    <n v="0"/>
  </r>
  <r>
    <x v="501"/>
    <n v="54"/>
    <x v="1"/>
    <x v="322"/>
    <x v="287"/>
    <n v="957"/>
    <x v="1"/>
    <x v="1"/>
    <x v="2"/>
    <n v="10"/>
    <n v="6"/>
    <n v="72"/>
    <x v="0"/>
    <x v="0"/>
    <s v="Friend"/>
    <x v="4"/>
    <s v="Low"/>
    <x v="0"/>
    <x v="0"/>
    <n v="72"/>
    <d v="2024-04-02T00:00:00"/>
    <m/>
    <d v="2024-04-02T00:00:00"/>
    <n v="0"/>
    <d v="2024-04-02T00:00:00"/>
    <n v="0"/>
    <n v="0"/>
    <n v="0"/>
    <n v="0"/>
    <n v="1"/>
    <n v="0"/>
  </r>
  <r>
    <x v="502"/>
    <n v="35"/>
    <x v="1"/>
    <x v="323"/>
    <x v="180"/>
    <n v="956"/>
    <x v="0"/>
    <x v="0"/>
    <x v="2"/>
    <n v="10"/>
    <n v="6.75"/>
    <n v="40.5"/>
    <x v="2"/>
    <x v="0"/>
    <s v="None"/>
    <x v="0"/>
    <s v="Low"/>
    <x v="0"/>
    <x v="0"/>
    <n v="40.5"/>
    <d v="2023-10-06T00:00:00"/>
    <m/>
    <d v="2023-10-06T00:00:00"/>
    <n v="0"/>
    <d v="2023-10-06T00:00:00"/>
    <n v="0"/>
    <n v="0"/>
    <n v="0"/>
    <n v="0"/>
    <n v="1"/>
    <n v="0"/>
  </r>
  <r>
    <x v="503"/>
    <n v="19"/>
    <x v="1"/>
    <x v="324"/>
    <x v="288"/>
    <n v="955"/>
    <x v="0"/>
    <x v="0"/>
    <x v="1"/>
    <n v="25"/>
    <n v="16.875"/>
    <n v="101.25"/>
    <x v="1"/>
    <x v="2"/>
    <s v="None"/>
    <x v="4"/>
    <s v="Medium"/>
    <x v="1"/>
    <x v="0"/>
    <n v="101.25"/>
    <d v="2023-10-07T00:00:00"/>
    <m/>
    <d v="2023-10-07T00:00:00"/>
    <n v="0"/>
    <d v="2023-10-07T00:00:00"/>
    <n v="0"/>
    <n v="0"/>
    <n v="0"/>
    <n v="0"/>
    <n v="1"/>
    <n v="0"/>
  </r>
  <r>
    <x v="504"/>
    <n v="55"/>
    <x v="1"/>
    <x v="324"/>
    <x v="289"/>
    <n v="955"/>
    <x v="1"/>
    <x v="1"/>
    <x v="2"/>
    <n v="10"/>
    <n v="6"/>
    <n v="72"/>
    <x v="0"/>
    <x v="2"/>
    <s v="Social Media"/>
    <x v="3"/>
    <s v="Low"/>
    <x v="0"/>
    <x v="0"/>
    <n v="72"/>
    <d v="2024-04-04T00:00:00"/>
    <m/>
    <d v="2024-04-04T00:00:00"/>
    <n v="0"/>
    <d v="2024-04-04T00:00:00"/>
    <n v="0"/>
    <n v="0"/>
    <n v="0"/>
    <n v="0"/>
    <n v="1"/>
    <n v="0"/>
  </r>
  <r>
    <x v="505"/>
    <n v="22"/>
    <x v="1"/>
    <x v="325"/>
    <x v="290"/>
    <n v="954"/>
    <x v="1"/>
    <x v="1"/>
    <x v="2"/>
    <n v="10"/>
    <n v="6"/>
    <n v="72"/>
    <x v="1"/>
    <x v="2"/>
    <s v="Social Media"/>
    <x v="3"/>
    <s v="Low"/>
    <x v="1"/>
    <x v="0"/>
    <n v="72"/>
    <d v="2024-04-05T00:00:00"/>
    <m/>
    <d v="2024-04-05T00:00:00"/>
    <n v="0"/>
    <d v="2024-04-05T00:00:00"/>
    <n v="0"/>
    <n v="0"/>
    <n v="0"/>
    <n v="0"/>
    <n v="1"/>
    <n v="0"/>
  </r>
  <r>
    <x v="506"/>
    <n v="73"/>
    <x v="1"/>
    <x v="325"/>
    <x v="290"/>
    <n v="954"/>
    <x v="1"/>
    <x v="1"/>
    <x v="2"/>
    <n v="10"/>
    <n v="6"/>
    <n v="72"/>
    <x v="4"/>
    <x v="3"/>
    <s v="None"/>
    <x v="5"/>
    <s v="Low"/>
    <x v="3"/>
    <x v="0"/>
    <n v="72"/>
    <d v="2024-04-05T00:00:00"/>
    <m/>
    <d v="2024-04-05T00:00:00"/>
    <n v="0"/>
    <d v="2024-04-05T00:00:00"/>
    <n v="0"/>
    <n v="0"/>
    <n v="0"/>
    <n v="0"/>
    <n v="1"/>
    <n v="0"/>
  </r>
  <r>
    <x v="507"/>
    <n v="66"/>
    <x v="1"/>
    <x v="326"/>
    <x v="291"/>
    <n v="952"/>
    <x v="1"/>
    <x v="1"/>
    <x v="1"/>
    <n v="25"/>
    <n v="14.999999999999998"/>
    <n v="180"/>
    <x v="3"/>
    <x v="1"/>
    <s v="None"/>
    <x v="0"/>
    <s v="Medium"/>
    <x v="2"/>
    <x v="0"/>
    <n v="180"/>
    <d v="2024-04-07T00:00:00"/>
    <m/>
    <d v="2024-04-07T00:00:00"/>
    <n v="0"/>
    <d v="2024-04-07T00:00:00"/>
    <n v="0"/>
    <n v="0"/>
    <n v="0"/>
    <n v="0"/>
    <n v="1"/>
    <n v="0"/>
  </r>
  <r>
    <x v="508"/>
    <n v="55"/>
    <x v="1"/>
    <x v="327"/>
    <x v="292"/>
    <n v="951"/>
    <x v="1"/>
    <x v="1"/>
    <x v="1"/>
    <n v="25"/>
    <n v="14.999999999999998"/>
    <n v="180"/>
    <x v="0"/>
    <x v="2"/>
    <s v="Friend"/>
    <x v="1"/>
    <s v="Medium"/>
    <x v="0"/>
    <x v="0"/>
    <n v="180"/>
    <d v="2024-04-08T00:00:00"/>
    <m/>
    <d v="2024-04-08T00:00:00"/>
    <n v="0"/>
    <d v="2024-04-08T00:00:00"/>
    <n v="0"/>
    <n v="0"/>
    <n v="0"/>
    <n v="0"/>
    <n v="1"/>
    <n v="0"/>
  </r>
  <r>
    <x v="509"/>
    <n v="53"/>
    <x v="0"/>
    <x v="328"/>
    <x v="2"/>
    <n v="949"/>
    <x v="18"/>
    <x v="2"/>
    <x v="2"/>
    <n v="10"/>
    <n v="10"/>
    <n v="299"/>
    <x v="0"/>
    <x v="2"/>
    <s v="Search Engine"/>
    <x v="2"/>
    <s v="Medium"/>
    <x v="0"/>
    <x v="1"/>
    <n v="309"/>
    <m/>
    <d v="2025-12-01T00:00:00"/>
    <d v="2025-12-01T00:00:00"/>
    <n v="31"/>
    <d v="2025-11-20T00:00:00"/>
    <n v="1"/>
    <n v="0"/>
    <n v="0"/>
    <n v="0"/>
    <n v="1"/>
    <n v="1"/>
  </r>
  <r>
    <x v="510"/>
    <n v="41"/>
    <x v="0"/>
    <x v="329"/>
    <x v="293"/>
    <n v="947"/>
    <x v="3"/>
    <x v="2"/>
    <x v="1"/>
    <n v="25"/>
    <n v="22.5"/>
    <n v="0"/>
    <x v="2"/>
    <x v="3"/>
    <s v="Email Campaign"/>
    <x v="0"/>
    <s v="Low"/>
    <x v="0"/>
    <x v="0"/>
    <n v="0"/>
    <d v="2023-05-18T00:00:00"/>
    <m/>
    <d v="2023-05-18T00:00:00"/>
    <n v="0"/>
    <d v="2023-05-18T00:00:00"/>
    <n v="0"/>
    <n v="0"/>
    <n v="0"/>
    <n v="0"/>
    <n v="0"/>
    <n v="0"/>
  </r>
  <r>
    <x v="511"/>
    <n v="19"/>
    <x v="1"/>
    <x v="329"/>
    <x v="294"/>
    <n v="947"/>
    <x v="0"/>
    <x v="0"/>
    <x v="0"/>
    <n v="18"/>
    <n v="12.15"/>
    <n v="72.900000000000006"/>
    <x v="1"/>
    <x v="2"/>
    <s v="Social Media"/>
    <x v="1"/>
    <s v="Low"/>
    <x v="1"/>
    <x v="0"/>
    <n v="72.900000000000006"/>
    <d v="2023-10-15T00:00:00"/>
    <m/>
    <d v="2023-10-15T00:00:00"/>
    <n v="0"/>
    <d v="2023-10-15T00:00:00"/>
    <n v="0"/>
    <n v="0"/>
    <n v="0"/>
    <n v="0"/>
    <n v="1"/>
    <n v="0"/>
  </r>
  <r>
    <x v="512"/>
    <n v="72"/>
    <x v="1"/>
    <x v="330"/>
    <x v="2"/>
    <n v="946"/>
    <x v="18"/>
    <x v="2"/>
    <x v="1"/>
    <n v="25"/>
    <n v="25"/>
    <n v="747.5"/>
    <x v="4"/>
    <x v="2"/>
    <s v="Email Campaign"/>
    <x v="2"/>
    <s v="Very High"/>
    <x v="3"/>
    <x v="1"/>
    <n v="772.5"/>
    <m/>
    <d v="2025-12-04T00:00:00"/>
    <d v="2025-12-04T00:00:00"/>
    <n v="31"/>
    <d v="2025-11-20T00:00:00"/>
    <n v="1"/>
    <n v="0"/>
    <n v="0"/>
    <n v="0"/>
    <n v="1"/>
    <n v="1"/>
  </r>
  <r>
    <x v="513"/>
    <n v="46"/>
    <x v="0"/>
    <x v="331"/>
    <x v="295"/>
    <n v="945"/>
    <x v="1"/>
    <x v="1"/>
    <x v="1"/>
    <n v="25"/>
    <n v="14.999999999999998"/>
    <n v="180"/>
    <x v="2"/>
    <x v="0"/>
    <s v="None"/>
    <x v="1"/>
    <s v="Medium"/>
    <x v="0"/>
    <x v="0"/>
    <n v="180"/>
    <d v="2024-04-14T00:00:00"/>
    <m/>
    <d v="2024-04-14T00:00:00"/>
    <n v="0"/>
    <d v="2024-04-14T00:00:00"/>
    <n v="0"/>
    <n v="0"/>
    <n v="0"/>
    <n v="0"/>
    <n v="1"/>
    <n v="0"/>
  </r>
  <r>
    <x v="514"/>
    <n v="45"/>
    <x v="1"/>
    <x v="331"/>
    <x v="295"/>
    <n v="945"/>
    <x v="1"/>
    <x v="1"/>
    <x v="2"/>
    <n v="10"/>
    <n v="6"/>
    <n v="72"/>
    <x v="2"/>
    <x v="1"/>
    <s v="Email Campaign"/>
    <x v="3"/>
    <s v="Low"/>
    <x v="0"/>
    <x v="0"/>
    <n v="72"/>
    <d v="2024-04-14T00:00:00"/>
    <m/>
    <d v="2024-04-14T00:00:00"/>
    <n v="0"/>
    <d v="2024-04-14T00:00:00"/>
    <n v="0"/>
    <n v="0"/>
    <n v="0"/>
    <n v="0"/>
    <n v="1"/>
    <n v="0"/>
  </r>
  <r>
    <x v="515"/>
    <n v="35"/>
    <x v="0"/>
    <x v="332"/>
    <x v="296"/>
    <n v="944"/>
    <x v="0"/>
    <x v="0"/>
    <x v="0"/>
    <n v="18"/>
    <n v="12.15"/>
    <n v="72.900000000000006"/>
    <x v="2"/>
    <x v="0"/>
    <s v="Search Engine"/>
    <x v="0"/>
    <s v="Low"/>
    <x v="0"/>
    <x v="0"/>
    <n v="72.900000000000006"/>
    <d v="2023-10-18T00:00:00"/>
    <m/>
    <d v="2023-10-18T00:00:00"/>
    <n v="0"/>
    <d v="2023-10-18T00:00:00"/>
    <n v="0"/>
    <n v="0"/>
    <n v="0"/>
    <n v="0"/>
    <n v="1"/>
    <n v="0"/>
  </r>
  <r>
    <x v="516"/>
    <n v="39"/>
    <x v="1"/>
    <x v="332"/>
    <x v="2"/>
    <n v="944"/>
    <x v="14"/>
    <x v="0"/>
    <x v="1"/>
    <n v="25"/>
    <n v="18.75"/>
    <n v="652.5"/>
    <x v="2"/>
    <x v="0"/>
    <s v="Friend"/>
    <x v="2"/>
    <s v="Very High"/>
    <x v="0"/>
    <x v="1"/>
    <n v="765"/>
    <m/>
    <d v="2026-04-05T00:00:00"/>
    <d v="2026-04-05T00:00:00"/>
    <n v="5"/>
    <d v="2025-11-20T00:00:00"/>
    <n v="1"/>
    <n v="0"/>
    <n v="0"/>
    <n v="0"/>
    <n v="1"/>
    <n v="1"/>
  </r>
  <r>
    <x v="517"/>
    <n v="74"/>
    <x v="1"/>
    <x v="333"/>
    <x v="297"/>
    <n v="943"/>
    <x v="1"/>
    <x v="1"/>
    <x v="1"/>
    <n v="25"/>
    <n v="14.999999999999998"/>
    <n v="180"/>
    <x v="4"/>
    <x v="3"/>
    <s v="Social Media"/>
    <x v="3"/>
    <s v="Medium"/>
    <x v="3"/>
    <x v="0"/>
    <n v="180"/>
    <d v="2024-04-16T00:00:00"/>
    <m/>
    <d v="2024-04-16T00:00:00"/>
    <n v="0"/>
    <d v="2024-04-16T00:00:00"/>
    <n v="0"/>
    <n v="0"/>
    <n v="0"/>
    <n v="0"/>
    <n v="1"/>
    <n v="0"/>
  </r>
  <r>
    <x v="518"/>
    <n v="74"/>
    <x v="1"/>
    <x v="334"/>
    <x v="2"/>
    <n v="942"/>
    <x v="18"/>
    <x v="2"/>
    <x v="2"/>
    <n v="10"/>
    <n v="10"/>
    <n v="299"/>
    <x v="4"/>
    <x v="3"/>
    <s v="Friend"/>
    <x v="2"/>
    <s v="Medium"/>
    <x v="3"/>
    <x v="1"/>
    <n v="309"/>
    <m/>
    <d v="2025-12-08T00:00:00"/>
    <d v="2025-12-08T00:00:00"/>
    <n v="31"/>
    <d v="2025-11-20T00:00:00"/>
    <n v="1"/>
    <n v="0"/>
    <n v="0"/>
    <n v="0"/>
    <n v="1"/>
    <n v="1"/>
  </r>
  <r>
    <x v="519"/>
    <n v="48"/>
    <x v="1"/>
    <x v="335"/>
    <x v="298"/>
    <n v="941"/>
    <x v="1"/>
    <x v="1"/>
    <x v="0"/>
    <n v="18"/>
    <n v="10.8"/>
    <n v="129.6"/>
    <x v="2"/>
    <x v="3"/>
    <s v="Search Engine"/>
    <x v="5"/>
    <s v="Medium"/>
    <x v="0"/>
    <x v="0"/>
    <n v="129.6"/>
    <d v="2024-04-18T00:00:00"/>
    <m/>
    <d v="2024-04-18T00:00:00"/>
    <n v="0"/>
    <d v="2024-04-18T00:00:00"/>
    <n v="0"/>
    <n v="0"/>
    <n v="0"/>
    <n v="0"/>
    <n v="1"/>
    <n v="0"/>
  </r>
  <r>
    <x v="520"/>
    <n v="19"/>
    <x v="0"/>
    <x v="336"/>
    <x v="299"/>
    <n v="940"/>
    <x v="1"/>
    <x v="1"/>
    <x v="0"/>
    <n v="18"/>
    <n v="10.8"/>
    <n v="129.6"/>
    <x v="1"/>
    <x v="2"/>
    <s v="Search Engine"/>
    <x v="4"/>
    <s v="Medium"/>
    <x v="1"/>
    <x v="0"/>
    <n v="129.6"/>
    <d v="2024-04-19T00:00:00"/>
    <m/>
    <d v="2024-04-19T00:00:00"/>
    <n v="0"/>
    <d v="2024-04-19T00:00:00"/>
    <n v="0"/>
    <n v="0"/>
    <n v="0"/>
    <n v="0"/>
    <n v="1"/>
    <n v="0"/>
  </r>
  <r>
    <x v="521"/>
    <n v="57"/>
    <x v="0"/>
    <x v="337"/>
    <x v="300"/>
    <n v="939"/>
    <x v="1"/>
    <x v="1"/>
    <x v="0"/>
    <n v="18"/>
    <n v="10.8"/>
    <n v="129.6"/>
    <x v="0"/>
    <x v="3"/>
    <s v="None"/>
    <x v="1"/>
    <s v="Medium"/>
    <x v="0"/>
    <x v="0"/>
    <n v="129.6"/>
    <d v="2024-04-20T00:00:00"/>
    <m/>
    <d v="2024-04-20T00:00:00"/>
    <n v="0"/>
    <d v="2024-04-20T00:00:00"/>
    <n v="0"/>
    <n v="0"/>
    <n v="0"/>
    <n v="0"/>
    <n v="1"/>
    <n v="0"/>
  </r>
  <r>
    <x v="522"/>
    <n v="40"/>
    <x v="1"/>
    <x v="337"/>
    <x v="300"/>
    <n v="939"/>
    <x v="1"/>
    <x v="1"/>
    <x v="0"/>
    <n v="18"/>
    <n v="10.8"/>
    <n v="129.6"/>
    <x v="2"/>
    <x v="3"/>
    <s v="Friend"/>
    <x v="3"/>
    <s v="Medium"/>
    <x v="0"/>
    <x v="0"/>
    <n v="129.6"/>
    <d v="2024-04-20T00:00:00"/>
    <m/>
    <d v="2024-04-20T00:00:00"/>
    <n v="0"/>
    <d v="2024-04-20T00:00:00"/>
    <n v="0"/>
    <n v="0"/>
    <n v="0"/>
    <n v="0"/>
    <n v="1"/>
    <n v="0"/>
  </r>
  <r>
    <x v="523"/>
    <n v="30"/>
    <x v="1"/>
    <x v="338"/>
    <x v="301"/>
    <n v="938"/>
    <x v="0"/>
    <x v="0"/>
    <x v="0"/>
    <n v="18"/>
    <n v="12.15"/>
    <n v="72.900000000000006"/>
    <x v="2"/>
    <x v="2"/>
    <s v="Friend"/>
    <x v="1"/>
    <s v="Low"/>
    <x v="0"/>
    <x v="0"/>
    <n v="72.900000000000006"/>
    <d v="2023-10-24T00:00:00"/>
    <m/>
    <d v="2023-10-24T00:00:00"/>
    <n v="0"/>
    <d v="2023-10-24T00:00:00"/>
    <n v="0"/>
    <n v="0"/>
    <n v="0"/>
    <n v="0"/>
    <n v="1"/>
    <n v="0"/>
  </r>
  <r>
    <x v="524"/>
    <n v="44"/>
    <x v="1"/>
    <x v="339"/>
    <x v="302"/>
    <n v="937"/>
    <x v="1"/>
    <x v="1"/>
    <x v="2"/>
    <n v="10"/>
    <n v="6"/>
    <n v="72"/>
    <x v="2"/>
    <x v="2"/>
    <s v="Search Engine"/>
    <x v="3"/>
    <s v="Low"/>
    <x v="0"/>
    <x v="0"/>
    <n v="72"/>
    <d v="2024-04-22T00:00:00"/>
    <m/>
    <d v="2024-04-22T00:00:00"/>
    <n v="0"/>
    <d v="2024-04-22T00:00:00"/>
    <n v="0"/>
    <n v="0"/>
    <n v="0"/>
    <n v="0"/>
    <n v="1"/>
    <n v="0"/>
  </r>
  <r>
    <x v="525"/>
    <n v="65"/>
    <x v="1"/>
    <x v="340"/>
    <x v="214"/>
    <n v="936"/>
    <x v="3"/>
    <x v="2"/>
    <x v="2"/>
    <n v="10"/>
    <n v="9"/>
    <n v="0"/>
    <x v="3"/>
    <x v="2"/>
    <s v="Friend"/>
    <x v="5"/>
    <s v="Low"/>
    <x v="2"/>
    <x v="0"/>
    <n v="0"/>
    <d v="2023-05-29T00:00:00"/>
    <m/>
    <d v="2023-05-29T00:00:00"/>
    <n v="0"/>
    <d v="2023-05-29T00:00:00"/>
    <n v="0"/>
    <n v="0"/>
    <n v="0"/>
    <n v="0"/>
    <n v="0"/>
    <n v="0"/>
  </r>
  <r>
    <x v="526"/>
    <n v="26"/>
    <x v="1"/>
    <x v="340"/>
    <x v="214"/>
    <n v="936"/>
    <x v="3"/>
    <x v="2"/>
    <x v="1"/>
    <n v="25"/>
    <n v="22.5"/>
    <n v="0"/>
    <x v="2"/>
    <x v="3"/>
    <s v="Social Media"/>
    <x v="5"/>
    <s v="Low"/>
    <x v="0"/>
    <x v="0"/>
    <n v="0"/>
    <d v="2023-05-29T00:00:00"/>
    <m/>
    <d v="2023-05-29T00:00:00"/>
    <n v="0"/>
    <d v="2023-05-29T00:00:00"/>
    <n v="0"/>
    <n v="0"/>
    <n v="0"/>
    <n v="0"/>
    <n v="0"/>
    <n v="0"/>
  </r>
  <r>
    <x v="527"/>
    <n v="25"/>
    <x v="1"/>
    <x v="340"/>
    <x v="303"/>
    <n v="936"/>
    <x v="1"/>
    <x v="1"/>
    <x v="0"/>
    <n v="18"/>
    <n v="10.8"/>
    <n v="129.6"/>
    <x v="1"/>
    <x v="2"/>
    <s v="Friend"/>
    <x v="3"/>
    <s v="Medium"/>
    <x v="1"/>
    <x v="0"/>
    <n v="129.6"/>
    <d v="2024-04-23T00:00:00"/>
    <m/>
    <d v="2024-04-23T00:00:00"/>
    <n v="0"/>
    <d v="2024-04-23T00:00:00"/>
    <n v="0"/>
    <n v="0"/>
    <n v="0"/>
    <n v="0"/>
    <n v="1"/>
    <n v="0"/>
  </r>
  <r>
    <x v="528"/>
    <n v="44"/>
    <x v="0"/>
    <x v="340"/>
    <x v="2"/>
    <n v="936"/>
    <x v="18"/>
    <x v="2"/>
    <x v="2"/>
    <n v="10"/>
    <n v="10"/>
    <n v="299"/>
    <x v="2"/>
    <x v="2"/>
    <s v="Friend"/>
    <x v="2"/>
    <s v="Medium"/>
    <x v="0"/>
    <x v="1"/>
    <n v="309"/>
    <m/>
    <d v="2025-12-14T00:00:00"/>
    <d v="2025-12-14T00:00:00"/>
    <n v="31"/>
    <d v="2025-11-20T00:00:00"/>
    <n v="1"/>
    <n v="0"/>
    <n v="0"/>
    <n v="0"/>
    <n v="1"/>
    <n v="1"/>
  </r>
  <r>
    <x v="529"/>
    <n v="40"/>
    <x v="1"/>
    <x v="341"/>
    <x v="195"/>
    <n v="935"/>
    <x v="0"/>
    <x v="0"/>
    <x v="0"/>
    <n v="18"/>
    <n v="12.15"/>
    <n v="72.900000000000006"/>
    <x v="2"/>
    <x v="1"/>
    <s v="Email Campaign"/>
    <x v="3"/>
    <s v="Low"/>
    <x v="0"/>
    <x v="0"/>
    <n v="72.900000000000006"/>
    <d v="2023-10-27T00:00:00"/>
    <m/>
    <d v="2023-10-27T00:00:00"/>
    <n v="0"/>
    <d v="2023-10-27T00:00:00"/>
    <n v="0"/>
    <n v="0"/>
    <n v="0"/>
    <n v="0"/>
    <n v="1"/>
    <n v="0"/>
  </r>
  <r>
    <x v="530"/>
    <n v="22"/>
    <x v="1"/>
    <x v="342"/>
    <x v="304"/>
    <n v="931"/>
    <x v="1"/>
    <x v="1"/>
    <x v="1"/>
    <n v="25"/>
    <n v="14.999999999999998"/>
    <n v="180"/>
    <x v="1"/>
    <x v="1"/>
    <s v="None"/>
    <x v="1"/>
    <s v="Medium"/>
    <x v="1"/>
    <x v="0"/>
    <n v="180"/>
    <d v="2024-04-28T00:00:00"/>
    <m/>
    <d v="2024-04-28T00:00:00"/>
    <n v="0"/>
    <d v="2024-04-28T00:00:00"/>
    <n v="0"/>
    <n v="0"/>
    <n v="0"/>
    <n v="0"/>
    <n v="1"/>
    <n v="0"/>
  </r>
  <r>
    <x v="531"/>
    <n v="58"/>
    <x v="1"/>
    <x v="342"/>
    <x v="304"/>
    <n v="931"/>
    <x v="1"/>
    <x v="1"/>
    <x v="1"/>
    <n v="25"/>
    <n v="14.999999999999998"/>
    <n v="180"/>
    <x v="0"/>
    <x v="0"/>
    <s v="Search Engine"/>
    <x v="1"/>
    <s v="Medium"/>
    <x v="0"/>
    <x v="0"/>
    <n v="180"/>
    <d v="2024-04-28T00:00:00"/>
    <m/>
    <d v="2024-04-28T00:00:00"/>
    <n v="0"/>
    <d v="2024-04-28T00:00:00"/>
    <n v="0"/>
    <n v="0"/>
    <n v="0"/>
    <n v="0"/>
    <n v="1"/>
    <n v="0"/>
  </r>
  <r>
    <x v="532"/>
    <n v="43"/>
    <x v="1"/>
    <x v="342"/>
    <x v="304"/>
    <n v="931"/>
    <x v="1"/>
    <x v="1"/>
    <x v="2"/>
    <n v="10"/>
    <n v="6"/>
    <n v="72"/>
    <x v="2"/>
    <x v="2"/>
    <s v="Email Campaign"/>
    <x v="1"/>
    <s v="Low"/>
    <x v="0"/>
    <x v="0"/>
    <n v="72"/>
    <d v="2024-04-28T00:00:00"/>
    <m/>
    <d v="2024-04-28T00:00:00"/>
    <n v="0"/>
    <d v="2024-04-28T00:00:00"/>
    <n v="0"/>
    <n v="0"/>
    <n v="0"/>
    <n v="0"/>
    <n v="1"/>
    <n v="0"/>
  </r>
  <r>
    <x v="533"/>
    <n v="48"/>
    <x v="0"/>
    <x v="342"/>
    <x v="2"/>
    <n v="931"/>
    <x v="14"/>
    <x v="0"/>
    <x v="0"/>
    <n v="18"/>
    <n v="13.5"/>
    <n v="469.8"/>
    <x v="2"/>
    <x v="2"/>
    <s v="Friend"/>
    <x v="2"/>
    <s v="High"/>
    <x v="0"/>
    <x v="1"/>
    <n v="550.79999999999995"/>
    <m/>
    <d v="2026-04-18T00:00:00"/>
    <d v="2026-04-18T00:00:00"/>
    <n v="5"/>
    <d v="2025-11-20T00:00:00"/>
    <n v="1"/>
    <n v="0"/>
    <n v="0"/>
    <n v="0"/>
    <n v="1"/>
    <n v="1"/>
  </r>
  <r>
    <x v="534"/>
    <n v="24"/>
    <x v="0"/>
    <x v="342"/>
    <x v="2"/>
    <n v="931"/>
    <x v="14"/>
    <x v="1"/>
    <x v="2"/>
    <n v="10"/>
    <n v="6.6666666666666661"/>
    <n v="232"/>
    <x v="1"/>
    <x v="3"/>
    <s v="Social Media"/>
    <x v="2"/>
    <s v="Medium"/>
    <x v="1"/>
    <x v="1"/>
    <n v="312"/>
    <m/>
    <d v="2026-04-18T00:00:00"/>
    <d v="2026-04-18T00:00:00"/>
    <n v="2"/>
    <d v="2025-11-20T00:00:00"/>
    <n v="1"/>
    <n v="0"/>
    <n v="0"/>
    <n v="0"/>
    <n v="1"/>
    <n v="1"/>
  </r>
  <r>
    <x v="535"/>
    <n v="52"/>
    <x v="1"/>
    <x v="342"/>
    <x v="2"/>
    <n v="931"/>
    <x v="14"/>
    <x v="0"/>
    <x v="1"/>
    <n v="25"/>
    <n v="18.75"/>
    <n v="652.5"/>
    <x v="0"/>
    <x v="2"/>
    <s v="Social Media"/>
    <x v="2"/>
    <s v="Very High"/>
    <x v="0"/>
    <x v="1"/>
    <n v="765"/>
    <m/>
    <d v="2026-04-18T00:00:00"/>
    <d v="2026-04-18T00:00:00"/>
    <n v="5"/>
    <d v="2025-11-20T00:00:00"/>
    <n v="1"/>
    <n v="0"/>
    <n v="0"/>
    <n v="0"/>
    <n v="1"/>
    <n v="1"/>
  </r>
  <r>
    <x v="536"/>
    <n v="35"/>
    <x v="1"/>
    <x v="343"/>
    <x v="305"/>
    <n v="930"/>
    <x v="1"/>
    <x v="1"/>
    <x v="1"/>
    <n v="25"/>
    <n v="14.999999999999998"/>
    <n v="180"/>
    <x v="2"/>
    <x v="0"/>
    <s v="Social Media"/>
    <x v="0"/>
    <s v="Medium"/>
    <x v="0"/>
    <x v="0"/>
    <n v="180"/>
    <d v="2024-04-29T00:00:00"/>
    <m/>
    <d v="2024-04-29T00:00:00"/>
    <n v="0"/>
    <d v="2024-04-29T00:00:00"/>
    <n v="0"/>
    <n v="0"/>
    <n v="0"/>
    <n v="0"/>
    <n v="1"/>
    <n v="0"/>
  </r>
  <r>
    <x v="537"/>
    <n v="68"/>
    <x v="0"/>
    <x v="343"/>
    <x v="305"/>
    <n v="930"/>
    <x v="1"/>
    <x v="1"/>
    <x v="0"/>
    <n v="18"/>
    <n v="10.8"/>
    <n v="129.6"/>
    <x v="3"/>
    <x v="1"/>
    <s v="Social Media"/>
    <x v="4"/>
    <s v="Medium"/>
    <x v="2"/>
    <x v="0"/>
    <n v="129.6"/>
    <d v="2024-04-29T00:00:00"/>
    <m/>
    <d v="2024-04-29T00:00:00"/>
    <n v="0"/>
    <d v="2024-04-29T00:00:00"/>
    <n v="0"/>
    <n v="0"/>
    <n v="0"/>
    <n v="0"/>
    <n v="1"/>
    <n v="0"/>
  </r>
  <r>
    <x v="538"/>
    <n v="39"/>
    <x v="1"/>
    <x v="344"/>
    <x v="306"/>
    <n v="928"/>
    <x v="3"/>
    <x v="2"/>
    <x v="0"/>
    <n v="18"/>
    <n v="16.2"/>
    <n v="0"/>
    <x v="2"/>
    <x v="0"/>
    <s v="Social Media"/>
    <x v="0"/>
    <s v="Low"/>
    <x v="0"/>
    <x v="0"/>
    <n v="0"/>
    <d v="2023-06-06T00:00:00"/>
    <m/>
    <d v="2023-06-06T00:00:00"/>
    <n v="0"/>
    <d v="2023-06-06T00:00:00"/>
    <n v="0"/>
    <n v="0"/>
    <n v="0"/>
    <n v="0"/>
    <n v="1"/>
    <n v="0"/>
  </r>
  <r>
    <x v="539"/>
    <n v="25"/>
    <x v="0"/>
    <x v="344"/>
    <x v="307"/>
    <n v="928"/>
    <x v="1"/>
    <x v="1"/>
    <x v="1"/>
    <n v="25"/>
    <n v="14.999999999999998"/>
    <n v="180"/>
    <x v="1"/>
    <x v="2"/>
    <s v="Email Campaign"/>
    <x v="0"/>
    <s v="Medium"/>
    <x v="1"/>
    <x v="0"/>
    <n v="180"/>
    <d v="2024-05-01T00:00:00"/>
    <m/>
    <d v="2024-05-01T00:00:00"/>
    <n v="0"/>
    <d v="2024-05-01T00:00:00"/>
    <n v="0"/>
    <n v="0"/>
    <n v="0"/>
    <n v="0"/>
    <n v="1"/>
    <n v="0"/>
  </r>
  <r>
    <x v="540"/>
    <n v="37"/>
    <x v="0"/>
    <x v="345"/>
    <x v="202"/>
    <n v="926"/>
    <x v="0"/>
    <x v="0"/>
    <x v="1"/>
    <n v="25"/>
    <n v="16.875"/>
    <n v="101.25"/>
    <x v="2"/>
    <x v="1"/>
    <s v="Friend"/>
    <x v="5"/>
    <s v="Medium"/>
    <x v="0"/>
    <x v="0"/>
    <n v="101.25"/>
    <d v="2023-11-05T00:00:00"/>
    <m/>
    <d v="2023-11-05T00:00:00"/>
    <n v="0"/>
    <d v="2023-11-05T00:00:00"/>
    <n v="0"/>
    <n v="0"/>
    <n v="0"/>
    <n v="0"/>
    <n v="1"/>
    <n v="0"/>
  </r>
  <r>
    <x v="541"/>
    <n v="71"/>
    <x v="1"/>
    <x v="345"/>
    <x v="308"/>
    <n v="926"/>
    <x v="1"/>
    <x v="1"/>
    <x v="0"/>
    <n v="18"/>
    <n v="10.8"/>
    <n v="129.6"/>
    <x v="4"/>
    <x v="2"/>
    <s v="Friend"/>
    <x v="4"/>
    <s v="Medium"/>
    <x v="3"/>
    <x v="0"/>
    <n v="129.6"/>
    <d v="2024-05-03T00:00:00"/>
    <m/>
    <d v="2024-05-03T00:00:00"/>
    <n v="0"/>
    <d v="2024-05-03T00:00:00"/>
    <n v="0"/>
    <n v="0"/>
    <n v="0"/>
    <n v="0"/>
    <n v="1"/>
    <n v="0"/>
  </r>
  <r>
    <x v="542"/>
    <n v="37"/>
    <x v="0"/>
    <x v="345"/>
    <x v="308"/>
    <n v="926"/>
    <x v="1"/>
    <x v="1"/>
    <x v="2"/>
    <n v="10"/>
    <n v="6"/>
    <n v="72"/>
    <x v="2"/>
    <x v="3"/>
    <s v="None"/>
    <x v="4"/>
    <s v="Low"/>
    <x v="0"/>
    <x v="0"/>
    <n v="72"/>
    <d v="2024-05-03T00:00:00"/>
    <m/>
    <d v="2024-05-03T00:00:00"/>
    <n v="0"/>
    <d v="2024-05-03T00:00:00"/>
    <n v="0"/>
    <n v="0"/>
    <n v="0"/>
    <n v="0"/>
    <n v="1"/>
    <n v="0"/>
  </r>
  <r>
    <x v="543"/>
    <n v="54"/>
    <x v="0"/>
    <x v="346"/>
    <x v="309"/>
    <n v="925"/>
    <x v="1"/>
    <x v="1"/>
    <x v="2"/>
    <n v="10"/>
    <n v="6"/>
    <n v="72"/>
    <x v="0"/>
    <x v="0"/>
    <s v="Email Campaign"/>
    <x v="0"/>
    <s v="Low"/>
    <x v="0"/>
    <x v="0"/>
    <n v="72"/>
    <d v="2024-05-04T00:00:00"/>
    <m/>
    <d v="2024-05-04T00:00:00"/>
    <n v="0"/>
    <d v="2024-05-04T00:00:00"/>
    <n v="0"/>
    <n v="0"/>
    <n v="0"/>
    <n v="0"/>
    <n v="1"/>
    <n v="0"/>
  </r>
  <r>
    <x v="544"/>
    <n v="66"/>
    <x v="0"/>
    <x v="346"/>
    <x v="309"/>
    <n v="925"/>
    <x v="1"/>
    <x v="1"/>
    <x v="0"/>
    <n v="18"/>
    <n v="10.8"/>
    <n v="129.6"/>
    <x v="3"/>
    <x v="2"/>
    <s v="Social Media"/>
    <x v="4"/>
    <s v="Medium"/>
    <x v="2"/>
    <x v="0"/>
    <n v="129.6"/>
    <d v="2024-05-04T00:00:00"/>
    <m/>
    <d v="2024-05-04T00:00:00"/>
    <n v="0"/>
    <d v="2024-05-04T00:00:00"/>
    <n v="0"/>
    <n v="0"/>
    <n v="0"/>
    <n v="0"/>
    <n v="1"/>
    <n v="0"/>
  </r>
  <r>
    <x v="545"/>
    <n v="56"/>
    <x v="0"/>
    <x v="346"/>
    <x v="309"/>
    <n v="925"/>
    <x v="1"/>
    <x v="1"/>
    <x v="2"/>
    <n v="10"/>
    <n v="6"/>
    <n v="72"/>
    <x v="0"/>
    <x v="2"/>
    <s v="Social Media"/>
    <x v="3"/>
    <s v="Low"/>
    <x v="0"/>
    <x v="0"/>
    <n v="72"/>
    <d v="2024-05-04T00:00:00"/>
    <m/>
    <d v="2024-05-04T00:00:00"/>
    <n v="0"/>
    <d v="2024-05-04T00:00:00"/>
    <n v="0"/>
    <n v="0"/>
    <n v="0"/>
    <n v="0"/>
    <n v="1"/>
    <n v="0"/>
  </r>
  <r>
    <x v="546"/>
    <n v="33"/>
    <x v="0"/>
    <x v="347"/>
    <x v="310"/>
    <n v="924"/>
    <x v="3"/>
    <x v="2"/>
    <x v="1"/>
    <n v="25"/>
    <n v="22.5"/>
    <n v="0"/>
    <x v="2"/>
    <x v="1"/>
    <s v="Email Campaign"/>
    <x v="1"/>
    <s v="Low"/>
    <x v="0"/>
    <x v="0"/>
    <n v="0"/>
    <d v="2023-06-10T00:00:00"/>
    <m/>
    <d v="2023-06-10T00:00:00"/>
    <n v="0"/>
    <d v="2023-06-10T00:00:00"/>
    <n v="0"/>
    <n v="0"/>
    <n v="0"/>
    <n v="0"/>
    <n v="1"/>
    <n v="0"/>
  </r>
  <r>
    <x v="547"/>
    <n v="40"/>
    <x v="0"/>
    <x v="348"/>
    <x v="101"/>
    <n v="923"/>
    <x v="3"/>
    <x v="2"/>
    <x v="0"/>
    <n v="18"/>
    <n v="16.2"/>
    <n v="0"/>
    <x v="2"/>
    <x v="1"/>
    <s v="Friend"/>
    <x v="0"/>
    <s v="Low"/>
    <x v="0"/>
    <x v="0"/>
    <n v="0"/>
    <d v="2023-06-11T00:00:00"/>
    <m/>
    <d v="2023-06-11T00:00:00"/>
    <n v="0"/>
    <d v="2023-06-11T00:00:00"/>
    <n v="0"/>
    <n v="0"/>
    <n v="0"/>
    <n v="0"/>
    <n v="1"/>
    <n v="0"/>
  </r>
  <r>
    <x v="548"/>
    <n v="56"/>
    <x v="1"/>
    <x v="348"/>
    <x v="101"/>
    <n v="923"/>
    <x v="3"/>
    <x v="2"/>
    <x v="1"/>
    <n v="25"/>
    <n v="22.5"/>
    <n v="0"/>
    <x v="0"/>
    <x v="1"/>
    <s v="Search Engine"/>
    <x v="4"/>
    <s v="Low"/>
    <x v="0"/>
    <x v="0"/>
    <n v="0"/>
    <d v="2023-06-11T00:00:00"/>
    <m/>
    <d v="2023-06-11T00:00:00"/>
    <n v="0"/>
    <d v="2023-06-11T00:00:00"/>
    <n v="0"/>
    <n v="0"/>
    <n v="0"/>
    <n v="0"/>
    <n v="1"/>
    <n v="0"/>
  </r>
  <r>
    <x v="549"/>
    <n v="56"/>
    <x v="0"/>
    <x v="348"/>
    <x v="2"/>
    <n v="923"/>
    <x v="19"/>
    <x v="2"/>
    <x v="1"/>
    <n v="25"/>
    <n v="25"/>
    <n v="722.5"/>
    <x v="0"/>
    <x v="3"/>
    <s v="Email Campaign"/>
    <x v="2"/>
    <s v="Very High"/>
    <x v="0"/>
    <x v="1"/>
    <n v="747.5"/>
    <m/>
    <d v="2025-11-27T00:00:00"/>
    <d v="2025-11-27T00:00:00"/>
    <n v="30"/>
    <d v="2025-11-20T00:00:00"/>
    <n v="1"/>
    <n v="0"/>
    <n v="0"/>
    <n v="0"/>
    <n v="1"/>
    <n v="1"/>
  </r>
  <r>
    <x v="550"/>
    <n v="56"/>
    <x v="1"/>
    <x v="349"/>
    <x v="311"/>
    <n v="921"/>
    <x v="1"/>
    <x v="1"/>
    <x v="2"/>
    <n v="10"/>
    <n v="6"/>
    <n v="72"/>
    <x v="0"/>
    <x v="2"/>
    <s v="Search Engine"/>
    <x v="3"/>
    <s v="Low"/>
    <x v="0"/>
    <x v="0"/>
    <n v="72"/>
    <d v="2024-05-08T00:00:00"/>
    <m/>
    <d v="2024-05-08T00:00:00"/>
    <n v="0"/>
    <d v="2024-05-08T00:00:00"/>
    <n v="0"/>
    <n v="0"/>
    <n v="0"/>
    <n v="0"/>
    <n v="1"/>
    <n v="0"/>
  </r>
  <r>
    <x v="551"/>
    <n v="33"/>
    <x v="1"/>
    <x v="349"/>
    <x v="311"/>
    <n v="921"/>
    <x v="1"/>
    <x v="1"/>
    <x v="1"/>
    <n v="25"/>
    <n v="14.999999999999998"/>
    <n v="180"/>
    <x v="2"/>
    <x v="0"/>
    <s v="None"/>
    <x v="0"/>
    <s v="Medium"/>
    <x v="0"/>
    <x v="0"/>
    <n v="180"/>
    <d v="2024-05-08T00:00:00"/>
    <m/>
    <d v="2024-05-08T00:00:00"/>
    <n v="0"/>
    <d v="2024-05-08T00:00:00"/>
    <n v="0"/>
    <n v="0"/>
    <n v="0"/>
    <n v="0"/>
    <n v="1"/>
    <n v="0"/>
  </r>
  <r>
    <x v="552"/>
    <n v="25"/>
    <x v="1"/>
    <x v="349"/>
    <x v="311"/>
    <n v="921"/>
    <x v="1"/>
    <x v="1"/>
    <x v="0"/>
    <n v="18"/>
    <n v="10.8"/>
    <n v="129.6"/>
    <x v="1"/>
    <x v="0"/>
    <s v="Email Campaign"/>
    <x v="1"/>
    <s v="Medium"/>
    <x v="1"/>
    <x v="0"/>
    <n v="129.6"/>
    <d v="2024-05-08T00:00:00"/>
    <m/>
    <d v="2024-05-08T00:00:00"/>
    <n v="0"/>
    <d v="2024-05-08T00:00:00"/>
    <n v="0"/>
    <n v="0"/>
    <n v="0"/>
    <n v="0"/>
    <n v="1"/>
    <n v="0"/>
  </r>
  <r>
    <x v="553"/>
    <n v="22"/>
    <x v="0"/>
    <x v="349"/>
    <x v="2"/>
    <n v="921"/>
    <x v="14"/>
    <x v="1"/>
    <x v="2"/>
    <n v="10"/>
    <n v="6.6666666666666661"/>
    <n v="232"/>
    <x v="1"/>
    <x v="3"/>
    <s v="None"/>
    <x v="2"/>
    <s v="Medium"/>
    <x v="1"/>
    <x v="1"/>
    <n v="312"/>
    <m/>
    <d v="2026-04-28T00:00:00"/>
    <d v="2026-04-28T00:00:00"/>
    <n v="2"/>
    <d v="2025-11-20T00:00:00"/>
    <n v="1"/>
    <n v="0"/>
    <n v="0"/>
    <n v="0"/>
    <n v="1"/>
    <n v="1"/>
  </r>
  <r>
    <x v="554"/>
    <n v="30"/>
    <x v="0"/>
    <x v="350"/>
    <x v="312"/>
    <n v="920"/>
    <x v="0"/>
    <x v="0"/>
    <x v="2"/>
    <n v="10"/>
    <n v="6.75"/>
    <n v="40.5"/>
    <x v="2"/>
    <x v="3"/>
    <s v="Search Engine"/>
    <x v="4"/>
    <s v="Low"/>
    <x v="0"/>
    <x v="0"/>
    <n v="40.5"/>
    <d v="2023-11-11T00:00:00"/>
    <m/>
    <d v="2023-11-11T00:00:00"/>
    <n v="0"/>
    <d v="2023-11-11T00:00:00"/>
    <n v="0"/>
    <n v="0"/>
    <n v="0"/>
    <n v="0"/>
    <n v="1"/>
    <n v="0"/>
  </r>
  <r>
    <x v="555"/>
    <n v="25"/>
    <x v="1"/>
    <x v="350"/>
    <x v="312"/>
    <n v="920"/>
    <x v="0"/>
    <x v="0"/>
    <x v="0"/>
    <n v="18"/>
    <n v="12.15"/>
    <n v="72.900000000000006"/>
    <x v="1"/>
    <x v="0"/>
    <s v="Friend"/>
    <x v="1"/>
    <s v="Low"/>
    <x v="1"/>
    <x v="0"/>
    <n v="72.900000000000006"/>
    <d v="2023-11-11T00:00:00"/>
    <m/>
    <d v="2023-11-11T00:00:00"/>
    <n v="0"/>
    <d v="2023-11-11T00:00:00"/>
    <n v="0"/>
    <n v="0"/>
    <n v="0"/>
    <n v="0"/>
    <n v="1"/>
    <n v="0"/>
  </r>
  <r>
    <x v="556"/>
    <n v="60"/>
    <x v="0"/>
    <x v="351"/>
    <x v="313"/>
    <n v="919"/>
    <x v="1"/>
    <x v="1"/>
    <x v="2"/>
    <n v="10"/>
    <n v="6"/>
    <n v="72"/>
    <x v="3"/>
    <x v="1"/>
    <s v="None"/>
    <x v="3"/>
    <s v="Low"/>
    <x v="2"/>
    <x v="0"/>
    <n v="72"/>
    <d v="2024-05-10T00:00:00"/>
    <m/>
    <d v="2024-05-10T00:00:00"/>
    <n v="0"/>
    <d v="2024-05-10T00:00:00"/>
    <n v="0"/>
    <n v="0"/>
    <n v="0"/>
    <n v="0"/>
    <n v="1"/>
    <n v="0"/>
  </r>
  <r>
    <x v="557"/>
    <n v="62"/>
    <x v="1"/>
    <x v="352"/>
    <x v="314"/>
    <n v="917"/>
    <x v="1"/>
    <x v="1"/>
    <x v="1"/>
    <n v="25"/>
    <n v="14.999999999999998"/>
    <n v="180"/>
    <x v="3"/>
    <x v="3"/>
    <s v="None"/>
    <x v="5"/>
    <s v="Medium"/>
    <x v="2"/>
    <x v="0"/>
    <n v="180"/>
    <d v="2024-05-12T00:00:00"/>
    <m/>
    <d v="2024-05-12T00:00:00"/>
    <n v="0"/>
    <d v="2024-05-12T00:00:00"/>
    <n v="0"/>
    <n v="0"/>
    <n v="0"/>
    <n v="0"/>
    <n v="1"/>
    <n v="0"/>
  </r>
  <r>
    <x v="558"/>
    <n v="33"/>
    <x v="1"/>
    <x v="352"/>
    <x v="2"/>
    <n v="917"/>
    <x v="19"/>
    <x v="2"/>
    <x v="0"/>
    <n v="18"/>
    <n v="18"/>
    <n v="520.20000000000005"/>
    <x v="2"/>
    <x v="0"/>
    <s v="None"/>
    <x v="2"/>
    <s v="High"/>
    <x v="0"/>
    <x v="1"/>
    <n v="538.20000000000005"/>
    <m/>
    <d v="2025-12-03T00:00:00"/>
    <d v="2025-12-03T00:00:00"/>
    <n v="30"/>
    <d v="2025-11-20T00:00:00"/>
    <n v="1"/>
    <n v="0"/>
    <n v="0"/>
    <n v="0"/>
    <n v="1"/>
    <n v="1"/>
  </r>
  <r>
    <x v="559"/>
    <n v="73"/>
    <x v="0"/>
    <x v="353"/>
    <x v="2"/>
    <n v="916"/>
    <x v="19"/>
    <x v="2"/>
    <x v="0"/>
    <n v="18"/>
    <n v="18"/>
    <n v="520.20000000000005"/>
    <x v="4"/>
    <x v="2"/>
    <s v="Friend"/>
    <x v="2"/>
    <s v="High"/>
    <x v="3"/>
    <x v="1"/>
    <n v="538.20000000000005"/>
    <m/>
    <d v="2025-12-04T00:00:00"/>
    <d v="2025-12-04T00:00:00"/>
    <n v="30"/>
    <d v="2025-11-20T00:00:00"/>
    <n v="1"/>
    <n v="0"/>
    <n v="0"/>
    <n v="0"/>
    <n v="1"/>
    <n v="1"/>
  </r>
  <r>
    <x v="560"/>
    <n v="31"/>
    <x v="0"/>
    <x v="354"/>
    <x v="315"/>
    <n v="915"/>
    <x v="3"/>
    <x v="2"/>
    <x v="1"/>
    <n v="25"/>
    <n v="22.5"/>
    <n v="0"/>
    <x v="2"/>
    <x v="3"/>
    <s v="None"/>
    <x v="5"/>
    <s v="Low"/>
    <x v="0"/>
    <x v="0"/>
    <n v="0"/>
    <d v="2023-06-19T00:00:00"/>
    <m/>
    <d v="2023-06-19T00:00:00"/>
    <n v="0"/>
    <d v="2023-06-19T00:00:00"/>
    <n v="0"/>
    <n v="0"/>
    <n v="0"/>
    <n v="0"/>
    <n v="1"/>
    <n v="0"/>
  </r>
  <r>
    <x v="561"/>
    <n v="49"/>
    <x v="1"/>
    <x v="354"/>
    <x v="2"/>
    <n v="915"/>
    <x v="14"/>
    <x v="0"/>
    <x v="1"/>
    <n v="25"/>
    <n v="18.75"/>
    <n v="652.5"/>
    <x v="2"/>
    <x v="1"/>
    <s v="Search Engine"/>
    <x v="2"/>
    <s v="Very High"/>
    <x v="0"/>
    <x v="1"/>
    <n v="765"/>
    <m/>
    <d v="2026-05-04T00:00:00"/>
    <d v="2026-05-04T00:00:00"/>
    <n v="5"/>
    <d v="2025-11-20T00:00:00"/>
    <n v="1"/>
    <n v="0"/>
    <n v="0"/>
    <n v="0"/>
    <n v="1"/>
    <n v="1"/>
  </r>
  <r>
    <x v="562"/>
    <n v="61"/>
    <x v="0"/>
    <x v="354"/>
    <x v="2"/>
    <n v="915"/>
    <x v="19"/>
    <x v="2"/>
    <x v="0"/>
    <n v="18"/>
    <n v="18"/>
    <n v="520.20000000000005"/>
    <x v="3"/>
    <x v="3"/>
    <s v="Friend"/>
    <x v="2"/>
    <s v="High"/>
    <x v="2"/>
    <x v="1"/>
    <n v="538.20000000000005"/>
    <m/>
    <d v="2025-12-05T00:00:00"/>
    <d v="2025-12-05T00:00:00"/>
    <n v="30"/>
    <d v="2025-11-20T00:00:00"/>
    <n v="1"/>
    <n v="0"/>
    <n v="0"/>
    <n v="0"/>
    <n v="1"/>
    <n v="1"/>
  </r>
  <r>
    <x v="563"/>
    <n v="59"/>
    <x v="1"/>
    <x v="355"/>
    <x v="2"/>
    <n v="912"/>
    <x v="14"/>
    <x v="0"/>
    <x v="0"/>
    <n v="18"/>
    <n v="13.5"/>
    <n v="469.8"/>
    <x v="0"/>
    <x v="3"/>
    <s v="Email Campaign"/>
    <x v="2"/>
    <s v="High"/>
    <x v="0"/>
    <x v="1"/>
    <n v="550.79999999999995"/>
    <m/>
    <d v="2026-05-07T00:00:00"/>
    <d v="2026-05-07T00:00:00"/>
    <n v="5"/>
    <d v="2025-11-20T00:00:00"/>
    <n v="1"/>
    <n v="0"/>
    <n v="0"/>
    <n v="0"/>
    <n v="1"/>
    <n v="1"/>
  </r>
  <r>
    <x v="564"/>
    <n v="23"/>
    <x v="1"/>
    <x v="356"/>
    <x v="316"/>
    <n v="911"/>
    <x v="1"/>
    <x v="1"/>
    <x v="2"/>
    <n v="10"/>
    <n v="6"/>
    <n v="72"/>
    <x v="1"/>
    <x v="0"/>
    <s v="Email Campaign"/>
    <x v="4"/>
    <s v="Low"/>
    <x v="1"/>
    <x v="0"/>
    <n v="72"/>
    <d v="2024-05-18T00:00:00"/>
    <m/>
    <d v="2024-05-18T00:00:00"/>
    <n v="0"/>
    <d v="2024-05-18T00:00:00"/>
    <n v="0"/>
    <n v="0"/>
    <n v="0"/>
    <n v="0"/>
    <n v="1"/>
    <n v="0"/>
  </r>
  <r>
    <x v="565"/>
    <n v="42"/>
    <x v="0"/>
    <x v="357"/>
    <x v="2"/>
    <n v="910"/>
    <x v="14"/>
    <x v="0"/>
    <x v="0"/>
    <n v="18"/>
    <n v="13.5"/>
    <n v="469.8"/>
    <x v="2"/>
    <x v="1"/>
    <s v="Social Media"/>
    <x v="2"/>
    <s v="High"/>
    <x v="0"/>
    <x v="1"/>
    <n v="550.79999999999995"/>
    <m/>
    <d v="2026-05-09T00:00:00"/>
    <d v="2026-05-09T00:00:00"/>
    <n v="5"/>
    <d v="2025-11-20T00:00:00"/>
    <n v="1"/>
    <n v="0"/>
    <n v="0"/>
    <n v="0"/>
    <n v="1"/>
    <n v="1"/>
  </r>
  <r>
    <x v="566"/>
    <n v="57"/>
    <x v="1"/>
    <x v="358"/>
    <x v="317"/>
    <n v="909"/>
    <x v="1"/>
    <x v="1"/>
    <x v="1"/>
    <n v="25"/>
    <n v="14.999999999999998"/>
    <n v="180"/>
    <x v="0"/>
    <x v="2"/>
    <s v="Email Campaign"/>
    <x v="1"/>
    <s v="Medium"/>
    <x v="0"/>
    <x v="0"/>
    <n v="180"/>
    <d v="2024-05-20T00:00:00"/>
    <m/>
    <d v="2024-05-20T00:00:00"/>
    <n v="0"/>
    <d v="2024-05-20T00:00:00"/>
    <n v="0"/>
    <n v="0"/>
    <n v="0"/>
    <n v="0"/>
    <n v="1"/>
    <n v="0"/>
  </r>
  <r>
    <x v="567"/>
    <n v="33"/>
    <x v="0"/>
    <x v="358"/>
    <x v="317"/>
    <n v="909"/>
    <x v="1"/>
    <x v="1"/>
    <x v="2"/>
    <n v="10"/>
    <n v="6"/>
    <n v="72"/>
    <x v="2"/>
    <x v="1"/>
    <s v="Social Media"/>
    <x v="4"/>
    <s v="Low"/>
    <x v="0"/>
    <x v="0"/>
    <n v="72"/>
    <d v="2024-05-20T00:00:00"/>
    <m/>
    <d v="2024-05-20T00:00:00"/>
    <n v="0"/>
    <d v="2024-05-20T00:00:00"/>
    <n v="0"/>
    <n v="0"/>
    <n v="0"/>
    <n v="0"/>
    <n v="1"/>
    <n v="0"/>
  </r>
  <r>
    <x v="568"/>
    <n v="34"/>
    <x v="0"/>
    <x v="359"/>
    <x v="318"/>
    <n v="908"/>
    <x v="1"/>
    <x v="1"/>
    <x v="1"/>
    <n v="25"/>
    <n v="14.999999999999998"/>
    <n v="180"/>
    <x v="2"/>
    <x v="3"/>
    <s v="Social Media"/>
    <x v="3"/>
    <s v="Medium"/>
    <x v="0"/>
    <x v="0"/>
    <n v="180"/>
    <d v="2024-05-21T00:00:00"/>
    <m/>
    <d v="2024-05-21T00:00:00"/>
    <n v="0"/>
    <d v="2024-05-21T00:00:00"/>
    <n v="0"/>
    <n v="0"/>
    <n v="0"/>
    <n v="0"/>
    <n v="1"/>
    <n v="0"/>
  </r>
  <r>
    <x v="569"/>
    <n v="19"/>
    <x v="1"/>
    <x v="359"/>
    <x v="318"/>
    <n v="908"/>
    <x v="1"/>
    <x v="1"/>
    <x v="0"/>
    <n v="18"/>
    <n v="10.8"/>
    <n v="129.6"/>
    <x v="1"/>
    <x v="1"/>
    <s v="Social Media"/>
    <x v="0"/>
    <s v="Medium"/>
    <x v="1"/>
    <x v="0"/>
    <n v="129.6"/>
    <d v="2024-05-21T00:00:00"/>
    <m/>
    <d v="2024-05-21T00:00:00"/>
    <n v="0"/>
    <d v="2024-05-21T00:00:00"/>
    <n v="0"/>
    <n v="0"/>
    <n v="0"/>
    <n v="0"/>
    <n v="1"/>
    <n v="0"/>
  </r>
  <r>
    <x v="570"/>
    <n v="65"/>
    <x v="1"/>
    <x v="360"/>
    <x v="2"/>
    <n v="907"/>
    <x v="19"/>
    <x v="2"/>
    <x v="2"/>
    <n v="10"/>
    <n v="10"/>
    <n v="289"/>
    <x v="3"/>
    <x v="1"/>
    <s v="Social Media"/>
    <x v="2"/>
    <s v="Medium"/>
    <x v="2"/>
    <x v="1"/>
    <n v="299"/>
    <m/>
    <d v="2025-12-13T00:00:00"/>
    <d v="2025-12-13T00:00:00"/>
    <n v="30"/>
    <d v="2025-11-20T00:00:00"/>
    <n v="1"/>
    <n v="0"/>
    <n v="0"/>
    <n v="0"/>
    <n v="1"/>
    <n v="1"/>
  </r>
  <r>
    <x v="571"/>
    <n v="66"/>
    <x v="0"/>
    <x v="361"/>
    <x v="2"/>
    <n v="906"/>
    <x v="19"/>
    <x v="2"/>
    <x v="2"/>
    <n v="10"/>
    <n v="10"/>
    <n v="289"/>
    <x v="3"/>
    <x v="2"/>
    <s v="Friend"/>
    <x v="2"/>
    <s v="Medium"/>
    <x v="2"/>
    <x v="1"/>
    <n v="299"/>
    <m/>
    <d v="2025-12-14T00:00:00"/>
    <d v="2025-12-14T00:00:00"/>
    <n v="30"/>
    <d v="2025-11-20T00:00:00"/>
    <n v="1"/>
    <n v="0"/>
    <n v="0"/>
    <n v="0"/>
    <n v="1"/>
    <n v="1"/>
  </r>
  <r>
    <x v="572"/>
    <n v="66"/>
    <x v="0"/>
    <x v="362"/>
    <x v="319"/>
    <n v="904"/>
    <x v="1"/>
    <x v="1"/>
    <x v="0"/>
    <n v="18"/>
    <n v="10.8"/>
    <n v="129.6"/>
    <x v="3"/>
    <x v="2"/>
    <s v="Search Engine"/>
    <x v="0"/>
    <s v="Medium"/>
    <x v="2"/>
    <x v="0"/>
    <n v="129.6"/>
    <d v="2024-05-25T00:00:00"/>
    <m/>
    <d v="2024-05-25T00:00:00"/>
    <n v="0"/>
    <d v="2024-05-25T00:00:00"/>
    <n v="0"/>
    <n v="0"/>
    <n v="0"/>
    <n v="0"/>
    <n v="1"/>
    <n v="0"/>
  </r>
  <r>
    <x v="573"/>
    <n v="58"/>
    <x v="1"/>
    <x v="363"/>
    <x v="117"/>
    <n v="901"/>
    <x v="3"/>
    <x v="2"/>
    <x v="0"/>
    <n v="18"/>
    <n v="16.2"/>
    <n v="0"/>
    <x v="0"/>
    <x v="1"/>
    <s v="Email Campaign"/>
    <x v="0"/>
    <s v="Low"/>
    <x v="0"/>
    <x v="0"/>
    <n v="0"/>
    <d v="2023-07-03T00:00:00"/>
    <m/>
    <d v="2023-07-03T00:00:00"/>
    <n v="0"/>
    <d v="2023-07-03T00:00:00"/>
    <n v="0"/>
    <n v="0"/>
    <n v="0"/>
    <n v="0"/>
    <n v="0"/>
    <n v="0"/>
  </r>
  <r>
    <x v="574"/>
    <n v="20"/>
    <x v="1"/>
    <x v="363"/>
    <x v="117"/>
    <n v="901"/>
    <x v="3"/>
    <x v="2"/>
    <x v="1"/>
    <n v="25"/>
    <n v="22.5"/>
    <n v="0"/>
    <x v="1"/>
    <x v="3"/>
    <s v="Friend"/>
    <x v="3"/>
    <s v="Low"/>
    <x v="1"/>
    <x v="0"/>
    <n v="0"/>
    <d v="2023-07-03T00:00:00"/>
    <m/>
    <d v="2023-07-03T00:00:00"/>
    <n v="0"/>
    <d v="2023-07-03T00:00:00"/>
    <n v="0"/>
    <n v="0"/>
    <n v="0"/>
    <n v="0"/>
    <n v="0"/>
    <n v="0"/>
  </r>
  <r>
    <x v="575"/>
    <n v="45"/>
    <x v="1"/>
    <x v="364"/>
    <x v="320"/>
    <n v="899"/>
    <x v="1"/>
    <x v="1"/>
    <x v="2"/>
    <n v="10"/>
    <n v="6"/>
    <n v="72"/>
    <x v="2"/>
    <x v="2"/>
    <s v="Search Engine"/>
    <x v="4"/>
    <s v="Low"/>
    <x v="0"/>
    <x v="0"/>
    <n v="72"/>
    <d v="2024-05-30T00:00:00"/>
    <m/>
    <d v="2024-05-30T00:00:00"/>
    <n v="0"/>
    <d v="2024-05-30T00:00:00"/>
    <n v="0"/>
    <n v="0"/>
    <n v="0"/>
    <n v="0"/>
    <n v="0"/>
    <n v="0"/>
  </r>
  <r>
    <x v="576"/>
    <n v="21"/>
    <x v="1"/>
    <x v="365"/>
    <x v="2"/>
    <n v="898"/>
    <x v="20"/>
    <x v="0"/>
    <x v="2"/>
    <n v="10"/>
    <n v="7.5"/>
    <n v="216"/>
    <x v="1"/>
    <x v="1"/>
    <s v="Social Media"/>
    <x v="2"/>
    <s v="Medium"/>
    <x v="1"/>
    <x v="1"/>
    <n v="261"/>
    <m/>
    <d v="2025-11-22T00:00:00"/>
    <d v="2025-11-22T00:00:00"/>
    <n v="4"/>
    <d v="2025-11-20T00:00:00"/>
    <n v="1"/>
    <n v="0"/>
    <n v="0"/>
    <n v="0"/>
    <n v="0"/>
    <n v="1"/>
  </r>
  <r>
    <x v="577"/>
    <n v="49"/>
    <x v="0"/>
    <x v="366"/>
    <x v="220"/>
    <n v="896"/>
    <x v="0"/>
    <x v="0"/>
    <x v="1"/>
    <n v="25"/>
    <n v="16.875"/>
    <n v="101.25"/>
    <x v="2"/>
    <x v="0"/>
    <s v="Friend"/>
    <x v="1"/>
    <s v="Medium"/>
    <x v="0"/>
    <x v="0"/>
    <n v="101.25"/>
    <d v="2023-12-05T00:00:00"/>
    <m/>
    <d v="2023-12-05T00:00:00"/>
    <n v="0"/>
    <d v="2023-12-05T00:00:00"/>
    <n v="0"/>
    <n v="0"/>
    <n v="0"/>
    <n v="0"/>
    <n v="0"/>
    <n v="0"/>
  </r>
  <r>
    <x v="578"/>
    <n v="50"/>
    <x v="0"/>
    <x v="367"/>
    <x v="221"/>
    <n v="895"/>
    <x v="0"/>
    <x v="0"/>
    <x v="2"/>
    <n v="10"/>
    <n v="6.75"/>
    <n v="40.5"/>
    <x v="0"/>
    <x v="3"/>
    <s v="Social Media"/>
    <x v="1"/>
    <s v="Low"/>
    <x v="0"/>
    <x v="0"/>
    <n v="40.5"/>
    <d v="2023-12-06T00:00:00"/>
    <m/>
    <d v="2023-12-06T00:00:00"/>
    <n v="0"/>
    <d v="2023-12-06T00:00:00"/>
    <n v="0"/>
    <n v="0"/>
    <n v="0"/>
    <n v="0"/>
    <n v="0"/>
    <n v="0"/>
  </r>
  <r>
    <x v="579"/>
    <n v="39"/>
    <x v="0"/>
    <x v="367"/>
    <x v="2"/>
    <n v="895"/>
    <x v="20"/>
    <x v="2"/>
    <x v="1"/>
    <n v="25"/>
    <n v="25"/>
    <n v="697.5"/>
    <x v="2"/>
    <x v="0"/>
    <s v="Social Media"/>
    <x v="2"/>
    <s v="Very High"/>
    <x v="0"/>
    <x v="1"/>
    <n v="722.5"/>
    <m/>
    <d v="2025-11-25T00:00:00"/>
    <d v="2025-11-25T00:00:00"/>
    <n v="29"/>
    <d v="2025-11-20T00:00:00"/>
    <n v="1"/>
    <n v="0"/>
    <n v="0"/>
    <n v="0"/>
    <n v="0"/>
    <n v="1"/>
  </r>
  <r>
    <x v="580"/>
    <n v="25"/>
    <x v="0"/>
    <x v="368"/>
    <x v="321"/>
    <n v="894"/>
    <x v="3"/>
    <x v="2"/>
    <x v="0"/>
    <n v="18"/>
    <n v="16.2"/>
    <n v="0"/>
    <x v="1"/>
    <x v="1"/>
    <s v="Friend"/>
    <x v="1"/>
    <s v="Low"/>
    <x v="1"/>
    <x v="0"/>
    <n v="0"/>
    <d v="2023-07-10T00:00:00"/>
    <m/>
    <d v="2023-07-10T00:00:00"/>
    <n v="0"/>
    <d v="2023-07-10T00:00:00"/>
    <n v="0"/>
    <n v="0"/>
    <n v="0"/>
    <n v="0"/>
    <n v="0"/>
    <n v="0"/>
  </r>
  <r>
    <x v="581"/>
    <n v="66"/>
    <x v="0"/>
    <x v="368"/>
    <x v="322"/>
    <n v="894"/>
    <x v="1"/>
    <x v="1"/>
    <x v="1"/>
    <n v="25"/>
    <n v="14.999999999999998"/>
    <n v="180"/>
    <x v="3"/>
    <x v="0"/>
    <s v="Email Campaign"/>
    <x v="1"/>
    <s v="Medium"/>
    <x v="2"/>
    <x v="0"/>
    <n v="180"/>
    <d v="2024-06-04T00:00:00"/>
    <m/>
    <d v="2024-06-04T00:00:00"/>
    <n v="0"/>
    <d v="2024-06-04T00:00:00"/>
    <n v="0"/>
    <n v="0"/>
    <n v="0"/>
    <n v="0"/>
    <n v="0"/>
    <n v="0"/>
  </r>
  <r>
    <x v="582"/>
    <n v="18"/>
    <x v="0"/>
    <x v="369"/>
    <x v="323"/>
    <n v="893"/>
    <x v="3"/>
    <x v="2"/>
    <x v="0"/>
    <n v="18"/>
    <n v="16.2"/>
    <n v="0"/>
    <x v="1"/>
    <x v="0"/>
    <s v="Email Campaign"/>
    <x v="3"/>
    <s v="Low"/>
    <x v="4"/>
    <x v="0"/>
    <n v="0"/>
    <d v="2023-07-11T00:00:00"/>
    <m/>
    <d v="2023-07-11T00:00:00"/>
    <n v="0"/>
    <d v="2023-07-11T00:00:00"/>
    <n v="0"/>
    <n v="0"/>
    <n v="0"/>
    <n v="0"/>
    <n v="0"/>
    <n v="0"/>
  </r>
  <r>
    <x v="583"/>
    <n v="23"/>
    <x v="0"/>
    <x v="369"/>
    <x v="2"/>
    <n v="893"/>
    <x v="20"/>
    <x v="2"/>
    <x v="0"/>
    <n v="18"/>
    <n v="18"/>
    <n v="502.2"/>
    <x v="1"/>
    <x v="0"/>
    <s v="None"/>
    <x v="2"/>
    <s v="High"/>
    <x v="1"/>
    <x v="1"/>
    <n v="520.20000000000005"/>
    <m/>
    <d v="2025-11-27T00:00:00"/>
    <d v="2025-11-27T00:00:00"/>
    <n v="29"/>
    <d v="2025-11-20T00:00:00"/>
    <n v="1"/>
    <n v="0"/>
    <n v="0"/>
    <n v="0"/>
    <n v="0"/>
    <n v="1"/>
  </r>
  <r>
    <x v="584"/>
    <n v="42"/>
    <x v="0"/>
    <x v="370"/>
    <x v="324"/>
    <n v="892"/>
    <x v="1"/>
    <x v="1"/>
    <x v="2"/>
    <n v="10"/>
    <n v="6"/>
    <n v="72"/>
    <x v="2"/>
    <x v="3"/>
    <s v="None"/>
    <x v="4"/>
    <s v="Low"/>
    <x v="0"/>
    <x v="0"/>
    <n v="72"/>
    <d v="2024-06-06T00:00:00"/>
    <m/>
    <d v="2024-06-06T00:00:00"/>
    <n v="0"/>
    <d v="2024-06-06T00:00:00"/>
    <n v="0"/>
    <n v="0"/>
    <n v="0"/>
    <n v="0"/>
    <n v="0"/>
    <n v="0"/>
  </r>
  <r>
    <x v="585"/>
    <n v="58"/>
    <x v="0"/>
    <x v="371"/>
    <x v="325"/>
    <n v="891"/>
    <x v="3"/>
    <x v="2"/>
    <x v="2"/>
    <n v="10"/>
    <n v="9"/>
    <n v="0"/>
    <x v="0"/>
    <x v="2"/>
    <s v="Search Engine"/>
    <x v="1"/>
    <s v="Low"/>
    <x v="0"/>
    <x v="0"/>
    <n v="0"/>
    <d v="2023-07-13T00:00:00"/>
    <m/>
    <d v="2023-07-13T00:00:00"/>
    <n v="0"/>
    <d v="2023-07-13T00:00:00"/>
    <n v="0"/>
    <n v="0"/>
    <n v="0"/>
    <n v="0"/>
    <n v="0"/>
    <n v="0"/>
  </r>
  <r>
    <x v="586"/>
    <n v="28"/>
    <x v="1"/>
    <x v="371"/>
    <x v="225"/>
    <n v="891"/>
    <x v="0"/>
    <x v="0"/>
    <x v="2"/>
    <n v="10"/>
    <n v="6.75"/>
    <n v="40.5"/>
    <x v="2"/>
    <x v="2"/>
    <s v="Email Campaign"/>
    <x v="0"/>
    <s v="Low"/>
    <x v="0"/>
    <x v="0"/>
    <n v="40.5"/>
    <d v="2023-12-10T00:00:00"/>
    <m/>
    <d v="2023-12-10T00:00:00"/>
    <n v="0"/>
    <d v="2023-12-10T00:00:00"/>
    <n v="0"/>
    <n v="0"/>
    <n v="0"/>
    <n v="0"/>
    <n v="0"/>
    <n v="0"/>
  </r>
  <r>
    <x v="587"/>
    <n v="57"/>
    <x v="1"/>
    <x v="372"/>
    <x v="2"/>
    <n v="890"/>
    <x v="14"/>
    <x v="1"/>
    <x v="0"/>
    <n v="18"/>
    <n v="12"/>
    <n v="417.6"/>
    <x v="0"/>
    <x v="3"/>
    <s v="Social Media"/>
    <x v="2"/>
    <s v="High"/>
    <x v="0"/>
    <x v="1"/>
    <n v="561.6"/>
    <m/>
    <d v="2026-05-29T00:00:00"/>
    <d v="2026-05-29T00:00:00"/>
    <n v="2"/>
    <d v="2025-11-20T00:00:00"/>
    <n v="1"/>
    <n v="0"/>
    <n v="0"/>
    <n v="0"/>
    <n v="0"/>
    <n v="1"/>
  </r>
  <r>
    <x v="588"/>
    <n v="65"/>
    <x v="0"/>
    <x v="372"/>
    <x v="2"/>
    <n v="890"/>
    <x v="14"/>
    <x v="1"/>
    <x v="1"/>
    <n v="25"/>
    <n v="16.666666666666664"/>
    <n v="580"/>
    <x v="3"/>
    <x v="3"/>
    <s v="Email Campaign"/>
    <x v="2"/>
    <s v="High"/>
    <x v="2"/>
    <x v="1"/>
    <n v="780"/>
    <m/>
    <d v="2026-05-29T00:00:00"/>
    <d v="2026-05-29T00:00:00"/>
    <n v="2"/>
    <d v="2025-11-20T00:00:00"/>
    <n v="1"/>
    <n v="0"/>
    <n v="0"/>
    <n v="0"/>
    <n v="0"/>
    <n v="1"/>
  </r>
  <r>
    <x v="589"/>
    <n v="65"/>
    <x v="0"/>
    <x v="373"/>
    <x v="326"/>
    <n v="889"/>
    <x v="1"/>
    <x v="1"/>
    <x v="2"/>
    <n v="10"/>
    <n v="6"/>
    <n v="72"/>
    <x v="3"/>
    <x v="2"/>
    <s v="Friend"/>
    <x v="4"/>
    <s v="Low"/>
    <x v="2"/>
    <x v="0"/>
    <n v="72"/>
    <d v="2024-06-09T00:00:00"/>
    <m/>
    <d v="2024-06-09T00:00:00"/>
    <n v="0"/>
    <d v="2024-06-09T00:00:00"/>
    <n v="0"/>
    <n v="0"/>
    <n v="0"/>
    <n v="0"/>
    <n v="0"/>
    <n v="0"/>
  </r>
  <r>
    <x v="590"/>
    <n v="29"/>
    <x v="0"/>
    <x v="374"/>
    <x v="126"/>
    <n v="888"/>
    <x v="3"/>
    <x v="2"/>
    <x v="0"/>
    <n v="18"/>
    <n v="16.2"/>
    <n v="0"/>
    <x v="2"/>
    <x v="0"/>
    <s v="None"/>
    <x v="4"/>
    <s v="Low"/>
    <x v="0"/>
    <x v="0"/>
    <n v="0"/>
    <d v="2023-07-16T00:00:00"/>
    <m/>
    <d v="2023-07-16T00:00:00"/>
    <n v="0"/>
    <d v="2023-07-16T00:00:00"/>
    <n v="0"/>
    <n v="0"/>
    <n v="0"/>
    <n v="0"/>
    <n v="0"/>
    <n v="0"/>
  </r>
  <r>
    <x v="591"/>
    <n v="23"/>
    <x v="0"/>
    <x v="374"/>
    <x v="327"/>
    <n v="888"/>
    <x v="1"/>
    <x v="1"/>
    <x v="1"/>
    <n v="25"/>
    <n v="14.999999999999998"/>
    <n v="180"/>
    <x v="1"/>
    <x v="2"/>
    <s v="Email Campaign"/>
    <x v="3"/>
    <s v="Medium"/>
    <x v="1"/>
    <x v="0"/>
    <n v="180"/>
    <d v="2024-06-10T00:00:00"/>
    <m/>
    <d v="2024-06-10T00:00:00"/>
    <n v="0"/>
    <d v="2024-06-10T00:00:00"/>
    <n v="0"/>
    <n v="0"/>
    <n v="0"/>
    <n v="0"/>
    <n v="0"/>
    <n v="0"/>
  </r>
  <r>
    <x v="592"/>
    <n v="29"/>
    <x v="1"/>
    <x v="375"/>
    <x v="328"/>
    <n v="887"/>
    <x v="1"/>
    <x v="1"/>
    <x v="0"/>
    <n v="18"/>
    <n v="10.8"/>
    <n v="129.6"/>
    <x v="2"/>
    <x v="3"/>
    <s v="Social Media"/>
    <x v="1"/>
    <s v="Medium"/>
    <x v="0"/>
    <x v="0"/>
    <n v="129.6"/>
    <d v="2024-06-11T00:00:00"/>
    <m/>
    <d v="2024-06-11T00:00:00"/>
    <n v="0"/>
    <d v="2024-06-11T00:00:00"/>
    <n v="0"/>
    <n v="0"/>
    <n v="0"/>
    <n v="0"/>
    <n v="0"/>
    <n v="0"/>
  </r>
  <r>
    <x v="593"/>
    <n v="31"/>
    <x v="1"/>
    <x v="375"/>
    <x v="2"/>
    <n v="887"/>
    <x v="14"/>
    <x v="1"/>
    <x v="2"/>
    <n v="10"/>
    <n v="6.6666666666666661"/>
    <n v="232"/>
    <x v="2"/>
    <x v="2"/>
    <s v="Friend"/>
    <x v="2"/>
    <s v="Medium"/>
    <x v="0"/>
    <x v="1"/>
    <n v="312"/>
    <m/>
    <d v="2026-06-01T00:00:00"/>
    <d v="2026-06-01T00:00:00"/>
    <n v="2"/>
    <d v="2025-11-20T00:00:00"/>
    <n v="1"/>
    <n v="0"/>
    <n v="0"/>
    <n v="0"/>
    <n v="0"/>
    <n v="1"/>
  </r>
  <r>
    <x v="594"/>
    <n v="63"/>
    <x v="0"/>
    <x v="376"/>
    <x v="230"/>
    <n v="886"/>
    <x v="0"/>
    <x v="0"/>
    <x v="2"/>
    <n v="10"/>
    <n v="6.75"/>
    <n v="40.5"/>
    <x v="3"/>
    <x v="3"/>
    <s v="None"/>
    <x v="1"/>
    <s v="Low"/>
    <x v="2"/>
    <x v="0"/>
    <n v="40.5"/>
    <d v="2023-12-15T00:00:00"/>
    <m/>
    <d v="2023-12-15T00:00:00"/>
    <n v="0"/>
    <d v="2023-12-15T00:00:00"/>
    <n v="0"/>
    <n v="0"/>
    <n v="0"/>
    <n v="0"/>
    <n v="0"/>
    <n v="0"/>
  </r>
  <r>
    <x v="595"/>
    <n v="26"/>
    <x v="0"/>
    <x v="376"/>
    <x v="329"/>
    <n v="886"/>
    <x v="1"/>
    <x v="1"/>
    <x v="2"/>
    <n v="10"/>
    <n v="6"/>
    <n v="72"/>
    <x v="2"/>
    <x v="0"/>
    <s v="Email Campaign"/>
    <x v="3"/>
    <s v="Low"/>
    <x v="0"/>
    <x v="0"/>
    <n v="72"/>
    <d v="2024-06-12T00:00:00"/>
    <m/>
    <d v="2024-06-12T00:00:00"/>
    <n v="0"/>
    <d v="2024-06-12T00:00:00"/>
    <n v="0"/>
    <n v="0"/>
    <n v="0"/>
    <n v="0"/>
    <n v="0"/>
    <n v="0"/>
  </r>
  <r>
    <x v="596"/>
    <n v="24"/>
    <x v="1"/>
    <x v="377"/>
    <x v="330"/>
    <n v="883"/>
    <x v="1"/>
    <x v="1"/>
    <x v="2"/>
    <n v="10"/>
    <n v="6"/>
    <n v="72"/>
    <x v="1"/>
    <x v="3"/>
    <s v="Search Engine"/>
    <x v="3"/>
    <s v="Low"/>
    <x v="1"/>
    <x v="0"/>
    <n v="72"/>
    <d v="2024-06-15T00:00:00"/>
    <m/>
    <d v="2024-06-15T00:00:00"/>
    <n v="0"/>
    <d v="2024-06-15T00:00:00"/>
    <n v="0"/>
    <n v="0"/>
    <n v="0"/>
    <n v="0"/>
    <n v="0"/>
    <n v="0"/>
  </r>
  <r>
    <x v="597"/>
    <n v="64"/>
    <x v="1"/>
    <x v="377"/>
    <x v="330"/>
    <n v="883"/>
    <x v="1"/>
    <x v="1"/>
    <x v="0"/>
    <n v="18"/>
    <n v="10.8"/>
    <n v="129.6"/>
    <x v="3"/>
    <x v="1"/>
    <s v="Social Media"/>
    <x v="0"/>
    <s v="Medium"/>
    <x v="2"/>
    <x v="0"/>
    <n v="129.6"/>
    <d v="2024-06-15T00:00:00"/>
    <m/>
    <d v="2024-06-15T00:00:00"/>
    <n v="0"/>
    <d v="2024-06-15T00:00:00"/>
    <n v="0"/>
    <n v="0"/>
    <n v="0"/>
    <n v="0"/>
    <n v="0"/>
    <n v="0"/>
  </r>
  <r>
    <x v="598"/>
    <n v="48"/>
    <x v="1"/>
    <x v="378"/>
    <x v="237"/>
    <n v="878"/>
    <x v="0"/>
    <x v="0"/>
    <x v="0"/>
    <n v="18"/>
    <n v="12.15"/>
    <n v="72.900000000000006"/>
    <x v="2"/>
    <x v="0"/>
    <s v="Friend"/>
    <x v="4"/>
    <s v="Low"/>
    <x v="0"/>
    <x v="0"/>
    <n v="72.900000000000006"/>
    <d v="2023-12-23T00:00:00"/>
    <m/>
    <d v="2023-12-23T00:00:00"/>
    <n v="0"/>
    <d v="2023-12-23T00:00:00"/>
    <n v="0"/>
    <n v="0"/>
    <n v="0"/>
    <n v="0"/>
    <n v="0"/>
    <n v="0"/>
  </r>
  <r>
    <x v="599"/>
    <n v="40"/>
    <x v="1"/>
    <x v="378"/>
    <x v="2"/>
    <n v="878"/>
    <x v="20"/>
    <x v="2"/>
    <x v="1"/>
    <n v="25"/>
    <n v="25"/>
    <n v="697.5"/>
    <x v="2"/>
    <x v="3"/>
    <s v="Email Campaign"/>
    <x v="2"/>
    <s v="Very High"/>
    <x v="0"/>
    <x v="1"/>
    <n v="722.5"/>
    <m/>
    <d v="2025-12-12T00:00:00"/>
    <d v="2025-12-12T00:00:00"/>
    <n v="29"/>
    <d v="2025-11-20T00:00:00"/>
    <n v="1"/>
    <n v="0"/>
    <n v="0"/>
    <n v="0"/>
    <n v="0"/>
    <n v="1"/>
  </r>
  <r>
    <x v="600"/>
    <n v="69"/>
    <x v="0"/>
    <x v="379"/>
    <x v="239"/>
    <n v="875"/>
    <x v="0"/>
    <x v="0"/>
    <x v="0"/>
    <n v="18"/>
    <n v="12.15"/>
    <n v="72.900000000000006"/>
    <x v="3"/>
    <x v="0"/>
    <s v="Email Campaign"/>
    <x v="4"/>
    <s v="Low"/>
    <x v="2"/>
    <x v="0"/>
    <n v="72.900000000000006"/>
    <d v="2023-12-26T00:00:00"/>
    <m/>
    <d v="2023-12-26T00:00:00"/>
    <n v="0"/>
    <d v="2023-12-26T00:00:00"/>
    <n v="0"/>
    <n v="0"/>
    <n v="0"/>
    <n v="0"/>
    <n v="0"/>
    <n v="0"/>
  </r>
  <r>
    <x v="601"/>
    <n v="23"/>
    <x v="0"/>
    <x v="380"/>
    <x v="331"/>
    <n v="874"/>
    <x v="1"/>
    <x v="1"/>
    <x v="2"/>
    <n v="10"/>
    <n v="6"/>
    <n v="72"/>
    <x v="1"/>
    <x v="1"/>
    <s v="Search Engine"/>
    <x v="3"/>
    <s v="Low"/>
    <x v="1"/>
    <x v="0"/>
    <n v="72"/>
    <d v="2024-06-24T00:00:00"/>
    <m/>
    <d v="2024-06-24T00:00:00"/>
    <n v="0"/>
    <d v="2024-06-24T00:00:00"/>
    <n v="0"/>
    <n v="0"/>
    <n v="0"/>
    <n v="0"/>
    <n v="0"/>
    <n v="0"/>
  </r>
  <r>
    <x v="602"/>
    <n v="53"/>
    <x v="1"/>
    <x v="380"/>
    <x v="2"/>
    <n v="874"/>
    <x v="20"/>
    <x v="0"/>
    <x v="2"/>
    <n v="10"/>
    <n v="7.5"/>
    <n v="216"/>
    <x v="0"/>
    <x v="0"/>
    <s v="Search Engine"/>
    <x v="2"/>
    <s v="Medium"/>
    <x v="0"/>
    <x v="1"/>
    <n v="261"/>
    <m/>
    <d v="2025-12-16T00:00:00"/>
    <d v="2025-12-16T00:00:00"/>
    <n v="4"/>
    <d v="2025-11-20T00:00:00"/>
    <n v="1"/>
    <n v="0"/>
    <n v="0"/>
    <n v="0"/>
    <n v="0"/>
    <n v="1"/>
  </r>
  <r>
    <x v="603"/>
    <n v="26"/>
    <x v="1"/>
    <x v="381"/>
    <x v="2"/>
    <n v="873"/>
    <x v="20"/>
    <x v="2"/>
    <x v="1"/>
    <n v="25"/>
    <n v="25"/>
    <n v="697.5"/>
    <x v="2"/>
    <x v="1"/>
    <s v="None"/>
    <x v="2"/>
    <s v="Very High"/>
    <x v="0"/>
    <x v="1"/>
    <n v="722.5"/>
    <m/>
    <d v="2025-12-17T00:00:00"/>
    <d v="2025-12-17T00:00:00"/>
    <n v="29"/>
    <d v="2025-11-20T00:00:00"/>
    <n v="1"/>
    <n v="0"/>
    <n v="0"/>
    <n v="0"/>
    <n v="0"/>
    <n v="1"/>
  </r>
  <r>
    <x v="604"/>
    <n v="49"/>
    <x v="1"/>
    <x v="382"/>
    <x v="332"/>
    <n v="872"/>
    <x v="1"/>
    <x v="1"/>
    <x v="1"/>
    <n v="25"/>
    <n v="14.999999999999998"/>
    <n v="180"/>
    <x v="2"/>
    <x v="1"/>
    <s v="Friend"/>
    <x v="1"/>
    <s v="Medium"/>
    <x v="0"/>
    <x v="0"/>
    <n v="180"/>
    <d v="2024-06-26T00:00:00"/>
    <m/>
    <d v="2024-06-26T00:00:00"/>
    <n v="0"/>
    <d v="2024-06-26T00:00:00"/>
    <n v="0"/>
    <n v="0"/>
    <n v="0"/>
    <n v="0"/>
    <n v="0"/>
    <n v="0"/>
  </r>
  <r>
    <x v="605"/>
    <n v="72"/>
    <x v="1"/>
    <x v="383"/>
    <x v="2"/>
    <n v="871"/>
    <x v="20"/>
    <x v="2"/>
    <x v="1"/>
    <n v="25"/>
    <n v="25"/>
    <n v="697.5"/>
    <x v="4"/>
    <x v="3"/>
    <s v="Friend"/>
    <x v="2"/>
    <s v="Very High"/>
    <x v="3"/>
    <x v="1"/>
    <n v="722.5"/>
    <m/>
    <d v="2025-12-19T00:00:00"/>
    <d v="2025-12-19T00:00:00"/>
    <n v="29"/>
    <d v="2025-11-20T00:00:00"/>
    <n v="1"/>
    <n v="0"/>
    <n v="0"/>
    <n v="0"/>
    <n v="0"/>
    <n v="1"/>
  </r>
  <r>
    <x v="606"/>
    <n v="54"/>
    <x v="0"/>
    <x v="384"/>
    <x v="2"/>
    <n v="870"/>
    <x v="20"/>
    <x v="0"/>
    <x v="2"/>
    <n v="10"/>
    <n v="7.5"/>
    <n v="216"/>
    <x v="0"/>
    <x v="1"/>
    <s v="Email Campaign"/>
    <x v="2"/>
    <s v="Medium"/>
    <x v="0"/>
    <x v="1"/>
    <n v="261"/>
    <m/>
    <d v="2025-12-20T00:00:00"/>
    <d v="2025-12-20T00:00:00"/>
    <n v="4"/>
    <d v="2025-11-20T00:00:00"/>
    <n v="1"/>
    <n v="0"/>
    <n v="0"/>
    <n v="0"/>
    <n v="0"/>
    <n v="1"/>
  </r>
  <r>
    <x v="607"/>
    <n v="45"/>
    <x v="1"/>
    <x v="385"/>
    <x v="333"/>
    <n v="869"/>
    <x v="1"/>
    <x v="1"/>
    <x v="1"/>
    <n v="25"/>
    <n v="14.999999999999998"/>
    <n v="180"/>
    <x v="2"/>
    <x v="2"/>
    <s v="Search Engine"/>
    <x v="3"/>
    <s v="Medium"/>
    <x v="0"/>
    <x v="0"/>
    <n v="180"/>
    <d v="2024-06-29T00:00:00"/>
    <m/>
    <d v="2024-06-29T00:00:00"/>
    <n v="0"/>
    <d v="2024-06-29T00:00:00"/>
    <n v="0"/>
    <n v="0"/>
    <n v="0"/>
    <n v="0"/>
    <n v="0"/>
    <n v="0"/>
  </r>
  <r>
    <x v="608"/>
    <n v="49"/>
    <x v="1"/>
    <x v="386"/>
    <x v="2"/>
    <n v="867"/>
    <x v="21"/>
    <x v="2"/>
    <x v="2"/>
    <n v="10"/>
    <n v="10"/>
    <n v="269"/>
    <x v="2"/>
    <x v="0"/>
    <s v="Email Campaign"/>
    <x v="2"/>
    <s v="Medium"/>
    <x v="0"/>
    <x v="1"/>
    <n v="279"/>
    <m/>
    <d v="2025-11-23T00:00:00"/>
    <d v="2025-11-23T00:00:00"/>
    <n v="28"/>
    <d v="2025-11-20T00:00:00"/>
    <n v="1"/>
    <n v="0"/>
    <n v="0"/>
    <n v="0"/>
    <n v="0"/>
    <n v="1"/>
  </r>
  <r>
    <x v="609"/>
    <n v="27"/>
    <x v="0"/>
    <x v="387"/>
    <x v="142"/>
    <n v="866"/>
    <x v="3"/>
    <x v="2"/>
    <x v="0"/>
    <n v="18"/>
    <n v="16.2"/>
    <n v="0"/>
    <x v="2"/>
    <x v="2"/>
    <s v="Email Campaign"/>
    <x v="5"/>
    <s v="Low"/>
    <x v="0"/>
    <x v="0"/>
    <n v="0"/>
    <d v="2023-08-07T00:00:00"/>
    <m/>
    <d v="2023-08-07T00:00:00"/>
    <n v="0"/>
    <d v="2023-08-07T00:00:00"/>
    <n v="0"/>
    <n v="0"/>
    <n v="0"/>
    <n v="0"/>
    <n v="0"/>
    <n v="0"/>
  </r>
  <r>
    <x v="610"/>
    <n v="45"/>
    <x v="1"/>
    <x v="388"/>
    <x v="334"/>
    <n v="865"/>
    <x v="1"/>
    <x v="1"/>
    <x v="1"/>
    <n v="25"/>
    <n v="14.999999999999998"/>
    <n v="180"/>
    <x v="2"/>
    <x v="3"/>
    <s v="Email Campaign"/>
    <x v="3"/>
    <s v="Medium"/>
    <x v="0"/>
    <x v="0"/>
    <n v="180"/>
    <d v="2024-07-03T00:00:00"/>
    <m/>
    <d v="2024-07-03T00:00:00"/>
    <n v="0"/>
    <d v="2024-07-03T00:00:00"/>
    <n v="0"/>
    <n v="0"/>
    <n v="0"/>
    <n v="0"/>
    <n v="0"/>
    <n v="0"/>
  </r>
  <r>
    <x v="611"/>
    <n v="29"/>
    <x v="0"/>
    <x v="388"/>
    <x v="334"/>
    <n v="865"/>
    <x v="1"/>
    <x v="1"/>
    <x v="0"/>
    <n v="18"/>
    <n v="10.8"/>
    <n v="129.6"/>
    <x v="2"/>
    <x v="2"/>
    <s v="Search Engine"/>
    <x v="5"/>
    <s v="Medium"/>
    <x v="0"/>
    <x v="0"/>
    <n v="129.6"/>
    <d v="2024-07-03T00:00:00"/>
    <m/>
    <d v="2024-07-03T00:00:00"/>
    <n v="0"/>
    <d v="2024-07-03T00:00:00"/>
    <n v="0"/>
    <n v="0"/>
    <n v="0"/>
    <n v="0"/>
    <n v="0"/>
    <n v="0"/>
  </r>
  <r>
    <x v="612"/>
    <n v="25"/>
    <x v="0"/>
    <x v="388"/>
    <x v="2"/>
    <n v="865"/>
    <x v="20"/>
    <x v="0"/>
    <x v="2"/>
    <n v="10"/>
    <n v="7.5"/>
    <n v="216"/>
    <x v="1"/>
    <x v="1"/>
    <s v="Email Campaign"/>
    <x v="2"/>
    <s v="Medium"/>
    <x v="1"/>
    <x v="1"/>
    <n v="261"/>
    <m/>
    <d v="2025-12-25T00:00:00"/>
    <d v="2025-12-25T00:00:00"/>
    <n v="4"/>
    <d v="2025-11-20T00:00:00"/>
    <n v="1"/>
    <n v="0"/>
    <n v="0"/>
    <n v="0"/>
    <n v="0"/>
    <n v="1"/>
  </r>
  <r>
    <x v="613"/>
    <n v="53"/>
    <x v="0"/>
    <x v="389"/>
    <x v="335"/>
    <n v="864"/>
    <x v="1"/>
    <x v="1"/>
    <x v="1"/>
    <n v="25"/>
    <n v="14.999999999999998"/>
    <n v="180"/>
    <x v="0"/>
    <x v="0"/>
    <s v="Search Engine"/>
    <x v="0"/>
    <s v="Medium"/>
    <x v="0"/>
    <x v="0"/>
    <n v="180"/>
    <d v="2024-07-04T00:00:00"/>
    <m/>
    <d v="2024-07-04T00:00:00"/>
    <n v="0"/>
    <d v="2024-07-04T00:00:00"/>
    <n v="0"/>
    <n v="0"/>
    <n v="0"/>
    <n v="0"/>
    <n v="0"/>
    <n v="0"/>
  </r>
  <r>
    <x v="614"/>
    <n v="26"/>
    <x v="0"/>
    <x v="389"/>
    <x v="335"/>
    <n v="864"/>
    <x v="1"/>
    <x v="1"/>
    <x v="0"/>
    <n v="18"/>
    <n v="10.8"/>
    <n v="129.6"/>
    <x v="2"/>
    <x v="2"/>
    <s v="Friend"/>
    <x v="3"/>
    <s v="Medium"/>
    <x v="0"/>
    <x v="0"/>
    <n v="129.6"/>
    <d v="2024-07-04T00:00:00"/>
    <m/>
    <d v="2024-07-04T00:00:00"/>
    <n v="0"/>
    <d v="2024-07-04T00:00:00"/>
    <n v="0"/>
    <n v="0"/>
    <n v="0"/>
    <n v="0"/>
    <n v="0"/>
    <n v="0"/>
  </r>
  <r>
    <x v="615"/>
    <n v="67"/>
    <x v="0"/>
    <x v="390"/>
    <x v="336"/>
    <n v="863"/>
    <x v="1"/>
    <x v="1"/>
    <x v="1"/>
    <n v="25"/>
    <n v="14.999999999999998"/>
    <n v="180"/>
    <x v="3"/>
    <x v="0"/>
    <s v="Email Campaign"/>
    <x v="0"/>
    <s v="Medium"/>
    <x v="2"/>
    <x v="0"/>
    <n v="180"/>
    <d v="2024-07-05T00:00:00"/>
    <m/>
    <d v="2024-07-05T00:00:00"/>
    <n v="0"/>
    <d v="2024-07-05T00:00:00"/>
    <n v="0"/>
    <n v="0"/>
    <n v="0"/>
    <n v="0"/>
    <n v="0"/>
    <n v="0"/>
  </r>
  <r>
    <x v="616"/>
    <n v="57"/>
    <x v="0"/>
    <x v="391"/>
    <x v="337"/>
    <n v="861"/>
    <x v="3"/>
    <x v="2"/>
    <x v="1"/>
    <n v="25"/>
    <n v="22.5"/>
    <n v="0"/>
    <x v="0"/>
    <x v="2"/>
    <s v="Search Engine"/>
    <x v="1"/>
    <s v="Low"/>
    <x v="0"/>
    <x v="0"/>
    <n v="0"/>
    <d v="2023-08-12T00:00:00"/>
    <m/>
    <d v="2023-08-12T00:00:00"/>
    <n v="0"/>
    <d v="2023-08-12T00:00:00"/>
    <n v="0"/>
    <n v="0"/>
    <n v="0"/>
    <n v="0"/>
    <n v="0"/>
    <n v="0"/>
  </r>
  <r>
    <x v="617"/>
    <n v="55"/>
    <x v="0"/>
    <x v="392"/>
    <x v="338"/>
    <n v="859"/>
    <x v="0"/>
    <x v="0"/>
    <x v="0"/>
    <n v="18"/>
    <n v="12.15"/>
    <n v="72.900000000000006"/>
    <x v="0"/>
    <x v="2"/>
    <s v="None"/>
    <x v="5"/>
    <s v="Low"/>
    <x v="0"/>
    <x v="0"/>
    <n v="72.900000000000006"/>
    <d v="2024-01-11T00:00:00"/>
    <m/>
    <d v="2024-01-11T00:00:00"/>
    <n v="0"/>
    <d v="2024-01-11T00:00:00"/>
    <n v="0"/>
    <n v="0"/>
    <n v="0"/>
    <n v="0"/>
    <n v="0"/>
    <n v="0"/>
  </r>
  <r>
    <x v="618"/>
    <n v="31"/>
    <x v="1"/>
    <x v="392"/>
    <x v="338"/>
    <n v="859"/>
    <x v="0"/>
    <x v="0"/>
    <x v="1"/>
    <n v="25"/>
    <n v="16.875"/>
    <n v="101.25"/>
    <x v="2"/>
    <x v="0"/>
    <s v="Search Engine"/>
    <x v="0"/>
    <s v="Medium"/>
    <x v="0"/>
    <x v="0"/>
    <n v="101.25"/>
    <d v="2024-01-11T00:00:00"/>
    <m/>
    <d v="2024-01-11T00:00:00"/>
    <n v="0"/>
    <d v="2024-01-11T00:00:00"/>
    <n v="0"/>
    <n v="0"/>
    <n v="0"/>
    <n v="0"/>
    <n v="0"/>
    <n v="0"/>
  </r>
  <r>
    <x v="619"/>
    <n v="41"/>
    <x v="0"/>
    <x v="392"/>
    <x v="339"/>
    <n v="859"/>
    <x v="1"/>
    <x v="1"/>
    <x v="0"/>
    <n v="18"/>
    <n v="10.8"/>
    <n v="129.6"/>
    <x v="2"/>
    <x v="0"/>
    <s v="Email Campaign"/>
    <x v="5"/>
    <s v="Medium"/>
    <x v="0"/>
    <x v="0"/>
    <n v="129.6"/>
    <d v="2024-07-09T00:00:00"/>
    <m/>
    <d v="2024-07-09T00:00:00"/>
    <n v="0"/>
    <d v="2024-07-09T00:00:00"/>
    <n v="0"/>
    <n v="0"/>
    <n v="0"/>
    <n v="0"/>
    <n v="0"/>
    <n v="0"/>
  </r>
  <r>
    <x v="620"/>
    <n v="21"/>
    <x v="1"/>
    <x v="393"/>
    <x v="340"/>
    <n v="858"/>
    <x v="1"/>
    <x v="1"/>
    <x v="0"/>
    <n v="18"/>
    <n v="10.8"/>
    <n v="129.6"/>
    <x v="1"/>
    <x v="0"/>
    <s v="Email Campaign"/>
    <x v="5"/>
    <s v="Medium"/>
    <x v="1"/>
    <x v="0"/>
    <n v="129.6"/>
    <d v="2024-07-10T00:00:00"/>
    <m/>
    <d v="2024-07-10T00:00:00"/>
    <n v="0"/>
    <d v="2024-07-10T00:00:00"/>
    <n v="0"/>
    <n v="0"/>
    <n v="0"/>
    <n v="0"/>
    <n v="0"/>
    <n v="0"/>
  </r>
  <r>
    <x v="621"/>
    <n v="65"/>
    <x v="0"/>
    <x v="394"/>
    <x v="341"/>
    <n v="857"/>
    <x v="1"/>
    <x v="1"/>
    <x v="2"/>
    <n v="10"/>
    <n v="6"/>
    <n v="72"/>
    <x v="3"/>
    <x v="0"/>
    <s v="Friend"/>
    <x v="5"/>
    <s v="Low"/>
    <x v="2"/>
    <x v="0"/>
    <n v="72"/>
    <d v="2024-07-11T00:00:00"/>
    <m/>
    <d v="2024-07-11T00:00:00"/>
    <n v="0"/>
    <d v="2024-07-11T00:00:00"/>
    <n v="0"/>
    <n v="0"/>
    <n v="0"/>
    <n v="0"/>
    <n v="0"/>
    <n v="0"/>
  </r>
  <r>
    <x v="622"/>
    <n v="57"/>
    <x v="0"/>
    <x v="395"/>
    <x v="147"/>
    <n v="856"/>
    <x v="3"/>
    <x v="2"/>
    <x v="1"/>
    <n v="25"/>
    <n v="22.5"/>
    <n v="0"/>
    <x v="0"/>
    <x v="1"/>
    <s v="None"/>
    <x v="1"/>
    <s v="Low"/>
    <x v="0"/>
    <x v="0"/>
    <n v="0"/>
    <d v="2023-08-17T00:00:00"/>
    <m/>
    <d v="2023-08-17T00:00:00"/>
    <n v="0"/>
    <d v="2023-08-17T00:00:00"/>
    <n v="0"/>
    <n v="0"/>
    <n v="0"/>
    <n v="0"/>
    <n v="0"/>
    <n v="0"/>
  </r>
  <r>
    <x v="623"/>
    <n v="62"/>
    <x v="0"/>
    <x v="395"/>
    <x v="342"/>
    <n v="856"/>
    <x v="1"/>
    <x v="1"/>
    <x v="1"/>
    <n v="25"/>
    <n v="14.999999999999998"/>
    <n v="180"/>
    <x v="3"/>
    <x v="3"/>
    <s v="Friend"/>
    <x v="3"/>
    <s v="Medium"/>
    <x v="2"/>
    <x v="0"/>
    <n v="180"/>
    <d v="2024-07-12T00:00:00"/>
    <m/>
    <d v="2024-07-12T00:00:00"/>
    <n v="0"/>
    <d v="2024-07-12T00:00:00"/>
    <n v="0"/>
    <n v="0"/>
    <n v="0"/>
    <n v="0"/>
    <n v="0"/>
    <n v="0"/>
  </r>
  <r>
    <x v="624"/>
    <n v="62"/>
    <x v="0"/>
    <x v="396"/>
    <x v="343"/>
    <n v="852"/>
    <x v="0"/>
    <x v="0"/>
    <x v="1"/>
    <n v="25"/>
    <n v="16.875"/>
    <n v="101.25"/>
    <x v="3"/>
    <x v="2"/>
    <s v="Friend"/>
    <x v="3"/>
    <s v="Medium"/>
    <x v="2"/>
    <x v="0"/>
    <n v="101.25"/>
    <d v="2024-01-18T00:00:00"/>
    <m/>
    <d v="2024-01-18T00:00:00"/>
    <n v="0"/>
    <d v="2024-01-18T00:00:00"/>
    <n v="0"/>
    <n v="0"/>
    <n v="0"/>
    <n v="0"/>
    <n v="0"/>
    <n v="0"/>
  </r>
  <r>
    <x v="625"/>
    <n v="18"/>
    <x v="1"/>
    <x v="396"/>
    <x v="2"/>
    <n v="852"/>
    <x v="21"/>
    <x v="2"/>
    <x v="1"/>
    <n v="25"/>
    <n v="25"/>
    <n v="672.5"/>
    <x v="1"/>
    <x v="2"/>
    <s v="Email Campaign"/>
    <x v="2"/>
    <s v="Very High"/>
    <x v="4"/>
    <x v="1"/>
    <n v="697.5"/>
    <m/>
    <d v="2025-12-08T00:00:00"/>
    <d v="2025-12-08T00:00:00"/>
    <n v="28"/>
    <d v="2025-11-20T00:00:00"/>
    <n v="1"/>
    <n v="0"/>
    <n v="0"/>
    <n v="0"/>
    <n v="0"/>
    <n v="1"/>
  </r>
  <r>
    <x v="626"/>
    <n v="56"/>
    <x v="0"/>
    <x v="397"/>
    <x v="344"/>
    <n v="851"/>
    <x v="0"/>
    <x v="0"/>
    <x v="0"/>
    <n v="18"/>
    <n v="12.15"/>
    <n v="72.900000000000006"/>
    <x v="0"/>
    <x v="2"/>
    <s v="Email Campaign"/>
    <x v="5"/>
    <s v="Low"/>
    <x v="0"/>
    <x v="0"/>
    <n v="72.900000000000006"/>
    <d v="2024-01-19T00:00:00"/>
    <m/>
    <d v="2024-01-19T00:00:00"/>
    <n v="0"/>
    <d v="2024-01-19T00:00:00"/>
    <n v="0"/>
    <n v="0"/>
    <n v="0"/>
    <n v="0"/>
    <n v="0"/>
    <n v="0"/>
  </r>
  <r>
    <x v="627"/>
    <n v="27"/>
    <x v="0"/>
    <x v="398"/>
    <x v="345"/>
    <n v="849"/>
    <x v="0"/>
    <x v="0"/>
    <x v="2"/>
    <n v="10"/>
    <n v="6.75"/>
    <n v="40.5"/>
    <x v="2"/>
    <x v="2"/>
    <s v="None"/>
    <x v="5"/>
    <s v="Low"/>
    <x v="0"/>
    <x v="0"/>
    <n v="40.5"/>
    <d v="2024-01-21T00:00:00"/>
    <m/>
    <d v="2024-01-21T00:00:00"/>
    <n v="0"/>
    <d v="2024-01-21T00:00:00"/>
    <n v="0"/>
    <n v="0"/>
    <n v="0"/>
    <n v="0"/>
    <n v="0"/>
    <n v="0"/>
  </r>
  <r>
    <x v="628"/>
    <n v="21"/>
    <x v="1"/>
    <x v="399"/>
    <x v="346"/>
    <n v="848"/>
    <x v="1"/>
    <x v="1"/>
    <x v="2"/>
    <n v="10"/>
    <n v="6"/>
    <n v="72"/>
    <x v="1"/>
    <x v="0"/>
    <s v="Email Campaign"/>
    <x v="0"/>
    <s v="Low"/>
    <x v="1"/>
    <x v="0"/>
    <n v="72"/>
    <d v="2024-07-20T00:00:00"/>
    <m/>
    <d v="2024-07-20T00:00:00"/>
    <n v="0"/>
    <d v="2024-07-20T00:00:00"/>
    <n v="0"/>
    <n v="0"/>
    <n v="0"/>
    <n v="0"/>
    <n v="0"/>
    <n v="0"/>
  </r>
  <r>
    <x v="629"/>
    <n v="29"/>
    <x v="1"/>
    <x v="399"/>
    <x v="346"/>
    <n v="848"/>
    <x v="1"/>
    <x v="1"/>
    <x v="1"/>
    <n v="25"/>
    <n v="14.999999999999998"/>
    <n v="180"/>
    <x v="2"/>
    <x v="2"/>
    <s v="None"/>
    <x v="3"/>
    <s v="Medium"/>
    <x v="0"/>
    <x v="0"/>
    <n v="180"/>
    <d v="2024-07-20T00:00:00"/>
    <m/>
    <d v="2024-07-20T00:00:00"/>
    <n v="0"/>
    <d v="2024-07-20T00:00:00"/>
    <n v="0"/>
    <n v="0"/>
    <n v="0"/>
    <n v="0"/>
    <n v="0"/>
    <n v="0"/>
  </r>
  <r>
    <x v="630"/>
    <n v="36"/>
    <x v="1"/>
    <x v="400"/>
    <x v="347"/>
    <n v="847"/>
    <x v="1"/>
    <x v="1"/>
    <x v="2"/>
    <n v="10"/>
    <n v="6"/>
    <n v="72"/>
    <x v="2"/>
    <x v="0"/>
    <s v="Social Media"/>
    <x v="1"/>
    <s v="Low"/>
    <x v="0"/>
    <x v="0"/>
    <n v="72"/>
    <d v="2024-07-21T00:00:00"/>
    <m/>
    <d v="2024-07-21T00:00:00"/>
    <n v="0"/>
    <d v="2024-07-21T00:00:00"/>
    <n v="0"/>
    <n v="0"/>
    <n v="0"/>
    <n v="0"/>
    <n v="0"/>
    <n v="0"/>
  </r>
  <r>
    <x v="631"/>
    <n v="26"/>
    <x v="0"/>
    <x v="400"/>
    <x v="2"/>
    <n v="847"/>
    <x v="14"/>
    <x v="1"/>
    <x v="1"/>
    <n v="25"/>
    <n v="16.666666666666664"/>
    <n v="580"/>
    <x v="2"/>
    <x v="2"/>
    <s v="Email Campaign"/>
    <x v="2"/>
    <s v="High"/>
    <x v="0"/>
    <x v="1"/>
    <n v="780"/>
    <m/>
    <d v="2026-07-11T00:00:00"/>
    <d v="2026-07-11T00:00:00"/>
    <n v="2"/>
    <d v="2025-11-20T00:00:00"/>
    <n v="1"/>
    <n v="0"/>
    <n v="0"/>
    <n v="0"/>
    <n v="0"/>
    <n v="1"/>
  </r>
  <r>
    <x v="632"/>
    <n v="23"/>
    <x v="1"/>
    <x v="401"/>
    <x v="348"/>
    <n v="846"/>
    <x v="1"/>
    <x v="1"/>
    <x v="1"/>
    <n v="25"/>
    <n v="14.999999999999998"/>
    <n v="180"/>
    <x v="1"/>
    <x v="1"/>
    <s v="None"/>
    <x v="5"/>
    <s v="Medium"/>
    <x v="1"/>
    <x v="0"/>
    <n v="180"/>
    <d v="2024-07-22T00:00:00"/>
    <m/>
    <d v="2024-07-22T00:00:00"/>
    <n v="0"/>
    <d v="2024-07-22T00:00:00"/>
    <n v="0"/>
    <n v="0"/>
    <n v="0"/>
    <n v="0"/>
    <n v="0"/>
    <n v="0"/>
  </r>
  <r>
    <x v="633"/>
    <n v="61"/>
    <x v="0"/>
    <x v="401"/>
    <x v="348"/>
    <n v="846"/>
    <x v="1"/>
    <x v="1"/>
    <x v="1"/>
    <n v="25"/>
    <n v="14.999999999999998"/>
    <n v="180"/>
    <x v="3"/>
    <x v="0"/>
    <s v="Friend"/>
    <x v="1"/>
    <s v="Medium"/>
    <x v="2"/>
    <x v="0"/>
    <n v="180"/>
    <d v="2024-07-22T00:00:00"/>
    <m/>
    <d v="2024-07-22T00:00:00"/>
    <n v="0"/>
    <d v="2024-07-22T00:00:00"/>
    <n v="0"/>
    <n v="0"/>
    <n v="0"/>
    <n v="0"/>
    <n v="0"/>
    <n v="0"/>
  </r>
  <r>
    <x v="634"/>
    <n v="70"/>
    <x v="1"/>
    <x v="401"/>
    <x v="2"/>
    <n v="846"/>
    <x v="21"/>
    <x v="2"/>
    <x v="1"/>
    <n v="25"/>
    <n v="25"/>
    <n v="672.5"/>
    <x v="3"/>
    <x v="3"/>
    <s v="Friend"/>
    <x v="2"/>
    <s v="Very High"/>
    <x v="3"/>
    <x v="1"/>
    <n v="697.5"/>
    <m/>
    <d v="2025-12-14T00:00:00"/>
    <d v="2025-12-14T00:00:00"/>
    <n v="28"/>
    <d v="2025-11-20T00:00:00"/>
    <n v="1"/>
    <n v="0"/>
    <n v="0"/>
    <n v="0"/>
    <n v="0"/>
    <n v="1"/>
  </r>
  <r>
    <x v="635"/>
    <n v="37"/>
    <x v="0"/>
    <x v="402"/>
    <x v="154"/>
    <n v="845"/>
    <x v="3"/>
    <x v="2"/>
    <x v="0"/>
    <n v="18"/>
    <n v="16.2"/>
    <n v="0"/>
    <x v="2"/>
    <x v="2"/>
    <s v="Email Campaign"/>
    <x v="4"/>
    <s v="Low"/>
    <x v="0"/>
    <x v="0"/>
    <n v="0"/>
    <d v="2023-08-28T00:00:00"/>
    <m/>
    <d v="2023-08-28T00:00:00"/>
    <n v="0"/>
    <d v="2023-08-28T00:00:00"/>
    <n v="0"/>
    <n v="0"/>
    <n v="0"/>
    <n v="0"/>
    <n v="0"/>
    <n v="0"/>
  </r>
  <r>
    <x v="636"/>
    <n v="65"/>
    <x v="0"/>
    <x v="402"/>
    <x v="249"/>
    <n v="845"/>
    <x v="0"/>
    <x v="0"/>
    <x v="0"/>
    <n v="18"/>
    <n v="12.15"/>
    <n v="72.900000000000006"/>
    <x v="3"/>
    <x v="3"/>
    <s v="Email Campaign"/>
    <x v="4"/>
    <s v="Low"/>
    <x v="2"/>
    <x v="0"/>
    <n v="72.900000000000006"/>
    <d v="2024-01-25T00:00:00"/>
    <m/>
    <d v="2024-01-25T00:00:00"/>
    <n v="0"/>
    <d v="2024-01-25T00:00:00"/>
    <n v="0"/>
    <n v="0"/>
    <n v="0"/>
    <n v="0"/>
    <n v="0"/>
    <n v="0"/>
  </r>
  <r>
    <x v="637"/>
    <n v="64"/>
    <x v="1"/>
    <x v="402"/>
    <x v="2"/>
    <n v="845"/>
    <x v="14"/>
    <x v="1"/>
    <x v="2"/>
    <n v="10"/>
    <n v="6.6666666666666661"/>
    <n v="232"/>
    <x v="3"/>
    <x v="1"/>
    <s v="Search Engine"/>
    <x v="2"/>
    <s v="Medium"/>
    <x v="2"/>
    <x v="1"/>
    <n v="312"/>
    <m/>
    <d v="2026-07-13T00:00:00"/>
    <d v="2026-07-13T00:00:00"/>
    <n v="2"/>
    <d v="2025-11-20T00:00:00"/>
    <n v="1"/>
    <n v="0"/>
    <n v="0"/>
    <n v="0"/>
    <n v="0"/>
    <n v="1"/>
  </r>
  <r>
    <x v="638"/>
    <n v="39"/>
    <x v="1"/>
    <x v="402"/>
    <x v="2"/>
    <n v="845"/>
    <x v="21"/>
    <x v="2"/>
    <x v="2"/>
    <n v="10"/>
    <n v="10"/>
    <n v="269"/>
    <x v="2"/>
    <x v="3"/>
    <s v="Email Campaign"/>
    <x v="2"/>
    <s v="Medium"/>
    <x v="0"/>
    <x v="1"/>
    <n v="279"/>
    <m/>
    <d v="2025-12-15T00:00:00"/>
    <d v="2025-12-15T00:00:00"/>
    <n v="28"/>
    <d v="2025-11-20T00:00:00"/>
    <n v="1"/>
    <n v="0"/>
    <n v="0"/>
    <n v="0"/>
    <n v="0"/>
    <n v="1"/>
  </r>
  <r>
    <x v="639"/>
    <n v="62"/>
    <x v="0"/>
    <x v="403"/>
    <x v="155"/>
    <n v="844"/>
    <x v="3"/>
    <x v="2"/>
    <x v="1"/>
    <n v="25"/>
    <n v="22.5"/>
    <n v="0"/>
    <x v="3"/>
    <x v="0"/>
    <s v="Email Campaign"/>
    <x v="4"/>
    <s v="Low"/>
    <x v="2"/>
    <x v="0"/>
    <n v="0"/>
    <d v="2023-08-29T00:00:00"/>
    <m/>
    <d v="2023-08-29T00:00:00"/>
    <n v="0"/>
    <d v="2023-08-29T00:00:00"/>
    <n v="0"/>
    <n v="0"/>
    <n v="0"/>
    <n v="0"/>
    <n v="0"/>
    <n v="0"/>
  </r>
  <r>
    <x v="640"/>
    <n v="45"/>
    <x v="0"/>
    <x v="403"/>
    <x v="349"/>
    <n v="844"/>
    <x v="1"/>
    <x v="1"/>
    <x v="1"/>
    <n v="25"/>
    <n v="14.999999999999998"/>
    <n v="180"/>
    <x v="2"/>
    <x v="2"/>
    <s v="Friend"/>
    <x v="0"/>
    <s v="Medium"/>
    <x v="0"/>
    <x v="0"/>
    <n v="180"/>
    <d v="2024-07-24T00:00:00"/>
    <m/>
    <d v="2024-07-24T00:00:00"/>
    <n v="0"/>
    <d v="2024-07-24T00:00:00"/>
    <n v="0"/>
    <n v="0"/>
    <n v="0"/>
    <n v="0"/>
    <n v="0"/>
    <n v="0"/>
  </r>
  <r>
    <x v="641"/>
    <n v="43"/>
    <x v="1"/>
    <x v="404"/>
    <x v="350"/>
    <n v="842"/>
    <x v="1"/>
    <x v="1"/>
    <x v="2"/>
    <n v="10"/>
    <n v="6"/>
    <n v="72"/>
    <x v="2"/>
    <x v="0"/>
    <s v="Search Engine"/>
    <x v="5"/>
    <s v="Low"/>
    <x v="0"/>
    <x v="0"/>
    <n v="72"/>
    <d v="2024-07-26T00:00:00"/>
    <m/>
    <d v="2024-07-26T00:00:00"/>
    <n v="0"/>
    <d v="2024-07-26T00:00:00"/>
    <n v="0"/>
    <n v="0"/>
    <n v="0"/>
    <n v="0"/>
    <n v="0"/>
    <n v="0"/>
  </r>
  <r>
    <x v="642"/>
    <n v="26"/>
    <x v="1"/>
    <x v="404"/>
    <x v="350"/>
    <n v="842"/>
    <x v="1"/>
    <x v="1"/>
    <x v="2"/>
    <n v="10"/>
    <n v="6"/>
    <n v="72"/>
    <x v="2"/>
    <x v="2"/>
    <s v="None"/>
    <x v="4"/>
    <s v="Low"/>
    <x v="0"/>
    <x v="0"/>
    <n v="72"/>
    <d v="2024-07-26T00:00:00"/>
    <m/>
    <d v="2024-07-26T00:00:00"/>
    <n v="0"/>
    <d v="2024-07-26T00:00:00"/>
    <n v="0"/>
    <n v="0"/>
    <n v="0"/>
    <n v="0"/>
    <n v="0"/>
    <n v="0"/>
  </r>
  <r>
    <x v="643"/>
    <n v="66"/>
    <x v="0"/>
    <x v="404"/>
    <x v="2"/>
    <n v="842"/>
    <x v="14"/>
    <x v="1"/>
    <x v="1"/>
    <n v="25"/>
    <n v="16.666666666666664"/>
    <n v="580"/>
    <x v="3"/>
    <x v="1"/>
    <s v="Social Media"/>
    <x v="2"/>
    <s v="High"/>
    <x v="2"/>
    <x v="1"/>
    <n v="780"/>
    <m/>
    <d v="2026-07-16T00:00:00"/>
    <d v="2026-07-16T00:00:00"/>
    <n v="2"/>
    <d v="2025-11-20T00:00:00"/>
    <n v="1"/>
    <n v="0"/>
    <n v="0"/>
    <n v="0"/>
    <n v="0"/>
    <n v="1"/>
  </r>
  <r>
    <x v="644"/>
    <n v="22"/>
    <x v="1"/>
    <x v="405"/>
    <x v="351"/>
    <n v="841"/>
    <x v="3"/>
    <x v="2"/>
    <x v="0"/>
    <n v="18"/>
    <n v="16.2"/>
    <n v="0"/>
    <x v="1"/>
    <x v="0"/>
    <s v="Friend"/>
    <x v="1"/>
    <s v="Low"/>
    <x v="1"/>
    <x v="0"/>
    <n v="0"/>
    <d v="2023-09-01T00:00:00"/>
    <m/>
    <d v="2023-09-01T00:00:00"/>
    <n v="0"/>
    <d v="2023-09-01T00:00:00"/>
    <n v="0"/>
    <n v="0"/>
    <n v="0"/>
    <n v="0"/>
    <n v="0"/>
    <n v="0"/>
  </r>
  <r>
    <x v="645"/>
    <n v="48"/>
    <x v="0"/>
    <x v="406"/>
    <x v="156"/>
    <n v="840"/>
    <x v="3"/>
    <x v="2"/>
    <x v="2"/>
    <n v="10"/>
    <n v="9"/>
    <n v="0"/>
    <x v="2"/>
    <x v="0"/>
    <s v="Social Media"/>
    <x v="1"/>
    <s v="Low"/>
    <x v="0"/>
    <x v="0"/>
    <n v="0"/>
    <d v="2023-09-02T00:00:00"/>
    <m/>
    <d v="2023-09-02T00:00:00"/>
    <n v="0"/>
    <d v="2023-09-02T00:00:00"/>
    <n v="0"/>
    <n v="0"/>
    <n v="0"/>
    <n v="0"/>
    <n v="0"/>
    <n v="0"/>
  </r>
  <r>
    <x v="646"/>
    <n v="44"/>
    <x v="1"/>
    <x v="406"/>
    <x v="352"/>
    <n v="840"/>
    <x v="1"/>
    <x v="1"/>
    <x v="1"/>
    <n v="25"/>
    <n v="14.999999999999998"/>
    <n v="180"/>
    <x v="2"/>
    <x v="0"/>
    <s v="Email Campaign"/>
    <x v="3"/>
    <s v="Medium"/>
    <x v="0"/>
    <x v="0"/>
    <n v="180"/>
    <d v="2024-07-28T00:00:00"/>
    <m/>
    <d v="2024-07-28T00:00:00"/>
    <n v="0"/>
    <d v="2024-07-28T00:00:00"/>
    <n v="0"/>
    <n v="0"/>
    <n v="0"/>
    <n v="0"/>
    <n v="0"/>
    <n v="0"/>
  </r>
  <r>
    <x v="647"/>
    <n v="57"/>
    <x v="0"/>
    <x v="406"/>
    <x v="2"/>
    <n v="840"/>
    <x v="14"/>
    <x v="1"/>
    <x v="0"/>
    <n v="18"/>
    <n v="12"/>
    <n v="417.6"/>
    <x v="0"/>
    <x v="0"/>
    <s v="Friend"/>
    <x v="2"/>
    <s v="High"/>
    <x v="0"/>
    <x v="1"/>
    <n v="561.6"/>
    <m/>
    <d v="2026-07-18T00:00:00"/>
    <d v="2026-07-18T00:00:00"/>
    <n v="2"/>
    <d v="2025-11-20T00:00:00"/>
    <n v="1"/>
    <n v="0"/>
    <n v="0"/>
    <n v="0"/>
    <n v="0"/>
    <n v="1"/>
  </r>
  <r>
    <x v="648"/>
    <n v="73"/>
    <x v="1"/>
    <x v="407"/>
    <x v="353"/>
    <n v="839"/>
    <x v="1"/>
    <x v="1"/>
    <x v="2"/>
    <n v="10"/>
    <n v="6"/>
    <n v="72"/>
    <x v="4"/>
    <x v="1"/>
    <s v="Search Engine"/>
    <x v="5"/>
    <s v="Low"/>
    <x v="3"/>
    <x v="0"/>
    <n v="72"/>
    <d v="2024-07-29T00:00:00"/>
    <m/>
    <d v="2024-07-29T00:00:00"/>
    <n v="0"/>
    <d v="2024-07-29T00:00:00"/>
    <n v="0"/>
    <n v="0"/>
    <n v="0"/>
    <n v="0"/>
    <n v="0"/>
    <n v="0"/>
  </r>
  <r>
    <x v="649"/>
    <n v="27"/>
    <x v="1"/>
    <x v="407"/>
    <x v="2"/>
    <n v="839"/>
    <x v="22"/>
    <x v="2"/>
    <x v="0"/>
    <n v="18"/>
    <n v="18"/>
    <n v="466.2"/>
    <x v="2"/>
    <x v="1"/>
    <s v="None"/>
    <x v="2"/>
    <s v="High"/>
    <x v="0"/>
    <x v="1"/>
    <n v="484.2"/>
    <m/>
    <d v="2025-11-21T00:00:00"/>
    <d v="2025-11-21T00:00:00"/>
    <n v="27"/>
    <d v="2025-11-20T00:00:00"/>
    <n v="1"/>
    <n v="0"/>
    <n v="0"/>
    <n v="0"/>
    <n v="0"/>
    <n v="1"/>
  </r>
  <r>
    <x v="650"/>
    <n v="64"/>
    <x v="1"/>
    <x v="408"/>
    <x v="354"/>
    <n v="838"/>
    <x v="1"/>
    <x v="1"/>
    <x v="1"/>
    <n v="25"/>
    <n v="14.999999999999998"/>
    <n v="180"/>
    <x v="3"/>
    <x v="3"/>
    <s v="Email Campaign"/>
    <x v="4"/>
    <s v="Medium"/>
    <x v="2"/>
    <x v="0"/>
    <n v="180"/>
    <d v="2024-07-30T00:00:00"/>
    <m/>
    <d v="2024-07-30T00:00:00"/>
    <n v="0"/>
    <d v="2024-07-30T00:00:00"/>
    <n v="0"/>
    <n v="0"/>
    <n v="0"/>
    <n v="0"/>
    <n v="0"/>
    <n v="0"/>
  </r>
  <r>
    <x v="651"/>
    <n v="52"/>
    <x v="0"/>
    <x v="409"/>
    <x v="2"/>
    <n v="836"/>
    <x v="14"/>
    <x v="1"/>
    <x v="0"/>
    <n v="18"/>
    <n v="12"/>
    <n v="417.6"/>
    <x v="0"/>
    <x v="0"/>
    <s v="Friend"/>
    <x v="2"/>
    <s v="High"/>
    <x v="0"/>
    <x v="1"/>
    <n v="561.6"/>
    <m/>
    <d v="2026-07-22T00:00:00"/>
    <d v="2026-07-22T00:00:00"/>
    <n v="2"/>
    <d v="2025-11-20T00:00:00"/>
    <n v="1"/>
    <n v="0"/>
    <n v="0"/>
    <n v="0"/>
    <n v="0"/>
    <n v="1"/>
  </r>
  <r>
    <x v="652"/>
    <n v="61"/>
    <x v="1"/>
    <x v="409"/>
    <x v="2"/>
    <n v="836"/>
    <x v="22"/>
    <x v="2"/>
    <x v="1"/>
    <n v="25"/>
    <n v="25"/>
    <n v="647.5"/>
    <x v="3"/>
    <x v="2"/>
    <s v="Search Engine"/>
    <x v="2"/>
    <s v="Very High"/>
    <x v="2"/>
    <x v="1"/>
    <n v="672.5"/>
    <m/>
    <d v="2025-11-24T00:00:00"/>
    <d v="2025-11-24T00:00:00"/>
    <n v="27"/>
    <d v="2025-11-20T00:00:00"/>
    <n v="1"/>
    <n v="0"/>
    <n v="0"/>
    <n v="0"/>
    <n v="0"/>
    <n v="1"/>
  </r>
  <r>
    <x v="653"/>
    <n v="44"/>
    <x v="1"/>
    <x v="410"/>
    <x v="355"/>
    <n v="833"/>
    <x v="1"/>
    <x v="1"/>
    <x v="2"/>
    <n v="10"/>
    <n v="6"/>
    <n v="72"/>
    <x v="2"/>
    <x v="1"/>
    <s v="Social Media"/>
    <x v="5"/>
    <s v="Low"/>
    <x v="0"/>
    <x v="0"/>
    <n v="72"/>
    <d v="2024-08-04T00:00:00"/>
    <m/>
    <d v="2024-08-04T00:00:00"/>
    <n v="0"/>
    <d v="2024-08-04T00:00:00"/>
    <n v="0"/>
    <n v="0"/>
    <n v="0"/>
    <n v="0"/>
    <n v="0"/>
    <n v="0"/>
  </r>
  <r>
    <x v="654"/>
    <n v="40"/>
    <x v="0"/>
    <x v="411"/>
    <x v="257"/>
    <n v="831"/>
    <x v="0"/>
    <x v="0"/>
    <x v="0"/>
    <n v="18"/>
    <n v="12.15"/>
    <n v="72.900000000000006"/>
    <x v="2"/>
    <x v="3"/>
    <s v="Friend"/>
    <x v="1"/>
    <s v="Low"/>
    <x v="0"/>
    <x v="0"/>
    <n v="72.900000000000006"/>
    <d v="2024-02-08T00:00:00"/>
    <m/>
    <d v="2024-02-08T00:00:00"/>
    <n v="0"/>
    <d v="2024-02-08T00:00:00"/>
    <n v="0"/>
    <n v="0"/>
    <n v="0"/>
    <n v="0"/>
    <n v="0"/>
    <n v="0"/>
  </r>
  <r>
    <x v="655"/>
    <n v="70"/>
    <x v="0"/>
    <x v="411"/>
    <x v="356"/>
    <n v="831"/>
    <x v="1"/>
    <x v="1"/>
    <x v="2"/>
    <n v="10"/>
    <n v="6"/>
    <n v="72"/>
    <x v="3"/>
    <x v="2"/>
    <s v="None"/>
    <x v="3"/>
    <s v="Low"/>
    <x v="3"/>
    <x v="0"/>
    <n v="72"/>
    <d v="2024-08-06T00:00:00"/>
    <m/>
    <d v="2024-08-06T00:00:00"/>
    <n v="0"/>
    <d v="2024-08-06T00:00:00"/>
    <n v="0"/>
    <n v="0"/>
    <n v="0"/>
    <n v="0"/>
    <n v="0"/>
    <n v="0"/>
  </r>
  <r>
    <x v="656"/>
    <n v="27"/>
    <x v="1"/>
    <x v="411"/>
    <x v="2"/>
    <n v="831"/>
    <x v="22"/>
    <x v="2"/>
    <x v="1"/>
    <n v="25"/>
    <n v="25"/>
    <n v="647.5"/>
    <x v="2"/>
    <x v="0"/>
    <s v="None"/>
    <x v="2"/>
    <s v="Very High"/>
    <x v="0"/>
    <x v="1"/>
    <n v="672.5"/>
    <m/>
    <d v="2025-11-29T00:00:00"/>
    <d v="2025-11-29T00:00:00"/>
    <n v="27"/>
    <d v="2025-11-20T00:00:00"/>
    <n v="1"/>
    <n v="0"/>
    <n v="0"/>
    <n v="0"/>
    <n v="0"/>
    <n v="1"/>
  </r>
  <r>
    <x v="657"/>
    <n v="74"/>
    <x v="1"/>
    <x v="412"/>
    <x v="2"/>
    <n v="829"/>
    <x v="20"/>
    <x v="0"/>
    <x v="0"/>
    <n v="18"/>
    <n v="13.5"/>
    <n v="388.8"/>
    <x v="4"/>
    <x v="3"/>
    <s v="Search Engine"/>
    <x v="2"/>
    <s v="High"/>
    <x v="3"/>
    <x v="1"/>
    <n v="469.8"/>
    <m/>
    <d v="2026-01-30T00:00:00"/>
    <d v="2026-01-30T00:00:00"/>
    <n v="4"/>
    <d v="2025-11-20T00:00:00"/>
    <n v="1"/>
    <n v="0"/>
    <n v="0"/>
    <n v="0"/>
    <n v="0"/>
    <n v="1"/>
  </r>
  <r>
    <x v="658"/>
    <n v="26"/>
    <x v="1"/>
    <x v="413"/>
    <x v="357"/>
    <n v="828"/>
    <x v="0"/>
    <x v="0"/>
    <x v="1"/>
    <n v="25"/>
    <n v="16.875"/>
    <n v="101.25"/>
    <x v="2"/>
    <x v="0"/>
    <s v="Friend"/>
    <x v="3"/>
    <s v="Medium"/>
    <x v="0"/>
    <x v="0"/>
    <n v="101.25"/>
    <d v="2024-02-11T00:00:00"/>
    <m/>
    <d v="2024-02-11T00:00:00"/>
    <n v="0"/>
    <d v="2024-02-11T00:00:00"/>
    <n v="0"/>
    <n v="0"/>
    <n v="0"/>
    <n v="0"/>
    <n v="0"/>
    <n v="0"/>
  </r>
  <r>
    <x v="659"/>
    <n v="23"/>
    <x v="1"/>
    <x v="413"/>
    <x v="358"/>
    <n v="828"/>
    <x v="1"/>
    <x v="1"/>
    <x v="0"/>
    <n v="18"/>
    <n v="10.8"/>
    <n v="129.6"/>
    <x v="1"/>
    <x v="2"/>
    <s v="Friend"/>
    <x v="5"/>
    <s v="Medium"/>
    <x v="1"/>
    <x v="0"/>
    <n v="129.6"/>
    <d v="2024-08-09T00:00:00"/>
    <m/>
    <d v="2024-08-09T00:00:00"/>
    <n v="0"/>
    <d v="2024-08-09T00:00:00"/>
    <n v="0"/>
    <n v="0"/>
    <n v="0"/>
    <n v="0"/>
    <n v="0"/>
    <n v="0"/>
  </r>
  <r>
    <x v="660"/>
    <n v="58"/>
    <x v="0"/>
    <x v="413"/>
    <x v="2"/>
    <n v="828"/>
    <x v="22"/>
    <x v="2"/>
    <x v="0"/>
    <n v="18"/>
    <n v="18"/>
    <n v="466.2"/>
    <x v="0"/>
    <x v="3"/>
    <s v="Email Campaign"/>
    <x v="2"/>
    <s v="High"/>
    <x v="0"/>
    <x v="1"/>
    <n v="484.2"/>
    <m/>
    <d v="2025-12-02T00:00:00"/>
    <d v="2025-12-02T00:00:00"/>
    <n v="27"/>
    <d v="2025-11-20T00:00:00"/>
    <n v="1"/>
    <n v="0"/>
    <n v="0"/>
    <n v="0"/>
    <n v="0"/>
    <n v="1"/>
  </r>
  <r>
    <x v="661"/>
    <n v="42"/>
    <x v="1"/>
    <x v="414"/>
    <x v="359"/>
    <n v="823"/>
    <x v="0"/>
    <x v="0"/>
    <x v="1"/>
    <n v="25"/>
    <n v="16.875"/>
    <n v="101.25"/>
    <x v="2"/>
    <x v="3"/>
    <s v="Email Campaign"/>
    <x v="4"/>
    <s v="Medium"/>
    <x v="0"/>
    <x v="0"/>
    <n v="101.25"/>
    <d v="2024-02-16T00:00:00"/>
    <m/>
    <d v="2024-02-16T00:00:00"/>
    <n v="0"/>
    <d v="2024-02-16T00:00:00"/>
    <n v="0"/>
    <n v="0"/>
    <n v="0"/>
    <n v="0"/>
    <n v="0"/>
    <n v="0"/>
  </r>
  <r>
    <x v="662"/>
    <n v="30"/>
    <x v="1"/>
    <x v="414"/>
    <x v="2"/>
    <n v="823"/>
    <x v="22"/>
    <x v="2"/>
    <x v="2"/>
    <n v="10"/>
    <n v="10"/>
    <n v="259"/>
    <x v="2"/>
    <x v="3"/>
    <s v="Friend"/>
    <x v="2"/>
    <s v="Medium"/>
    <x v="0"/>
    <x v="1"/>
    <n v="269"/>
    <m/>
    <d v="2025-12-07T00:00:00"/>
    <d v="2025-12-07T00:00:00"/>
    <n v="27"/>
    <d v="2025-11-20T00:00:00"/>
    <n v="1"/>
    <n v="0"/>
    <n v="0"/>
    <n v="0"/>
    <n v="0"/>
    <n v="1"/>
  </r>
  <r>
    <x v="663"/>
    <n v="73"/>
    <x v="1"/>
    <x v="415"/>
    <x v="360"/>
    <n v="821"/>
    <x v="0"/>
    <x v="0"/>
    <x v="2"/>
    <n v="10"/>
    <n v="6.75"/>
    <n v="40.5"/>
    <x v="4"/>
    <x v="2"/>
    <s v="Social Media"/>
    <x v="0"/>
    <s v="Low"/>
    <x v="3"/>
    <x v="0"/>
    <n v="40.5"/>
    <d v="2024-02-18T00:00:00"/>
    <m/>
    <d v="2024-02-18T00:00:00"/>
    <n v="0"/>
    <d v="2024-02-18T00:00:00"/>
    <n v="0"/>
    <n v="0"/>
    <n v="0"/>
    <n v="0"/>
    <n v="0"/>
    <n v="0"/>
  </r>
  <r>
    <x v="664"/>
    <n v="32"/>
    <x v="1"/>
    <x v="415"/>
    <x v="360"/>
    <n v="821"/>
    <x v="0"/>
    <x v="0"/>
    <x v="0"/>
    <n v="18"/>
    <n v="12.15"/>
    <n v="72.900000000000006"/>
    <x v="2"/>
    <x v="2"/>
    <s v="Social Media"/>
    <x v="5"/>
    <s v="Low"/>
    <x v="0"/>
    <x v="0"/>
    <n v="72.900000000000006"/>
    <d v="2024-02-18T00:00:00"/>
    <m/>
    <d v="2024-02-18T00:00:00"/>
    <n v="0"/>
    <d v="2024-02-18T00:00:00"/>
    <n v="0"/>
    <n v="0"/>
    <n v="0"/>
    <n v="0"/>
    <n v="0"/>
    <n v="0"/>
  </r>
  <r>
    <x v="665"/>
    <n v="34"/>
    <x v="0"/>
    <x v="415"/>
    <x v="361"/>
    <n v="821"/>
    <x v="1"/>
    <x v="1"/>
    <x v="2"/>
    <n v="10"/>
    <n v="6"/>
    <n v="72"/>
    <x v="2"/>
    <x v="0"/>
    <s v="None"/>
    <x v="5"/>
    <s v="Low"/>
    <x v="0"/>
    <x v="0"/>
    <n v="72"/>
    <d v="2024-08-16T00:00:00"/>
    <m/>
    <d v="2024-08-16T00:00:00"/>
    <n v="0"/>
    <d v="2024-08-16T00:00:00"/>
    <n v="0"/>
    <n v="0"/>
    <n v="0"/>
    <n v="0"/>
    <n v="0"/>
    <n v="0"/>
  </r>
  <r>
    <x v="666"/>
    <n v="44"/>
    <x v="1"/>
    <x v="416"/>
    <x v="362"/>
    <n v="820"/>
    <x v="1"/>
    <x v="1"/>
    <x v="0"/>
    <n v="18"/>
    <n v="10.8"/>
    <n v="129.6"/>
    <x v="2"/>
    <x v="1"/>
    <s v="Social Media"/>
    <x v="0"/>
    <s v="Medium"/>
    <x v="0"/>
    <x v="0"/>
    <n v="129.6"/>
    <d v="2024-08-17T00:00:00"/>
    <m/>
    <d v="2024-08-17T00:00:00"/>
    <n v="0"/>
    <d v="2024-08-17T00:00:00"/>
    <n v="0"/>
    <n v="0"/>
    <n v="0"/>
    <n v="0"/>
    <n v="0"/>
    <n v="0"/>
  </r>
  <r>
    <x v="667"/>
    <n v="22"/>
    <x v="1"/>
    <x v="416"/>
    <x v="2"/>
    <n v="820"/>
    <x v="14"/>
    <x v="1"/>
    <x v="0"/>
    <n v="18"/>
    <n v="12"/>
    <n v="417.6"/>
    <x v="1"/>
    <x v="1"/>
    <s v="Social Media"/>
    <x v="2"/>
    <s v="High"/>
    <x v="1"/>
    <x v="1"/>
    <n v="561.6"/>
    <m/>
    <d v="2026-08-07T00:00:00"/>
    <d v="2026-08-07T00:00:00"/>
    <n v="2"/>
    <d v="2025-11-20T00:00:00"/>
    <n v="1"/>
    <n v="0"/>
    <n v="0"/>
    <n v="0"/>
    <n v="0"/>
    <n v="1"/>
  </r>
  <r>
    <x v="668"/>
    <n v="48"/>
    <x v="0"/>
    <x v="417"/>
    <x v="2"/>
    <n v="819"/>
    <x v="20"/>
    <x v="0"/>
    <x v="2"/>
    <n v="10"/>
    <n v="7.5"/>
    <n v="216"/>
    <x v="2"/>
    <x v="0"/>
    <s v="Social Media"/>
    <x v="2"/>
    <s v="Medium"/>
    <x v="0"/>
    <x v="1"/>
    <n v="261"/>
    <m/>
    <d v="2026-02-09T00:00:00"/>
    <d v="2026-02-09T00:00:00"/>
    <n v="4"/>
    <d v="2025-11-20T00:00:00"/>
    <n v="1"/>
    <n v="0"/>
    <n v="0"/>
    <n v="0"/>
    <n v="0"/>
    <n v="1"/>
  </r>
  <r>
    <x v="669"/>
    <n v="34"/>
    <x v="0"/>
    <x v="418"/>
    <x v="171"/>
    <n v="818"/>
    <x v="3"/>
    <x v="2"/>
    <x v="2"/>
    <n v="10"/>
    <n v="9"/>
    <n v="0"/>
    <x v="2"/>
    <x v="0"/>
    <s v="Email Campaign"/>
    <x v="4"/>
    <s v="Low"/>
    <x v="0"/>
    <x v="0"/>
    <n v="0"/>
    <d v="2023-09-24T00:00:00"/>
    <m/>
    <d v="2023-09-24T00:00:00"/>
    <n v="0"/>
    <d v="2023-09-24T00:00:00"/>
    <n v="0"/>
    <n v="0"/>
    <n v="0"/>
    <n v="0"/>
    <n v="0"/>
    <n v="0"/>
  </r>
  <r>
    <x v="670"/>
    <n v="74"/>
    <x v="0"/>
    <x v="418"/>
    <x v="363"/>
    <n v="818"/>
    <x v="1"/>
    <x v="1"/>
    <x v="2"/>
    <n v="10"/>
    <n v="6"/>
    <n v="72"/>
    <x v="4"/>
    <x v="2"/>
    <s v="None"/>
    <x v="0"/>
    <s v="Low"/>
    <x v="3"/>
    <x v="0"/>
    <n v="72"/>
    <d v="2024-08-19T00:00:00"/>
    <m/>
    <d v="2024-08-19T00:00:00"/>
    <n v="0"/>
    <d v="2024-08-19T00:00:00"/>
    <n v="0"/>
    <n v="0"/>
    <n v="0"/>
    <n v="0"/>
    <n v="0"/>
    <n v="0"/>
  </r>
  <r>
    <x v="671"/>
    <n v="71"/>
    <x v="0"/>
    <x v="418"/>
    <x v="363"/>
    <n v="818"/>
    <x v="1"/>
    <x v="1"/>
    <x v="0"/>
    <n v="18"/>
    <n v="10.8"/>
    <n v="129.6"/>
    <x v="4"/>
    <x v="1"/>
    <s v="Email Campaign"/>
    <x v="1"/>
    <s v="Medium"/>
    <x v="3"/>
    <x v="0"/>
    <n v="129.6"/>
    <d v="2024-08-19T00:00:00"/>
    <m/>
    <d v="2024-08-19T00:00:00"/>
    <n v="0"/>
    <d v="2024-08-19T00:00:00"/>
    <n v="0"/>
    <n v="0"/>
    <n v="0"/>
    <n v="0"/>
    <n v="0"/>
    <n v="0"/>
  </r>
  <r>
    <x v="672"/>
    <n v="50"/>
    <x v="1"/>
    <x v="419"/>
    <x v="2"/>
    <n v="817"/>
    <x v="14"/>
    <x v="1"/>
    <x v="1"/>
    <n v="25"/>
    <n v="16.666666666666664"/>
    <n v="580"/>
    <x v="0"/>
    <x v="0"/>
    <s v="Friend"/>
    <x v="2"/>
    <s v="High"/>
    <x v="0"/>
    <x v="1"/>
    <n v="780"/>
    <m/>
    <d v="2026-08-10T00:00:00"/>
    <d v="2026-08-10T00:00:00"/>
    <n v="2"/>
    <d v="2025-11-20T00:00:00"/>
    <n v="1"/>
    <n v="0"/>
    <n v="0"/>
    <n v="0"/>
    <n v="0"/>
    <n v="1"/>
  </r>
  <r>
    <x v="673"/>
    <n v="75"/>
    <x v="0"/>
    <x v="419"/>
    <x v="2"/>
    <n v="817"/>
    <x v="20"/>
    <x v="0"/>
    <x v="0"/>
    <n v="18"/>
    <n v="13.5"/>
    <n v="388.8"/>
    <x v="4"/>
    <x v="3"/>
    <s v="None"/>
    <x v="2"/>
    <s v="High"/>
    <x v="3"/>
    <x v="1"/>
    <n v="469.8"/>
    <m/>
    <d v="2026-02-11T00:00:00"/>
    <d v="2026-02-11T00:00:00"/>
    <n v="4"/>
    <d v="2025-11-20T00:00:00"/>
    <n v="1"/>
    <n v="0"/>
    <n v="0"/>
    <n v="0"/>
    <n v="0"/>
    <n v="1"/>
  </r>
  <r>
    <x v="674"/>
    <n v="38"/>
    <x v="0"/>
    <x v="420"/>
    <x v="264"/>
    <n v="816"/>
    <x v="0"/>
    <x v="0"/>
    <x v="1"/>
    <n v="25"/>
    <n v="16.875"/>
    <n v="101.25"/>
    <x v="2"/>
    <x v="3"/>
    <s v="Friend"/>
    <x v="0"/>
    <s v="Medium"/>
    <x v="0"/>
    <x v="0"/>
    <n v="101.25"/>
    <d v="2024-02-23T00:00:00"/>
    <m/>
    <d v="2024-02-23T00:00:00"/>
    <n v="0"/>
    <d v="2024-02-23T00:00:00"/>
    <n v="0"/>
    <n v="0"/>
    <n v="0"/>
    <n v="0"/>
    <n v="0"/>
    <n v="0"/>
  </r>
  <r>
    <x v="675"/>
    <n v="70"/>
    <x v="0"/>
    <x v="420"/>
    <x v="364"/>
    <n v="816"/>
    <x v="1"/>
    <x v="1"/>
    <x v="1"/>
    <n v="25"/>
    <n v="14.999999999999998"/>
    <n v="180"/>
    <x v="3"/>
    <x v="3"/>
    <s v="Friend"/>
    <x v="3"/>
    <s v="Medium"/>
    <x v="3"/>
    <x v="0"/>
    <n v="180"/>
    <d v="2024-08-21T00:00:00"/>
    <m/>
    <d v="2024-08-21T00:00:00"/>
    <n v="0"/>
    <d v="2024-08-21T00:00:00"/>
    <n v="0"/>
    <n v="0"/>
    <n v="0"/>
    <n v="0"/>
    <n v="0"/>
    <n v="0"/>
  </r>
  <r>
    <x v="676"/>
    <n v="51"/>
    <x v="0"/>
    <x v="421"/>
    <x v="175"/>
    <n v="814"/>
    <x v="3"/>
    <x v="2"/>
    <x v="0"/>
    <n v="18"/>
    <n v="16.2"/>
    <n v="0"/>
    <x v="0"/>
    <x v="0"/>
    <s v="Email Campaign"/>
    <x v="3"/>
    <s v="Low"/>
    <x v="0"/>
    <x v="0"/>
    <n v="0"/>
    <d v="2023-09-28T00:00:00"/>
    <m/>
    <d v="2023-09-28T00:00:00"/>
    <n v="0"/>
    <d v="2023-09-28T00:00:00"/>
    <n v="0"/>
    <n v="0"/>
    <n v="0"/>
    <n v="0"/>
    <n v="0"/>
    <n v="0"/>
  </r>
  <r>
    <x v="677"/>
    <n v="32"/>
    <x v="0"/>
    <x v="421"/>
    <x v="365"/>
    <n v="814"/>
    <x v="1"/>
    <x v="1"/>
    <x v="2"/>
    <n v="10"/>
    <n v="6"/>
    <n v="72"/>
    <x v="2"/>
    <x v="2"/>
    <s v="Email Campaign"/>
    <x v="4"/>
    <s v="Low"/>
    <x v="0"/>
    <x v="0"/>
    <n v="72"/>
    <d v="2024-08-23T00:00:00"/>
    <m/>
    <d v="2024-08-23T00:00:00"/>
    <n v="0"/>
    <d v="2024-08-23T00:00:00"/>
    <n v="0"/>
    <n v="0"/>
    <n v="0"/>
    <n v="0"/>
    <n v="0"/>
    <n v="0"/>
  </r>
  <r>
    <x v="678"/>
    <n v="63"/>
    <x v="0"/>
    <x v="421"/>
    <x v="2"/>
    <n v="814"/>
    <x v="22"/>
    <x v="2"/>
    <x v="2"/>
    <n v="10"/>
    <n v="10"/>
    <n v="259"/>
    <x v="3"/>
    <x v="3"/>
    <s v="None"/>
    <x v="2"/>
    <s v="Medium"/>
    <x v="2"/>
    <x v="1"/>
    <n v="269"/>
    <m/>
    <d v="2025-12-16T00:00:00"/>
    <d v="2025-12-16T00:00:00"/>
    <n v="27"/>
    <d v="2025-11-20T00:00:00"/>
    <n v="1"/>
    <n v="0"/>
    <n v="0"/>
    <n v="0"/>
    <n v="0"/>
    <n v="1"/>
  </r>
  <r>
    <x v="679"/>
    <n v="49"/>
    <x v="1"/>
    <x v="422"/>
    <x v="366"/>
    <n v="813"/>
    <x v="0"/>
    <x v="0"/>
    <x v="2"/>
    <n v="10"/>
    <n v="6.75"/>
    <n v="40.5"/>
    <x v="2"/>
    <x v="2"/>
    <s v="Email Campaign"/>
    <x v="3"/>
    <s v="Low"/>
    <x v="0"/>
    <x v="0"/>
    <n v="40.5"/>
    <d v="2024-02-26T00:00:00"/>
    <m/>
    <d v="2024-02-26T00:00:00"/>
    <n v="0"/>
    <d v="2024-02-26T00:00:00"/>
    <n v="0"/>
    <n v="0"/>
    <n v="0"/>
    <n v="0"/>
    <n v="0"/>
    <n v="0"/>
  </r>
  <r>
    <x v="680"/>
    <n v="71"/>
    <x v="0"/>
    <x v="422"/>
    <x v="366"/>
    <n v="813"/>
    <x v="0"/>
    <x v="0"/>
    <x v="1"/>
    <n v="25"/>
    <n v="16.875"/>
    <n v="101.25"/>
    <x v="4"/>
    <x v="0"/>
    <s v="Social Media"/>
    <x v="3"/>
    <s v="Medium"/>
    <x v="3"/>
    <x v="0"/>
    <n v="101.25"/>
    <d v="2024-02-26T00:00:00"/>
    <m/>
    <d v="2024-02-26T00:00:00"/>
    <n v="0"/>
    <d v="2024-02-26T00:00:00"/>
    <n v="0"/>
    <n v="0"/>
    <n v="0"/>
    <n v="0"/>
    <n v="0"/>
    <n v="0"/>
  </r>
  <r>
    <x v="681"/>
    <n v="28"/>
    <x v="1"/>
    <x v="423"/>
    <x v="367"/>
    <n v="811"/>
    <x v="1"/>
    <x v="1"/>
    <x v="1"/>
    <n v="25"/>
    <n v="14.999999999999998"/>
    <n v="180"/>
    <x v="2"/>
    <x v="0"/>
    <s v="Social Media"/>
    <x v="0"/>
    <s v="Medium"/>
    <x v="0"/>
    <x v="0"/>
    <n v="180"/>
    <d v="2024-08-26T00:00:00"/>
    <m/>
    <d v="2024-08-26T00:00:00"/>
    <n v="0"/>
    <d v="2024-08-26T00:00:00"/>
    <n v="0"/>
    <n v="0"/>
    <n v="0"/>
    <n v="0"/>
    <n v="0"/>
    <n v="0"/>
  </r>
  <r>
    <x v="682"/>
    <n v="73"/>
    <x v="0"/>
    <x v="424"/>
    <x v="368"/>
    <n v="806"/>
    <x v="1"/>
    <x v="1"/>
    <x v="0"/>
    <n v="18"/>
    <n v="10.8"/>
    <n v="129.6"/>
    <x v="4"/>
    <x v="2"/>
    <s v="Search Engine"/>
    <x v="0"/>
    <s v="Medium"/>
    <x v="3"/>
    <x v="0"/>
    <n v="129.6"/>
    <d v="2024-08-31T00:00:00"/>
    <m/>
    <d v="2024-08-31T00:00:00"/>
    <n v="0"/>
    <d v="2024-08-31T00:00:00"/>
    <n v="0"/>
    <n v="0"/>
    <n v="0"/>
    <n v="0"/>
    <n v="0"/>
    <n v="0"/>
  </r>
  <r>
    <x v="683"/>
    <n v="42"/>
    <x v="1"/>
    <x v="425"/>
    <x v="369"/>
    <n v="802"/>
    <x v="1"/>
    <x v="1"/>
    <x v="2"/>
    <n v="10"/>
    <n v="6"/>
    <n v="72"/>
    <x v="2"/>
    <x v="3"/>
    <s v="Search Engine"/>
    <x v="0"/>
    <s v="Low"/>
    <x v="0"/>
    <x v="0"/>
    <n v="72"/>
    <d v="2024-09-04T00:00:00"/>
    <m/>
    <d v="2024-09-04T00:00:00"/>
    <n v="0"/>
    <d v="2024-09-04T00:00:00"/>
    <n v="0"/>
    <n v="0"/>
    <n v="0"/>
    <n v="0"/>
    <n v="0"/>
    <n v="0"/>
  </r>
  <r>
    <x v="684"/>
    <n v="44"/>
    <x v="0"/>
    <x v="426"/>
    <x v="370"/>
    <n v="798"/>
    <x v="1"/>
    <x v="1"/>
    <x v="2"/>
    <n v="10"/>
    <n v="6"/>
    <n v="72"/>
    <x v="2"/>
    <x v="3"/>
    <s v="None"/>
    <x v="0"/>
    <s v="Low"/>
    <x v="0"/>
    <x v="0"/>
    <n v="72"/>
    <d v="2024-09-08T00:00:00"/>
    <m/>
    <d v="2024-09-08T00:00:00"/>
    <n v="0"/>
    <d v="2024-09-08T00:00:00"/>
    <n v="0"/>
    <n v="0"/>
    <n v="0"/>
    <n v="0"/>
    <n v="0"/>
    <n v="0"/>
  </r>
  <r>
    <x v="685"/>
    <n v="53"/>
    <x v="0"/>
    <x v="427"/>
    <x v="2"/>
    <n v="796"/>
    <x v="14"/>
    <x v="1"/>
    <x v="0"/>
    <n v="18"/>
    <n v="12"/>
    <n v="417.6"/>
    <x v="0"/>
    <x v="2"/>
    <s v="Email Campaign"/>
    <x v="2"/>
    <s v="High"/>
    <x v="0"/>
    <x v="1"/>
    <n v="561.6"/>
    <m/>
    <d v="2026-08-31T00:00:00"/>
    <d v="2026-08-31T00:00:00"/>
    <n v="2"/>
    <d v="2025-11-20T00:00:00"/>
    <n v="1"/>
    <n v="0"/>
    <n v="0"/>
    <n v="0"/>
    <n v="0"/>
    <n v="1"/>
  </r>
  <r>
    <x v="686"/>
    <n v="55"/>
    <x v="1"/>
    <x v="428"/>
    <x v="371"/>
    <n v="795"/>
    <x v="1"/>
    <x v="1"/>
    <x v="0"/>
    <n v="18"/>
    <n v="10.8"/>
    <n v="129.6"/>
    <x v="0"/>
    <x v="1"/>
    <s v="Social Media"/>
    <x v="1"/>
    <s v="Medium"/>
    <x v="0"/>
    <x v="0"/>
    <n v="129.6"/>
    <d v="2024-09-11T00:00:00"/>
    <m/>
    <d v="2024-09-11T00:00:00"/>
    <n v="0"/>
    <d v="2024-09-11T00:00:00"/>
    <n v="0"/>
    <n v="0"/>
    <n v="0"/>
    <n v="0"/>
    <n v="0"/>
    <n v="0"/>
  </r>
  <r>
    <x v="687"/>
    <n v="67"/>
    <x v="1"/>
    <x v="428"/>
    <x v="371"/>
    <n v="795"/>
    <x v="1"/>
    <x v="1"/>
    <x v="2"/>
    <n v="10"/>
    <n v="6"/>
    <n v="72"/>
    <x v="3"/>
    <x v="1"/>
    <s v="Email Campaign"/>
    <x v="0"/>
    <s v="Low"/>
    <x v="2"/>
    <x v="0"/>
    <n v="72"/>
    <d v="2024-09-11T00:00:00"/>
    <m/>
    <d v="2024-09-11T00:00:00"/>
    <n v="0"/>
    <d v="2024-09-11T00:00:00"/>
    <n v="0"/>
    <n v="0"/>
    <n v="0"/>
    <n v="0"/>
    <n v="0"/>
    <n v="0"/>
  </r>
  <r>
    <x v="688"/>
    <n v="55"/>
    <x v="0"/>
    <x v="429"/>
    <x v="372"/>
    <n v="793"/>
    <x v="0"/>
    <x v="0"/>
    <x v="0"/>
    <n v="18"/>
    <n v="12.15"/>
    <n v="72.900000000000006"/>
    <x v="0"/>
    <x v="1"/>
    <s v="None"/>
    <x v="0"/>
    <s v="Low"/>
    <x v="0"/>
    <x v="0"/>
    <n v="72.900000000000006"/>
    <d v="2024-03-17T00:00:00"/>
    <m/>
    <d v="2024-03-17T00:00:00"/>
    <n v="0"/>
    <d v="2024-03-17T00:00:00"/>
    <n v="0"/>
    <n v="0"/>
    <n v="0"/>
    <n v="0"/>
    <n v="0"/>
    <n v="0"/>
  </r>
  <r>
    <x v="689"/>
    <n v="29"/>
    <x v="1"/>
    <x v="429"/>
    <x v="373"/>
    <n v="793"/>
    <x v="1"/>
    <x v="1"/>
    <x v="0"/>
    <n v="18"/>
    <n v="10.8"/>
    <n v="129.6"/>
    <x v="2"/>
    <x v="3"/>
    <s v="None"/>
    <x v="0"/>
    <s v="Medium"/>
    <x v="0"/>
    <x v="0"/>
    <n v="129.6"/>
    <d v="2024-09-13T00:00:00"/>
    <m/>
    <d v="2024-09-13T00:00:00"/>
    <n v="0"/>
    <d v="2024-09-13T00:00:00"/>
    <n v="0"/>
    <n v="0"/>
    <n v="0"/>
    <n v="0"/>
    <n v="0"/>
    <n v="0"/>
  </r>
  <r>
    <x v="690"/>
    <n v="24"/>
    <x v="1"/>
    <x v="430"/>
    <x v="2"/>
    <n v="791"/>
    <x v="20"/>
    <x v="0"/>
    <x v="2"/>
    <n v="10"/>
    <n v="7.5"/>
    <n v="216"/>
    <x v="1"/>
    <x v="3"/>
    <s v="Email Campaign"/>
    <x v="2"/>
    <s v="Medium"/>
    <x v="1"/>
    <x v="1"/>
    <n v="261"/>
    <m/>
    <d v="2026-03-09T00:00:00"/>
    <d v="2026-03-09T00:00:00"/>
    <n v="4"/>
    <d v="2025-11-20T00:00:00"/>
    <n v="1"/>
    <n v="0"/>
    <n v="0"/>
    <n v="0"/>
    <n v="0"/>
    <n v="1"/>
  </r>
  <r>
    <x v="691"/>
    <n v="57"/>
    <x v="1"/>
    <x v="431"/>
    <x v="374"/>
    <n v="790"/>
    <x v="3"/>
    <x v="2"/>
    <x v="1"/>
    <n v="25"/>
    <n v="22.5"/>
    <n v="0"/>
    <x v="0"/>
    <x v="1"/>
    <s v="Social Media"/>
    <x v="5"/>
    <s v="Low"/>
    <x v="0"/>
    <x v="0"/>
    <n v="0"/>
    <d v="2023-10-22T00:00:00"/>
    <m/>
    <d v="2023-10-22T00:00:00"/>
    <n v="0"/>
    <d v="2023-10-22T00:00:00"/>
    <n v="0"/>
    <n v="0"/>
    <n v="0"/>
    <n v="0"/>
    <n v="0"/>
    <n v="0"/>
  </r>
  <r>
    <x v="692"/>
    <n v="66"/>
    <x v="1"/>
    <x v="432"/>
    <x v="375"/>
    <n v="789"/>
    <x v="1"/>
    <x v="1"/>
    <x v="2"/>
    <n v="10"/>
    <n v="6"/>
    <n v="72"/>
    <x v="3"/>
    <x v="3"/>
    <s v="Email Campaign"/>
    <x v="1"/>
    <s v="Low"/>
    <x v="2"/>
    <x v="0"/>
    <n v="72"/>
    <d v="2024-09-17T00:00:00"/>
    <m/>
    <d v="2024-09-17T00:00:00"/>
    <n v="0"/>
    <d v="2024-09-17T00:00:00"/>
    <n v="0"/>
    <n v="0"/>
    <n v="0"/>
    <n v="0"/>
    <n v="0"/>
    <n v="0"/>
  </r>
  <r>
    <x v="693"/>
    <n v="75"/>
    <x v="1"/>
    <x v="432"/>
    <x v="375"/>
    <n v="789"/>
    <x v="1"/>
    <x v="1"/>
    <x v="2"/>
    <n v="10"/>
    <n v="6"/>
    <n v="72"/>
    <x v="4"/>
    <x v="0"/>
    <s v="Search Engine"/>
    <x v="0"/>
    <s v="Low"/>
    <x v="3"/>
    <x v="0"/>
    <n v="72"/>
    <d v="2024-09-17T00:00:00"/>
    <m/>
    <d v="2024-09-17T00:00:00"/>
    <n v="0"/>
    <d v="2024-09-17T00:00:00"/>
    <n v="0"/>
    <n v="0"/>
    <n v="0"/>
    <n v="0"/>
    <n v="0"/>
    <n v="0"/>
  </r>
  <r>
    <x v="694"/>
    <n v="25"/>
    <x v="0"/>
    <x v="433"/>
    <x v="376"/>
    <n v="788"/>
    <x v="1"/>
    <x v="1"/>
    <x v="2"/>
    <n v="10"/>
    <n v="6"/>
    <n v="72"/>
    <x v="1"/>
    <x v="3"/>
    <s v="None"/>
    <x v="4"/>
    <s v="Low"/>
    <x v="1"/>
    <x v="0"/>
    <n v="72"/>
    <d v="2024-09-18T00:00:00"/>
    <m/>
    <d v="2024-09-18T00:00:00"/>
    <n v="0"/>
    <d v="2024-09-18T00:00:00"/>
    <n v="0"/>
    <n v="0"/>
    <n v="0"/>
    <n v="0"/>
    <n v="0"/>
    <n v="0"/>
  </r>
  <r>
    <x v="695"/>
    <n v="22"/>
    <x v="0"/>
    <x v="434"/>
    <x v="377"/>
    <n v="784"/>
    <x v="1"/>
    <x v="1"/>
    <x v="1"/>
    <n v="25"/>
    <n v="14.999999999999998"/>
    <n v="180"/>
    <x v="1"/>
    <x v="1"/>
    <s v="Friend"/>
    <x v="4"/>
    <s v="Medium"/>
    <x v="1"/>
    <x v="0"/>
    <n v="180"/>
    <d v="2024-09-22T00:00:00"/>
    <m/>
    <d v="2024-09-22T00:00:00"/>
    <n v="0"/>
    <d v="2024-09-22T00:00:00"/>
    <n v="0"/>
    <n v="0"/>
    <n v="0"/>
    <n v="0"/>
    <n v="0"/>
    <n v="0"/>
  </r>
  <r>
    <x v="696"/>
    <n v="25"/>
    <x v="0"/>
    <x v="434"/>
    <x v="377"/>
    <n v="784"/>
    <x v="1"/>
    <x v="1"/>
    <x v="0"/>
    <n v="18"/>
    <n v="10.8"/>
    <n v="129.6"/>
    <x v="1"/>
    <x v="0"/>
    <s v="Social Media"/>
    <x v="4"/>
    <s v="Medium"/>
    <x v="1"/>
    <x v="0"/>
    <n v="129.6"/>
    <d v="2024-09-22T00:00:00"/>
    <m/>
    <d v="2024-09-22T00:00:00"/>
    <n v="0"/>
    <d v="2024-09-22T00:00:00"/>
    <n v="0"/>
    <n v="0"/>
    <n v="0"/>
    <n v="0"/>
    <n v="0"/>
    <n v="0"/>
  </r>
  <r>
    <x v="697"/>
    <n v="50"/>
    <x v="1"/>
    <x v="435"/>
    <x v="378"/>
    <n v="783"/>
    <x v="0"/>
    <x v="0"/>
    <x v="0"/>
    <n v="18"/>
    <n v="12.15"/>
    <n v="72.900000000000006"/>
    <x v="0"/>
    <x v="2"/>
    <s v="None"/>
    <x v="5"/>
    <s v="Low"/>
    <x v="0"/>
    <x v="0"/>
    <n v="72.900000000000006"/>
    <d v="2024-03-27T00:00:00"/>
    <m/>
    <d v="2024-03-27T00:00:00"/>
    <n v="0"/>
    <d v="2024-03-27T00:00:00"/>
    <n v="0"/>
    <n v="0"/>
    <n v="0"/>
    <n v="0"/>
    <n v="0"/>
    <n v="0"/>
  </r>
  <r>
    <x v="698"/>
    <n v="28"/>
    <x v="0"/>
    <x v="435"/>
    <x v="379"/>
    <n v="783"/>
    <x v="1"/>
    <x v="1"/>
    <x v="1"/>
    <n v="25"/>
    <n v="14.999999999999998"/>
    <n v="180"/>
    <x v="2"/>
    <x v="1"/>
    <s v="Email Campaign"/>
    <x v="0"/>
    <s v="Medium"/>
    <x v="0"/>
    <x v="0"/>
    <n v="180"/>
    <d v="2024-09-23T00:00:00"/>
    <m/>
    <d v="2024-09-23T00:00:00"/>
    <n v="0"/>
    <d v="2024-09-23T00:00:00"/>
    <n v="0"/>
    <n v="0"/>
    <n v="0"/>
    <n v="0"/>
    <n v="0"/>
    <n v="0"/>
  </r>
  <r>
    <x v="699"/>
    <n v="45"/>
    <x v="1"/>
    <x v="436"/>
    <x v="380"/>
    <n v="782"/>
    <x v="3"/>
    <x v="2"/>
    <x v="2"/>
    <n v="10"/>
    <n v="9"/>
    <n v="0"/>
    <x v="2"/>
    <x v="2"/>
    <s v="Friend"/>
    <x v="3"/>
    <s v="Low"/>
    <x v="0"/>
    <x v="0"/>
    <n v="0"/>
    <d v="2023-10-30T00:00:00"/>
    <m/>
    <d v="2023-10-30T00:00:00"/>
    <n v="0"/>
    <d v="2023-10-30T00:00:00"/>
    <n v="0"/>
    <n v="0"/>
    <n v="0"/>
    <n v="0"/>
    <n v="0"/>
    <n v="0"/>
  </r>
  <r>
    <x v="700"/>
    <n v="44"/>
    <x v="1"/>
    <x v="436"/>
    <x v="2"/>
    <n v="782"/>
    <x v="14"/>
    <x v="1"/>
    <x v="2"/>
    <n v="10"/>
    <n v="6.6666666666666661"/>
    <n v="232"/>
    <x v="2"/>
    <x v="1"/>
    <s v="Social Media"/>
    <x v="2"/>
    <s v="Medium"/>
    <x v="0"/>
    <x v="1"/>
    <n v="312"/>
    <m/>
    <d v="2026-09-14T00:00:00"/>
    <d v="2026-09-14T00:00:00"/>
    <n v="2"/>
    <d v="2025-11-20T00:00:00"/>
    <n v="1"/>
    <n v="0"/>
    <n v="0"/>
    <n v="0"/>
    <n v="0"/>
    <n v="1"/>
  </r>
  <r>
    <x v="701"/>
    <n v="43"/>
    <x v="0"/>
    <x v="436"/>
    <x v="2"/>
    <n v="782"/>
    <x v="23"/>
    <x v="2"/>
    <x v="2"/>
    <n v="10"/>
    <n v="10"/>
    <n v="249"/>
    <x v="2"/>
    <x v="2"/>
    <s v="None"/>
    <x v="2"/>
    <s v="Medium"/>
    <x v="0"/>
    <x v="1"/>
    <n v="259"/>
    <m/>
    <d v="2025-12-18T00:00:00"/>
    <d v="2025-12-18T00:00:00"/>
    <n v="26"/>
    <d v="2025-11-20T00:00:00"/>
    <n v="1"/>
    <n v="0"/>
    <n v="0"/>
    <n v="0"/>
    <n v="0"/>
    <n v="1"/>
  </r>
  <r>
    <x v="702"/>
    <n v="31"/>
    <x v="1"/>
    <x v="437"/>
    <x v="381"/>
    <n v="781"/>
    <x v="0"/>
    <x v="0"/>
    <x v="2"/>
    <n v="10"/>
    <n v="6.75"/>
    <n v="40.5"/>
    <x v="2"/>
    <x v="1"/>
    <s v="Friend"/>
    <x v="1"/>
    <s v="Low"/>
    <x v="0"/>
    <x v="0"/>
    <n v="40.5"/>
    <d v="2024-03-29T00:00:00"/>
    <m/>
    <d v="2024-03-29T00:00:00"/>
    <n v="0"/>
    <d v="2024-03-29T00:00:00"/>
    <n v="0"/>
    <n v="0"/>
    <n v="0"/>
    <n v="0"/>
    <n v="0"/>
    <n v="0"/>
  </r>
  <r>
    <x v="703"/>
    <n v="20"/>
    <x v="0"/>
    <x v="438"/>
    <x v="382"/>
    <n v="780"/>
    <x v="1"/>
    <x v="1"/>
    <x v="1"/>
    <n v="25"/>
    <n v="14.999999999999998"/>
    <n v="180"/>
    <x v="1"/>
    <x v="3"/>
    <s v="Search Engine"/>
    <x v="5"/>
    <s v="Medium"/>
    <x v="1"/>
    <x v="0"/>
    <n v="180"/>
    <d v="2024-09-26T00:00:00"/>
    <m/>
    <d v="2024-09-26T00:00:00"/>
    <n v="0"/>
    <d v="2024-09-26T00:00:00"/>
    <n v="0"/>
    <n v="0"/>
    <n v="0"/>
    <n v="0"/>
    <n v="0"/>
    <n v="0"/>
  </r>
  <r>
    <x v="704"/>
    <n v="44"/>
    <x v="1"/>
    <x v="438"/>
    <x v="2"/>
    <n v="780"/>
    <x v="24"/>
    <x v="2"/>
    <x v="1"/>
    <n v="25"/>
    <n v="25"/>
    <n v="597.5"/>
    <x v="2"/>
    <x v="3"/>
    <s v="Friend"/>
    <x v="2"/>
    <s v="High"/>
    <x v="0"/>
    <x v="1"/>
    <n v="622.5"/>
    <m/>
    <d v="2025-11-20T00:00:00"/>
    <d v="2025-11-20T00:00:00"/>
    <n v="25"/>
    <d v="2025-11-20T00:00:00"/>
    <n v="1"/>
    <n v="0"/>
    <n v="0"/>
    <n v="0"/>
    <n v="0"/>
    <n v="1"/>
  </r>
  <r>
    <x v="705"/>
    <n v="66"/>
    <x v="0"/>
    <x v="439"/>
    <x v="200"/>
    <n v="778"/>
    <x v="3"/>
    <x v="2"/>
    <x v="1"/>
    <n v="25"/>
    <n v="22.5"/>
    <n v="0"/>
    <x v="3"/>
    <x v="3"/>
    <s v="None"/>
    <x v="0"/>
    <s v="Low"/>
    <x v="2"/>
    <x v="0"/>
    <n v="0"/>
    <d v="2023-11-03T00:00:00"/>
    <m/>
    <d v="2023-11-03T00:00:00"/>
    <n v="0"/>
    <d v="2023-11-03T00:00:00"/>
    <n v="0"/>
    <n v="0"/>
    <n v="0"/>
    <n v="0"/>
    <n v="0"/>
    <n v="0"/>
  </r>
  <r>
    <x v="706"/>
    <n v="68"/>
    <x v="0"/>
    <x v="440"/>
    <x v="383"/>
    <n v="777"/>
    <x v="1"/>
    <x v="1"/>
    <x v="2"/>
    <n v="10"/>
    <n v="6"/>
    <n v="72"/>
    <x v="3"/>
    <x v="0"/>
    <s v="Social Media"/>
    <x v="5"/>
    <s v="Low"/>
    <x v="2"/>
    <x v="0"/>
    <n v="72"/>
    <d v="2024-09-29T00:00:00"/>
    <m/>
    <d v="2024-09-29T00:00:00"/>
    <n v="0"/>
    <d v="2024-09-29T00:00:00"/>
    <n v="0"/>
    <n v="0"/>
    <n v="0"/>
    <n v="0"/>
    <n v="0"/>
    <n v="0"/>
  </r>
  <r>
    <x v="707"/>
    <n v="48"/>
    <x v="1"/>
    <x v="440"/>
    <x v="383"/>
    <n v="777"/>
    <x v="1"/>
    <x v="1"/>
    <x v="2"/>
    <n v="10"/>
    <n v="6"/>
    <n v="72"/>
    <x v="2"/>
    <x v="1"/>
    <s v="Friend"/>
    <x v="0"/>
    <s v="Low"/>
    <x v="0"/>
    <x v="0"/>
    <n v="72"/>
    <d v="2024-09-29T00:00:00"/>
    <m/>
    <d v="2024-09-29T00:00:00"/>
    <n v="0"/>
    <d v="2024-09-29T00:00:00"/>
    <n v="0"/>
    <n v="0"/>
    <n v="0"/>
    <n v="0"/>
    <n v="0"/>
    <n v="0"/>
  </r>
  <r>
    <x v="708"/>
    <n v="49"/>
    <x v="0"/>
    <x v="441"/>
    <x v="384"/>
    <n v="776"/>
    <x v="1"/>
    <x v="1"/>
    <x v="2"/>
    <n v="10"/>
    <n v="6"/>
    <n v="72"/>
    <x v="2"/>
    <x v="0"/>
    <s v="Friend"/>
    <x v="4"/>
    <s v="Low"/>
    <x v="0"/>
    <x v="0"/>
    <n v="72"/>
    <d v="2024-09-30T00:00:00"/>
    <m/>
    <d v="2024-09-30T00:00:00"/>
    <n v="0"/>
    <d v="2024-09-30T00:00:00"/>
    <n v="0"/>
    <n v="0"/>
    <n v="0"/>
    <n v="0"/>
    <n v="0"/>
    <n v="0"/>
  </r>
  <r>
    <x v="709"/>
    <n v="61"/>
    <x v="0"/>
    <x v="441"/>
    <x v="2"/>
    <n v="776"/>
    <x v="24"/>
    <x v="2"/>
    <x v="0"/>
    <n v="18"/>
    <n v="18"/>
    <n v="430.2"/>
    <x v="3"/>
    <x v="3"/>
    <s v="Search Engine"/>
    <x v="2"/>
    <s v="High"/>
    <x v="2"/>
    <x v="1"/>
    <n v="448.2"/>
    <m/>
    <d v="2025-11-24T00:00:00"/>
    <d v="2025-11-24T00:00:00"/>
    <n v="25"/>
    <d v="2025-11-20T00:00:00"/>
    <n v="1"/>
    <n v="0"/>
    <n v="0"/>
    <n v="0"/>
    <n v="0"/>
    <n v="1"/>
  </r>
  <r>
    <x v="710"/>
    <n v="70"/>
    <x v="1"/>
    <x v="442"/>
    <x v="385"/>
    <n v="773"/>
    <x v="3"/>
    <x v="2"/>
    <x v="2"/>
    <n v="10"/>
    <n v="9"/>
    <n v="0"/>
    <x v="3"/>
    <x v="0"/>
    <s v="Friend"/>
    <x v="1"/>
    <s v="Low"/>
    <x v="3"/>
    <x v="0"/>
    <n v="0"/>
    <d v="2023-11-08T00:00:00"/>
    <m/>
    <d v="2023-11-08T00:00:00"/>
    <n v="0"/>
    <d v="2023-11-08T00:00:00"/>
    <n v="0"/>
    <n v="0"/>
    <n v="0"/>
    <n v="0"/>
    <n v="0"/>
    <n v="0"/>
  </r>
  <r>
    <x v="711"/>
    <n v="27"/>
    <x v="1"/>
    <x v="443"/>
    <x v="386"/>
    <n v="772"/>
    <x v="1"/>
    <x v="1"/>
    <x v="2"/>
    <n v="10"/>
    <n v="6"/>
    <n v="72"/>
    <x v="2"/>
    <x v="3"/>
    <s v="Friend"/>
    <x v="5"/>
    <s v="Low"/>
    <x v="0"/>
    <x v="0"/>
    <n v="72"/>
    <d v="2024-10-04T00:00:00"/>
    <m/>
    <d v="2024-10-04T00:00:00"/>
    <n v="0"/>
    <d v="2024-10-04T00:00:00"/>
    <n v="0"/>
    <n v="0"/>
    <n v="0"/>
    <n v="0"/>
    <n v="0"/>
    <n v="1"/>
  </r>
  <r>
    <x v="712"/>
    <n v="75"/>
    <x v="1"/>
    <x v="444"/>
    <x v="2"/>
    <n v="771"/>
    <x v="14"/>
    <x v="1"/>
    <x v="0"/>
    <n v="18"/>
    <n v="12"/>
    <n v="417.6"/>
    <x v="4"/>
    <x v="1"/>
    <s v="Search Engine"/>
    <x v="2"/>
    <s v="High"/>
    <x v="3"/>
    <x v="1"/>
    <n v="561.6"/>
    <m/>
    <d v="2026-09-25T00:00:00"/>
    <d v="2026-09-25T00:00:00"/>
    <n v="2"/>
    <d v="2025-11-20T00:00:00"/>
    <n v="1"/>
    <n v="0"/>
    <n v="0"/>
    <n v="0"/>
    <n v="0"/>
    <n v="1"/>
  </r>
  <r>
    <x v="713"/>
    <n v="64"/>
    <x v="1"/>
    <x v="445"/>
    <x v="387"/>
    <n v="770"/>
    <x v="1"/>
    <x v="1"/>
    <x v="0"/>
    <n v="18"/>
    <n v="10.8"/>
    <n v="129.6"/>
    <x v="3"/>
    <x v="0"/>
    <s v="Social Media"/>
    <x v="0"/>
    <s v="Medium"/>
    <x v="2"/>
    <x v="0"/>
    <n v="129.6"/>
    <d v="2024-10-06T00:00:00"/>
    <m/>
    <d v="2024-10-06T00:00:00"/>
    <n v="0"/>
    <d v="2024-10-06T00:00:00"/>
    <n v="0"/>
    <n v="0"/>
    <n v="0"/>
    <n v="0"/>
    <n v="0"/>
    <n v="1"/>
  </r>
  <r>
    <x v="714"/>
    <n v="62"/>
    <x v="0"/>
    <x v="446"/>
    <x v="388"/>
    <n v="768"/>
    <x v="1"/>
    <x v="1"/>
    <x v="2"/>
    <n v="10"/>
    <n v="6"/>
    <n v="72"/>
    <x v="3"/>
    <x v="0"/>
    <s v="None"/>
    <x v="4"/>
    <s v="Low"/>
    <x v="2"/>
    <x v="0"/>
    <n v="72"/>
    <d v="2024-10-08T00:00:00"/>
    <m/>
    <d v="2024-10-08T00:00:00"/>
    <n v="0"/>
    <d v="2024-10-08T00:00:00"/>
    <n v="0"/>
    <n v="0"/>
    <n v="0"/>
    <n v="0"/>
    <n v="0"/>
    <n v="1"/>
  </r>
  <r>
    <x v="715"/>
    <n v="67"/>
    <x v="1"/>
    <x v="447"/>
    <x v="2"/>
    <n v="767"/>
    <x v="24"/>
    <x v="2"/>
    <x v="2"/>
    <n v="10"/>
    <n v="10"/>
    <n v="239"/>
    <x v="3"/>
    <x v="0"/>
    <s v="Social Media"/>
    <x v="2"/>
    <s v="Medium"/>
    <x v="2"/>
    <x v="1"/>
    <n v="249"/>
    <m/>
    <d v="2025-12-03T00:00:00"/>
    <d v="2025-12-03T00:00:00"/>
    <n v="25"/>
    <d v="2025-11-20T00:00:00"/>
    <n v="1"/>
    <n v="0"/>
    <n v="0"/>
    <n v="0"/>
    <n v="0"/>
    <n v="1"/>
  </r>
  <r>
    <x v="716"/>
    <n v="19"/>
    <x v="0"/>
    <x v="448"/>
    <x v="389"/>
    <n v="766"/>
    <x v="1"/>
    <x v="1"/>
    <x v="1"/>
    <n v="25"/>
    <n v="14.999999999999998"/>
    <n v="180"/>
    <x v="1"/>
    <x v="3"/>
    <s v="Email Campaign"/>
    <x v="4"/>
    <s v="Medium"/>
    <x v="1"/>
    <x v="0"/>
    <n v="180"/>
    <d v="2024-10-10T00:00:00"/>
    <m/>
    <d v="2024-10-10T00:00:00"/>
    <n v="0"/>
    <d v="2024-10-10T00:00:00"/>
    <n v="0"/>
    <n v="0"/>
    <n v="0"/>
    <n v="0"/>
    <n v="0"/>
    <n v="1"/>
  </r>
  <r>
    <x v="717"/>
    <n v="63"/>
    <x v="0"/>
    <x v="448"/>
    <x v="2"/>
    <n v="766"/>
    <x v="24"/>
    <x v="2"/>
    <x v="2"/>
    <n v="10"/>
    <n v="10"/>
    <n v="239"/>
    <x v="3"/>
    <x v="3"/>
    <s v="Search Engine"/>
    <x v="2"/>
    <s v="Medium"/>
    <x v="2"/>
    <x v="1"/>
    <n v="249"/>
    <m/>
    <d v="2025-12-04T00:00:00"/>
    <d v="2025-12-04T00:00:00"/>
    <n v="25"/>
    <d v="2025-11-20T00:00:00"/>
    <n v="1"/>
    <n v="0"/>
    <n v="0"/>
    <n v="0"/>
    <n v="0"/>
    <n v="1"/>
  </r>
  <r>
    <x v="718"/>
    <n v="49"/>
    <x v="1"/>
    <x v="449"/>
    <x v="207"/>
    <n v="765"/>
    <x v="3"/>
    <x v="2"/>
    <x v="2"/>
    <n v="10"/>
    <n v="9"/>
    <n v="0"/>
    <x v="2"/>
    <x v="3"/>
    <s v="Friend"/>
    <x v="3"/>
    <s v="Low"/>
    <x v="0"/>
    <x v="0"/>
    <n v="0"/>
    <d v="2023-11-16T00:00:00"/>
    <m/>
    <d v="2023-11-16T00:00:00"/>
    <n v="0"/>
    <d v="2023-11-16T00:00:00"/>
    <n v="0"/>
    <n v="0"/>
    <n v="0"/>
    <n v="0"/>
    <n v="0"/>
    <n v="0"/>
  </r>
  <r>
    <x v="719"/>
    <n v="45"/>
    <x v="1"/>
    <x v="449"/>
    <x v="295"/>
    <n v="765"/>
    <x v="0"/>
    <x v="0"/>
    <x v="1"/>
    <n v="25"/>
    <n v="16.875"/>
    <n v="101.25"/>
    <x v="2"/>
    <x v="1"/>
    <s v="Friend"/>
    <x v="3"/>
    <s v="Medium"/>
    <x v="0"/>
    <x v="0"/>
    <n v="101.25"/>
    <d v="2024-04-14T00:00:00"/>
    <m/>
    <d v="2024-04-14T00:00:00"/>
    <n v="0"/>
    <d v="2024-04-14T00:00:00"/>
    <n v="0"/>
    <n v="0"/>
    <n v="0"/>
    <n v="0"/>
    <n v="0"/>
    <n v="0"/>
  </r>
  <r>
    <x v="720"/>
    <n v="67"/>
    <x v="0"/>
    <x v="450"/>
    <x v="208"/>
    <n v="764"/>
    <x v="3"/>
    <x v="2"/>
    <x v="2"/>
    <n v="10"/>
    <n v="9"/>
    <n v="0"/>
    <x v="3"/>
    <x v="2"/>
    <s v="None"/>
    <x v="1"/>
    <s v="Low"/>
    <x v="2"/>
    <x v="0"/>
    <n v="0"/>
    <d v="2023-11-17T00:00:00"/>
    <m/>
    <d v="2023-11-17T00:00:00"/>
    <n v="0"/>
    <d v="2023-11-17T00:00:00"/>
    <n v="0"/>
    <n v="0"/>
    <n v="0"/>
    <n v="0"/>
    <n v="0"/>
    <n v="0"/>
  </r>
  <r>
    <x v="721"/>
    <n v="53"/>
    <x v="0"/>
    <x v="451"/>
    <x v="390"/>
    <n v="763"/>
    <x v="1"/>
    <x v="1"/>
    <x v="1"/>
    <n v="25"/>
    <n v="14.999999999999998"/>
    <n v="180"/>
    <x v="0"/>
    <x v="1"/>
    <s v="Friend"/>
    <x v="3"/>
    <s v="Medium"/>
    <x v="0"/>
    <x v="0"/>
    <n v="180"/>
    <d v="2024-10-13T00:00:00"/>
    <m/>
    <d v="2024-10-13T00:00:00"/>
    <n v="0"/>
    <d v="2024-10-13T00:00:00"/>
    <n v="0"/>
    <n v="0"/>
    <n v="0"/>
    <n v="0"/>
    <n v="0"/>
    <n v="1"/>
  </r>
  <r>
    <x v="722"/>
    <n v="62"/>
    <x v="0"/>
    <x v="452"/>
    <x v="391"/>
    <n v="762"/>
    <x v="1"/>
    <x v="1"/>
    <x v="2"/>
    <n v="10"/>
    <n v="6"/>
    <n v="72"/>
    <x v="3"/>
    <x v="0"/>
    <s v="None"/>
    <x v="1"/>
    <s v="Low"/>
    <x v="2"/>
    <x v="0"/>
    <n v="72"/>
    <d v="2024-10-14T00:00:00"/>
    <m/>
    <d v="2024-10-14T00:00:00"/>
    <n v="0"/>
    <d v="2024-10-14T00:00:00"/>
    <n v="0"/>
    <n v="0"/>
    <n v="0"/>
    <n v="0"/>
    <n v="0"/>
    <n v="1"/>
  </r>
  <r>
    <x v="723"/>
    <n v="75"/>
    <x v="0"/>
    <x v="453"/>
    <x v="392"/>
    <n v="761"/>
    <x v="1"/>
    <x v="1"/>
    <x v="1"/>
    <n v="25"/>
    <n v="14.999999999999998"/>
    <n v="180"/>
    <x v="4"/>
    <x v="3"/>
    <s v="Email Campaign"/>
    <x v="4"/>
    <s v="Medium"/>
    <x v="3"/>
    <x v="0"/>
    <n v="180"/>
    <d v="2024-10-15T00:00:00"/>
    <m/>
    <d v="2024-10-15T00:00:00"/>
    <n v="0"/>
    <d v="2024-10-15T00:00:00"/>
    <n v="0"/>
    <n v="0"/>
    <n v="0"/>
    <n v="0"/>
    <n v="0"/>
    <n v="1"/>
  </r>
  <r>
    <x v="724"/>
    <n v="63"/>
    <x v="1"/>
    <x v="454"/>
    <x v="393"/>
    <n v="760"/>
    <x v="3"/>
    <x v="2"/>
    <x v="0"/>
    <n v="18"/>
    <n v="16.2"/>
    <n v="0"/>
    <x v="3"/>
    <x v="0"/>
    <s v="Social Media"/>
    <x v="3"/>
    <s v="Low"/>
    <x v="2"/>
    <x v="0"/>
    <n v="0"/>
    <d v="2023-11-21T00:00:00"/>
    <m/>
    <d v="2023-11-21T00:00:00"/>
    <n v="0"/>
    <d v="2023-11-21T00:00:00"/>
    <n v="0"/>
    <n v="0"/>
    <n v="0"/>
    <n v="0"/>
    <n v="0"/>
    <n v="0"/>
  </r>
  <r>
    <x v="725"/>
    <n v="38"/>
    <x v="1"/>
    <x v="454"/>
    <x v="394"/>
    <n v="760"/>
    <x v="1"/>
    <x v="1"/>
    <x v="1"/>
    <n v="25"/>
    <n v="14.999999999999998"/>
    <n v="180"/>
    <x v="2"/>
    <x v="3"/>
    <s v="Search Engine"/>
    <x v="5"/>
    <s v="Medium"/>
    <x v="0"/>
    <x v="0"/>
    <n v="180"/>
    <d v="2024-10-16T00:00:00"/>
    <m/>
    <d v="2024-10-16T00:00:00"/>
    <n v="0"/>
    <d v="2024-10-16T00:00:00"/>
    <n v="0"/>
    <n v="0"/>
    <n v="0"/>
    <n v="0"/>
    <n v="0"/>
    <n v="1"/>
  </r>
  <r>
    <x v="726"/>
    <n v="64"/>
    <x v="0"/>
    <x v="455"/>
    <x v="212"/>
    <n v="759"/>
    <x v="3"/>
    <x v="2"/>
    <x v="1"/>
    <n v="25"/>
    <n v="22.5"/>
    <n v="0"/>
    <x v="3"/>
    <x v="2"/>
    <s v="Social Media"/>
    <x v="4"/>
    <s v="Low"/>
    <x v="2"/>
    <x v="0"/>
    <n v="0"/>
    <d v="2023-11-22T00:00:00"/>
    <m/>
    <d v="2023-11-22T00:00:00"/>
    <n v="0"/>
    <d v="2023-11-22T00:00:00"/>
    <n v="0"/>
    <n v="0"/>
    <n v="0"/>
    <n v="0"/>
    <n v="0"/>
    <n v="0"/>
  </r>
  <r>
    <x v="727"/>
    <n v="35"/>
    <x v="0"/>
    <x v="455"/>
    <x v="395"/>
    <n v="759"/>
    <x v="1"/>
    <x v="1"/>
    <x v="0"/>
    <n v="18"/>
    <n v="10.8"/>
    <n v="129.6"/>
    <x v="2"/>
    <x v="3"/>
    <s v="Email Campaign"/>
    <x v="3"/>
    <s v="Medium"/>
    <x v="0"/>
    <x v="0"/>
    <n v="129.6"/>
    <d v="2024-10-17T00:00:00"/>
    <m/>
    <d v="2024-10-17T00:00:00"/>
    <n v="0"/>
    <d v="2024-10-17T00:00:00"/>
    <n v="0"/>
    <n v="0"/>
    <n v="0"/>
    <n v="0"/>
    <n v="0"/>
    <n v="1"/>
  </r>
  <r>
    <x v="728"/>
    <n v="68"/>
    <x v="0"/>
    <x v="455"/>
    <x v="395"/>
    <n v="759"/>
    <x v="1"/>
    <x v="1"/>
    <x v="2"/>
    <n v="10"/>
    <n v="6"/>
    <n v="72"/>
    <x v="3"/>
    <x v="2"/>
    <s v="Social Media"/>
    <x v="5"/>
    <s v="Low"/>
    <x v="2"/>
    <x v="0"/>
    <n v="72"/>
    <d v="2024-10-17T00:00:00"/>
    <m/>
    <d v="2024-10-17T00:00:00"/>
    <n v="0"/>
    <d v="2024-10-17T00:00:00"/>
    <n v="0"/>
    <n v="0"/>
    <n v="0"/>
    <n v="0"/>
    <n v="0"/>
    <n v="1"/>
  </r>
  <r>
    <x v="729"/>
    <n v="31"/>
    <x v="0"/>
    <x v="456"/>
    <x v="303"/>
    <n v="756"/>
    <x v="0"/>
    <x v="0"/>
    <x v="0"/>
    <n v="18"/>
    <n v="12.15"/>
    <n v="72.900000000000006"/>
    <x v="2"/>
    <x v="3"/>
    <s v="Social Media"/>
    <x v="1"/>
    <s v="Low"/>
    <x v="0"/>
    <x v="0"/>
    <n v="72.900000000000006"/>
    <d v="2024-04-23T00:00:00"/>
    <m/>
    <d v="2024-04-23T00:00:00"/>
    <n v="0"/>
    <d v="2024-04-23T00:00:00"/>
    <n v="0"/>
    <n v="0"/>
    <n v="0"/>
    <n v="0"/>
    <n v="0"/>
    <n v="0"/>
  </r>
  <r>
    <x v="730"/>
    <n v="39"/>
    <x v="1"/>
    <x v="457"/>
    <x v="396"/>
    <n v="755"/>
    <x v="1"/>
    <x v="1"/>
    <x v="0"/>
    <n v="18"/>
    <n v="10.8"/>
    <n v="129.6"/>
    <x v="2"/>
    <x v="0"/>
    <s v="Email Campaign"/>
    <x v="0"/>
    <s v="Medium"/>
    <x v="0"/>
    <x v="0"/>
    <n v="129.6"/>
    <d v="2024-10-21T00:00:00"/>
    <m/>
    <d v="2024-10-21T00:00:00"/>
    <n v="0"/>
    <d v="2024-10-21T00:00:00"/>
    <n v="0"/>
    <n v="0"/>
    <n v="0"/>
    <n v="0"/>
    <n v="0"/>
    <n v="1"/>
  </r>
  <r>
    <x v="731"/>
    <n v="70"/>
    <x v="1"/>
    <x v="457"/>
    <x v="396"/>
    <n v="755"/>
    <x v="1"/>
    <x v="1"/>
    <x v="0"/>
    <n v="18"/>
    <n v="10.8"/>
    <n v="129.6"/>
    <x v="3"/>
    <x v="2"/>
    <s v="Search Engine"/>
    <x v="1"/>
    <s v="Medium"/>
    <x v="3"/>
    <x v="0"/>
    <n v="129.6"/>
    <d v="2024-10-21T00:00:00"/>
    <m/>
    <d v="2024-10-21T00:00:00"/>
    <n v="0"/>
    <d v="2024-10-21T00:00:00"/>
    <n v="0"/>
    <n v="0"/>
    <n v="0"/>
    <n v="0"/>
    <n v="0"/>
    <n v="1"/>
  </r>
  <r>
    <x v="732"/>
    <n v="35"/>
    <x v="1"/>
    <x v="457"/>
    <x v="2"/>
    <n v="755"/>
    <x v="20"/>
    <x v="0"/>
    <x v="2"/>
    <n v="10"/>
    <n v="7.5"/>
    <n v="216"/>
    <x v="2"/>
    <x v="3"/>
    <s v="Social Media"/>
    <x v="2"/>
    <s v="Medium"/>
    <x v="0"/>
    <x v="1"/>
    <n v="261"/>
    <m/>
    <d v="2026-04-14T00:00:00"/>
    <d v="2026-04-14T00:00:00"/>
    <n v="4"/>
    <d v="2025-11-20T00:00:00"/>
    <n v="1"/>
    <n v="0"/>
    <n v="0"/>
    <n v="0"/>
    <n v="0"/>
    <n v="1"/>
  </r>
  <r>
    <x v="733"/>
    <n v="67"/>
    <x v="1"/>
    <x v="458"/>
    <x v="215"/>
    <n v="754"/>
    <x v="3"/>
    <x v="2"/>
    <x v="1"/>
    <n v="25"/>
    <n v="22.5"/>
    <n v="0"/>
    <x v="3"/>
    <x v="1"/>
    <s v="None"/>
    <x v="0"/>
    <s v="Low"/>
    <x v="2"/>
    <x v="0"/>
    <n v="0"/>
    <d v="2023-11-27T00:00:00"/>
    <m/>
    <d v="2023-11-27T00:00:00"/>
    <n v="0"/>
    <d v="2023-11-27T00:00:00"/>
    <n v="0"/>
    <n v="0"/>
    <n v="0"/>
    <n v="0"/>
    <n v="0"/>
    <n v="0"/>
  </r>
  <r>
    <x v="734"/>
    <n v="74"/>
    <x v="1"/>
    <x v="459"/>
    <x v="397"/>
    <n v="753"/>
    <x v="1"/>
    <x v="1"/>
    <x v="1"/>
    <n v="25"/>
    <n v="14.999999999999998"/>
    <n v="180"/>
    <x v="4"/>
    <x v="1"/>
    <s v="Social Media"/>
    <x v="1"/>
    <s v="Medium"/>
    <x v="3"/>
    <x v="0"/>
    <n v="180"/>
    <d v="2024-10-23T00:00:00"/>
    <m/>
    <d v="2024-10-23T00:00:00"/>
    <n v="0"/>
    <d v="2024-10-23T00:00:00"/>
    <n v="0"/>
    <n v="0"/>
    <n v="0"/>
    <n v="0"/>
    <n v="0"/>
    <n v="1"/>
  </r>
  <r>
    <x v="735"/>
    <n v="73"/>
    <x v="0"/>
    <x v="459"/>
    <x v="2"/>
    <n v="753"/>
    <x v="14"/>
    <x v="1"/>
    <x v="1"/>
    <n v="25"/>
    <n v="16.666666666666664"/>
    <n v="580"/>
    <x v="4"/>
    <x v="0"/>
    <s v="None"/>
    <x v="2"/>
    <s v="High"/>
    <x v="3"/>
    <x v="1"/>
    <n v="780"/>
    <m/>
    <d v="2026-10-13T00:00:00"/>
    <d v="2026-10-13T00:00:00"/>
    <n v="2"/>
    <d v="2025-11-20T00:00:00"/>
    <n v="1"/>
    <n v="0"/>
    <n v="0"/>
    <n v="0"/>
    <n v="0"/>
    <n v="1"/>
  </r>
  <r>
    <x v="736"/>
    <n v="36"/>
    <x v="1"/>
    <x v="460"/>
    <x v="398"/>
    <n v="752"/>
    <x v="0"/>
    <x v="0"/>
    <x v="2"/>
    <n v="10"/>
    <n v="6.75"/>
    <n v="40.5"/>
    <x v="2"/>
    <x v="2"/>
    <s v="Search Engine"/>
    <x v="1"/>
    <s v="Low"/>
    <x v="0"/>
    <x v="0"/>
    <n v="40.5"/>
    <d v="2024-04-27T00:00:00"/>
    <m/>
    <d v="2024-04-27T00:00:00"/>
    <n v="0"/>
    <d v="2024-04-27T00:00:00"/>
    <n v="0"/>
    <n v="0"/>
    <n v="0"/>
    <n v="0"/>
    <n v="0"/>
    <n v="0"/>
  </r>
  <r>
    <x v="737"/>
    <n v="66"/>
    <x v="1"/>
    <x v="460"/>
    <x v="399"/>
    <n v="752"/>
    <x v="1"/>
    <x v="1"/>
    <x v="2"/>
    <n v="10"/>
    <n v="6"/>
    <n v="72"/>
    <x v="3"/>
    <x v="1"/>
    <s v="None"/>
    <x v="0"/>
    <s v="Low"/>
    <x v="2"/>
    <x v="0"/>
    <n v="72"/>
    <d v="2024-10-24T00:00:00"/>
    <m/>
    <d v="2024-10-24T00:00:00"/>
    <n v="0"/>
    <d v="2024-10-24T00:00:00"/>
    <n v="0"/>
    <n v="0"/>
    <n v="0"/>
    <n v="0"/>
    <n v="0"/>
    <n v="1"/>
  </r>
  <r>
    <x v="738"/>
    <n v="54"/>
    <x v="1"/>
    <x v="460"/>
    <x v="2"/>
    <n v="752"/>
    <x v="14"/>
    <x v="1"/>
    <x v="2"/>
    <n v="10"/>
    <n v="6.6666666666666661"/>
    <n v="232"/>
    <x v="0"/>
    <x v="2"/>
    <s v="None"/>
    <x v="2"/>
    <s v="Medium"/>
    <x v="0"/>
    <x v="1"/>
    <n v="312"/>
    <m/>
    <d v="2026-10-14T00:00:00"/>
    <d v="2026-10-14T00:00:00"/>
    <n v="2"/>
    <d v="2025-11-20T00:00:00"/>
    <n v="1"/>
    <n v="0"/>
    <n v="0"/>
    <n v="0"/>
    <n v="0"/>
    <n v="1"/>
  </r>
  <r>
    <x v="739"/>
    <n v="21"/>
    <x v="0"/>
    <x v="461"/>
    <x v="218"/>
    <n v="751"/>
    <x v="3"/>
    <x v="2"/>
    <x v="2"/>
    <n v="10"/>
    <n v="9"/>
    <n v="0"/>
    <x v="1"/>
    <x v="2"/>
    <s v="Friend"/>
    <x v="3"/>
    <s v="Low"/>
    <x v="1"/>
    <x v="0"/>
    <n v="0"/>
    <d v="2023-11-30T00:00:00"/>
    <m/>
    <d v="2023-11-30T00:00:00"/>
    <n v="0"/>
    <d v="2023-11-30T00:00:00"/>
    <n v="0"/>
    <n v="0"/>
    <n v="0"/>
    <n v="0"/>
    <n v="0"/>
    <n v="0"/>
  </r>
  <r>
    <x v="740"/>
    <n v="64"/>
    <x v="0"/>
    <x v="461"/>
    <x v="400"/>
    <n v="751"/>
    <x v="1"/>
    <x v="1"/>
    <x v="0"/>
    <n v="18"/>
    <n v="10.8"/>
    <n v="129.6"/>
    <x v="3"/>
    <x v="0"/>
    <s v="Search Engine"/>
    <x v="3"/>
    <s v="Medium"/>
    <x v="2"/>
    <x v="0"/>
    <n v="129.6"/>
    <d v="2024-10-25T00:00:00"/>
    <m/>
    <d v="2024-10-25T00:00:00"/>
    <n v="0"/>
    <d v="2024-10-25T00:00:00"/>
    <n v="0"/>
    <n v="0"/>
    <n v="0"/>
    <n v="0"/>
    <n v="0"/>
    <n v="1"/>
  </r>
  <r>
    <x v="741"/>
    <n v="72"/>
    <x v="1"/>
    <x v="462"/>
    <x v="401"/>
    <n v="750"/>
    <x v="3"/>
    <x v="2"/>
    <x v="1"/>
    <n v="25"/>
    <n v="22.5"/>
    <n v="0"/>
    <x v="4"/>
    <x v="3"/>
    <s v="None"/>
    <x v="4"/>
    <s v="Low"/>
    <x v="3"/>
    <x v="0"/>
    <n v="0"/>
    <d v="2023-12-01T00:00:00"/>
    <m/>
    <d v="2023-12-01T00:00:00"/>
    <n v="0"/>
    <d v="2023-12-01T00:00:00"/>
    <n v="0"/>
    <n v="0"/>
    <n v="0"/>
    <n v="0"/>
    <n v="0"/>
    <n v="0"/>
  </r>
  <r>
    <x v="742"/>
    <n v="25"/>
    <x v="0"/>
    <x v="463"/>
    <x v="2"/>
    <n v="747"/>
    <x v="25"/>
    <x v="2"/>
    <x v="2"/>
    <n v="10"/>
    <n v="10"/>
    <n v="229"/>
    <x v="1"/>
    <x v="3"/>
    <s v="None"/>
    <x v="2"/>
    <s v="Medium"/>
    <x v="1"/>
    <x v="1"/>
    <n v="239"/>
    <m/>
    <d v="2025-11-23T00:00:00"/>
    <d v="2025-11-23T00:00:00"/>
    <n v="24"/>
    <d v="2025-11-20T00:00:00"/>
    <n v="1"/>
    <n v="0"/>
    <n v="0"/>
    <n v="0"/>
    <n v="0"/>
    <n v="1"/>
  </r>
  <r>
    <x v="743"/>
    <n v="44"/>
    <x v="1"/>
    <x v="463"/>
    <x v="2"/>
    <n v="747"/>
    <x v="25"/>
    <x v="2"/>
    <x v="2"/>
    <n v="10"/>
    <n v="10"/>
    <n v="229"/>
    <x v="2"/>
    <x v="0"/>
    <s v="Friend"/>
    <x v="2"/>
    <s v="Medium"/>
    <x v="0"/>
    <x v="1"/>
    <n v="239"/>
    <m/>
    <d v="2025-11-23T00:00:00"/>
    <d v="2025-11-23T00:00:00"/>
    <n v="24"/>
    <d v="2025-11-20T00:00:00"/>
    <n v="1"/>
    <n v="0"/>
    <n v="0"/>
    <n v="0"/>
    <n v="0"/>
    <n v="1"/>
  </r>
  <r>
    <x v="744"/>
    <n v="27"/>
    <x v="1"/>
    <x v="464"/>
    <x v="221"/>
    <n v="745"/>
    <x v="3"/>
    <x v="2"/>
    <x v="1"/>
    <n v="25"/>
    <n v="22.5"/>
    <n v="0"/>
    <x v="2"/>
    <x v="2"/>
    <s v="Email Campaign"/>
    <x v="5"/>
    <s v="Low"/>
    <x v="0"/>
    <x v="0"/>
    <n v="0"/>
    <d v="2023-12-06T00:00:00"/>
    <m/>
    <d v="2023-12-06T00:00:00"/>
    <n v="0"/>
    <d v="2023-12-06T00:00:00"/>
    <n v="0"/>
    <n v="0"/>
    <n v="0"/>
    <n v="0"/>
    <n v="0"/>
    <n v="0"/>
  </r>
  <r>
    <x v="745"/>
    <n v="66"/>
    <x v="0"/>
    <x v="464"/>
    <x v="402"/>
    <n v="745"/>
    <x v="1"/>
    <x v="1"/>
    <x v="0"/>
    <n v="18"/>
    <n v="10.8"/>
    <n v="129.6"/>
    <x v="3"/>
    <x v="3"/>
    <s v="Social Media"/>
    <x v="1"/>
    <s v="Medium"/>
    <x v="2"/>
    <x v="0"/>
    <n v="129.6"/>
    <d v="2024-10-31T00:00:00"/>
    <m/>
    <d v="2024-10-31T00:00:00"/>
    <n v="0"/>
    <d v="2024-10-31T00:00:00"/>
    <n v="0"/>
    <n v="0"/>
    <n v="0"/>
    <n v="0"/>
    <n v="0"/>
    <n v="1"/>
  </r>
  <r>
    <x v="746"/>
    <n v="35"/>
    <x v="1"/>
    <x v="464"/>
    <x v="402"/>
    <n v="745"/>
    <x v="1"/>
    <x v="1"/>
    <x v="0"/>
    <n v="18"/>
    <n v="10.8"/>
    <n v="129.6"/>
    <x v="2"/>
    <x v="2"/>
    <s v="None"/>
    <x v="0"/>
    <s v="Medium"/>
    <x v="0"/>
    <x v="0"/>
    <n v="129.6"/>
    <d v="2024-10-31T00:00:00"/>
    <m/>
    <d v="2024-10-31T00:00:00"/>
    <n v="0"/>
    <d v="2024-10-31T00:00:00"/>
    <n v="0"/>
    <n v="0"/>
    <n v="0"/>
    <n v="0"/>
    <n v="0"/>
    <n v="1"/>
  </r>
  <r>
    <x v="747"/>
    <n v="60"/>
    <x v="1"/>
    <x v="465"/>
    <x v="222"/>
    <n v="744"/>
    <x v="3"/>
    <x v="2"/>
    <x v="0"/>
    <n v="18"/>
    <n v="16.2"/>
    <n v="0"/>
    <x v="3"/>
    <x v="1"/>
    <s v="Social Media"/>
    <x v="4"/>
    <s v="Low"/>
    <x v="2"/>
    <x v="0"/>
    <n v="0"/>
    <d v="2023-12-07T00:00:00"/>
    <m/>
    <d v="2023-12-07T00:00:00"/>
    <n v="0"/>
    <d v="2023-12-07T00:00:00"/>
    <n v="0"/>
    <n v="0"/>
    <n v="0"/>
    <n v="0"/>
    <n v="0"/>
    <n v="0"/>
  </r>
  <r>
    <x v="748"/>
    <n v="31"/>
    <x v="0"/>
    <x v="465"/>
    <x v="403"/>
    <n v="744"/>
    <x v="1"/>
    <x v="1"/>
    <x v="0"/>
    <n v="18"/>
    <n v="10.8"/>
    <n v="129.6"/>
    <x v="2"/>
    <x v="0"/>
    <s v="None"/>
    <x v="4"/>
    <s v="Medium"/>
    <x v="0"/>
    <x v="0"/>
    <n v="129.6"/>
    <d v="2024-11-01T00:00:00"/>
    <m/>
    <d v="2024-11-01T00:00:00"/>
    <n v="0"/>
    <d v="2024-11-01T00:00:00"/>
    <n v="0"/>
    <n v="0"/>
    <n v="0"/>
    <n v="0"/>
    <n v="0"/>
    <n v="1"/>
  </r>
  <r>
    <x v="749"/>
    <n v="68"/>
    <x v="1"/>
    <x v="466"/>
    <x v="311"/>
    <n v="741"/>
    <x v="0"/>
    <x v="0"/>
    <x v="1"/>
    <n v="25"/>
    <n v="16.875"/>
    <n v="101.25"/>
    <x v="3"/>
    <x v="3"/>
    <s v="Social Media"/>
    <x v="5"/>
    <s v="Medium"/>
    <x v="2"/>
    <x v="0"/>
    <n v="101.25"/>
    <d v="2024-05-08T00:00:00"/>
    <m/>
    <d v="2024-05-08T00:00:00"/>
    <n v="0"/>
    <d v="2024-05-08T00:00:00"/>
    <n v="0"/>
    <n v="0"/>
    <n v="0"/>
    <n v="0"/>
    <n v="0"/>
    <n v="0"/>
  </r>
  <r>
    <x v="750"/>
    <n v="31"/>
    <x v="0"/>
    <x v="466"/>
    <x v="2"/>
    <n v="741"/>
    <x v="14"/>
    <x v="1"/>
    <x v="1"/>
    <n v="25"/>
    <n v="16.666666666666664"/>
    <n v="580"/>
    <x v="2"/>
    <x v="3"/>
    <s v="Friend"/>
    <x v="2"/>
    <s v="High"/>
    <x v="0"/>
    <x v="1"/>
    <n v="780"/>
    <m/>
    <d v="2026-10-25T00:00:00"/>
    <d v="2026-10-25T00:00:00"/>
    <n v="2"/>
    <d v="2025-11-20T00:00:00"/>
    <n v="1"/>
    <n v="0"/>
    <n v="0"/>
    <n v="0"/>
    <n v="0"/>
    <n v="1"/>
  </r>
  <r>
    <x v="751"/>
    <n v="54"/>
    <x v="0"/>
    <x v="467"/>
    <x v="404"/>
    <n v="739"/>
    <x v="1"/>
    <x v="1"/>
    <x v="2"/>
    <n v="10"/>
    <n v="6"/>
    <n v="72"/>
    <x v="0"/>
    <x v="2"/>
    <s v="None"/>
    <x v="1"/>
    <s v="Low"/>
    <x v="0"/>
    <x v="0"/>
    <n v="72"/>
    <d v="2024-11-06T00:00:00"/>
    <m/>
    <d v="2024-11-06T00:00:00"/>
    <n v="0"/>
    <d v="2024-11-06T00:00:00"/>
    <n v="0"/>
    <n v="0"/>
    <n v="0"/>
    <n v="0"/>
    <n v="0"/>
    <n v="1"/>
  </r>
  <r>
    <x v="752"/>
    <n v="29"/>
    <x v="1"/>
    <x v="468"/>
    <x v="405"/>
    <n v="737"/>
    <x v="1"/>
    <x v="1"/>
    <x v="0"/>
    <n v="18"/>
    <n v="10.8"/>
    <n v="129.6"/>
    <x v="2"/>
    <x v="1"/>
    <s v="Friend"/>
    <x v="5"/>
    <s v="Medium"/>
    <x v="0"/>
    <x v="0"/>
    <n v="129.6"/>
    <d v="2024-11-08T00:00:00"/>
    <m/>
    <d v="2024-11-08T00:00:00"/>
    <n v="0"/>
    <d v="2024-11-08T00:00:00"/>
    <n v="0"/>
    <n v="0"/>
    <n v="0"/>
    <n v="0"/>
    <n v="0"/>
    <n v="1"/>
  </r>
  <r>
    <x v="753"/>
    <n v="35"/>
    <x v="1"/>
    <x v="469"/>
    <x v="406"/>
    <n v="734"/>
    <x v="1"/>
    <x v="1"/>
    <x v="2"/>
    <n v="10"/>
    <n v="6"/>
    <n v="72"/>
    <x v="2"/>
    <x v="0"/>
    <s v="None"/>
    <x v="1"/>
    <s v="Low"/>
    <x v="0"/>
    <x v="0"/>
    <n v="72"/>
    <d v="2024-11-11T00:00:00"/>
    <m/>
    <d v="2024-11-11T00:00:00"/>
    <n v="0"/>
    <d v="2024-11-11T00:00:00"/>
    <n v="0"/>
    <n v="0"/>
    <n v="0"/>
    <n v="0"/>
    <n v="0"/>
    <n v="1"/>
  </r>
  <r>
    <x v="754"/>
    <n v="42"/>
    <x v="0"/>
    <x v="470"/>
    <x v="2"/>
    <n v="733"/>
    <x v="14"/>
    <x v="1"/>
    <x v="0"/>
    <n v="18"/>
    <n v="12"/>
    <n v="417.6"/>
    <x v="2"/>
    <x v="3"/>
    <s v="Email Campaign"/>
    <x v="2"/>
    <s v="High"/>
    <x v="0"/>
    <x v="1"/>
    <n v="561.6"/>
    <m/>
    <d v="2026-11-02T00:00:00"/>
    <d v="2026-11-02T00:00:00"/>
    <n v="2"/>
    <d v="2025-11-20T00:00:00"/>
    <n v="1"/>
    <n v="0"/>
    <n v="0"/>
    <n v="0"/>
    <n v="0"/>
    <n v="1"/>
  </r>
  <r>
    <x v="755"/>
    <n v="56"/>
    <x v="1"/>
    <x v="471"/>
    <x v="407"/>
    <n v="732"/>
    <x v="0"/>
    <x v="0"/>
    <x v="0"/>
    <n v="18"/>
    <n v="12.15"/>
    <n v="72.900000000000006"/>
    <x v="0"/>
    <x v="2"/>
    <s v="Search Engine"/>
    <x v="3"/>
    <s v="Low"/>
    <x v="0"/>
    <x v="0"/>
    <n v="72.900000000000006"/>
    <d v="2024-05-17T00:00:00"/>
    <m/>
    <d v="2024-05-17T00:00:00"/>
    <n v="0"/>
    <d v="2024-05-17T00:00:00"/>
    <n v="0"/>
    <n v="0"/>
    <n v="0"/>
    <n v="0"/>
    <n v="0"/>
    <n v="0"/>
  </r>
  <r>
    <x v="756"/>
    <n v="68"/>
    <x v="1"/>
    <x v="471"/>
    <x v="408"/>
    <n v="732"/>
    <x v="1"/>
    <x v="1"/>
    <x v="1"/>
    <n v="25"/>
    <n v="14.999999999999998"/>
    <n v="180"/>
    <x v="3"/>
    <x v="0"/>
    <s v="Email Campaign"/>
    <x v="3"/>
    <s v="Medium"/>
    <x v="2"/>
    <x v="0"/>
    <n v="180"/>
    <d v="2024-11-13T00:00:00"/>
    <m/>
    <d v="2024-11-13T00:00:00"/>
    <n v="0"/>
    <d v="2024-11-13T00:00:00"/>
    <n v="0"/>
    <n v="0"/>
    <n v="0"/>
    <n v="0"/>
    <n v="0"/>
    <n v="1"/>
  </r>
  <r>
    <x v="757"/>
    <n v="54"/>
    <x v="0"/>
    <x v="471"/>
    <x v="2"/>
    <n v="732"/>
    <x v="20"/>
    <x v="0"/>
    <x v="1"/>
    <n v="25"/>
    <n v="18.75"/>
    <n v="540"/>
    <x v="0"/>
    <x v="2"/>
    <s v="None"/>
    <x v="2"/>
    <s v="High"/>
    <x v="0"/>
    <x v="1"/>
    <n v="652.5"/>
    <m/>
    <d v="2026-05-07T00:00:00"/>
    <d v="2026-05-07T00:00:00"/>
    <n v="4"/>
    <d v="2025-11-20T00:00:00"/>
    <n v="1"/>
    <n v="0"/>
    <n v="0"/>
    <n v="0"/>
    <n v="0"/>
    <n v="1"/>
  </r>
  <r>
    <x v="758"/>
    <n v="47"/>
    <x v="1"/>
    <x v="472"/>
    <x v="409"/>
    <n v="730"/>
    <x v="0"/>
    <x v="0"/>
    <x v="1"/>
    <n v="25"/>
    <n v="16.875"/>
    <n v="101.25"/>
    <x v="2"/>
    <x v="0"/>
    <s v="Friend"/>
    <x v="4"/>
    <s v="Medium"/>
    <x v="0"/>
    <x v="0"/>
    <n v="101.25"/>
    <d v="2024-05-19T00:00:00"/>
    <m/>
    <d v="2024-05-19T00:00:00"/>
    <n v="0"/>
    <d v="2024-05-19T00:00:00"/>
    <n v="0"/>
    <n v="0"/>
    <n v="0"/>
    <n v="0"/>
    <n v="0"/>
    <n v="0"/>
  </r>
  <r>
    <x v="759"/>
    <n v="62"/>
    <x v="0"/>
    <x v="473"/>
    <x v="2"/>
    <n v="729"/>
    <x v="14"/>
    <x v="1"/>
    <x v="0"/>
    <n v="18"/>
    <n v="12"/>
    <n v="417.6"/>
    <x v="3"/>
    <x v="3"/>
    <s v="Friend"/>
    <x v="2"/>
    <s v="High"/>
    <x v="2"/>
    <x v="1"/>
    <n v="561.6"/>
    <m/>
    <d v="2026-11-06T00:00:00"/>
    <d v="2026-11-06T00:00:00"/>
    <n v="2"/>
    <d v="2025-11-20T00:00:00"/>
    <n v="1"/>
    <n v="0"/>
    <n v="0"/>
    <n v="0"/>
    <n v="0"/>
    <n v="1"/>
  </r>
  <r>
    <x v="760"/>
    <n v="29"/>
    <x v="0"/>
    <x v="474"/>
    <x v="410"/>
    <n v="728"/>
    <x v="1"/>
    <x v="1"/>
    <x v="1"/>
    <n v="25"/>
    <n v="14.999999999999998"/>
    <n v="180"/>
    <x v="2"/>
    <x v="1"/>
    <s v="Friend"/>
    <x v="5"/>
    <s v="Medium"/>
    <x v="0"/>
    <x v="0"/>
    <n v="180"/>
    <d v="2024-11-17T00:00:00"/>
    <m/>
    <d v="2024-11-17T00:00:00"/>
    <n v="0"/>
    <d v="2024-11-17T00:00:00"/>
    <n v="0"/>
    <n v="0"/>
    <n v="0"/>
    <n v="0"/>
    <n v="0"/>
    <n v="1"/>
  </r>
  <r>
    <x v="761"/>
    <n v="72"/>
    <x v="1"/>
    <x v="475"/>
    <x v="411"/>
    <n v="727"/>
    <x v="1"/>
    <x v="1"/>
    <x v="0"/>
    <n v="18"/>
    <n v="10.8"/>
    <n v="129.6"/>
    <x v="4"/>
    <x v="3"/>
    <s v="Social Media"/>
    <x v="0"/>
    <s v="Medium"/>
    <x v="3"/>
    <x v="0"/>
    <n v="129.6"/>
    <d v="2024-11-18T00:00:00"/>
    <m/>
    <d v="2024-11-18T00:00:00"/>
    <n v="0"/>
    <d v="2024-11-18T00:00:00"/>
    <n v="0"/>
    <n v="0"/>
    <n v="0"/>
    <n v="0"/>
    <n v="0"/>
    <n v="1"/>
  </r>
  <r>
    <x v="762"/>
    <n v="22"/>
    <x v="1"/>
    <x v="475"/>
    <x v="411"/>
    <n v="727"/>
    <x v="1"/>
    <x v="1"/>
    <x v="1"/>
    <n v="25"/>
    <n v="14.999999999999998"/>
    <n v="180"/>
    <x v="1"/>
    <x v="0"/>
    <s v="None"/>
    <x v="3"/>
    <s v="Medium"/>
    <x v="1"/>
    <x v="0"/>
    <n v="180"/>
    <d v="2024-11-18T00:00:00"/>
    <m/>
    <d v="2024-11-18T00:00:00"/>
    <n v="0"/>
    <d v="2024-11-18T00:00:00"/>
    <n v="0"/>
    <n v="0"/>
    <n v="0"/>
    <n v="0"/>
    <n v="0"/>
    <n v="1"/>
  </r>
  <r>
    <x v="763"/>
    <n v="18"/>
    <x v="1"/>
    <x v="475"/>
    <x v="411"/>
    <n v="727"/>
    <x v="1"/>
    <x v="1"/>
    <x v="1"/>
    <n v="25"/>
    <n v="14.999999999999998"/>
    <n v="180"/>
    <x v="1"/>
    <x v="3"/>
    <s v="Search Engine"/>
    <x v="4"/>
    <s v="Medium"/>
    <x v="4"/>
    <x v="0"/>
    <n v="180"/>
    <d v="2024-11-18T00:00:00"/>
    <m/>
    <d v="2024-11-18T00:00:00"/>
    <n v="0"/>
    <d v="2024-11-18T00:00:00"/>
    <n v="0"/>
    <n v="0"/>
    <n v="0"/>
    <n v="0"/>
    <n v="0"/>
    <n v="1"/>
  </r>
  <r>
    <x v="764"/>
    <n v="47"/>
    <x v="0"/>
    <x v="476"/>
    <x v="412"/>
    <n v="725"/>
    <x v="0"/>
    <x v="0"/>
    <x v="0"/>
    <n v="18"/>
    <n v="12.15"/>
    <n v="72.900000000000006"/>
    <x v="2"/>
    <x v="0"/>
    <s v="None"/>
    <x v="5"/>
    <s v="Low"/>
    <x v="0"/>
    <x v="0"/>
    <n v="72.900000000000006"/>
    <d v="2024-05-24T00:00:00"/>
    <m/>
    <d v="2024-05-24T00:00:00"/>
    <n v="0"/>
    <d v="2024-05-24T00:00:00"/>
    <n v="0"/>
    <n v="0"/>
    <n v="0"/>
    <n v="0"/>
    <n v="0"/>
    <n v="0"/>
  </r>
  <r>
    <x v="765"/>
    <n v="54"/>
    <x v="0"/>
    <x v="477"/>
    <x v="413"/>
    <n v="723"/>
    <x v="0"/>
    <x v="0"/>
    <x v="1"/>
    <n v="25"/>
    <n v="16.875"/>
    <n v="101.25"/>
    <x v="0"/>
    <x v="1"/>
    <s v="Friend"/>
    <x v="3"/>
    <s v="Medium"/>
    <x v="0"/>
    <x v="0"/>
    <n v="101.25"/>
    <d v="2024-05-26T00:00:00"/>
    <m/>
    <d v="2024-05-26T00:00:00"/>
    <n v="0"/>
    <d v="2024-05-26T00:00:00"/>
    <n v="0"/>
    <n v="0"/>
    <n v="0"/>
    <n v="0"/>
    <n v="0"/>
    <n v="0"/>
  </r>
  <r>
    <x v="766"/>
    <n v="50"/>
    <x v="1"/>
    <x v="478"/>
    <x v="414"/>
    <n v="722"/>
    <x v="3"/>
    <x v="2"/>
    <x v="2"/>
    <n v="10"/>
    <n v="9"/>
    <n v="0"/>
    <x v="0"/>
    <x v="1"/>
    <s v="None"/>
    <x v="0"/>
    <s v="Low"/>
    <x v="0"/>
    <x v="0"/>
    <n v="0"/>
    <d v="2023-12-29T00:00:00"/>
    <m/>
    <d v="2023-12-29T00:00:00"/>
    <n v="0"/>
    <d v="2023-12-29T00:00:00"/>
    <n v="0"/>
    <n v="0"/>
    <n v="0"/>
    <n v="0"/>
    <n v="0"/>
    <n v="0"/>
  </r>
  <r>
    <x v="767"/>
    <n v="65"/>
    <x v="1"/>
    <x v="478"/>
    <x v="414"/>
    <n v="722"/>
    <x v="3"/>
    <x v="2"/>
    <x v="2"/>
    <n v="10"/>
    <n v="9"/>
    <n v="0"/>
    <x v="3"/>
    <x v="0"/>
    <s v="Social Media"/>
    <x v="4"/>
    <s v="Low"/>
    <x v="2"/>
    <x v="0"/>
    <n v="0"/>
    <d v="2023-12-29T00:00:00"/>
    <m/>
    <d v="2023-12-29T00:00:00"/>
    <n v="0"/>
    <d v="2023-12-29T00:00:00"/>
    <n v="0"/>
    <n v="0"/>
    <n v="0"/>
    <n v="0"/>
    <n v="0"/>
    <n v="0"/>
  </r>
  <r>
    <x v="768"/>
    <n v="64"/>
    <x v="1"/>
    <x v="478"/>
    <x v="415"/>
    <n v="722"/>
    <x v="1"/>
    <x v="1"/>
    <x v="0"/>
    <n v="18"/>
    <n v="10.8"/>
    <n v="129.6"/>
    <x v="3"/>
    <x v="3"/>
    <s v="Search Engine"/>
    <x v="4"/>
    <s v="Medium"/>
    <x v="2"/>
    <x v="0"/>
    <n v="129.6"/>
    <d v="2024-11-23T00:00:00"/>
    <m/>
    <d v="2024-11-23T00:00:00"/>
    <n v="0"/>
    <d v="2024-11-23T00:00:00"/>
    <n v="0"/>
    <n v="0"/>
    <n v="0"/>
    <n v="0"/>
    <n v="0"/>
    <n v="1"/>
  </r>
  <r>
    <x v="769"/>
    <n v="42"/>
    <x v="1"/>
    <x v="478"/>
    <x v="415"/>
    <n v="722"/>
    <x v="1"/>
    <x v="1"/>
    <x v="0"/>
    <n v="18"/>
    <n v="10.8"/>
    <n v="129.6"/>
    <x v="2"/>
    <x v="1"/>
    <s v="None"/>
    <x v="4"/>
    <s v="Medium"/>
    <x v="0"/>
    <x v="0"/>
    <n v="129.6"/>
    <d v="2024-11-23T00:00:00"/>
    <m/>
    <d v="2024-11-23T00:00:00"/>
    <n v="0"/>
    <d v="2024-11-23T00:00:00"/>
    <n v="0"/>
    <n v="0"/>
    <n v="0"/>
    <n v="0"/>
    <n v="0"/>
    <n v="1"/>
  </r>
  <r>
    <x v="770"/>
    <n v="42"/>
    <x v="1"/>
    <x v="479"/>
    <x v="416"/>
    <n v="720"/>
    <x v="0"/>
    <x v="0"/>
    <x v="2"/>
    <n v="10"/>
    <n v="6.75"/>
    <n v="40.5"/>
    <x v="2"/>
    <x v="3"/>
    <s v="Social Media"/>
    <x v="3"/>
    <s v="Low"/>
    <x v="0"/>
    <x v="0"/>
    <n v="40.5"/>
    <d v="2024-05-29T00:00:00"/>
    <m/>
    <d v="2024-05-29T00:00:00"/>
    <n v="0"/>
    <d v="2024-05-29T00:00:00"/>
    <n v="0"/>
    <n v="0"/>
    <n v="0"/>
    <n v="0"/>
    <n v="0"/>
    <n v="0"/>
  </r>
  <r>
    <x v="771"/>
    <n v="75"/>
    <x v="0"/>
    <x v="480"/>
    <x v="417"/>
    <n v="719"/>
    <x v="1"/>
    <x v="1"/>
    <x v="1"/>
    <n v="25"/>
    <n v="14.999999999999998"/>
    <n v="180"/>
    <x v="4"/>
    <x v="1"/>
    <s v="Search Engine"/>
    <x v="4"/>
    <s v="Medium"/>
    <x v="3"/>
    <x v="0"/>
    <n v="180"/>
    <d v="2024-11-26T00:00:00"/>
    <m/>
    <d v="2024-11-26T00:00:00"/>
    <n v="0"/>
    <d v="2024-11-26T00:00:00"/>
    <n v="0"/>
    <n v="0"/>
    <n v="0"/>
    <n v="0"/>
    <n v="0"/>
    <n v="1"/>
  </r>
  <r>
    <x v="772"/>
    <n v="57"/>
    <x v="1"/>
    <x v="481"/>
    <x v="240"/>
    <n v="718"/>
    <x v="3"/>
    <x v="2"/>
    <x v="1"/>
    <n v="25"/>
    <n v="22.5"/>
    <n v="0"/>
    <x v="0"/>
    <x v="0"/>
    <s v="Search Engine"/>
    <x v="3"/>
    <s v="Low"/>
    <x v="0"/>
    <x v="0"/>
    <n v="0"/>
    <d v="2024-01-02T00:00:00"/>
    <m/>
    <d v="2024-01-02T00:00:00"/>
    <n v="0"/>
    <d v="2024-01-02T00:00:00"/>
    <n v="0"/>
    <n v="0"/>
    <n v="0"/>
    <n v="0"/>
    <n v="0"/>
    <n v="0"/>
  </r>
  <r>
    <x v="773"/>
    <n v="32"/>
    <x v="1"/>
    <x v="481"/>
    <x v="418"/>
    <n v="718"/>
    <x v="1"/>
    <x v="1"/>
    <x v="2"/>
    <n v="10"/>
    <n v="6"/>
    <n v="72"/>
    <x v="2"/>
    <x v="0"/>
    <s v="Email Campaign"/>
    <x v="4"/>
    <s v="Low"/>
    <x v="0"/>
    <x v="0"/>
    <n v="72"/>
    <d v="2024-11-27T00:00:00"/>
    <m/>
    <d v="2024-11-27T00:00:00"/>
    <n v="0"/>
    <d v="2024-11-27T00:00:00"/>
    <n v="0"/>
    <n v="0"/>
    <n v="0"/>
    <n v="0"/>
    <n v="0"/>
    <n v="1"/>
  </r>
  <r>
    <x v="774"/>
    <n v="21"/>
    <x v="1"/>
    <x v="482"/>
    <x v="419"/>
    <n v="717"/>
    <x v="1"/>
    <x v="1"/>
    <x v="0"/>
    <n v="18"/>
    <n v="10.8"/>
    <n v="129.6"/>
    <x v="1"/>
    <x v="1"/>
    <s v="Email Campaign"/>
    <x v="4"/>
    <s v="Medium"/>
    <x v="1"/>
    <x v="0"/>
    <n v="129.6"/>
    <d v="2024-11-28T00:00:00"/>
    <m/>
    <d v="2024-11-28T00:00:00"/>
    <n v="0"/>
    <d v="2024-11-28T00:00:00"/>
    <n v="0"/>
    <n v="0"/>
    <n v="0"/>
    <n v="0"/>
    <n v="0"/>
    <n v="1"/>
  </r>
  <r>
    <x v="775"/>
    <n v="51"/>
    <x v="1"/>
    <x v="482"/>
    <x v="2"/>
    <n v="717"/>
    <x v="26"/>
    <x v="1"/>
    <x v="2"/>
    <n v="10"/>
    <n v="6.6666666666666661"/>
    <n v="152"/>
    <x v="0"/>
    <x v="3"/>
    <s v="None"/>
    <x v="2"/>
    <s v="Medium"/>
    <x v="0"/>
    <x v="1"/>
    <n v="232"/>
    <m/>
    <d v="2025-11-23T00:00:00"/>
    <d v="2025-11-23T00:00:00"/>
    <n v="1"/>
    <d v="2025-11-20T00:00:00"/>
    <n v="1"/>
    <n v="0"/>
    <n v="0"/>
    <n v="0"/>
    <n v="0"/>
    <n v="1"/>
  </r>
  <r>
    <x v="776"/>
    <n v="50"/>
    <x v="0"/>
    <x v="483"/>
    <x v="2"/>
    <n v="716"/>
    <x v="26"/>
    <x v="0"/>
    <x v="2"/>
    <n v="10"/>
    <n v="7.5"/>
    <n v="171"/>
    <x v="0"/>
    <x v="3"/>
    <s v="Email Campaign"/>
    <x v="2"/>
    <s v="Medium"/>
    <x v="0"/>
    <x v="1"/>
    <n v="216"/>
    <m/>
    <d v="2025-11-24T00:00:00"/>
    <d v="2025-11-24T00:00:00"/>
    <n v="3"/>
    <d v="2025-11-20T00:00:00"/>
    <n v="1"/>
    <n v="0"/>
    <n v="0"/>
    <n v="0"/>
    <n v="0"/>
    <n v="1"/>
  </r>
  <r>
    <x v="777"/>
    <n v="72"/>
    <x v="0"/>
    <x v="484"/>
    <x v="420"/>
    <n v="710"/>
    <x v="1"/>
    <x v="1"/>
    <x v="2"/>
    <n v="10"/>
    <n v="6"/>
    <n v="72"/>
    <x v="4"/>
    <x v="1"/>
    <s v="Email Campaign"/>
    <x v="1"/>
    <s v="Low"/>
    <x v="3"/>
    <x v="0"/>
    <n v="72"/>
    <d v="2024-12-05T00:00:00"/>
    <m/>
    <d v="2024-12-05T00:00:00"/>
    <n v="0"/>
    <d v="2024-12-05T00:00:00"/>
    <n v="0"/>
    <n v="0"/>
    <n v="0"/>
    <n v="0"/>
    <n v="0"/>
    <n v="1"/>
  </r>
  <r>
    <x v="778"/>
    <n v="23"/>
    <x v="1"/>
    <x v="485"/>
    <x v="2"/>
    <n v="709"/>
    <x v="26"/>
    <x v="1"/>
    <x v="0"/>
    <n v="18"/>
    <n v="12"/>
    <n v="273.60000000000002"/>
    <x v="1"/>
    <x v="1"/>
    <s v="Friend"/>
    <x v="2"/>
    <s v="Medium"/>
    <x v="1"/>
    <x v="1"/>
    <n v="417.6"/>
    <m/>
    <d v="2025-12-01T00:00:00"/>
    <d v="2025-12-01T00:00:00"/>
    <n v="1"/>
    <d v="2025-11-20T00:00:00"/>
    <n v="1"/>
    <n v="0"/>
    <n v="0"/>
    <n v="0"/>
    <n v="0"/>
    <n v="1"/>
  </r>
  <r>
    <x v="779"/>
    <n v="24"/>
    <x v="1"/>
    <x v="486"/>
    <x v="244"/>
    <n v="707"/>
    <x v="3"/>
    <x v="2"/>
    <x v="0"/>
    <n v="18"/>
    <n v="16.2"/>
    <n v="0"/>
    <x v="1"/>
    <x v="0"/>
    <s v="None"/>
    <x v="4"/>
    <s v="Low"/>
    <x v="1"/>
    <x v="0"/>
    <n v="0"/>
    <d v="2024-01-13T00:00:00"/>
    <m/>
    <d v="2024-01-13T00:00:00"/>
    <n v="0"/>
    <d v="2024-01-13T00:00:00"/>
    <n v="0"/>
    <n v="0"/>
    <n v="0"/>
    <n v="0"/>
    <n v="0"/>
    <n v="0"/>
  </r>
  <r>
    <x v="780"/>
    <n v="27"/>
    <x v="1"/>
    <x v="486"/>
    <x v="421"/>
    <n v="707"/>
    <x v="1"/>
    <x v="1"/>
    <x v="2"/>
    <n v="10"/>
    <n v="6"/>
    <n v="72"/>
    <x v="2"/>
    <x v="3"/>
    <s v="None"/>
    <x v="1"/>
    <s v="Low"/>
    <x v="0"/>
    <x v="0"/>
    <n v="72"/>
    <d v="2024-12-08T00:00:00"/>
    <m/>
    <d v="2024-12-08T00:00:00"/>
    <n v="0"/>
    <d v="2024-12-08T00:00:00"/>
    <n v="0"/>
    <n v="0"/>
    <n v="0"/>
    <n v="0"/>
    <n v="0"/>
    <n v="1"/>
  </r>
  <r>
    <x v="781"/>
    <n v="23"/>
    <x v="1"/>
    <x v="486"/>
    <x v="421"/>
    <n v="707"/>
    <x v="1"/>
    <x v="1"/>
    <x v="1"/>
    <n v="25"/>
    <n v="14.999999999999998"/>
    <n v="180"/>
    <x v="1"/>
    <x v="0"/>
    <s v="Social Media"/>
    <x v="3"/>
    <s v="Medium"/>
    <x v="1"/>
    <x v="0"/>
    <n v="180"/>
    <d v="2024-12-08T00:00:00"/>
    <m/>
    <d v="2024-12-08T00:00:00"/>
    <n v="0"/>
    <d v="2024-12-08T00:00:00"/>
    <n v="0"/>
    <n v="0"/>
    <n v="0"/>
    <n v="0"/>
    <n v="0"/>
    <n v="1"/>
  </r>
  <r>
    <x v="782"/>
    <n v="64"/>
    <x v="0"/>
    <x v="487"/>
    <x v="422"/>
    <n v="706"/>
    <x v="1"/>
    <x v="1"/>
    <x v="1"/>
    <n v="25"/>
    <n v="14.999999999999998"/>
    <n v="180"/>
    <x v="3"/>
    <x v="0"/>
    <s v="Search Engine"/>
    <x v="3"/>
    <s v="Medium"/>
    <x v="2"/>
    <x v="0"/>
    <n v="180"/>
    <d v="2024-12-09T00:00:00"/>
    <m/>
    <d v="2024-12-09T00:00:00"/>
    <n v="0"/>
    <d v="2024-12-09T00:00:00"/>
    <n v="0"/>
    <n v="0"/>
    <n v="0"/>
    <n v="0"/>
    <n v="0"/>
    <n v="1"/>
  </r>
  <r>
    <x v="783"/>
    <n v="20"/>
    <x v="0"/>
    <x v="488"/>
    <x v="423"/>
    <n v="705"/>
    <x v="1"/>
    <x v="1"/>
    <x v="1"/>
    <n v="25"/>
    <n v="14.999999999999998"/>
    <n v="180"/>
    <x v="1"/>
    <x v="1"/>
    <s v="Social Media"/>
    <x v="5"/>
    <s v="Medium"/>
    <x v="1"/>
    <x v="0"/>
    <n v="180"/>
    <d v="2024-12-10T00:00:00"/>
    <m/>
    <d v="2024-12-10T00:00:00"/>
    <n v="0"/>
    <d v="2024-12-10T00:00:00"/>
    <n v="0"/>
    <n v="0"/>
    <n v="0"/>
    <n v="0"/>
    <n v="0"/>
    <n v="1"/>
  </r>
  <r>
    <x v="784"/>
    <n v="50"/>
    <x v="0"/>
    <x v="489"/>
    <x v="424"/>
    <n v="704"/>
    <x v="1"/>
    <x v="1"/>
    <x v="1"/>
    <n v="25"/>
    <n v="14.999999999999998"/>
    <n v="180"/>
    <x v="0"/>
    <x v="2"/>
    <s v="Email Campaign"/>
    <x v="0"/>
    <s v="Medium"/>
    <x v="0"/>
    <x v="0"/>
    <n v="180"/>
    <d v="2024-12-11T00:00:00"/>
    <m/>
    <d v="2024-12-11T00:00:00"/>
    <n v="0"/>
    <d v="2024-12-11T00:00:00"/>
    <n v="0"/>
    <n v="0"/>
    <n v="0"/>
    <n v="0"/>
    <n v="0"/>
    <n v="1"/>
  </r>
  <r>
    <x v="785"/>
    <n v="31"/>
    <x v="0"/>
    <x v="490"/>
    <x v="2"/>
    <n v="703"/>
    <x v="26"/>
    <x v="2"/>
    <x v="2"/>
    <n v="10"/>
    <n v="10"/>
    <n v="219"/>
    <x v="2"/>
    <x v="2"/>
    <s v="Friend"/>
    <x v="2"/>
    <s v="Medium"/>
    <x v="0"/>
    <x v="1"/>
    <n v="229"/>
    <m/>
    <d v="2025-12-07T00:00:00"/>
    <d v="2025-12-07T00:00:00"/>
    <n v="23"/>
    <d v="2025-11-20T00:00:00"/>
    <n v="1"/>
    <n v="0"/>
    <n v="0"/>
    <n v="0"/>
    <n v="0"/>
    <n v="1"/>
  </r>
  <r>
    <x v="786"/>
    <n v="40"/>
    <x v="1"/>
    <x v="491"/>
    <x v="425"/>
    <n v="702"/>
    <x v="1"/>
    <x v="1"/>
    <x v="2"/>
    <n v="10"/>
    <n v="6"/>
    <n v="72"/>
    <x v="2"/>
    <x v="3"/>
    <s v="None"/>
    <x v="4"/>
    <s v="Low"/>
    <x v="0"/>
    <x v="0"/>
    <n v="72"/>
    <d v="2024-12-13T00:00:00"/>
    <m/>
    <d v="2024-12-13T00:00:00"/>
    <n v="0"/>
    <d v="2024-12-13T00:00:00"/>
    <n v="0"/>
    <n v="0"/>
    <n v="0"/>
    <n v="0"/>
    <n v="0"/>
    <n v="1"/>
  </r>
  <r>
    <x v="787"/>
    <n v="42"/>
    <x v="1"/>
    <x v="492"/>
    <x v="426"/>
    <n v="701"/>
    <x v="1"/>
    <x v="1"/>
    <x v="0"/>
    <n v="18"/>
    <n v="10.8"/>
    <n v="129.6"/>
    <x v="2"/>
    <x v="0"/>
    <s v="Search Engine"/>
    <x v="1"/>
    <s v="Medium"/>
    <x v="0"/>
    <x v="0"/>
    <n v="129.6"/>
    <d v="2024-12-14T00:00:00"/>
    <m/>
    <d v="2024-12-14T00:00:00"/>
    <n v="0"/>
    <d v="2024-12-14T00:00:00"/>
    <n v="0"/>
    <n v="0"/>
    <n v="0"/>
    <n v="0"/>
    <n v="0"/>
    <n v="1"/>
  </r>
  <r>
    <x v="788"/>
    <n v="43"/>
    <x v="0"/>
    <x v="493"/>
    <x v="427"/>
    <n v="699"/>
    <x v="0"/>
    <x v="0"/>
    <x v="0"/>
    <n v="18"/>
    <n v="12.15"/>
    <n v="72.900000000000006"/>
    <x v="2"/>
    <x v="2"/>
    <s v="Friend"/>
    <x v="5"/>
    <s v="Low"/>
    <x v="0"/>
    <x v="0"/>
    <n v="72.900000000000006"/>
    <d v="2024-06-19T00:00:00"/>
    <m/>
    <d v="2024-06-19T00:00:00"/>
    <n v="0"/>
    <d v="2024-06-19T00:00:00"/>
    <n v="0"/>
    <n v="0"/>
    <n v="0"/>
    <n v="0"/>
    <n v="0"/>
    <n v="0"/>
  </r>
  <r>
    <x v="789"/>
    <n v="42"/>
    <x v="1"/>
    <x v="494"/>
    <x v="428"/>
    <n v="697"/>
    <x v="1"/>
    <x v="1"/>
    <x v="2"/>
    <n v="10"/>
    <n v="6"/>
    <n v="72"/>
    <x v="2"/>
    <x v="2"/>
    <s v="Social Media"/>
    <x v="5"/>
    <s v="Low"/>
    <x v="0"/>
    <x v="0"/>
    <n v="72"/>
    <d v="2024-12-18T00:00:00"/>
    <m/>
    <d v="2024-12-18T00:00:00"/>
    <n v="0"/>
    <d v="2024-12-18T00:00:00"/>
    <n v="0"/>
    <n v="0"/>
    <n v="0"/>
    <n v="0"/>
    <n v="0"/>
    <n v="1"/>
  </r>
  <r>
    <x v="790"/>
    <n v="65"/>
    <x v="1"/>
    <x v="495"/>
    <x v="248"/>
    <n v="696"/>
    <x v="3"/>
    <x v="2"/>
    <x v="1"/>
    <n v="25"/>
    <n v="22.5"/>
    <n v="0"/>
    <x v="3"/>
    <x v="2"/>
    <s v="Social Media"/>
    <x v="5"/>
    <s v="Low"/>
    <x v="2"/>
    <x v="0"/>
    <n v="0"/>
    <d v="2024-01-24T00:00:00"/>
    <m/>
    <d v="2024-01-24T00:00:00"/>
    <n v="0"/>
    <d v="2024-01-24T00:00:00"/>
    <n v="0"/>
    <n v="0"/>
    <n v="0"/>
    <n v="0"/>
    <n v="0"/>
    <n v="0"/>
  </r>
  <r>
    <x v="791"/>
    <n v="40"/>
    <x v="0"/>
    <x v="495"/>
    <x v="2"/>
    <n v="696"/>
    <x v="26"/>
    <x v="1"/>
    <x v="2"/>
    <n v="10"/>
    <n v="6.6666666666666661"/>
    <n v="152"/>
    <x v="2"/>
    <x v="3"/>
    <s v="Search Engine"/>
    <x v="2"/>
    <s v="Medium"/>
    <x v="0"/>
    <x v="1"/>
    <n v="232"/>
    <m/>
    <d v="2025-12-14T00:00:00"/>
    <d v="2025-12-14T00:00:00"/>
    <n v="1"/>
    <d v="2025-11-20T00:00:00"/>
    <n v="1"/>
    <n v="0"/>
    <n v="0"/>
    <n v="0"/>
    <n v="0"/>
    <n v="1"/>
  </r>
  <r>
    <x v="792"/>
    <n v="58"/>
    <x v="1"/>
    <x v="496"/>
    <x v="429"/>
    <n v="695"/>
    <x v="1"/>
    <x v="1"/>
    <x v="2"/>
    <n v="10"/>
    <n v="6"/>
    <n v="72"/>
    <x v="0"/>
    <x v="0"/>
    <s v="None"/>
    <x v="5"/>
    <s v="Low"/>
    <x v="0"/>
    <x v="0"/>
    <n v="72"/>
    <d v="2024-12-20T00:00:00"/>
    <m/>
    <d v="2024-12-20T00:00:00"/>
    <n v="0"/>
    <d v="2024-12-20T00:00:00"/>
    <n v="0"/>
    <n v="0"/>
    <n v="0"/>
    <n v="0"/>
    <n v="0"/>
    <n v="1"/>
  </r>
  <r>
    <x v="793"/>
    <n v="42"/>
    <x v="1"/>
    <x v="496"/>
    <x v="429"/>
    <n v="695"/>
    <x v="1"/>
    <x v="1"/>
    <x v="0"/>
    <n v="18"/>
    <n v="10.8"/>
    <n v="129.6"/>
    <x v="2"/>
    <x v="2"/>
    <s v="Search Engine"/>
    <x v="5"/>
    <s v="Medium"/>
    <x v="0"/>
    <x v="0"/>
    <n v="129.6"/>
    <d v="2024-12-20T00:00:00"/>
    <m/>
    <d v="2024-12-20T00:00:00"/>
    <n v="0"/>
    <d v="2024-12-20T00:00:00"/>
    <n v="0"/>
    <n v="0"/>
    <n v="0"/>
    <n v="0"/>
    <n v="0"/>
    <n v="1"/>
  </r>
  <r>
    <x v="794"/>
    <n v="32"/>
    <x v="1"/>
    <x v="497"/>
    <x v="2"/>
    <n v="693"/>
    <x v="26"/>
    <x v="2"/>
    <x v="2"/>
    <n v="10"/>
    <n v="10"/>
    <n v="219"/>
    <x v="2"/>
    <x v="1"/>
    <s v="Email Campaign"/>
    <x v="2"/>
    <s v="Medium"/>
    <x v="0"/>
    <x v="1"/>
    <n v="229"/>
    <m/>
    <d v="2025-12-17T00:00:00"/>
    <d v="2025-12-17T00:00:00"/>
    <n v="23"/>
    <d v="2025-11-20T00:00:00"/>
    <n v="1"/>
    <n v="0"/>
    <n v="0"/>
    <n v="0"/>
    <n v="0"/>
    <n v="1"/>
  </r>
  <r>
    <x v="795"/>
    <n v="41"/>
    <x v="0"/>
    <x v="498"/>
    <x v="430"/>
    <n v="692"/>
    <x v="1"/>
    <x v="1"/>
    <x v="0"/>
    <n v="18"/>
    <n v="10.8"/>
    <n v="129.6"/>
    <x v="2"/>
    <x v="0"/>
    <s v="Search Engine"/>
    <x v="4"/>
    <s v="Medium"/>
    <x v="0"/>
    <x v="0"/>
    <n v="129.6"/>
    <d v="2024-12-23T00:00:00"/>
    <m/>
    <d v="2024-12-23T00:00:00"/>
    <n v="0"/>
    <d v="2024-12-23T00:00:00"/>
    <n v="0"/>
    <n v="0"/>
    <n v="0"/>
    <n v="0"/>
    <n v="0"/>
    <n v="1"/>
  </r>
  <r>
    <x v="796"/>
    <n v="64"/>
    <x v="1"/>
    <x v="498"/>
    <x v="2"/>
    <n v="692"/>
    <x v="26"/>
    <x v="1"/>
    <x v="0"/>
    <n v="18"/>
    <n v="12"/>
    <n v="273.60000000000002"/>
    <x v="3"/>
    <x v="0"/>
    <s v="Search Engine"/>
    <x v="2"/>
    <s v="Medium"/>
    <x v="2"/>
    <x v="1"/>
    <n v="417.6"/>
    <m/>
    <d v="2025-12-18T00:00:00"/>
    <d v="2025-12-18T00:00:00"/>
    <n v="1"/>
    <d v="2025-11-20T00:00:00"/>
    <n v="1"/>
    <n v="0"/>
    <n v="0"/>
    <n v="0"/>
    <n v="0"/>
    <n v="1"/>
  </r>
  <r>
    <x v="797"/>
    <n v="51"/>
    <x v="0"/>
    <x v="499"/>
    <x v="431"/>
    <n v="690"/>
    <x v="1"/>
    <x v="1"/>
    <x v="2"/>
    <n v="10"/>
    <n v="6"/>
    <n v="72"/>
    <x v="0"/>
    <x v="0"/>
    <s v="None"/>
    <x v="0"/>
    <s v="Low"/>
    <x v="0"/>
    <x v="0"/>
    <n v="72"/>
    <d v="2024-12-25T00:00:00"/>
    <m/>
    <d v="2024-12-25T00:00:00"/>
    <n v="0"/>
    <d v="2024-12-25T00:00:00"/>
    <n v="0"/>
    <n v="0"/>
    <n v="0"/>
    <n v="0"/>
    <n v="0"/>
    <n v="1"/>
  </r>
  <r>
    <x v="798"/>
    <n v="63"/>
    <x v="0"/>
    <x v="499"/>
    <x v="2"/>
    <n v="690"/>
    <x v="26"/>
    <x v="0"/>
    <x v="2"/>
    <n v="10"/>
    <n v="7.5"/>
    <n v="171"/>
    <x v="3"/>
    <x v="1"/>
    <s v="None"/>
    <x v="2"/>
    <s v="Medium"/>
    <x v="2"/>
    <x v="1"/>
    <n v="216"/>
    <m/>
    <d v="2025-12-20T00:00:00"/>
    <d v="2025-12-20T00:00:00"/>
    <n v="3"/>
    <d v="2025-11-20T00:00:00"/>
    <n v="1"/>
    <n v="0"/>
    <n v="0"/>
    <n v="0"/>
    <n v="0"/>
    <n v="1"/>
  </r>
  <r>
    <x v="799"/>
    <n v="52"/>
    <x v="0"/>
    <x v="499"/>
    <x v="2"/>
    <n v="690"/>
    <x v="27"/>
    <x v="2"/>
    <x v="0"/>
    <n v="18"/>
    <n v="18"/>
    <n v="376.2"/>
    <x v="0"/>
    <x v="2"/>
    <s v="None"/>
    <x v="2"/>
    <s v="High"/>
    <x v="0"/>
    <x v="1"/>
    <n v="394.2"/>
    <m/>
    <d v="2025-11-20T00:00:00"/>
    <d v="2025-11-20T00:00:00"/>
    <n v="22"/>
    <d v="2025-11-20T00:00:00"/>
    <n v="1"/>
    <n v="0"/>
    <n v="0"/>
    <n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C610D-4859-4E75-9E8A-E989AD88DE2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K7:L12" firstHeaderRow="1" firstDataRow="1" firstDataCol="1"/>
  <pivotFields count="37">
    <pivotField showAll="0"/>
    <pivotField showAll="0"/>
    <pivotField showAll="0"/>
    <pivotField numFmtId="16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433">
        <item x="5"/>
        <item x="6"/>
        <item x="8"/>
        <item x="9"/>
        <item x="11"/>
        <item x="13"/>
        <item x="18"/>
        <item x="31"/>
        <item x="37"/>
        <item x="38"/>
        <item x="59"/>
        <item x="64"/>
        <item x="66"/>
        <item x="68"/>
        <item x="79"/>
        <item x="87"/>
        <item x="0"/>
        <item x="92"/>
        <item x="4"/>
        <item x="100"/>
        <item x="12"/>
        <item x="15"/>
        <item x="105"/>
        <item x="20"/>
        <item x="108"/>
        <item x="110"/>
        <item x="22"/>
        <item x="113"/>
        <item x="26"/>
        <item x="27"/>
        <item x="121"/>
        <item x="30"/>
        <item x="32"/>
        <item x="123"/>
        <item x="33"/>
        <item x="131"/>
        <item x="40"/>
        <item x="137"/>
        <item x="45"/>
        <item x="47"/>
        <item x="51"/>
        <item x="149"/>
        <item x="54"/>
        <item x="57"/>
        <item x="62"/>
        <item x="161"/>
        <item x="163"/>
        <item x="65"/>
        <item x="67"/>
        <item x="169"/>
        <item x="170"/>
        <item x="74"/>
        <item x="76"/>
        <item x="184"/>
        <item x="186"/>
        <item x="85"/>
        <item x="86"/>
        <item x="188"/>
        <item x="190"/>
        <item x="89"/>
        <item x="192"/>
        <item x="94"/>
        <item x="197"/>
        <item x="96"/>
        <item x="99"/>
        <item x="102"/>
        <item x="206"/>
        <item x="210"/>
        <item x="1"/>
        <item x="3"/>
        <item x="111"/>
        <item x="112"/>
        <item x="114"/>
        <item x="115"/>
        <item x="217"/>
        <item x="7"/>
        <item x="10"/>
        <item x="14"/>
        <item x="125"/>
        <item x="16"/>
        <item x="127"/>
        <item x="17"/>
        <item x="130"/>
        <item x="19"/>
        <item x="21"/>
        <item x="23"/>
        <item x="24"/>
        <item x="135"/>
        <item x="25"/>
        <item x="28"/>
        <item x="29"/>
        <item x="144"/>
        <item x="243"/>
        <item x="34"/>
        <item x="35"/>
        <item x="36"/>
        <item x="150"/>
        <item x="39"/>
        <item x="41"/>
        <item x="42"/>
        <item x="43"/>
        <item x="44"/>
        <item x="253"/>
        <item x="46"/>
        <item x="48"/>
        <item x="256"/>
        <item x="49"/>
        <item x="50"/>
        <item x="52"/>
        <item x="53"/>
        <item x="262"/>
        <item x="55"/>
        <item x="56"/>
        <item x="58"/>
        <item x="174"/>
        <item x="60"/>
        <item x="267"/>
        <item x="177"/>
        <item x="61"/>
        <item x="270"/>
        <item x="179"/>
        <item x="181"/>
        <item x="63"/>
        <item x="69"/>
        <item x="70"/>
        <item x="71"/>
        <item x="72"/>
        <item x="73"/>
        <item x="193"/>
        <item x="280"/>
        <item x="282"/>
        <item x="75"/>
        <item x="77"/>
        <item x="78"/>
        <item x="283"/>
        <item x="286"/>
        <item x="201"/>
        <item x="80"/>
        <item x="81"/>
        <item x="82"/>
        <item x="83"/>
        <item x="84"/>
        <item x="293"/>
        <item x="88"/>
        <item x="90"/>
        <item x="91"/>
        <item x="214"/>
        <item x="93"/>
        <item x="95"/>
        <item x="219"/>
        <item x="97"/>
        <item x="306"/>
        <item x="98"/>
        <item x="310"/>
        <item x="101"/>
        <item x="103"/>
        <item x="224"/>
        <item x="104"/>
        <item x="227"/>
        <item x="315"/>
        <item x="232"/>
        <item x="106"/>
        <item x="235"/>
        <item x="107"/>
        <item x="109"/>
        <item x="116"/>
        <item x="117"/>
        <item x="118"/>
        <item x="119"/>
        <item x="120"/>
        <item x="122"/>
        <item x="321"/>
        <item x="323"/>
        <item x="325"/>
        <item x="124"/>
        <item x="126"/>
        <item x="128"/>
        <item x="129"/>
        <item x="132"/>
        <item x="133"/>
        <item x="134"/>
        <item x="246"/>
        <item x="247"/>
        <item x="136"/>
        <item x="138"/>
        <item x="139"/>
        <item x="140"/>
        <item x="141"/>
        <item x="142"/>
        <item x="143"/>
        <item x="337"/>
        <item x="145"/>
        <item x="146"/>
        <item x="147"/>
        <item x="148"/>
        <item x="261"/>
        <item x="151"/>
        <item x="152"/>
        <item x="153"/>
        <item x="154"/>
        <item x="155"/>
        <item x="351"/>
        <item x="156"/>
        <item x="157"/>
        <item x="158"/>
        <item x="159"/>
        <item x="160"/>
        <item x="162"/>
        <item x="164"/>
        <item x="275"/>
        <item x="165"/>
        <item x="166"/>
        <item x="167"/>
        <item x="168"/>
        <item x="277"/>
        <item x="278"/>
        <item x="171"/>
        <item x="172"/>
        <item x="173"/>
        <item x="175"/>
        <item x="176"/>
        <item x="284"/>
        <item x="178"/>
        <item x="180"/>
        <item x="288"/>
        <item x="182"/>
        <item x="183"/>
        <item x="185"/>
        <item x="294"/>
        <item x="187"/>
        <item x="189"/>
        <item x="296"/>
        <item x="191"/>
        <item x="374"/>
        <item x="301"/>
        <item x="194"/>
        <item x="195"/>
        <item x="196"/>
        <item x="380"/>
        <item x="198"/>
        <item x="199"/>
        <item x="200"/>
        <item x="202"/>
        <item x="203"/>
        <item x="385"/>
        <item x="204"/>
        <item x="312"/>
        <item x="205"/>
        <item x="207"/>
        <item x="208"/>
        <item x="209"/>
        <item x="211"/>
        <item x="393"/>
        <item x="212"/>
        <item x="213"/>
        <item x="215"/>
        <item x="216"/>
        <item x="218"/>
        <item x="401"/>
        <item x="220"/>
        <item x="221"/>
        <item x="222"/>
        <item x="223"/>
        <item x="225"/>
        <item x="226"/>
        <item x="228"/>
        <item x="229"/>
        <item x="230"/>
        <item x="231"/>
        <item x="233"/>
        <item x="234"/>
        <item x="236"/>
        <item x="237"/>
        <item x="238"/>
        <item x="239"/>
        <item x="414"/>
        <item x="240"/>
        <item x="241"/>
        <item x="338"/>
        <item x="242"/>
        <item x="244"/>
        <item x="343"/>
        <item x="344"/>
        <item x="245"/>
        <item x="345"/>
        <item x="248"/>
        <item x="249"/>
        <item x="250"/>
        <item x="251"/>
        <item x="252"/>
        <item x="254"/>
        <item x="255"/>
        <item x="257"/>
        <item x="258"/>
        <item x="259"/>
        <item x="357"/>
        <item x="260"/>
        <item x="359"/>
        <item x="360"/>
        <item x="263"/>
        <item x="264"/>
        <item x="265"/>
        <item x="366"/>
        <item x="266"/>
        <item x="268"/>
        <item x="269"/>
        <item x="271"/>
        <item x="272"/>
        <item x="273"/>
        <item x="274"/>
        <item x="276"/>
        <item x="372"/>
        <item x="279"/>
        <item x="281"/>
        <item x="378"/>
        <item x="381"/>
        <item x="285"/>
        <item x="287"/>
        <item x="289"/>
        <item x="290"/>
        <item x="291"/>
        <item x="292"/>
        <item x="295"/>
        <item x="297"/>
        <item x="298"/>
        <item x="299"/>
        <item x="300"/>
        <item x="302"/>
        <item x="303"/>
        <item x="398"/>
        <item x="304"/>
        <item x="305"/>
        <item x="307"/>
        <item x="308"/>
        <item x="309"/>
        <item x="311"/>
        <item x="313"/>
        <item x="314"/>
        <item x="407"/>
        <item x="316"/>
        <item x="409"/>
        <item x="317"/>
        <item x="318"/>
        <item x="412"/>
        <item x="319"/>
        <item x="413"/>
        <item x="416"/>
        <item x="320"/>
        <item x="322"/>
        <item x="324"/>
        <item x="326"/>
        <item x="327"/>
        <item x="328"/>
        <item x="329"/>
        <item x="330"/>
        <item x="427"/>
        <item x="331"/>
        <item x="332"/>
        <item x="333"/>
        <item x="334"/>
        <item x="335"/>
        <item x="336"/>
        <item x="339"/>
        <item x="340"/>
        <item x="341"/>
        <item x="342"/>
        <item x="346"/>
        <item x="347"/>
        <item x="348"/>
        <item x="349"/>
        <item x="350"/>
        <item x="352"/>
        <item x="353"/>
        <item x="354"/>
        <item x="355"/>
        <item x="356"/>
        <item x="358"/>
        <item x="361"/>
        <item x="362"/>
        <item x="363"/>
        <item x="364"/>
        <item x="365"/>
        <item x="367"/>
        <item x="368"/>
        <item x="369"/>
        <item x="370"/>
        <item x="371"/>
        <item x="373"/>
        <item x="375"/>
        <item x="376"/>
        <item x="377"/>
        <item x="379"/>
        <item x="382"/>
        <item x="383"/>
        <item x="384"/>
        <item x="386"/>
        <item x="387"/>
        <item x="388"/>
        <item x="389"/>
        <item x="390"/>
        <item x="391"/>
        <item x="392"/>
        <item x="394"/>
        <item x="395"/>
        <item x="396"/>
        <item x="397"/>
        <item x="399"/>
        <item x="400"/>
        <item x="402"/>
        <item x="403"/>
        <item x="404"/>
        <item x="405"/>
        <item x="406"/>
        <item x="408"/>
        <item x="410"/>
        <item x="411"/>
        <item x="415"/>
        <item x="417"/>
        <item x="418"/>
        <item x="4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2"/>
        <item t="default"/>
      </items>
    </pivotField>
    <pivotField showAll="0"/>
    <pivotField showAll="0"/>
    <pivotField showAll="0"/>
    <pivotField showAll="0"/>
    <pivotField numFmtId="166" showAll="0"/>
    <pivotField numFmtId="166" showAll="0"/>
    <pivotField dataField="1" numFmtId="166"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166" showAll="0"/>
    <pivotField showAll="0"/>
    <pivotField showAll="0"/>
    <pivotField numFmtId="165" showAll="0"/>
    <pivotField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Revenue" fld="11" baseField="0" baseItem="0" numFmtId="16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BA3C4-CFA9-4527-8A2A-128C92D2B75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7:F12" firstHeaderRow="1" firstDataRow="2" firstDataCol="1"/>
  <pivotFields count="37">
    <pivotField showAll="0"/>
    <pivotField showAll="0"/>
    <pivotField showAll="0"/>
    <pivotField numFmtId="16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433">
        <item x="5"/>
        <item x="6"/>
        <item x="8"/>
        <item x="9"/>
        <item x="11"/>
        <item x="13"/>
        <item x="18"/>
        <item x="31"/>
        <item x="37"/>
        <item x="38"/>
        <item x="59"/>
        <item x="64"/>
        <item x="66"/>
        <item x="68"/>
        <item x="79"/>
        <item x="87"/>
        <item x="0"/>
        <item x="92"/>
        <item x="4"/>
        <item x="100"/>
        <item x="12"/>
        <item x="15"/>
        <item x="105"/>
        <item x="20"/>
        <item x="108"/>
        <item x="110"/>
        <item x="22"/>
        <item x="113"/>
        <item x="26"/>
        <item x="27"/>
        <item x="121"/>
        <item x="30"/>
        <item x="32"/>
        <item x="123"/>
        <item x="33"/>
        <item x="131"/>
        <item x="40"/>
        <item x="137"/>
        <item x="45"/>
        <item x="47"/>
        <item x="51"/>
        <item x="149"/>
        <item x="54"/>
        <item x="57"/>
        <item x="62"/>
        <item x="161"/>
        <item x="163"/>
        <item x="65"/>
        <item x="67"/>
        <item x="169"/>
        <item x="170"/>
        <item x="74"/>
        <item x="76"/>
        <item x="184"/>
        <item x="186"/>
        <item x="85"/>
        <item x="86"/>
        <item x="188"/>
        <item x="190"/>
        <item x="89"/>
        <item x="192"/>
        <item x="94"/>
        <item x="197"/>
        <item x="96"/>
        <item x="99"/>
        <item x="102"/>
        <item x="206"/>
        <item x="210"/>
        <item x="1"/>
        <item x="3"/>
        <item x="111"/>
        <item x="112"/>
        <item x="114"/>
        <item x="115"/>
        <item x="217"/>
        <item x="7"/>
        <item x="10"/>
        <item x="14"/>
        <item x="125"/>
        <item x="16"/>
        <item x="127"/>
        <item x="17"/>
        <item x="130"/>
        <item x="19"/>
        <item x="21"/>
        <item x="23"/>
        <item x="24"/>
        <item x="135"/>
        <item x="25"/>
        <item x="28"/>
        <item x="29"/>
        <item x="144"/>
        <item x="243"/>
        <item x="34"/>
        <item x="35"/>
        <item x="36"/>
        <item x="150"/>
        <item x="39"/>
        <item x="41"/>
        <item x="42"/>
        <item x="43"/>
        <item x="44"/>
        <item x="253"/>
        <item x="46"/>
        <item x="48"/>
        <item x="256"/>
        <item x="49"/>
        <item x="50"/>
        <item x="52"/>
        <item x="53"/>
        <item x="262"/>
        <item x="55"/>
        <item x="56"/>
        <item x="58"/>
        <item x="174"/>
        <item x="60"/>
        <item x="267"/>
        <item x="177"/>
        <item x="61"/>
        <item x="270"/>
        <item x="179"/>
        <item x="181"/>
        <item x="63"/>
        <item x="69"/>
        <item x="70"/>
        <item x="71"/>
        <item x="72"/>
        <item x="73"/>
        <item x="193"/>
        <item x="280"/>
        <item x="282"/>
        <item x="75"/>
        <item x="77"/>
        <item x="78"/>
        <item x="283"/>
        <item x="286"/>
        <item x="201"/>
        <item x="80"/>
        <item x="81"/>
        <item x="82"/>
        <item x="83"/>
        <item x="84"/>
        <item x="293"/>
        <item x="88"/>
        <item x="90"/>
        <item x="91"/>
        <item x="214"/>
        <item x="93"/>
        <item x="95"/>
        <item x="219"/>
        <item x="97"/>
        <item x="306"/>
        <item x="98"/>
        <item x="310"/>
        <item x="101"/>
        <item x="103"/>
        <item x="224"/>
        <item x="104"/>
        <item x="227"/>
        <item x="315"/>
        <item x="232"/>
        <item x="106"/>
        <item x="235"/>
        <item x="107"/>
        <item x="109"/>
        <item x="116"/>
        <item x="117"/>
        <item x="118"/>
        <item x="119"/>
        <item x="120"/>
        <item x="122"/>
        <item x="321"/>
        <item x="323"/>
        <item x="325"/>
        <item x="124"/>
        <item x="126"/>
        <item x="128"/>
        <item x="129"/>
        <item x="132"/>
        <item x="133"/>
        <item x="134"/>
        <item x="246"/>
        <item x="247"/>
        <item x="136"/>
        <item x="138"/>
        <item x="139"/>
        <item x="140"/>
        <item x="141"/>
        <item x="142"/>
        <item x="143"/>
        <item x="337"/>
        <item x="145"/>
        <item x="146"/>
        <item x="147"/>
        <item x="148"/>
        <item x="261"/>
        <item x="151"/>
        <item x="152"/>
        <item x="153"/>
        <item x="154"/>
        <item x="155"/>
        <item x="351"/>
        <item x="156"/>
        <item x="157"/>
        <item x="158"/>
        <item x="159"/>
        <item x="160"/>
        <item x="162"/>
        <item x="164"/>
        <item x="275"/>
        <item x="165"/>
        <item x="166"/>
        <item x="167"/>
        <item x="168"/>
        <item x="277"/>
        <item x="278"/>
        <item x="171"/>
        <item x="172"/>
        <item x="173"/>
        <item x="175"/>
        <item x="176"/>
        <item x="284"/>
        <item x="178"/>
        <item x="180"/>
        <item x="288"/>
        <item x="182"/>
        <item x="183"/>
        <item x="185"/>
        <item x="294"/>
        <item x="187"/>
        <item x="189"/>
        <item x="296"/>
        <item x="191"/>
        <item x="374"/>
        <item x="301"/>
        <item x="194"/>
        <item x="195"/>
        <item x="196"/>
        <item x="380"/>
        <item x="198"/>
        <item x="199"/>
        <item x="200"/>
        <item x="202"/>
        <item x="203"/>
        <item x="385"/>
        <item x="204"/>
        <item x="312"/>
        <item x="205"/>
        <item x="207"/>
        <item x="208"/>
        <item x="209"/>
        <item x="211"/>
        <item x="393"/>
        <item x="212"/>
        <item x="213"/>
        <item x="215"/>
        <item x="216"/>
        <item x="218"/>
        <item x="401"/>
        <item x="220"/>
        <item x="221"/>
        <item x="222"/>
        <item x="223"/>
        <item x="225"/>
        <item x="226"/>
        <item x="228"/>
        <item x="229"/>
        <item x="230"/>
        <item x="231"/>
        <item x="233"/>
        <item x="234"/>
        <item x="236"/>
        <item x="237"/>
        <item x="238"/>
        <item x="239"/>
        <item x="414"/>
        <item x="240"/>
        <item x="241"/>
        <item x="338"/>
        <item x="242"/>
        <item x="244"/>
        <item x="343"/>
        <item x="344"/>
        <item x="245"/>
        <item x="345"/>
        <item x="248"/>
        <item x="249"/>
        <item x="250"/>
        <item x="251"/>
        <item x="252"/>
        <item x="254"/>
        <item x="255"/>
        <item x="257"/>
        <item x="258"/>
        <item x="259"/>
        <item x="357"/>
        <item x="260"/>
        <item x="359"/>
        <item x="360"/>
        <item x="263"/>
        <item x="264"/>
        <item x="265"/>
        <item x="366"/>
        <item x="266"/>
        <item x="268"/>
        <item x="269"/>
        <item x="271"/>
        <item x="272"/>
        <item x="273"/>
        <item x="274"/>
        <item x="276"/>
        <item x="372"/>
        <item x="279"/>
        <item x="281"/>
        <item x="378"/>
        <item x="381"/>
        <item x="285"/>
        <item x="287"/>
        <item x="289"/>
        <item x="290"/>
        <item x="291"/>
        <item x="292"/>
        <item x="295"/>
        <item x="297"/>
        <item x="298"/>
        <item x="299"/>
        <item x="300"/>
        <item x="302"/>
        <item x="303"/>
        <item x="398"/>
        <item x="304"/>
        <item x="305"/>
        <item x="307"/>
        <item x="308"/>
        <item x="309"/>
        <item x="311"/>
        <item x="313"/>
        <item x="314"/>
        <item x="407"/>
        <item x="316"/>
        <item x="409"/>
        <item x="317"/>
        <item x="318"/>
        <item x="412"/>
        <item x="319"/>
        <item x="413"/>
        <item x="416"/>
        <item x="320"/>
        <item x="322"/>
        <item x="324"/>
        <item x="326"/>
        <item x="327"/>
        <item x="328"/>
        <item x="329"/>
        <item x="330"/>
        <item x="427"/>
        <item x="331"/>
        <item x="332"/>
        <item x="333"/>
        <item x="334"/>
        <item x="335"/>
        <item x="336"/>
        <item x="339"/>
        <item x="340"/>
        <item x="341"/>
        <item x="342"/>
        <item x="346"/>
        <item x="347"/>
        <item x="348"/>
        <item x="349"/>
        <item x="350"/>
        <item x="352"/>
        <item x="353"/>
        <item x="354"/>
        <item x="355"/>
        <item x="356"/>
        <item x="358"/>
        <item x="361"/>
        <item x="362"/>
        <item x="363"/>
        <item x="364"/>
        <item x="365"/>
        <item x="367"/>
        <item x="368"/>
        <item x="369"/>
        <item x="370"/>
        <item x="371"/>
        <item x="373"/>
        <item x="375"/>
        <item x="376"/>
        <item x="377"/>
        <item x="379"/>
        <item x="382"/>
        <item x="383"/>
        <item x="384"/>
        <item x="386"/>
        <item x="387"/>
        <item x="388"/>
        <item x="389"/>
        <item x="390"/>
        <item x="391"/>
        <item x="392"/>
        <item x="394"/>
        <item x="395"/>
        <item x="396"/>
        <item x="397"/>
        <item x="399"/>
        <item x="400"/>
        <item x="402"/>
        <item x="403"/>
        <item x="404"/>
        <item x="405"/>
        <item x="406"/>
        <item x="408"/>
        <item x="410"/>
        <item x="411"/>
        <item x="415"/>
        <item x="417"/>
        <item x="418"/>
        <item x="4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2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axis="axisRow" showAll="0">
      <items count="4">
        <item x="2"/>
        <item x="0"/>
        <item x="1"/>
        <item t="default"/>
      </items>
    </pivotField>
    <pivotField numFmtId="166" showAll="0"/>
    <pivotField numFmtId="166" showAll="0"/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numFmtId="165" showAll="0"/>
    <pivotField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TotalRevenue" fld="11" baseField="0" baseItem="0" numFmtId="168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DE986-31F1-484A-9754-A1816DAF28E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R36:X44" firstHeaderRow="1" firstDataRow="2" firstDataCol="1" rowPageCount="2" colPageCount="1"/>
  <pivotFields count="37">
    <pivotField showAll="0"/>
    <pivotField showAll="0"/>
    <pivotField axis="axisPage" showAll="0">
      <items count="3">
        <item x="1"/>
        <item x="0"/>
        <item t="default"/>
      </items>
    </pivotField>
    <pivotField numFmtId="16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433">
        <item x="5"/>
        <item x="6"/>
        <item x="8"/>
        <item x="9"/>
        <item x="11"/>
        <item x="13"/>
        <item x="18"/>
        <item x="31"/>
        <item x="37"/>
        <item x="38"/>
        <item x="59"/>
        <item x="64"/>
        <item x="66"/>
        <item x="68"/>
        <item x="79"/>
        <item x="87"/>
        <item x="0"/>
        <item x="92"/>
        <item x="4"/>
        <item x="100"/>
        <item x="12"/>
        <item x="15"/>
        <item x="105"/>
        <item x="20"/>
        <item x="108"/>
        <item x="110"/>
        <item x="22"/>
        <item x="113"/>
        <item x="26"/>
        <item x="27"/>
        <item x="121"/>
        <item x="30"/>
        <item x="32"/>
        <item x="123"/>
        <item x="33"/>
        <item x="131"/>
        <item x="40"/>
        <item x="137"/>
        <item x="45"/>
        <item x="47"/>
        <item x="51"/>
        <item x="149"/>
        <item x="54"/>
        <item x="57"/>
        <item x="62"/>
        <item x="161"/>
        <item x="163"/>
        <item x="65"/>
        <item x="67"/>
        <item x="169"/>
        <item x="170"/>
        <item x="74"/>
        <item x="76"/>
        <item x="184"/>
        <item x="186"/>
        <item x="85"/>
        <item x="86"/>
        <item x="188"/>
        <item x="190"/>
        <item x="89"/>
        <item x="192"/>
        <item x="94"/>
        <item x="197"/>
        <item x="96"/>
        <item x="99"/>
        <item x="102"/>
        <item x="206"/>
        <item x="210"/>
        <item x="1"/>
        <item x="3"/>
        <item x="111"/>
        <item x="112"/>
        <item x="114"/>
        <item x="115"/>
        <item x="217"/>
        <item x="7"/>
        <item x="10"/>
        <item x="14"/>
        <item x="125"/>
        <item x="16"/>
        <item x="127"/>
        <item x="17"/>
        <item x="130"/>
        <item x="19"/>
        <item x="21"/>
        <item x="23"/>
        <item x="24"/>
        <item x="135"/>
        <item x="25"/>
        <item x="28"/>
        <item x="29"/>
        <item x="144"/>
        <item x="243"/>
        <item x="34"/>
        <item x="35"/>
        <item x="36"/>
        <item x="150"/>
        <item x="39"/>
        <item x="41"/>
        <item x="42"/>
        <item x="43"/>
        <item x="44"/>
        <item x="253"/>
        <item x="46"/>
        <item x="48"/>
        <item x="256"/>
        <item x="49"/>
        <item x="50"/>
        <item x="52"/>
        <item x="53"/>
        <item x="262"/>
        <item x="55"/>
        <item x="56"/>
        <item x="58"/>
        <item x="174"/>
        <item x="60"/>
        <item x="267"/>
        <item x="177"/>
        <item x="61"/>
        <item x="270"/>
        <item x="179"/>
        <item x="181"/>
        <item x="63"/>
        <item x="69"/>
        <item x="70"/>
        <item x="71"/>
        <item x="72"/>
        <item x="73"/>
        <item x="193"/>
        <item x="280"/>
        <item x="282"/>
        <item x="75"/>
        <item x="77"/>
        <item x="78"/>
        <item x="283"/>
        <item x="286"/>
        <item x="201"/>
        <item x="80"/>
        <item x="81"/>
        <item x="82"/>
        <item x="83"/>
        <item x="84"/>
        <item x="293"/>
        <item x="88"/>
        <item x="90"/>
        <item x="91"/>
        <item x="214"/>
        <item x="93"/>
        <item x="95"/>
        <item x="219"/>
        <item x="97"/>
        <item x="306"/>
        <item x="98"/>
        <item x="310"/>
        <item x="101"/>
        <item x="103"/>
        <item x="224"/>
        <item x="104"/>
        <item x="227"/>
        <item x="315"/>
        <item x="232"/>
        <item x="106"/>
        <item x="235"/>
        <item x="107"/>
        <item x="109"/>
        <item x="116"/>
        <item x="117"/>
        <item x="118"/>
        <item x="119"/>
        <item x="120"/>
        <item x="122"/>
        <item x="321"/>
        <item x="323"/>
        <item x="325"/>
        <item x="124"/>
        <item x="126"/>
        <item x="128"/>
        <item x="129"/>
        <item x="132"/>
        <item x="133"/>
        <item x="134"/>
        <item x="246"/>
        <item x="247"/>
        <item x="136"/>
        <item x="138"/>
        <item x="139"/>
        <item x="140"/>
        <item x="141"/>
        <item x="142"/>
        <item x="143"/>
        <item x="337"/>
        <item x="145"/>
        <item x="146"/>
        <item x="147"/>
        <item x="148"/>
        <item x="261"/>
        <item x="151"/>
        <item x="152"/>
        <item x="153"/>
        <item x="154"/>
        <item x="155"/>
        <item x="351"/>
        <item x="156"/>
        <item x="157"/>
        <item x="158"/>
        <item x="159"/>
        <item x="160"/>
        <item x="162"/>
        <item x="164"/>
        <item x="275"/>
        <item x="165"/>
        <item x="166"/>
        <item x="167"/>
        <item x="168"/>
        <item x="277"/>
        <item x="278"/>
        <item x="171"/>
        <item x="172"/>
        <item x="173"/>
        <item x="175"/>
        <item x="176"/>
        <item x="284"/>
        <item x="178"/>
        <item x="180"/>
        <item x="288"/>
        <item x="182"/>
        <item x="183"/>
        <item x="185"/>
        <item x="294"/>
        <item x="187"/>
        <item x="189"/>
        <item x="296"/>
        <item x="191"/>
        <item x="374"/>
        <item x="301"/>
        <item x="194"/>
        <item x="195"/>
        <item x="196"/>
        <item x="380"/>
        <item x="198"/>
        <item x="199"/>
        <item x="200"/>
        <item x="202"/>
        <item x="203"/>
        <item x="385"/>
        <item x="204"/>
        <item x="312"/>
        <item x="205"/>
        <item x="207"/>
        <item x="208"/>
        <item x="209"/>
        <item x="211"/>
        <item x="393"/>
        <item x="212"/>
        <item x="213"/>
        <item x="215"/>
        <item x="216"/>
        <item x="218"/>
        <item x="401"/>
        <item x="220"/>
        <item x="221"/>
        <item x="222"/>
        <item x="223"/>
        <item x="225"/>
        <item x="226"/>
        <item x="228"/>
        <item x="229"/>
        <item x="230"/>
        <item x="231"/>
        <item x="233"/>
        <item x="234"/>
        <item x="236"/>
        <item x="237"/>
        <item x="238"/>
        <item x="239"/>
        <item x="414"/>
        <item x="240"/>
        <item x="241"/>
        <item x="338"/>
        <item x="242"/>
        <item x="244"/>
        <item x="343"/>
        <item x="344"/>
        <item x="245"/>
        <item x="345"/>
        <item x="248"/>
        <item x="249"/>
        <item x="250"/>
        <item x="251"/>
        <item x="252"/>
        <item x="254"/>
        <item x="255"/>
        <item x="257"/>
        <item x="258"/>
        <item x="259"/>
        <item x="357"/>
        <item x="260"/>
        <item x="359"/>
        <item x="360"/>
        <item x="263"/>
        <item x="264"/>
        <item x="265"/>
        <item x="366"/>
        <item x="266"/>
        <item x="268"/>
        <item x="269"/>
        <item x="271"/>
        <item x="272"/>
        <item x="273"/>
        <item x="274"/>
        <item x="276"/>
        <item x="372"/>
        <item x="279"/>
        <item x="281"/>
        <item x="378"/>
        <item x="381"/>
        <item x="285"/>
        <item x="287"/>
        <item x="289"/>
        <item x="290"/>
        <item x="291"/>
        <item x="292"/>
        <item x="295"/>
        <item x="297"/>
        <item x="298"/>
        <item x="299"/>
        <item x="300"/>
        <item x="302"/>
        <item x="303"/>
        <item x="398"/>
        <item x="304"/>
        <item x="305"/>
        <item x="307"/>
        <item x="308"/>
        <item x="309"/>
        <item x="311"/>
        <item x="313"/>
        <item x="314"/>
        <item x="407"/>
        <item x="316"/>
        <item x="409"/>
        <item x="317"/>
        <item x="318"/>
        <item x="412"/>
        <item x="319"/>
        <item x="413"/>
        <item x="416"/>
        <item x="320"/>
        <item x="322"/>
        <item x="324"/>
        <item x="326"/>
        <item x="327"/>
        <item x="328"/>
        <item x="329"/>
        <item x="330"/>
        <item x="427"/>
        <item x="331"/>
        <item x="332"/>
        <item x="333"/>
        <item x="334"/>
        <item x="335"/>
        <item x="336"/>
        <item x="339"/>
        <item x="340"/>
        <item x="341"/>
        <item x="342"/>
        <item x="346"/>
        <item x="347"/>
        <item x="348"/>
        <item x="349"/>
        <item x="350"/>
        <item x="352"/>
        <item x="353"/>
        <item x="354"/>
        <item x="355"/>
        <item x="356"/>
        <item x="358"/>
        <item x="361"/>
        <item x="362"/>
        <item x="363"/>
        <item x="364"/>
        <item x="365"/>
        <item x="367"/>
        <item x="368"/>
        <item x="369"/>
        <item x="370"/>
        <item x="371"/>
        <item x="373"/>
        <item x="375"/>
        <item x="376"/>
        <item x="377"/>
        <item x="379"/>
        <item x="382"/>
        <item x="383"/>
        <item x="384"/>
        <item x="386"/>
        <item x="387"/>
        <item x="388"/>
        <item x="389"/>
        <item x="390"/>
        <item x="391"/>
        <item x="392"/>
        <item x="394"/>
        <item x="395"/>
        <item x="396"/>
        <item x="397"/>
        <item x="399"/>
        <item x="400"/>
        <item x="402"/>
        <item x="403"/>
        <item x="404"/>
        <item x="405"/>
        <item x="406"/>
        <item x="408"/>
        <item x="410"/>
        <item x="411"/>
        <item x="415"/>
        <item x="417"/>
        <item x="418"/>
        <item x="4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2"/>
        <item t="default"/>
      </items>
    </pivotField>
    <pivotField showAll="0"/>
    <pivotField axis="axisPage" showAll="0">
      <items count="29">
        <item x="3"/>
        <item x="0"/>
        <item x="1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2"/>
        <item t="default"/>
      </items>
    </pivotField>
    <pivotField showAll="0"/>
    <pivotField showAll="0"/>
    <pivotField numFmtId="166" showAll="0"/>
    <pivotField numFmtId="166" showAll="0"/>
    <pivotField numFmtId="166" showAll="0"/>
    <pivotField axis="axisCol" showAll="0">
      <items count="9">
        <item x="1"/>
        <item x="2"/>
        <item m="1" x="5"/>
        <item x="0"/>
        <item x="3"/>
        <item x="4"/>
        <item m="1" x="7"/>
        <item m="1" x="6"/>
        <item t="default"/>
      </items>
    </pivotField>
    <pivotField showAll="0"/>
    <pivotField showAll="0"/>
    <pivotField axis="axisRow" showAll="0">
      <items count="7">
        <item x="4"/>
        <item x="3"/>
        <item x="0"/>
        <item x="1"/>
        <item x="5"/>
        <item x="2"/>
        <item t="default"/>
      </items>
    </pivotField>
    <pivotField showAll="0"/>
    <pivotField showAll="0"/>
    <pivotField dataField="1" showAll="0"/>
    <pivotField numFmtId="166" showAll="0"/>
    <pivotField showAll="0"/>
    <pivotField showAll="0"/>
    <pivotField numFmtId="165" showAll="0"/>
    <pivotField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6">
    <i>
      <x/>
    </i>
    <i>
      <x v="1"/>
    </i>
    <i>
      <x v="3"/>
    </i>
    <i>
      <x v="4"/>
    </i>
    <i>
      <x v="5"/>
    </i>
    <i t="grand">
      <x/>
    </i>
  </colItems>
  <pageFields count="2">
    <pageField fld="6" hier="-1"/>
    <pageField fld="2" hier="-1"/>
  </pageFields>
  <dataFields count="1">
    <dataField name="Count of ChurnStatus" fld="18" subtotal="count" baseField="0" baseItem="0"/>
  </dataFields>
  <chartFormats count="96">
    <chartFormat chart="0" format="0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12" count="1" selected="0">
            <x v="5"/>
          </reference>
        </references>
      </pivotArea>
    </chartFormat>
    <chartFormat chart="0" format="2" series="1">
      <pivotArea type="data" outline="0" fieldPosition="0">
        <references count="1">
          <reference field="12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12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6"/>
          </reference>
          <reference field="12" count="1" selected="0">
            <x v="1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7"/>
          </reference>
          <reference field="12" count="1" selected="0">
            <x v="1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8"/>
          </reference>
          <reference field="12" count="1" selected="0">
            <x v="1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9"/>
          </reference>
          <reference field="12" count="1" selected="0">
            <x v="1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0"/>
          </reference>
          <reference field="12" count="1" selected="0">
            <x v="1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1"/>
          </reference>
          <reference field="12" count="1" selected="0">
            <x v="1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2"/>
          </reference>
          <reference field="12" count="1" selected="0">
            <x v="1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3"/>
          </reference>
          <reference field="12" count="1" selected="0">
            <x v="1"/>
          </reference>
        </references>
      </pivotArea>
    </chartFormat>
    <chartFormat chart="0" format="10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4"/>
          </reference>
          <reference field="12" count="1" selected="0">
            <x v="1"/>
          </reference>
        </references>
      </pivotArea>
    </chartFormat>
    <chartFormat chart="0" format="10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6"/>
          </reference>
          <reference field="12" count="1" selected="0">
            <x v="1"/>
          </reference>
        </references>
      </pivotArea>
    </chartFormat>
    <chartFormat chart="0" format="11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7"/>
          </reference>
          <reference field="12" count="1" selected="0">
            <x v="1"/>
          </reference>
        </references>
      </pivotArea>
    </chartFormat>
    <chartFormat chart="0" format="11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8"/>
          </reference>
          <reference field="12" count="1" selected="0">
            <x v="1"/>
          </reference>
        </references>
      </pivotArea>
    </chartFormat>
    <chartFormat chart="0" format="11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9"/>
          </reference>
          <reference field="12" count="1" selected="0">
            <x v="1"/>
          </reference>
        </references>
      </pivotArea>
    </chartFormat>
    <chartFormat chart="0" format="11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0"/>
          </reference>
          <reference field="12" count="1" selected="0">
            <x v="1"/>
          </reference>
        </references>
      </pivotArea>
    </chartFormat>
    <chartFormat chart="0" format="11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1"/>
          </reference>
          <reference field="12" count="1" selected="0">
            <x v="1"/>
          </reference>
        </references>
      </pivotArea>
    </chartFormat>
    <chartFormat chart="0" format="11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2"/>
          </reference>
          <reference field="12" count="1" selected="0">
            <x v="1"/>
          </reference>
        </references>
      </pivotArea>
    </chartFormat>
    <chartFormat chart="0" format="11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3"/>
          </reference>
          <reference field="12" count="1" selected="0">
            <x v="1"/>
          </reference>
        </references>
      </pivotArea>
    </chartFormat>
    <chartFormat chart="0" format="11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4"/>
          </reference>
          <reference field="12" count="1" selected="0">
            <x v="1"/>
          </reference>
        </references>
      </pivotArea>
    </chartFormat>
    <chartFormat chart="0" format="11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5"/>
          </reference>
          <reference field="12" count="1" selected="0">
            <x v="1"/>
          </reference>
        </references>
      </pivotArea>
    </chartFormat>
    <chartFormat chart="0" format="11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6"/>
          </reference>
          <reference field="12" count="1" selected="0">
            <x v="1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7"/>
          </reference>
          <reference field="12" count="1" selected="0">
            <x v="1"/>
          </reference>
        </references>
      </pivotArea>
    </chartFormat>
    <chartFormat chart="0" format="12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2" count="1" selected="0">
            <x v="5"/>
          </reference>
        </references>
      </pivotArea>
    </chartFormat>
    <chartFormat chart="0" format="12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2" count="1" selected="0">
            <x v="5"/>
          </reference>
        </references>
      </pivotArea>
    </chartFormat>
    <chartFormat chart="0" format="12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2" count="1" selected="0">
            <x v="5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0"/>
          </reference>
          <reference field="12" count="1" selected="0">
            <x v="5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1"/>
          </reference>
          <reference field="12" count="1" selected="0">
            <x v="5"/>
          </reference>
        </references>
      </pivotArea>
    </chartFormat>
    <chartFormat chart="0" format="12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2"/>
          </reference>
          <reference field="12" count="1" selected="0">
            <x v="5"/>
          </reference>
        </references>
      </pivotArea>
    </chartFormat>
    <chartFormat chart="0" format="12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4"/>
          </reference>
          <reference field="12" count="1" selected="0">
            <x v="5"/>
          </reference>
        </references>
      </pivotArea>
    </chartFormat>
    <chartFormat chart="0" format="12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6"/>
          </reference>
          <reference field="12" count="1" selected="0">
            <x v="5"/>
          </reference>
        </references>
      </pivotArea>
    </chartFormat>
    <chartFormat chart="0" format="12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2"/>
          </reference>
          <reference field="12" count="1" selected="0">
            <x v="5"/>
          </reference>
        </references>
      </pivotArea>
    </chartFormat>
    <chartFormat chart="0" format="13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7"/>
          </reference>
          <reference field="12" count="1" selected="0">
            <x v="5"/>
          </reference>
        </references>
      </pivotArea>
    </chartFormat>
    <chartFormat chart="0" format="13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2" count="1" selected="0">
            <x v="3"/>
          </reference>
        </references>
      </pivotArea>
    </chartFormat>
    <chartFormat chart="0" format="13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2" count="1" selected="0">
            <x v="3"/>
          </reference>
        </references>
      </pivotArea>
    </chartFormat>
    <chartFormat chart="0" format="13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2" count="1" selected="0">
            <x v="3"/>
          </reference>
        </references>
      </pivotArea>
    </chartFormat>
    <chartFormat chart="0" format="13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2" count="1" selected="0">
            <x v="3"/>
          </reference>
        </references>
      </pivotArea>
    </chartFormat>
    <chartFormat chart="0" format="13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2" count="1" selected="0">
            <x v="3"/>
          </reference>
        </references>
      </pivotArea>
    </chartFormat>
    <chartFormat chart="0" format="13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8"/>
          </reference>
          <reference field="12" count="1" selected="0">
            <x v="3"/>
          </reference>
        </references>
      </pivotArea>
    </chartFormat>
    <chartFormat chart="0" format="13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0"/>
          </reference>
          <reference field="12" count="1" selected="0">
            <x v="3"/>
          </reference>
        </references>
      </pivotArea>
    </chartFormat>
    <chartFormat chart="0" format="13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1"/>
          </reference>
          <reference field="12" count="1" selected="0">
            <x v="3"/>
          </reference>
        </references>
      </pivotArea>
    </chartFormat>
    <chartFormat chart="0" format="13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2"/>
          </reference>
          <reference field="12" count="1" selected="0">
            <x v="3"/>
          </reference>
        </references>
      </pivotArea>
    </chartFormat>
    <chartFormat chart="0" format="14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3"/>
          </reference>
          <reference field="12" count="1" selected="0">
            <x v="3"/>
          </reference>
        </references>
      </pivotArea>
    </chartFormat>
    <chartFormat chart="0" format="14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4"/>
          </reference>
          <reference field="12" count="1" selected="0">
            <x v="3"/>
          </reference>
        </references>
      </pivotArea>
    </chartFormat>
    <chartFormat chart="0" format="14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5"/>
          </reference>
          <reference field="12" count="1" selected="0">
            <x v="3"/>
          </reference>
        </references>
      </pivotArea>
    </chartFormat>
    <chartFormat chart="0" format="14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6"/>
          </reference>
          <reference field="12" count="1" selected="0">
            <x v="3"/>
          </reference>
        </references>
      </pivotArea>
    </chartFormat>
    <chartFormat chart="0" format="14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7"/>
          </reference>
          <reference field="12" count="1" selected="0">
            <x v="3"/>
          </reference>
        </references>
      </pivotArea>
    </chartFormat>
    <chartFormat chart="0" format="14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8"/>
          </reference>
          <reference field="12" count="1" selected="0">
            <x v="3"/>
          </reference>
        </references>
      </pivotArea>
    </chartFormat>
    <chartFormat chart="0" format="14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0"/>
          </reference>
          <reference field="12" count="1" selected="0">
            <x v="3"/>
          </reference>
        </references>
      </pivotArea>
    </chartFormat>
    <chartFormat chart="0" format="14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2"/>
          </reference>
          <reference field="12" count="1" selected="0">
            <x v="3"/>
          </reference>
        </references>
      </pivotArea>
    </chartFormat>
    <chartFormat chart="0" format="14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5"/>
          </reference>
          <reference field="12" count="1" selected="0">
            <x v="3"/>
          </reference>
        </references>
      </pivotArea>
    </chartFormat>
    <chartFormat chart="0" format="14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7"/>
          </reference>
          <reference field="12" count="1" selected="0">
            <x v="3"/>
          </reference>
        </references>
      </pivotArea>
    </chartFormat>
    <chartFormat chart="0" format="15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2" count="1" selected="0">
            <x v="4"/>
          </reference>
        </references>
      </pivotArea>
    </chartFormat>
    <chartFormat chart="0" format="15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2" count="1" selected="0">
            <x v="4"/>
          </reference>
        </references>
      </pivotArea>
    </chartFormat>
    <chartFormat chart="0" format="15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2" count="1" selected="0">
            <x v="4"/>
          </reference>
        </references>
      </pivotArea>
    </chartFormat>
    <chartFormat chart="0" format="15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2" count="1" selected="0">
            <x v="4"/>
          </reference>
        </references>
      </pivotArea>
    </chartFormat>
    <chartFormat chart="0" format="15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6"/>
          </reference>
          <reference field="12" count="1" selected="0">
            <x v="4"/>
          </reference>
        </references>
      </pivotArea>
    </chartFormat>
    <chartFormat chart="0" format="15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8"/>
          </reference>
          <reference field="12" count="1" selected="0">
            <x v="4"/>
          </reference>
        </references>
      </pivotArea>
    </chartFormat>
    <chartFormat chart="0" format="15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9"/>
          </reference>
          <reference field="12" count="1" selected="0">
            <x v="4"/>
          </reference>
        </references>
      </pivotArea>
    </chartFormat>
    <chartFormat chart="0" format="15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1"/>
          </reference>
          <reference field="12" count="1" selected="0">
            <x v="4"/>
          </reference>
        </references>
      </pivotArea>
    </chartFormat>
    <chartFormat chart="0" format="15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3"/>
          </reference>
          <reference field="12" count="1" selected="0">
            <x v="4"/>
          </reference>
        </references>
      </pivotArea>
    </chartFormat>
    <chartFormat chart="0" format="15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6"/>
          </reference>
          <reference field="12" count="1" selected="0">
            <x v="4"/>
          </reference>
        </references>
      </pivotArea>
    </chartFormat>
    <chartFormat chart="0" format="16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8"/>
          </reference>
          <reference field="12" count="1" selected="0">
            <x v="4"/>
          </reference>
        </references>
      </pivotArea>
    </chartFormat>
    <chartFormat chart="0" format="16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9"/>
          </reference>
          <reference field="12" count="1" selected="0">
            <x v="4"/>
          </reference>
        </references>
      </pivotArea>
    </chartFormat>
    <chartFormat chart="0" format="16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0"/>
          </reference>
          <reference field="12" count="1" selected="0">
            <x v="4"/>
          </reference>
        </references>
      </pivotArea>
    </chartFormat>
    <chartFormat chart="0" format="16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2"/>
          </reference>
          <reference field="12" count="1" selected="0">
            <x v="4"/>
          </reference>
        </references>
      </pivotArea>
    </chartFormat>
    <chartFormat chart="0" format="16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7"/>
          </reference>
          <reference field="12" count="1" selected="0">
            <x v="4"/>
          </reference>
        </references>
      </pivotArea>
    </chartFormat>
    <chartFormat chart="0" format="16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2" count="1" selected="0">
            <x v="0"/>
          </reference>
        </references>
      </pivotArea>
    </chartFormat>
    <chartFormat chart="0" format="16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2" count="1" selected="0">
            <x v="0"/>
          </reference>
        </references>
      </pivotArea>
    </chartFormat>
    <chartFormat chart="0" format="16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2" count="1" selected="0">
            <x v="0"/>
          </reference>
        </references>
      </pivotArea>
    </chartFormat>
    <chartFormat chart="0" format="16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2" count="1" selected="0">
            <x v="0"/>
          </reference>
        </references>
      </pivotArea>
    </chartFormat>
    <chartFormat chart="0" format="16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12" count="1" selected="0">
            <x v="0"/>
          </reference>
        </references>
      </pivotArea>
    </chartFormat>
    <chartFormat chart="0" format="17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9"/>
          </reference>
          <reference field="12" count="1" selected="0">
            <x v="0"/>
          </reference>
        </references>
      </pivotArea>
    </chartFormat>
    <chartFormat chart="0" format="17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0"/>
          </reference>
          <reference field="12" count="1" selected="0">
            <x v="0"/>
          </reference>
        </references>
      </pivotArea>
    </chartFormat>
    <chartFormat chart="0" format="17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4"/>
          </reference>
          <reference field="12" count="1" selected="0">
            <x v="0"/>
          </reference>
        </references>
      </pivotArea>
    </chartFormat>
    <chartFormat chart="0" format="17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6"/>
          </reference>
          <reference field="12" count="1" selected="0">
            <x v="0"/>
          </reference>
        </references>
      </pivotArea>
    </chartFormat>
    <chartFormat chart="0" format="17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7"/>
          </reference>
          <reference field="12" count="1" selected="0">
            <x v="0"/>
          </reference>
        </references>
      </pivotArea>
    </chartFormat>
    <chartFormat chart="0" format="17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8"/>
          </reference>
          <reference field="12" count="1" selected="0">
            <x v="0"/>
          </reference>
        </references>
      </pivotArea>
    </chartFormat>
    <chartFormat chart="0" format="17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2"/>
          </reference>
          <reference field="12" count="1" selected="0">
            <x v="0"/>
          </reference>
        </references>
      </pivotArea>
    </chartFormat>
    <chartFormat chart="0" format="17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5"/>
          </reference>
          <reference field="12" count="1" selected="0">
            <x v="0"/>
          </reference>
        </references>
      </pivotArea>
    </chartFormat>
    <chartFormat chart="0" format="17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6"/>
          </reference>
          <reference field="12" count="1" selected="0">
            <x v="0"/>
          </reference>
        </references>
      </pivotArea>
    </chartFormat>
    <chartFormat chart="0" format="17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7"/>
          </reference>
          <reference field="12" count="1" selected="0">
            <x v="0"/>
          </reference>
        </references>
      </pivotArea>
    </chartFormat>
    <chartFormat chart="0" format="18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18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2" count="1" selected="0">
            <x v="3"/>
          </reference>
        </references>
      </pivotArea>
    </chartFormat>
    <chartFormat chart="0" format="18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2" count="1" selected="0">
            <x v="4"/>
          </reference>
        </references>
      </pivotArea>
    </chartFormat>
    <chartFormat chart="0" format="18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2" count="1" selected="0">
            <x v="4"/>
          </reference>
        </references>
      </pivotArea>
    </chartFormat>
    <chartFormat chart="0" format="18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2" count="1" selected="0">
            <x v="0"/>
          </reference>
        </references>
      </pivotArea>
    </chartFormat>
    <chartFormat chart="0" format="18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2" count="1" selected="0">
            <x v="0"/>
          </reference>
        </references>
      </pivotArea>
    </chartFormat>
    <chartFormat chart="0" format="18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26298-BBC6-46AF-9CC6-C891C3FF5BC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R7:T11" firstHeaderRow="0" firstDataRow="1" firstDataCol="1" rowPageCount="3" colPageCount="1"/>
  <pivotFields count="37">
    <pivotField showAll="0"/>
    <pivotField showAll="0"/>
    <pivotField axis="axisPage" showAll="0">
      <items count="3">
        <item x="1"/>
        <item x="0"/>
        <item t="default"/>
      </items>
    </pivotField>
    <pivotField numFmtId="16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433">
        <item x="5"/>
        <item x="6"/>
        <item x="8"/>
        <item x="9"/>
        <item x="11"/>
        <item x="13"/>
        <item x="18"/>
        <item x="31"/>
        <item x="37"/>
        <item x="38"/>
        <item x="59"/>
        <item x="64"/>
        <item x="66"/>
        <item x="68"/>
        <item x="79"/>
        <item x="87"/>
        <item x="0"/>
        <item x="92"/>
        <item x="4"/>
        <item x="100"/>
        <item x="12"/>
        <item x="15"/>
        <item x="105"/>
        <item x="20"/>
        <item x="108"/>
        <item x="110"/>
        <item x="22"/>
        <item x="113"/>
        <item x="26"/>
        <item x="27"/>
        <item x="121"/>
        <item x="30"/>
        <item x="32"/>
        <item x="123"/>
        <item x="33"/>
        <item x="131"/>
        <item x="40"/>
        <item x="137"/>
        <item x="45"/>
        <item x="47"/>
        <item x="51"/>
        <item x="149"/>
        <item x="54"/>
        <item x="57"/>
        <item x="62"/>
        <item x="161"/>
        <item x="163"/>
        <item x="65"/>
        <item x="67"/>
        <item x="169"/>
        <item x="170"/>
        <item x="74"/>
        <item x="76"/>
        <item x="184"/>
        <item x="186"/>
        <item x="85"/>
        <item x="86"/>
        <item x="188"/>
        <item x="190"/>
        <item x="89"/>
        <item x="192"/>
        <item x="94"/>
        <item x="197"/>
        <item x="96"/>
        <item x="99"/>
        <item x="102"/>
        <item x="206"/>
        <item x="210"/>
        <item x="1"/>
        <item x="3"/>
        <item x="111"/>
        <item x="112"/>
        <item x="114"/>
        <item x="115"/>
        <item x="217"/>
        <item x="7"/>
        <item x="10"/>
        <item x="14"/>
        <item x="125"/>
        <item x="16"/>
        <item x="127"/>
        <item x="17"/>
        <item x="130"/>
        <item x="19"/>
        <item x="21"/>
        <item x="23"/>
        <item x="24"/>
        <item x="135"/>
        <item x="25"/>
        <item x="28"/>
        <item x="29"/>
        <item x="144"/>
        <item x="243"/>
        <item x="34"/>
        <item x="35"/>
        <item x="36"/>
        <item x="150"/>
        <item x="39"/>
        <item x="41"/>
        <item x="42"/>
        <item x="43"/>
        <item x="44"/>
        <item x="253"/>
        <item x="46"/>
        <item x="48"/>
        <item x="256"/>
        <item x="49"/>
        <item x="50"/>
        <item x="52"/>
        <item x="53"/>
        <item x="262"/>
        <item x="55"/>
        <item x="56"/>
        <item x="58"/>
        <item x="174"/>
        <item x="60"/>
        <item x="267"/>
        <item x="177"/>
        <item x="61"/>
        <item x="270"/>
        <item x="179"/>
        <item x="181"/>
        <item x="63"/>
        <item x="69"/>
        <item x="70"/>
        <item x="71"/>
        <item x="72"/>
        <item x="73"/>
        <item x="193"/>
        <item x="280"/>
        <item x="282"/>
        <item x="75"/>
        <item x="77"/>
        <item x="78"/>
        <item x="283"/>
        <item x="286"/>
        <item x="201"/>
        <item x="80"/>
        <item x="81"/>
        <item x="82"/>
        <item x="83"/>
        <item x="84"/>
        <item x="293"/>
        <item x="88"/>
        <item x="90"/>
        <item x="91"/>
        <item x="214"/>
        <item x="93"/>
        <item x="95"/>
        <item x="219"/>
        <item x="97"/>
        <item x="306"/>
        <item x="98"/>
        <item x="310"/>
        <item x="101"/>
        <item x="103"/>
        <item x="224"/>
        <item x="104"/>
        <item x="227"/>
        <item x="315"/>
        <item x="232"/>
        <item x="106"/>
        <item x="235"/>
        <item x="107"/>
        <item x="109"/>
        <item x="116"/>
        <item x="117"/>
        <item x="118"/>
        <item x="119"/>
        <item x="120"/>
        <item x="122"/>
        <item x="321"/>
        <item x="323"/>
        <item x="325"/>
        <item x="124"/>
        <item x="126"/>
        <item x="128"/>
        <item x="129"/>
        <item x="132"/>
        <item x="133"/>
        <item x="134"/>
        <item x="246"/>
        <item x="247"/>
        <item x="136"/>
        <item x="138"/>
        <item x="139"/>
        <item x="140"/>
        <item x="141"/>
        <item x="142"/>
        <item x="143"/>
        <item x="337"/>
        <item x="145"/>
        <item x="146"/>
        <item x="147"/>
        <item x="148"/>
        <item x="261"/>
        <item x="151"/>
        <item x="152"/>
        <item x="153"/>
        <item x="154"/>
        <item x="155"/>
        <item x="351"/>
        <item x="156"/>
        <item x="157"/>
        <item x="158"/>
        <item x="159"/>
        <item x="160"/>
        <item x="162"/>
        <item x="164"/>
        <item x="275"/>
        <item x="165"/>
        <item x="166"/>
        <item x="167"/>
        <item x="168"/>
        <item x="277"/>
        <item x="278"/>
        <item x="171"/>
        <item x="172"/>
        <item x="173"/>
        <item x="175"/>
        <item x="176"/>
        <item x="284"/>
        <item x="178"/>
        <item x="180"/>
        <item x="288"/>
        <item x="182"/>
        <item x="183"/>
        <item x="185"/>
        <item x="294"/>
        <item x="187"/>
        <item x="189"/>
        <item x="296"/>
        <item x="191"/>
        <item x="374"/>
        <item x="301"/>
        <item x="194"/>
        <item x="195"/>
        <item x="196"/>
        <item x="380"/>
        <item x="198"/>
        <item x="199"/>
        <item x="200"/>
        <item x="202"/>
        <item x="203"/>
        <item x="385"/>
        <item x="204"/>
        <item x="312"/>
        <item x="205"/>
        <item x="207"/>
        <item x="208"/>
        <item x="209"/>
        <item x="211"/>
        <item x="393"/>
        <item x="212"/>
        <item x="213"/>
        <item x="215"/>
        <item x="216"/>
        <item x="218"/>
        <item x="401"/>
        <item x="220"/>
        <item x="221"/>
        <item x="222"/>
        <item x="223"/>
        <item x="225"/>
        <item x="226"/>
        <item x="228"/>
        <item x="229"/>
        <item x="230"/>
        <item x="231"/>
        <item x="233"/>
        <item x="234"/>
        <item x="236"/>
        <item x="237"/>
        <item x="238"/>
        <item x="239"/>
        <item x="414"/>
        <item x="240"/>
        <item x="241"/>
        <item x="338"/>
        <item x="242"/>
        <item x="244"/>
        <item x="343"/>
        <item x="344"/>
        <item x="245"/>
        <item x="345"/>
        <item x="248"/>
        <item x="249"/>
        <item x="250"/>
        <item x="251"/>
        <item x="252"/>
        <item x="254"/>
        <item x="255"/>
        <item x="257"/>
        <item x="258"/>
        <item x="259"/>
        <item x="357"/>
        <item x="260"/>
        <item x="359"/>
        <item x="360"/>
        <item x="263"/>
        <item x="264"/>
        <item x="265"/>
        <item x="366"/>
        <item x="266"/>
        <item x="268"/>
        <item x="269"/>
        <item x="271"/>
        <item x="272"/>
        <item x="273"/>
        <item x="274"/>
        <item x="276"/>
        <item x="372"/>
        <item x="279"/>
        <item x="281"/>
        <item x="378"/>
        <item x="381"/>
        <item x="285"/>
        <item x="287"/>
        <item x="289"/>
        <item x="290"/>
        <item x="291"/>
        <item x="292"/>
        <item x="295"/>
        <item x="297"/>
        <item x="298"/>
        <item x="299"/>
        <item x="300"/>
        <item x="302"/>
        <item x="303"/>
        <item x="398"/>
        <item x="304"/>
        <item x="305"/>
        <item x="307"/>
        <item x="308"/>
        <item x="309"/>
        <item x="311"/>
        <item x="313"/>
        <item x="314"/>
        <item x="407"/>
        <item x="316"/>
        <item x="409"/>
        <item x="317"/>
        <item x="318"/>
        <item x="412"/>
        <item x="319"/>
        <item x="413"/>
        <item x="416"/>
        <item x="320"/>
        <item x="322"/>
        <item x="324"/>
        <item x="326"/>
        <item x="327"/>
        <item x="328"/>
        <item x="329"/>
        <item x="330"/>
        <item x="427"/>
        <item x="331"/>
        <item x="332"/>
        <item x="333"/>
        <item x="334"/>
        <item x="335"/>
        <item x="336"/>
        <item x="339"/>
        <item x="340"/>
        <item x="341"/>
        <item x="342"/>
        <item x="346"/>
        <item x="347"/>
        <item x="348"/>
        <item x="349"/>
        <item x="350"/>
        <item x="352"/>
        <item x="353"/>
        <item x="354"/>
        <item x="355"/>
        <item x="356"/>
        <item x="358"/>
        <item x="361"/>
        <item x="362"/>
        <item x="363"/>
        <item x="364"/>
        <item x="365"/>
        <item x="367"/>
        <item x="368"/>
        <item x="369"/>
        <item x="370"/>
        <item x="371"/>
        <item x="373"/>
        <item x="375"/>
        <item x="376"/>
        <item x="377"/>
        <item x="379"/>
        <item x="382"/>
        <item x="383"/>
        <item x="384"/>
        <item x="386"/>
        <item x="387"/>
        <item x="388"/>
        <item x="389"/>
        <item x="390"/>
        <item x="391"/>
        <item x="392"/>
        <item x="394"/>
        <item x="395"/>
        <item x="396"/>
        <item x="397"/>
        <item x="399"/>
        <item x="400"/>
        <item x="402"/>
        <item x="403"/>
        <item x="404"/>
        <item x="405"/>
        <item x="406"/>
        <item x="408"/>
        <item x="410"/>
        <item x="411"/>
        <item x="415"/>
        <item x="417"/>
        <item x="418"/>
        <item x="4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2"/>
        <item t="default"/>
      </items>
    </pivotField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numFmtId="166" showAll="0"/>
    <pivotField numFmtId="166" showAll="0"/>
    <pivotField numFmtId="166" showAll="0"/>
    <pivotField axis="axisPage" showAll="0">
      <items count="9">
        <item x="2"/>
        <item m="1" x="5"/>
        <item x="4"/>
        <item m="1" x="7"/>
        <item x="0"/>
        <item x="3"/>
        <item m="1" x="6"/>
        <item x="1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numFmtId="166" showAll="0"/>
    <pivotField showAll="0"/>
    <pivotField showAll="0"/>
    <pivotField numFmtId="165" showAll="0"/>
    <pivotField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3">
    <pageField fld="13" hier="-1"/>
    <pageField fld="12" hier="-1"/>
    <pageField fld="2" hier="-1"/>
  </pageFields>
  <dataFields count="2">
    <dataField name="Sum of Months Paid" fld="6" baseField="7" baseItem="0"/>
    <dataField name="Instances" fld="6" subtotal="count" baseField="7" baseItem="0"/>
  </dataFields>
  <formats count="2">
    <format dxfId="36">
      <pivotArea collapsedLevelsAreSubtotals="1" fieldPosition="0">
        <references count="1">
          <reference field="7" count="0"/>
        </references>
      </pivotArea>
    </format>
    <format dxfId="35">
      <pivotArea grandRow="1"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3DF0F-8041-400D-8E70-088E9AF652E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36:C42" firstHeaderRow="1" firstDataRow="1" firstDataCol="1" rowPageCount="1" colPageCount="1"/>
  <pivotFields count="37">
    <pivotField showAll="0"/>
    <pivotField showAll="0"/>
    <pivotField showAll="0"/>
    <pivotField numFmtId="16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433">
        <item x="5"/>
        <item x="6"/>
        <item x="8"/>
        <item x="9"/>
        <item x="11"/>
        <item x="13"/>
        <item x="18"/>
        <item x="31"/>
        <item x="37"/>
        <item x="38"/>
        <item x="59"/>
        <item x="64"/>
        <item x="66"/>
        <item x="68"/>
        <item x="79"/>
        <item x="87"/>
        <item x="0"/>
        <item x="92"/>
        <item x="4"/>
        <item x="100"/>
        <item x="12"/>
        <item x="15"/>
        <item x="105"/>
        <item x="20"/>
        <item x="108"/>
        <item x="110"/>
        <item x="22"/>
        <item x="113"/>
        <item x="26"/>
        <item x="27"/>
        <item x="121"/>
        <item x="30"/>
        <item x="32"/>
        <item x="123"/>
        <item x="33"/>
        <item x="131"/>
        <item x="40"/>
        <item x="137"/>
        <item x="45"/>
        <item x="47"/>
        <item x="51"/>
        <item x="149"/>
        <item x="54"/>
        <item x="57"/>
        <item x="62"/>
        <item x="161"/>
        <item x="163"/>
        <item x="65"/>
        <item x="67"/>
        <item x="169"/>
        <item x="170"/>
        <item x="74"/>
        <item x="76"/>
        <item x="184"/>
        <item x="186"/>
        <item x="85"/>
        <item x="86"/>
        <item x="188"/>
        <item x="190"/>
        <item x="89"/>
        <item x="192"/>
        <item x="94"/>
        <item x="197"/>
        <item x="96"/>
        <item x="99"/>
        <item x="102"/>
        <item x="206"/>
        <item x="210"/>
        <item x="1"/>
        <item x="3"/>
        <item x="111"/>
        <item x="112"/>
        <item x="114"/>
        <item x="115"/>
        <item x="217"/>
        <item x="7"/>
        <item x="10"/>
        <item x="14"/>
        <item x="125"/>
        <item x="16"/>
        <item x="127"/>
        <item x="17"/>
        <item x="130"/>
        <item x="19"/>
        <item x="21"/>
        <item x="23"/>
        <item x="24"/>
        <item x="135"/>
        <item x="25"/>
        <item x="28"/>
        <item x="29"/>
        <item x="144"/>
        <item x="243"/>
        <item x="34"/>
        <item x="35"/>
        <item x="36"/>
        <item x="150"/>
        <item x="39"/>
        <item x="41"/>
        <item x="42"/>
        <item x="43"/>
        <item x="44"/>
        <item x="253"/>
        <item x="46"/>
        <item x="48"/>
        <item x="256"/>
        <item x="49"/>
        <item x="50"/>
        <item x="52"/>
        <item x="53"/>
        <item x="262"/>
        <item x="55"/>
        <item x="56"/>
        <item x="58"/>
        <item x="174"/>
        <item x="60"/>
        <item x="267"/>
        <item x="177"/>
        <item x="61"/>
        <item x="270"/>
        <item x="179"/>
        <item x="181"/>
        <item x="63"/>
        <item x="69"/>
        <item x="70"/>
        <item x="71"/>
        <item x="72"/>
        <item x="73"/>
        <item x="193"/>
        <item x="280"/>
        <item x="282"/>
        <item x="75"/>
        <item x="77"/>
        <item x="78"/>
        <item x="283"/>
        <item x="286"/>
        <item x="201"/>
        <item x="80"/>
        <item x="81"/>
        <item x="82"/>
        <item x="83"/>
        <item x="84"/>
        <item x="293"/>
        <item x="88"/>
        <item x="90"/>
        <item x="91"/>
        <item x="214"/>
        <item x="93"/>
        <item x="95"/>
        <item x="219"/>
        <item x="97"/>
        <item x="306"/>
        <item x="98"/>
        <item x="310"/>
        <item x="101"/>
        <item x="103"/>
        <item x="224"/>
        <item x="104"/>
        <item x="227"/>
        <item x="315"/>
        <item x="232"/>
        <item x="106"/>
        <item x="235"/>
        <item x="107"/>
        <item x="109"/>
        <item x="116"/>
        <item x="117"/>
        <item x="118"/>
        <item x="119"/>
        <item x="120"/>
        <item x="122"/>
        <item x="321"/>
        <item x="323"/>
        <item x="325"/>
        <item x="124"/>
        <item x="126"/>
        <item x="128"/>
        <item x="129"/>
        <item x="132"/>
        <item x="133"/>
        <item x="134"/>
        <item x="246"/>
        <item x="247"/>
        <item x="136"/>
        <item x="138"/>
        <item x="139"/>
        <item x="140"/>
        <item x="141"/>
        <item x="142"/>
        <item x="143"/>
        <item x="337"/>
        <item x="145"/>
        <item x="146"/>
        <item x="147"/>
        <item x="148"/>
        <item x="261"/>
        <item x="151"/>
        <item x="152"/>
        <item x="153"/>
        <item x="154"/>
        <item x="155"/>
        <item x="351"/>
        <item x="156"/>
        <item x="157"/>
        <item x="158"/>
        <item x="159"/>
        <item x="160"/>
        <item x="162"/>
        <item x="164"/>
        <item x="275"/>
        <item x="165"/>
        <item x="166"/>
        <item x="167"/>
        <item x="168"/>
        <item x="277"/>
        <item x="278"/>
        <item x="171"/>
        <item x="172"/>
        <item x="173"/>
        <item x="175"/>
        <item x="176"/>
        <item x="284"/>
        <item x="178"/>
        <item x="180"/>
        <item x="288"/>
        <item x="182"/>
        <item x="183"/>
        <item x="185"/>
        <item x="294"/>
        <item x="187"/>
        <item x="189"/>
        <item x="296"/>
        <item x="191"/>
        <item x="374"/>
        <item x="301"/>
        <item x="194"/>
        <item x="195"/>
        <item x="196"/>
        <item x="380"/>
        <item x="198"/>
        <item x="199"/>
        <item x="200"/>
        <item x="202"/>
        <item x="203"/>
        <item x="385"/>
        <item x="204"/>
        <item x="312"/>
        <item x="205"/>
        <item x="207"/>
        <item x="208"/>
        <item x="209"/>
        <item x="211"/>
        <item x="393"/>
        <item x="212"/>
        <item x="213"/>
        <item x="215"/>
        <item x="216"/>
        <item x="218"/>
        <item x="401"/>
        <item x="220"/>
        <item x="221"/>
        <item x="222"/>
        <item x="223"/>
        <item x="225"/>
        <item x="226"/>
        <item x="228"/>
        <item x="229"/>
        <item x="230"/>
        <item x="231"/>
        <item x="233"/>
        <item x="234"/>
        <item x="236"/>
        <item x="237"/>
        <item x="238"/>
        <item x="239"/>
        <item x="414"/>
        <item x="240"/>
        <item x="241"/>
        <item x="338"/>
        <item x="242"/>
        <item x="244"/>
        <item x="343"/>
        <item x="344"/>
        <item x="245"/>
        <item x="345"/>
        <item x="248"/>
        <item x="249"/>
        <item x="250"/>
        <item x="251"/>
        <item x="252"/>
        <item x="254"/>
        <item x="255"/>
        <item x="257"/>
        <item x="258"/>
        <item x="259"/>
        <item x="357"/>
        <item x="260"/>
        <item x="359"/>
        <item x="360"/>
        <item x="263"/>
        <item x="264"/>
        <item x="265"/>
        <item x="366"/>
        <item x="266"/>
        <item x="268"/>
        <item x="269"/>
        <item x="271"/>
        <item x="272"/>
        <item x="273"/>
        <item x="274"/>
        <item x="276"/>
        <item x="372"/>
        <item x="279"/>
        <item x="281"/>
        <item x="378"/>
        <item x="381"/>
        <item x="285"/>
        <item x="287"/>
        <item x="289"/>
        <item x="290"/>
        <item x="291"/>
        <item x="292"/>
        <item x="295"/>
        <item x="297"/>
        <item x="298"/>
        <item x="299"/>
        <item x="300"/>
        <item x="302"/>
        <item x="303"/>
        <item x="398"/>
        <item x="304"/>
        <item x="305"/>
        <item x="307"/>
        <item x="308"/>
        <item x="309"/>
        <item x="311"/>
        <item x="313"/>
        <item x="314"/>
        <item x="407"/>
        <item x="316"/>
        <item x="409"/>
        <item x="317"/>
        <item x="318"/>
        <item x="412"/>
        <item x="319"/>
        <item x="413"/>
        <item x="416"/>
        <item x="320"/>
        <item x="322"/>
        <item x="324"/>
        <item x="326"/>
        <item x="327"/>
        <item x="328"/>
        <item x="329"/>
        <item x="330"/>
        <item x="427"/>
        <item x="331"/>
        <item x="332"/>
        <item x="333"/>
        <item x="334"/>
        <item x="335"/>
        <item x="336"/>
        <item x="339"/>
        <item x="340"/>
        <item x="341"/>
        <item x="342"/>
        <item x="346"/>
        <item x="347"/>
        <item x="348"/>
        <item x="349"/>
        <item x="350"/>
        <item x="352"/>
        <item x="353"/>
        <item x="354"/>
        <item x="355"/>
        <item x="356"/>
        <item x="358"/>
        <item x="361"/>
        <item x="362"/>
        <item x="363"/>
        <item x="364"/>
        <item x="365"/>
        <item x="367"/>
        <item x="368"/>
        <item x="369"/>
        <item x="370"/>
        <item x="371"/>
        <item x="373"/>
        <item x="375"/>
        <item x="376"/>
        <item x="377"/>
        <item x="379"/>
        <item x="382"/>
        <item x="383"/>
        <item x="384"/>
        <item x="386"/>
        <item x="387"/>
        <item x="388"/>
        <item x="389"/>
        <item x="390"/>
        <item x="391"/>
        <item x="392"/>
        <item x="394"/>
        <item x="395"/>
        <item x="396"/>
        <item x="397"/>
        <item x="399"/>
        <item x="400"/>
        <item x="402"/>
        <item x="403"/>
        <item x="404"/>
        <item x="405"/>
        <item x="406"/>
        <item x="408"/>
        <item x="410"/>
        <item x="411"/>
        <item x="415"/>
        <item x="417"/>
        <item x="418"/>
        <item x="4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2"/>
        <item t="default"/>
      </items>
    </pivotField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numFmtId="166" showAll="0"/>
    <pivotField numFmtId="166" showAll="0"/>
    <pivotField dataField="1" numFmtId="166" showAll="0"/>
    <pivotField axis="axisRow" showAll="0">
      <items count="9">
        <item m="1" x="7"/>
        <item m="1" x="5"/>
        <item m="1" x="6"/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numFmtId="165" showAll="0"/>
    <pivotField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7" hier="-1"/>
  </pageFields>
  <dataFields count="1">
    <dataField name="Sum of TotalRevenue" fld="11" baseField="0" baseItem="0" numFmtId="166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E7860-7F91-4997-860E-C4DA917D8B0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36:N60" firstHeaderRow="1" firstDataRow="2" firstDataCol="1"/>
  <pivotFields count="37">
    <pivotField axis="axisRow" showAll="0" measureFilter="1">
      <items count="801">
        <item x="750"/>
        <item x="509"/>
        <item x="477"/>
        <item x="529"/>
        <item x="780"/>
        <item x="720"/>
        <item x="454"/>
        <item x="94"/>
        <item x="395"/>
        <item x="656"/>
        <item x="556"/>
        <item x="129"/>
        <item x="349"/>
        <item x="435"/>
        <item x="119"/>
        <item x="528"/>
        <item x="220"/>
        <item x="339"/>
        <item x="623"/>
        <item x="484"/>
        <item x="678"/>
        <item x="694"/>
        <item x="74"/>
        <item x="386"/>
        <item x="578"/>
        <item x="326"/>
        <item x="172"/>
        <item x="375"/>
        <item x="561"/>
        <item x="727"/>
        <item x="21"/>
        <item x="304"/>
        <item x="581"/>
        <item x="721"/>
        <item x="62"/>
        <item x="714"/>
        <item x="505"/>
        <item x="610"/>
        <item x="301"/>
        <item x="307"/>
        <item x="580"/>
        <item x="135"/>
        <item x="501"/>
        <item x="155"/>
        <item x="169"/>
        <item x="766"/>
        <item x="409"/>
        <item x="728"/>
        <item x="185"/>
        <item x="663"/>
        <item x="653"/>
        <item x="110"/>
        <item x="355"/>
        <item x="358"/>
        <item x="139"/>
        <item x="52"/>
        <item x="359"/>
        <item x="791"/>
        <item x="372"/>
        <item x="141"/>
        <item x="657"/>
        <item x="543"/>
        <item x="764"/>
        <item x="776"/>
        <item x="114"/>
        <item x="89"/>
        <item x="283"/>
        <item x="443"/>
        <item x="613"/>
        <item x="493"/>
        <item x="726"/>
        <item x="576"/>
        <item x="207"/>
        <item x="202"/>
        <item x="652"/>
        <item x="215"/>
        <item x="564"/>
        <item x="407"/>
        <item x="56"/>
        <item x="625"/>
        <item x="270"/>
        <item x="496"/>
        <item x="151"/>
        <item x="320"/>
        <item x="717"/>
        <item x="63"/>
        <item x="148"/>
        <item x="193"/>
        <item x="467"/>
        <item x="11"/>
        <item x="147"/>
        <item x="88"/>
        <item x="382"/>
        <item x="278"/>
        <item x="53"/>
        <item x="518"/>
        <item x="606"/>
        <item x="596"/>
        <item x="794"/>
        <item x="508"/>
        <item x="579"/>
        <item x="749"/>
        <item x="27"/>
        <item x="324"/>
        <item x="217"/>
        <item x="4"/>
        <item x="259"/>
        <item x="347"/>
        <item x="690"/>
        <item x="285"/>
        <item x="604"/>
        <item x="444"/>
        <item x="353"/>
        <item x="196"/>
        <item x="710"/>
        <item x="83"/>
        <item x="84"/>
        <item x="695"/>
        <item x="205"/>
        <item x="740"/>
        <item x="203"/>
        <item x="433"/>
        <item x="364"/>
        <item x="60"/>
        <item x="187"/>
        <item x="153"/>
        <item x="356"/>
        <item x="92"/>
        <item x="67"/>
        <item x="13"/>
        <item x="785"/>
        <item x="491"/>
        <item x="605"/>
        <item x="682"/>
        <item x="646"/>
        <item x="331"/>
        <item x="513"/>
        <item x="305"/>
        <item x="380"/>
        <item x="136"/>
        <item x="279"/>
        <item x="95"/>
        <item x="792"/>
        <item x="2"/>
        <item x="258"/>
        <item x="350"/>
        <item x="173"/>
        <item x="471"/>
        <item x="624"/>
        <item x="280"/>
        <item x="469"/>
        <item x="725"/>
        <item x="745"/>
        <item x="199"/>
        <item x="431"/>
        <item x="388"/>
        <item x="540"/>
        <item x="142"/>
        <item x="472"/>
        <item x="106"/>
        <item x="773"/>
        <item x="143"/>
        <item x="277"/>
        <item x="645"/>
        <item x="229"/>
        <item x="399"/>
        <item x="251"/>
        <item x="340"/>
        <item x="408"/>
        <item x="438"/>
        <item x="560"/>
        <item x="188"/>
        <item x="223"/>
        <item x="348"/>
        <item x="495"/>
        <item x="33"/>
        <item x="554"/>
        <item x="327"/>
        <item x="715"/>
        <item x="719"/>
        <item x="460"/>
        <item x="735"/>
        <item x="146"/>
        <item x="31"/>
        <item x="498"/>
        <item x="363"/>
        <item x="219"/>
        <item x="65"/>
        <item x="487"/>
        <item x="1"/>
        <item x="333"/>
        <item x="130"/>
        <item x="570"/>
        <item x="421"/>
        <item x="746"/>
        <item x="538"/>
        <item x="608"/>
        <item x="396"/>
        <item x="394"/>
        <item x="341"/>
        <item x="18"/>
        <item x="288"/>
        <item x="232"/>
        <item x="662"/>
        <item x="457"/>
        <item x="490"/>
        <item x="510"/>
        <item x="412"/>
        <item x="439"/>
        <item x="503"/>
        <item x="342"/>
        <item x="145"/>
        <item x="384"/>
        <item x="666"/>
        <item x="512"/>
        <item x="93"/>
        <item x="78"/>
        <item x="319"/>
        <item x="10"/>
        <item x="239"/>
        <item x="73"/>
        <item x="171"/>
        <item x="644"/>
        <item x="702"/>
        <item x="66"/>
        <item x="494"/>
        <item x="706"/>
        <item x="536"/>
        <item x="344"/>
        <item x="634"/>
        <item x="212"/>
        <item x="82"/>
        <item x="632"/>
        <item x="781"/>
        <item x="603"/>
        <item x="677"/>
        <item x="373"/>
        <item x="633"/>
        <item x="99"/>
        <item x="466"/>
        <item x="0"/>
        <item x="741"/>
        <item x="622"/>
        <item x="705"/>
        <item x="57"/>
        <item x="137"/>
        <item x="160"/>
        <item x="784"/>
        <item x="584"/>
        <item x="737"/>
        <item x="81"/>
        <item x="165"/>
        <item x="661"/>
        <item x="47"/>
        <item x="440"/>
        <item x="733"/>
        <item x="22"/>
        <item x="54"/>
        <item x="742"/>
        <item x="69"/>
        <item x="630"/>
        <item x="765"/>
        <item x="164"/>
        <item x="6"/>
        <item x="271"/>
        <item x="541"/>
        <item x="683"/>
        <item x="157"/>
        <item x="730"/>
        <item x="729"/>
        <item x="423"/>
        <item x="654"/>
        <item x="684"/>
        <item x="481"/>
        <item x="120"/>
        <item x="332"/>
        <item x="544"/>
        <item x="679"/>
        <item x="55"/>
        <item x="8"/>
        <item x="539"/>
        <item x="416"/>
        <item x="582"/>
        <item x="670"/>
        <item x="16"/>
        <item x="798"/>
        <item x="566"/>
        <item x="782"/>
        <item x="550"/>
        <item x="385"/>
        <item x="111"/>
        <item x="20"/>
        <item x="180"/>
        <item x="456"/>
        <item x="15"/>
        <item x="112"/>
        <item x="294"/>
        <item x="697"/>
        <item x="38"/>
        <item x="583"/>
        <item x="612"/>
        <item x="44"/>
        <item x="330"/>
        <item x="577"/>
        <item x="681"/>
        <item x="365"/>
        <item x="100"/>
        <item x="530"/>
        <item x="672"/>
        <item x="470"/>
        <item x="774"/>
        <item x="620"/>
        <item x="116"/>
        <item x="718"/>
        <item x="179"/>
        <item x="168"/>
        <item x="230"/>
        <item x="754"/>
        <item x="96"/>
        <item x="761"/>
        <item x="299"/>
        <item x="553"/>
        <item x="46"/>
        <item x="302"/>
        <item x="397"/>
        <item x="323"/>
        <item x="506"/>
        <item x="453"/>
        <item x="418"/>
        <item x="739"/>
        <item x="521"/>
        <item x="87"/>
        <item x="248"/>
        <item x="122"/>
        <item x="447"/>
        <item x="177"/>
        <item x="238"/>
        <item x="274"/>
        <item x="132"/>
        <item x="269"/>
        <item x="309"/>
        <item x="547"/>
        <item x="775"/>
        <item x="12"/>
        <item x="688"/>
        <item x="600"/>
        <item x="284"/>
        <item x="747"/>
        <item x="426"/>
        <item x="516"/>
        <item x="563"/>
        <item x="548"/>
        <item x="247"/>
        <item x="410"/>
        <item x="189"/>
        <item x="420"/>
        <item x="181"/>
        <item x="751"/>
        <item x="152"/>
        <item x="575"/>
        <item x="551"/>
        <item x="14"/>
        <item x="297"/>
        <item x="405"/>
        <item x="607"/>
        <item x="537"/>
        <item x="317"/>
        <item x="379"/>
        <item x="59"/>
        <item x="293"/>
        <item x="174"/>
        <item x="462"/>
        <item x="287"/>
        <item x="144"/>
        <item x="272"/>
        <item x="265"/>
        <item x="245"/>
        <item x="411"/>
        <item x="451"/>
        <item x="26"/>
        <item x="40"/>
        <item x="208"/>
        <item x="140"/>
        <item x="598"/>
        <item x="204"/>
        <item x="703"/>
        <item x="499"/>
        <item x="227"/>
        <item x="32"/>
        <item x="79"/>
        <item x="190"/>
        <item x="156"/>
        <item x="533"/>
        <item x="424"/>
        <item x="671"/>
        <item x="235"/>
        <item x="318"/>
        <item x="244"/>
        <item x="475"/>
        <item x="28"/>
        <item x="378"/>
        <item x="619"/>
        <item x="568"/>
        <item x="559"/>
        <item x="343"/>
        <item x="787"/>
        <item x="178"/>
        <item x="310"/>
        <item x="48"/>
        <item x="686"/>
        <item x="45"/>
        <item x="752"/>
        <item x="264"/>
        <item x="587"/>
        <item x="97"/>
        <item x="500"/>
        <item x="641"/>
        <item x="240"/>
        <item x="573"/>
        <item x="328"/>
        <item x="502"/>
        <item x="722"/>
        <item x="413"/>
        <item x="391"/>
        <item x="314"/>
        <item x="716"/>
        <item x="524"/>
        <item x="723"/>
        <item x="233"/>
        <item x="113"/>
        <item x="691"/>
        <item x="246"/>
        <item x="643"/>
        <item x="611"/>
        <item x="225"/>
        <item x="325"/>
        <item x="162"/>
        <item x="175"/>
        <item x="595"/>
        <item x="268"/>
        <item x="555"/>
        <item x="197"/>
        <item x="366"/>
        <item x="772"/>
        <item x="291"/>
        <item x="497"/>
        <item x="406"/>
        <item x="515"/>
        <item x="392"/>
        <item x="511"/>
        <item x="381"/>
        <item x="797"/>
        <item x="37"/>
        <item x="35"/>
        <item x="531"/>
        <item x="700"/>
        <item x="312"/>
        <item x="758"/>
        <item x="667"/>
        <item x="480"/>
        <item x="724"/>
        <item x="685"/>
        <item x="649"/>
        <item x="352"/>
        <item x="108"/>
        <item x="748"/>
        <item x="504"/>
        <item x="127"/>
        <item x="452"/>
        <item x="334"/>
        <item x="788"/>
        <item x="753"/>
        <item x="25"/>
        <item x="437"/>
        <item x="149"/>
        <item x="376"/>
        <item x="591"/>
        <item x="675"/>
        <item x="631"/>
        <item x="154"/>
        <item x="289"/>
        <item x="183"/>
        <item x="445"/>
        <item x="253"/>
        <item x="371"/>
        <item x="755"/>
        <item x="117"/>
        <item x="354"/>
        <item x="757"/>
        <item x="367"/>
        <item x="23"/>
        <item x="614"/>
        <item x="138"/>
        <item x="400"/>
        <item x="125"/>
        <item x="468"/>
        <item x="617"/>
        <item x="191"/>
        <item x="525"/>
        <item x="273"/>
        <item x="243"/>
        <item x="589"/>
        <item x="361"/>
        <item x="640"/>
        <item x="315"/>
        <item x="158"/>
        <item x="414"/>
        <item x="743"/>
        <item x="295"/>
        <item x="712"/>
        <item x="237"/>
        <item x="482"/>
        <item x="465"/>
        <item x="637"/>
        <item x="7"/>
        <item x="261"/>
        <item x="102"/>
        <item x="369"/>
        <item x="572"/>
        <item x="760"/>
        <item x="200"/>
        <item x="85"/>
        <item x="514"/>
        <item x="701"/>
        <item x="660"/>
        <item x="483"/>
        <item x="793"/>
        <item x="680"/>
        <item x="425"/>
        <item x="713"/>
        <item x="446"/>
        <item x="126"/>
        <item x="455"/>
        <item x="357"/>
        <item x="91"/>
        <item x="276"/>
        <item x="616"/>
        <item x="532"/>
        <item x="442"/>
        <item x="674"/>
        <item x="734"/>
        <item x="777"/>
        <item x="70"/>
        <item x="527"/>
        <item x="709"/>
        <item x="124"/>
        <item x="176"/>
        <item x="186"/>
        <item x="281"/>
        <item x="436"/>
        <item x="628"/>
        <item x="250"/>
        <item x="430"/>
        <item x="3"/>
        <item x="209"/>
        <item x="615"/>
        <item x="476"/>
        <item x="665"/>
        <item x="415"/>
        <item x="303"/>
        <item x="377"/>
        <item x="507"/>
        <item x="387"/>
        <item x="664"/>
        <item x="696"/>
        <item x="586"/>
        <item x="321"/>
        <item x="473"/>
        <item x="778"/>
        <item x="557"/>
        <item x="290"/>
        <item x="329"/>
        <item x="231"/>
        <item x="574"/>
        <item x="448"/>
        <item x="308"/>
        <item x="783"/>
        <item x="105"/>
        <item x="768"/>
        <item x="790"/>
        <item x="368"/>
        <item x="71"/>
        <item x="744"/>
        <item x="163"/>
        <item x="255"/>
        <item x="558"/>
        <item x="659"/>
        <item x="769"/>
        <item x="599"/>
        <item x="762"/>
        <item x="732"/>
        <item x="562"/>
        <item x="422"/>
        <item x="86"/>
        <item x="520"/>
        <item x="267"/>
        <item x="463"/>
        <item x="123"/>
        <item x="638"/>
        <item x="49"/>
        <item x="322"/>
        <item x="786"/>
        <item x="432"/>
        <item x="523"/>
        <item x="198"/>
        <item x="789"/>
        <item x="441"/>
        <item x="676"/>
        <item x="590"/>
        <item x="221"/>
        <item x="770"/>
        <item x="401"/>
        <item x="161"/>
        <item x="592"/>
        <item x="103"/>
        <item x="306"/>
        <item x="39"/>
        <item x="266"/>
        <item x="428"/>
        <item x="711"/>
        <item x="80"/>
        <item x="627"/>
        <item x="167"/>
        <item x="262"/>
        <item x="51"/>
        <item x="292"/>
        <item x="736"/>
        <item x="655"/>
        <item x="216"/>
        <item x="17"/>
        <item x="210"/>
        <item x="346"/>
        <item x="458"/>
        <item x="567"/>
        <item x="534"/>
        <item x="254"/>
        <item x="542"/>
        <item x="75"/>
        <item x="478"/>
        <item x="184"/>
        <item x="19"/>
        <item x="427"/>
        <item x="256"/>
        <item x="549"/>
        <item x="708"/>
        <item x="692"/>
        <item x="393"/>
        <item x="636"/>
        <item x="5"/>
        <item x="194"/>
        <item x="101"/>
        <item x="316"/>
        <item x="461"/>
        <item x="218"/>
        <item x="522"/>
        <item x="351"/>
        <item x="104"/>
        <item x="226"/>
        <item x="170"/>
        <item x="489"/>
        <item x="182"/>
        <item x="699"/>
        <item x="668"/>
        <item x="588"/>
        <item x="763"/>
        <item x="150"/>
        <item x="131"/>
        <item x="488"/>
        <item x="771"/>
        <item x="260"/>
        <item x="118"/>
        <item x="673"/>
        <item x="618"/>
        <item x="263"/>
        <item x="298"/>
        <item x="213"/>
        <item x="121"/>
        <item x="404"/>
        <item x="552"/>
        <item x="98"/>
        <item x="642"/>
        <item x="242"/>
        <item x="68"/>
        <item x="571"/>
        <item x="192"/>
        <item x="9"/>
        <item x="609"/>
        <item x="275"/>
        <item x="799"/>
        <item x="796"/>
        <item x="585"/>
        <item x="597"/>
        <item x="236"/>
        <item x="669"/>
        <item x="30"/>
        <item x="311"/>
        <item x="779"/>
        <item x="41"/>
        <item x="756"/>
        <item x="707"/>
        <item x="417"/>
        <item x="64"/>
        <item x="526"/>
        <item x="535"/>
        <item x="224"/>
        <item x="115"/>
        <item x="234"/>
        <item x="374"/>
        <item x="249"/>
        <item x="389"/>
        <item x="336"/>
        <item x="296"/>
        <item x="626"/>
        <item x="300"/>
        <item x="36"/>
        <item x="602"/>
        <item x="337"/>
        <item x="658"/>
        <item x="222"/>
        <item x="383"/>
        <item x="398"/>
        <item x="647"/>
        <item x="201"/>
        <item x="629"/>
        <item x="133"/>
        <item x="650"/>
        <item x="50"/>
        <item x="282"/>
        <item x="569"/>
        <item x="704"/>
        <item x="565"/>
        <item x="545"/>
        <item x="419"/>
        <item x="449"/>
        <item x="546"/>
        <item x="29"/>
        <item x="767"/>
        <item x="795"/>
        <item x="362"/>
        <item x="335"/>
        <item x="731"/>
        <item x="286"/>
        <item x="195"/>
        <item x="390"/>
        <item x="594"/>
        <item x="689"/>
        <item x="485"/>
        <item x="72"/>
        <item x="621"/>
        <item x="360"/>
        <item x="76"/>
        <item x="459"/>
        <item x="635"/>
        <item x="738"/>
        <item x="61"/>
        <item x="693"/>
        <item x="464"/>
        <item x="492"/>
        <item x="648"/>
        <item x="134"/>
        <item x="429"/>
        <item x="252"/>
        <item x="759"/>
        <item x="402"/>
        <item x="338"/>
        <item x="206"/>
        <item x="257"/>
        <item x="159"/>
        <item x="370"/>
        <item x="128"/>
        <item x="24"/>
        <item x="403"/>
        <item x="450"/>
        <item x="479"/>
        <item x="486"/>
        <item x="43"/>
        <item x="313"/>
        <item x="34"/>
        <item x="698"/>
        <item x="241"/>
        <item x="639"/>
        <item x="517"/>
        <item x="434"/>
        <item x="166"/>
        <item x="593"/>
        <item x="651"/>
        <item x="601"/>
        <item x="519"/>
        <item x="474"/>
        <item x="345"/>
        <item x="687"/>
        <item x="214"/>
        <item x="228"/>
        <item x="211"/>
        <item x="107"/>
        <item x="109"/>
        <item x="77"/>
        <item x="90"/>
        <item x="42"/>
        <item x="58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6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433">
        <item x="5"/>
        <item x="6"/>
        <item x="8"/>
        <item x="9"/>
        <item x="11"/>
        <item x="13"/>
        <item x="18"/>
        <item x="31"/>
        <item x="37"/>
        <item x="38"/>
        <item x="59"/>
        <item x="64"/>
        <item x="66"/>
        <item x="68"/>
        <item x="79"/>
        <item x="87"/>
        <item x="0"/>
        <item x="92"/>
        <item x="4"/>
        <item x="100"/>
        <item x="12"/>
        <item x="15"/>
        <item x="105"/>
        <item x="20"/>
        <item x="108"/>
        <item x="110"/>
        <item x="22"/>
        <item x="113"/>
        <item x="26"/>
        <item x="27"/>
        <item x="121"/>
        <item x="30"/>
        <item x="32"/>
        <item x="123"/>
        <item x="33"/>
        <item x="131"/>
        <item x="40"/>
        <item x="137"/>
        <item x="45"/>
        <item x="47"/>
        <item x="51"/>
        <item x="149"/>
        <item x="54"/>
        <item x="57"/>
        <item x="62"/>
        <item x="161"/>
        <item x="163"/>
        <item x="65"/>
        <item x="67"/>
        <item x="169"/>
        <item x="170"/>
        <item x="74"/>
        <item x="76"/>
        <item x="184"/>
        <item x="186"/>
        <item x="85"/>
        <item x="86"/>
        <item x="188"/>
        <item x="190"/>
        <item x="89"/>
        <item x="192"/>
        <item x="94"/>
        <item x="197"/>
        <item x="96"/>
        <item x="99"/>
        <item x="102"/>
        <item x="206"/>
        <item x="210"/>
        <item x="1"/>
        <item x="3"/>
        <item x="111"/>
        <item x="112"/>
        <item x="114"/>
        <item x="115"/>
        <item x="217"/>
        <item x="7"/>
        <item x="10"/>
        <item x="14"/>
        <item x="125"/>
        <item x="16"/>
        <item x="127"/>
        <item x="17"/>
        <item x="130"/>
        <item x="19"/>
        <item x="21"/>
        <item x="23"/>
        <item x="24"/>
        <item x="135"/>
        <item x="25"/>
        <item x="28"/>
        <item x="29"/>
        <item x="144"/>
        <item x="243"/>
        <item x="34"/>
        <item x="35"/>
        <item x="36"/>
        <item x="150"/>
        <item x="39"/>
        <item x="41"/>
        <item x="42"/>
        <item x="43"/>
        <item x="44"/>
        <item x="253"/>
        <item x="46"/>
        <item x="48"/>
        <item x="256"/>
        <item x="49"/>
        <item x="50"/>
        <item x="52"/>
        <item x="53"/>
        <item x="262"/>
        <item x="55"/>
        <item x="56"/>
        <item x="58"/>
        <item x="174"/>
        <item x="60"/>
        <item x="267"/>
        <item x="177"/>
        <item x="61"/>
        <item x="270"/>
        <item x="179"/>
        <item x="181"/>
        <item x="63"/>
        <item x="69"/>
        <item x="70"/>
        <item x="71"/>
        <item x="72"/>
        <item x="73"/>
        <item x="193"/>
        <item x="280"/>
        <item x="282"/>
        <item x="75"/>
        <item x="77"/>
        <item x="78"/>
        <item x="283"/>
        <item x="286"/>
        <item x="201"/>
        <item x="80"/>
        <item x="81"/>
        <item x="82"/>
        <item x="83"/>
        <item x="84"/>
        <item x="293"/>
        <item x="88"/>
        <item x="90"/>
        <item x="91"/>
        <item x="214"/>
        <item x="93"/>
        <item x="95"/>
        <item x="219"/>
        <item x="97"/>
        <item x="306"/>
        <item x="98"/>
        <item x="310"/>
        <item x="101"/>
        <item x="103"/>
        <item x="224"/>
        <item x="104"/>
        <item x="227"/>
        <item x="315"/>
        <item x="232"/>
        <item x="106"/>
        <item x="235"/>
        <item x="107"/>
        <item x="109"/>
        <item x="116"/>
        <item x="117"/>
        <item x="118"/>
        <item x="119"/>
        <item x="120"/>
        <item x="122"/>
        <item x="321"/>
        <item x="323"/>
        <item x="325"/>
        <item x="124"/>
        <item x="126"/>
        <item x="128"/>
        <item x="129"/>
        <item x="132"/>
        <item x="133"/>
        <item x="134"/>
        <item x="246"/>
        <item x="247"/>
        <item x="136"/>
        <item x="138"/>
        <item x="139"/>
        <item x="140"/>
        <item x="141"/>
        <item x="142"/>
        <item x="143"/>
        <item x="337"/>
        <item x="145"/>
        <item x="146"/>
        <item x="147"/>
        <item x="148"/>
        <item x="261"/>
        <item x="151"/>
        <item x="152"/>
        <item x="153"/>
        <item x="154"/>
        <item x="155"/>
        <item x="351"/>
        <item x="156"/>
        <item x="157"/>
        <item x="158"/>
        <item x="159"/>
        <item x="160"/>
        <item x="162"/>
        <item x="164"/>
        <item x="275"/>
        <item x="165"/>
        <item x="166"/>
        <item x="167"/>
        <item x="168"/>
        <item x="277"/>
        <item x="278"/>
        <item x="171"/>
        <item x="172"/>
        <item x="173"/>
        <item x="175"/>
        <item x="176"/>
        <item x="284"/>
        <item x="178"/>
        <item x="180"/>
        <item x="288"/>
        <item x="182"/>
        <item x="183"/>
        <item x="185"/>
        <item x="294"/>
        <item x="187"/>
        <item x="189"/>
        <item x="296"/>
        <item x="191"/>
        <item x="374"/>
        <item x="301"/>
        <item x="194"/>
        <item x="195"/>
        <item x="196"/>
        <item x="380"/>
        <item x="198"/>
        <item x="199"/>
        <item x="200"/>
        <item x="202"/>
        <item x="203"/>
        <item x="385"/>
        <item x="204"/>
        <item x="312"/>
        <item x="205"/>
        <item x="207"/>
        <item x="208"/>
        <item x="209"/>
        <item x="211"/>
        <item x="393"/>
        <item x="212"/>
        <item x="213"/>
        <item x="215"/>
        <item x="216"/>
        <item x="218"/>
        <item x="401"/>
        <item x="220"/>
        <item x="221"/>
        <item x="222"/>
        <item x="223"/>
        <item x="225"/>
        <item x="226"/>
        <item x="228"/>
        <item x="229"/>
        <item x="230"/>
        <item x="231"/>
        <item x="233"/>
        <item x="234"/>
        <item x="236"/>
        <item x="237"/>
        <item x="238"/>
        <item x="239"/>
        <item x="414"/>
        <item x="240"/>
        <item x="241"/>
        <item x="338"/>
        <item x="242"/>
        <item x="244"/>
        <item x="343"/>
        <item x="344"/>
        <item x="245"/>
        <item x="345"/>
        <item x="248"/>
        <item x="249"/>
        <item x="250"/>
        <item x="251"/>
        <item x="252"/>
        <item x="254"/>
        <item x="255"/>
        <item x="257"/>
        <item x="258"/>
        <item x="259"/>
        <item x="357"/>
        <item x="260"/>
        <item x="359"/>
        <item x="360"/>
        <item x="263"/>
        <item x="264"/>
        <item x="265"/>
        <item x="366"/>
        <item x="266"/>
        <item x="268"/>
        <item x="269"/>
        <item x="271"/>
        <item x="272"/>
        <item x="273"/>
        <item x="274"/>
        <item x="276"/>
        <item x="372"/>
        <item x="279"/>
        <item x="281"/>
        <item x="378"/>
        <item x="381"/>
        <item x="285"/>
        <item x="287"/>
        <item x="289"/>
        <item x="290"/>
        <item x="291"/>
        <item x="292"/>
        <item x="295"/>
        <item x="297"/>
        <item x="298"/>
        <item x="299"/>
        <item x="300"/>
        <item x="302"/>
        <item x="303"/>
        <item x="398"/>
        <item x="304"/>
        <item x="305"/>
        <item x="307"/>
        <item x="308"/>
        <item x="309"/>
        <item x="311"/>
        <item x="313"/>
        <item x="314"/>
        <item x="407"/>
        <item x="316"/>
        <item x="409"/>
        <item x="317"/>
        <item x="318"/>
        <item x="412"/>
        <item x="319"/>
        <item x="413"/>
        <item x="416"/>
        <item x="320"/>
        <item x="322"/>
        <item x="324"/>
        <item x="326"/>
        <item x="327"/>
        <item x="328"/>
        <item x="329"/>
        <item x="330"/>
        <item x="427"/>
        <item x="331"/>
        <item x="332"/>
        <item x="333"/>
        <item x="334"/>
        <item x="335"/>
        <item x="336"/>
        <item x="339"/>
        <item x="340"/>
        <item x="341"/>
        <item x="342"/>
        <item x="346"/>
        <item x="347"/>
        <item x="348"/>
        <item x="349"/>
        <item x="350"/>
        <item x="352"/>
        <item x="353"/>
        <item x="354"/>
        <item x="355"/>
        <item x="356"/>
        <item x="358"/>
        <item x="361"/>
        <item x="362"/>
        <item x="363"/>
        <item x="364"/>
        <item x="365"/>
        <item x="367"/>
        <item x="368"/>
        <item x="369"/>
        <item x="370"/>
        <item x="371"/>
        <item x="373"/>
        <item x="375"/>
        <item x="376"/>
        <item x="377"/>
        <item x="379"/>
        <item x="382"/>
        <item x="383"/>
        <item x="384"/>
        <item x="386"/>
        <item x="387"/>
        <item x="388"/>
        <item x="389"/>
        <item x="390"/>
        <item x="391"/>
        <item x="392"/>
        <item x="394"/>
        <item x="395"/>
        <item x="396"/>
        <item x="397"/>
        <item x="399"/>
        <item x="400"/>
        <item x="402"/>
        <item x="403"/>
        <item x="404"/>
        <item x="405"/>
        <item x="406"/>
        <item x="408"/>
        <item x="410"/>
        <item x="411"/>
        <item x="415"/>
        <item x="417"/>
        <item x="418"/>
        <item x="4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2"/>
        <item t="default"/>
      </items>
    </pivotField>
    <pivotField showAll="0"/>
    <pivotField showAll="0"/>
    <pivotField showAll="0"/>
    <pivotField showAll="0"/>
    <pivotField numFmtId="166" showAll="0"/>
    <pivotField numFmtId="166" showAll="0"/>
    <pivotField dataField="1" numFmtId="166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numFmtId="166" showAll="0"/>
    <pivotField showAll="0"/>
    <pivotField showAll="0"/>
    <pivotField numFmtId="165" showAll="0"/>
    <pivotField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0"/>
    <field x="13"/>
  </rowFields>
  <rowItems count="23">
    <i>
      <x v="397"/>
    </i>
    <i r="1">
      <x v="2"/>
    </i>
    <i>
      <x v="681"/>
    </i>
    <i r="1">
      <x v="1"/>
    </i>
    <i>
      <x v="791"/>
    </i>
    <i r="1">
      <x v="3"/>
    </i>
    <i>
      <x v="792"/>
    </i>
    <i r="1">
      <x v="2"/>
    </i>
    <i>
      <x v="793"/>
    </i>
    <i r="1">
      <x v="3"/>
    </i>
    <i>
      <x v="794"/>
    </i>
    <i r="1">
      <x/>
    </i>
    <i>
      <x v="795"/>
    </i>
    <i r="1">
      <x v="3"/>
    </i>
    <i>
      <x v="796"/>
    </i>
    <i r="1">
      <x v="1"/>
    </i>
    <i>
      <x v="797"/>
    </i>
    <i r="1">
      <x v="3"/>
    </i>
    <i>
      <x v="798"/>
    </i>
    <i r="1">
      <x v="3"/>
    </i>
    <i>
      <x v="799"/>
    </i>
    <i r="1"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TotalRevenue" fld="11" baseField="0" baseItem="0" numFmtId="168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E4655-4FDD-4A82-AE06-E22D154C60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2:H6" firstHeaderRow="1" firstDataRow="1" firstDataCol="1"/>
  <pivotFields count="37">
    <pivotField showAll="0"/>
    <pivotField showAll="0"/>
    <pivotField showAll="0"/>
    <pivotField numFmtId="16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433">
        <item x="5"/>
        <item x="6"/>
        <item x="8"/>
        <item x="9"/>
        <item x="11"/>
        <item x="13"/>
        <item x="18"/>
        <item x="31"/>
        <item x="37"/>
        <item x="38"/>
        <item x="59"/>
        <item x="64"/>
        <item x="66"/>
        <item x="68"/>
        <item x="79"/>
        <item x="87"/>
        <item x="0"/>
        <item x="92"/>
        <item x="4"/>
        <item x="100"/>
        <item x="12"/>
        <item x="15"/>
        <item x="105"/>
        <item x="20"/>
        <item x="108"/>
        <item x="110"/>
        <item x="22"/>
        <item x="113"/>
        <item x="26"/>
        <item x="27"/>
        <item x="121"/>
        <item x="30"/>
        <item x="32"/>
        <item x="123"/>
        <item x="33"/>
        <item x="131"/>
        <item x="40"/>
        <item x="137"/>
        <item x="45"/>
        <item x="47"/>
        <item x="51"/>
        <item x="149"/>
        <item x="54"/>
        <item x="57"/>
        <item x="62"/>
        <item x="161"/>
        <item x="163"/>
        <item x="65"/>
        <item x="67"/>
        <item x="169"/>
        <item x="170"/>
        <item x="74"/>
        <item x="76"/>
        <item x="184"/>
        <item x="186"/>
        <item x="85"/>
        <item x="86"/>
        <item x="188"/>
        <item x="190"/>
        <item x="89"/>
        <item x="192"/>
        <item x="94"/>
        <item x="197"/>
        <item x="96"/>
        <item x="99"/>
        <item x="102"/>
        <item x="206"/>
        <item x="210"/>
        <item x="1"/>
        <item x="3"/>
        <item x="111"/>
        <item x="112"/>
        <item x="114"/>
        <item x="115"/>
        <item x="217"/>
        <item x="7"/>
        <item x="10"/>
        <item x="14"/>
        <item x="125"/>
        <item x="16"/>
        <item x="127"/>
        <item x="17"/>
        <item x="130"/>
        <item x="19"/>
        <item x="21"/>
        <item x="23"/>
        <item x="24"/>
        <item x="135"/>
        <item x="25"/>
        <item x="28"/>
        <item x="29"/>
        <item x="144"/>
        <item x="243"/>
        <item x="34"/>
        <item x="35"/>
        <item x="36"/>
        <item x="150"/>
        <item x="39"/>
        <item x="41"/>
        <item x="42"/>
        <item x="43"/>
        <item x="44"/>
        <item x="253"/>
        <item x="46"/>
        <item x="48"/>
        <item x="256"/>
        <item x="49"/>
        <item x="50"/>
        <item x="52"/>
        <item x="53"/>
        <item x="262"/>
        <item x="55"/>
        <item x="56"/>
        <item x="58"/>
        <item x="174"/>
        <item x="60"/>
        <item x="267"/>
        <item x="177"/>
        <item x="61"/>
        <item x="270"/>
        <item x="179"/>
        <item x="181"/>
        <item x="63"/>
        <item x="69"/>
        <item x="70"/>
        <item x="71"/>
        <item x="72"/>
        <item x="73"/>
        <item x="193"/>
        <item x="280"/>
        <item x="282"/>
        <item x="75"/>
        <item x="77"/>
        <item x="78"/>
        <item x="283"/>
        <item x="286"/>
        <item x="201"/>
        <item x="80"/>
        <item x="81"/>
        <item x="82"/>
        <item x="83"/>
        <item x="84"/>
        <item x="293"/>
        <item x="88"/>
        <item x="90"/>
        <item x="91"/>
        <item x="214"/>
        <item x="93"/>
        <item x="95"/>
        <item x="219"/>
        <item x="97"/>
        <item x="306"/>
        <item x="98"/>
        <item x="310"/>
        <item x="101"/>
        <item x="103"/>
        <item x="224"/>
        <item x="104"/>
        <item x="227"/>
        <item x="315"/>
        <item x="232"/>
        <item x="106"/>
        <item x="235"/>
        <item x="107"/>
        <item x="109"/>
        <item x="116"/>
        <item x="117"/>
        <item x="118"/>
        <item x="119"/>
        <item x="120"/>
        <item x="122"/>
        <item x="321"/>
        <item x="323"/>
        <item x="325"/>
        <item x="124"/>
        <item x="126"/>
        <item x="128"/>
        <item x="129"/>
        <item x="132"/>
        <item x="133"/>
        <item x="134"/>
        <item x="246"/>
        <item x="247"/>
        <item x="136"/>
        <item x="138"/>
        <item x="139"/>
        <item x="140"/>
        <item x="141"/>
        <item x="142"/>
        <item x="143"/>
        <item x="337"/>
        <item x="145"/>
        <item x="146"/>
        <item x="147"/>
        <item x="148"/>
        <item x="261"/>
        <item x="151"/>
        <item x="152"/>
        <item x="153"/>
        <item x="154"/>
        <item x="155"/>
        <item x="351"/>
        <item x="156"/>
        <item x="157"/>
        <item x="158"/>
        <item x="159"/>
        <item x="160"/>
        <item x="162"/>
        <item x="164"/>
        <item x="275"/>
        <item x="165"/>
        <item x="166"/>
        <item x="167"/>
        <item x="168"/>
        <item x="277"/>
        <item x="278"/>
        <item x="171"/>
        <item x="172"/>
        <item x="173"/>
        <item x="175"/>
        <item x="176"/>
        <item x="284"/>
        <item x="178"/>
        <item x="180"/>
        <item x="288"/>
        <item x="182"/>
        <item x="183"/>
        <item x="185"/>
        <item x="294"/>
        <item x="187"/>
        <item x="189"/>
        <item x="296"/>
        <item x="191"/>
        <item x="374"/>
        <item x="301"/>
        <item x="194"/>
        <item x="195"/>
        <item x="196"/>
        <item x="380"/>
        <item x="198"/>
        <item x="199"/>
        <item x="200"/>
        <item x="202"/>
        <item x="203"/>
        <item x="385"/>
        <item x="204"/>
        <item x="312"/>
        <item x="205"/>
        <item x="207"/>
        <item x="208"/>
        <item x="209"/>
        <item x="211"/>
        <item x="393"/>
        <item x="212"/>
        <item x="213"/>
        <item x="215"/>
        <item x="216"/>
        <item x="218"/>
        <item x="401"/>
        <item x="220"/>
        <item x="221"/>
        <item x="222"/>
        <item x="223"/>
        <item x="225"/>
        <item x="226"/>
        <item x="228"/>
        <item x="229"/>
        <item x="230"/>
        <item x="231"/>
        <item x="233"/>
        <item x="234"/>
        <item x="236"/>
        <item x="237"/>
        <item x="238"/>
        <item x="239"/>
        <item x="414"/>
        <item x="240"/>
        <item x="241"/>
        <item x="338"/>
        <item x="242"/>
        <item x="244"/>
        <item x="343"/>
        <item x="344"/>
        <item x="245"/>
        <item x="345"/>
        <item x="248"/>
        <item x="249"/>
        <item x="250"/>
        <item x="251"/>
        <item x="252"/>
        <item x="254"/>
        <item x="255"/>
        <item x="257"/>
        <item x="258"/>
        <item x="259"/>
        <item x="357"/>
        <item x="260"/>
        <item x="359"/>
        <item x="360"/>
        <item x="263"/>
        <item x="264"/>
        <item x="265"/>
        <item x="366"/>
        <item x="266"/>
        <item x="268"/>
        <item x="269"/>
        <item x="271"/>
        <item x="272"/>
        <item x="273"/>
        <item x="274"/>
        <item x="276"/>
        <item x="372"/>
        <item x="279"/>
        <item x="281"/>
        <item x="378"/>
        <item x="381"/>
        <item x="285"/>
        <item x="287"/>
        <item x="289"/>
        <item x="290"/>
        <item x="291"/>
        <item x="292"/>
        <item x="295"/>
        <item x="297"/>
        <item x="298"/>
        <item x="299"/>
        <item x="300"/>
        <item x="302"/>
        <item x="303"/>
        <item x="398"/>
        <item x="304"/>
        <item x="305"/>
        <item x="307"/>
        <item x="308"/>
        <item x="309"/>
        <item x="311"/>
        <item x="313"/>
        <item x="314"/>
        <item x="407"/>
        <item x="316"/>
        <item x="409"/>
        <item x="317"/>
        <item x="318"/>
        <item x="412"/>
        <item x="319"/>
        <item x="413"/>
        <item x="416"/>
        <item x="320"/>
        <item x="322"/>
        <item x="324"/>
        <item x="326"/>
        <item x="327"/>
        <item x="328"/>
        <item x="329"/>
        <item x="330"/>
        <item x="427"/>
        <item x="331"/>
        <item x="332"/>
        <item x="333"/>
        <item x="334"/>
        <item x="335"/>
        <item x="336"/>
        <item x="339"/>
        <item x="340"/>
        <item x="341"/>
        <item x="342"/>
        <item x="346"/>
        <item x="347"/>
        <item x="348"/>
        <item x="349"/>
        <item x="350"/>
        <item x="352"/>
        <item x="353"/>
        <item x="354"/>
        <item x="355"/>
        <item x="356"/>
        <item x="358"/>
        <item x="361"/>
        <item x="362"/>
        <item x="363"/>
        <item x="364"/>
        <item x="365"/>
        <item x="367"/>
        <item x="368"/>
        <item x="369"/>
        <item x="370"/>
        <item x="371"/>
        <item x="373"/>
        <item x="375"/>
        <item x="376"/>
        <item x="377"/>
        <item x="379"/>
        <item x="382"/>
        <item x="383"/>
        <item x="384"/>
        <item x="386"/>
        <item x="387"/>
        <item x="388"/>
        <item x="389"/>
        <item x="390"/>
        <item x="391"/>
        <item x="392"/>
        <item x="394"/>
        <item x="395"/>
        <item x="396"/>
        <item x="397"/>
        <item x="399"/>
        <item x="400"/>
        <item x="402"/>
        <item x="403"/>
        <item x="404"/>
        <item x="405"/>
        <item x="406"/>
        <item x="408"/>
        <item x="410"/>
        <item x="411"/>
        <item x="415"/>
        <item x="417"/>
        <item x="418"/>
        <item x="4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2"/>
        <item t="default"/>
      </items>
    </pivotField>
    <pivotField showAll="0"/>
    <pivotField showAll="0"/>
    <pivotField axis="axisRow" showAll="0" sortType="descending">
      <items count="4">
        <item x="2"/>
        <item x="0"/>
        <item x="1"/>
        <item t="default"/>
      </items>
    </pivotField>
    <pivotField showAll="0"/>
    <pivotField numFmtId="166" showAll="0"/>
    <pivotField numFmtId="166" showAll="0"/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numFmtId="165" showAll="0"/>
    <pivotField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Revenue" fld="11" showDataAs="percentOfTotal" baseField="7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71F97-F10C-488D-9600-3950E9EEF50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2:E6" firstHeaderRow="1" firstDataRow="1" firstDataCol="1"/>
  <pivotFields count="37">
    <pivotField showAll="0"/>
    <pivotField showAll="0"/>
    <pivotField showAll="0"/>
    <pivotField numFmtId="16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433">
        <item x="5"/>
        <item x="6"/>
        <item x="8"/>
        <item x="9"/>
        <item x="11"/>
        <item x="13"/>
        <item x="18"/>
        <item x="31"/>
        <item x="37"/>
        <item x="38"/>
        <item x="59"/>
        <item x="64"/>
        <item x="66"/>
        <item x="68"/>
        <item x="79"/>
        <item x="87"/>
        <item x="0"/>
        <item x="92"/>
        <item x="4"/>
        <item x="100"/>
        <item x="12"/>
        <item x="15"/>
        <item x="105"/>
        <item x="20"/>
        <item x="108"/>
        <item x="110"/>
        <item x="22"/>
        <item x="113"/>
        <item x="26"/>
        <item x="27"/>
        <item x="121"/>
        <item x="30"/>
        <item x="32"/>
        <item x="123"/>
        <item x="33"/>
        <item x="131"/>
        <item x="40"/>
        <item x="137"/>
        <item x="45"/>
        <item x="47"/>
        <item x="51"/>
        <item x="149"/>
        <item x="54"/>
        <item x="57"/>
        <item x="62"/>
        <item x="161"/>
        <item x="163"/>
        <item x="65"/>
        <item x="67"/>
        <item x="169"/>
        <item x="170"/>
        <item x="74"/>
        <item x="76"/>
        <item x="184"/>
        <item x="186"/>
        <item x="85"/>
        <item x="86"/>
        <item x="188"/>
        <item x="190"/>
        <item x="89"/>
        <item x="192"/>
        <item x="94"/>
        <item x="197"/>
        <item x="96"/>
        <item x="99"/>
        <item x="102"/>
        <item x="206"/>
        <item x="210"/>
        <item x="1"/>
        <item x="3"/>
        <item x="111"/>
        <item x="112"/>
        <item x="114"/>
        <item x="115"/>
        <item x="217"/>
        <item x="7"/>
        <item x="10"/>
        <item x="14"/>
        <item x="125"/>
        <item x="16"/>
        <item x="127"/>
        <item x="17"/>
        <item x="130"/>
        <item x="19"/>
        <item x="21"/>
        <item x="23"/>
        <item x="24"/>
        <item x="135"/>
        <item x="25"/>
        <item x="28"/>
        <item x="29"/>
        <item x="144"/>
        <item x="243"/>
        <item x="34"/>
        <item x="35"/>
        <item x="36"/>
        <item x="150"/>
        <item x="39"/>
        <item x="41"/>
        <item x="42"/>
        <item x="43"/>
        <item x="44"/>
        <item x="253"/>
        <item x="46"/>
        <item x="48"/>
        <item x="256"/>
        <item x="49"/>
        <item x="50"/>
        <item x="52"/>
        <item x="53"/>
        <item x="262"/>
        <item x="55"/>
        <item x="56"/>
        <item x="58"/>
        <item x="174"/>
        <item x="60"/>
        <item x="267"/>
        <item x="177"/>
        <item x="61"/>
        <item x="270"/>
        <item x="179"/>
        <item x="181"/>
        <item x="63"/>
        <item x="69"/>
        <item x="70"/>
        <item x="71"/>
        <item x="72"/>
        <item x="73"/>
        <item x="193"/>
        <item x="280"/>
        <item x="282"/>
        <item x="75"/>
        <item x="77"/>
        <item x="78"/>
        <item x="283"/>
        <item x="286"/>
        <item x="201"/>
        <item x="80"/>
        <item x="81"/>
        <item x="82"/>
        <item x="83"/>
        <item x="84"/>
        <item x="293"/>
        <item x="88"/>
        <item x="90"/>
        <item x="91"/>
        <item x="214"/>
        <item x="93"/>
        <item x="95"/>
        <item x="219"/>
        <item x="97"/>
        <item x="306"/>
        <item x="98"/>
        <item x="310"/>
        <item x="101"/>
        <item x="103"/>
        <item x="224"/>
        <item x="104"/>
        <item x="227"/>
        <item x="315"/>
        <item x="232"/>
        <item x="106"/>
        <item x="235"/>
        <item x="107"/>
        <item x="109"/>
        <item x="116"/>
        <item x="117"/>
        <item x="118"/>
        <item x="119"/>
        <item x="120"/>
        <item x="122"/>
        <item x="321"/>
        <item x="323"/>
        <item x="325"/>
        <item x="124"/>
        <item x="126"/>
        <item x="128"/>
        <item x="129"/>
        <item x="132"/>
        <item x="133"/>
        <item x="134"/>
        <item x="246"/>
        <item x="247"/>
        <item x="136"/>
        <item x="138"/>
        <item x="139"/>
        <item x="140"/>
        <item x="141"/>
        <item x="142"/>
        <item x="143"/>
        <item x="337"/>
        <item x="145"/>
        <item x="146"/>
        <item x="147"/>
        <item x="148"/>
        <item x="261"/>
        <item x="151"/>
        <item x="152"/>
        <item x="153"/>
        <item x="154"/>
        <item x="155"/>
        <item x="351"/>
        <item x="156"/>
        <item x="157"/>
        <item x="158"/>
        <item x="159"/>
        <item x="160"/>
        <item x="162"/>
        <item x="164"/>
        <item x="275"/>
        <item x="165"/>
        <item x="166"/>
        <item x="167"/>
        <item x="168"/>
        <item x="277"/>
        <item x="278"/>
        <item x="171"/>
        <item x="172"/>
        <item x="173"/>
        <item x="175"/>
        <item x="176"/>
        <item x="284"/>
        <item x="178"/>
        <item x="180"/>
        <item x="288"/>
        <item x="182"/>
        <item x="183"/>
        <item x="185"/>
        <item x="294"/>
        <item x="187"/>
        <item x="189"/>
        <item x="296"/>
        <item x="191"/>
        <item x="374"/>
        <item x="301"/>
        <item x="194"/>
        <item x="195"/>
        <item x="196"/>
        <item x="380"/>
        <item x="198"/>
        <item x="199"/>
        <item x="200"/>
        <item x="202"/>
        <item x="203"/>
        <item x="385"/>
        <item x="204"/>
        <item x="312"/>
        <item x="205"/>
        <item x="207"/>
        <item x="208"/>
        <item x="209"/>
        <item x="211"/>
        <item x="393"/>
        <item x="212"/>
        <item x="213"/>
        <item x="215"/>
        <item x="216"/>
        <item x="218"/>
        <item x="401"/>
        <item x="220"/>
        <item x="221"/>
        <item x="222"/>
        <item x="223"/>
        <item x="225"/>
        <item x="226"/>
        <item x="228"/>
        <item x="229"/>
        <item x="230"/>
        <item x="231"/>
        <item x="233"/>
        <item x="234"/>
        <item x="236"/>
        <item x="237"/>
        <item x="238"/>
        <item x="239"/>
        <item x="414"/>
        <item x="240"/>
        <item x="241"/>
        <item x="338"/>
        <item x="242"/>
        <item x="244"/>
        <item x="343"/>
        <item x="344"/>
        <item x="245"/>
        <item x="345"/>
        <item x="248"/>
        <item x="249"/>
        <item x="250"/>
        <item x="251"/>
        <item x="252"/>
        <item x="254"/>
        <item x="255"/>
        <item x="257"/>
        <item x="258"/>
        <item x="259"/>
        <item x="357"/>
        <item x="260"/>
        <item x="359"/>
        <item x="360"/>
        <item x="263"/>
        <item x="264"/>
        <item x="265"/>
        <item x="366"/>
        <item x="266"/>
        <item x="268"/>
        <item x="269"/>
        <item x="271"/>
        <item x="272"/>
        <item x="273"/>
        <item x="274"/>
        <item x="276"/>
        <item x="372"/>
        <item x="279"/>
        <item x="281"/>
        <item x="378"/>
        <item x="381"/>
        <item x="285"/>
        <item x="287"/>
        <item x="289"/>
        <item x="290"/>
        <item x="291"/>
        <item x="292"/>
        <item x="295"/>
        <item x="297"/>
        <item x="298"/>
        <item x="299"/>
        <item x="300"/>
        <item x="302"/>
        <item x="303"/>
        <item x="398"/>
        <item x="304"/>
        <item x="305"/>
        <item x="307"/>
        <item x="308"/>
        <item x="309"/>
        <item x="311"/>
        <item x="313"/>
        <item x="314"/>
        <item x="407"/>
        <item x="316"/>
        <item x="409"/>
        <item x="317"/>
        <item x="318"/>
        <item x="412"/>
        <item x="319"/>
        <item x="413"/>
        <item x="416"/>
        <item x="320"/>
        <item x="322"/>
        <item x="324"/>
        <item x="326"/>
        <item x="327"/>
        <item x="328"/>
        <item x="329"/>
        <item x="330"/>
        <item x="427"/>
        <item x="331"/>
        <item x="332"/>
        <item x="333"/>
        <item x="334"/>
        <item x="335"/>
        <item x="336"/>
        <item x="339"/>
        <item x="340"/>
        <item x="341"/>
        <item x="342"/>
        <item x="346"/>
        <item x="347"/>
        <item x="348"/>
        <item x="349"/>
        <item x="350"/>
        <item x="352"/>
        <item x="353"/>
        <item x="354"/>
        <item x="355"/>
        <item x="356"/>
        <item x="358"/>
        <item x="361"/>
        <item x="362"/>
        <item x="363"/>
        <item x="364"/>
        <item x="365"/>
        <item x="367"/>
        <item x="368"/>
        <item x="369"/>
        <item x="370"/>
        <item x="371"/>
        <item x="373"/>
        <item x="375"/>
        <item x="376"/>
        <item x="377"/>
        <item x="379"/>
        <item x="382"/>
        <item x="383"/>
        <item x="384"/>
        <item x="386"/>
        <item x="387"/>
        <item x="388"/>
        <item x="389"/>
        <item x="390"/>
        <item x="391"/>
        <item x="392"/>
        <item x="394"/>
        <item x="395"/>
        <item x="396"/>
        <item x="397"/>
        <item x="399"/>
        <item x="400"/>
        <item x="402"/>
        <item x="403"/>
        <item x="404"/>
        <item x="405"/>
        <item x="406"/>
        <item x="408"/>
        <item x="410"/>
        <item x="411"/>
        <item x="415"/>
        <item x="417"/>
        <item x="418"/>
        <item x="4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2"/>
        <item t="default"/>
      </items>
    </pivotField>
    <pivotField showAll="0"/>
    <pivotField showAll="0"/>
    <pivotField axis="axisRow" showAll="0" sortType="descending">
      <items count="4">
        <item x="2"/>
        <item x="0"/>
        <item x="1"/>
        <item t="default"/>
      </items>
    </pivotField>
    <pivotField showAll="0"/>
    <pivotField numFmtId="166" showAll="0"/>
    <pivotField numFmtId="166" showAll="0"/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numFmtId="165" showAll="0"/>
    <pivotField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Revenue" fld="11" baseField="0" baseItem="0" numFmtId="168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74081-7C6A-430C-8AF8-45036036AE4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4:R12" firstHeaderRow="1" firstDataRow="3" firstDataCol="1"/>
  <pivotFields count="37">
    <pivotField dataField="1" showAll="0"/>
    <pivotField showAll="0"/>
    <pivotField showAll="0"/>
    <pivotField numFmtId="16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433">
        <item x="5"/>
        <item x="6"/>
        <item x="8"/>
        <item x="9"/>
        <item x="11"/>
        <item x="13"/>
        <item x="18"/>
        <item x="31"/>
        <item x="37"/>
        <item x="38"/>
        <item x="59"/>
        <item x="64"/>
        <item x="66"/>
        <item x="68"/>
        <item x="79"/>
        <item x="87"/>
        <item x="0"/>
        <item x="92"/>
        <item x="4"/>
        <item x="100"/>
        <item x="12"/>
        <item x="15"/>
        <item x="105"/>
        <item x="20"/>
        <item x="108"/>
        <item x="110"/>
        <item x="22"/>
        <item x="113"/>
        <item x="26"/>
        <item x="27"/>
        <item x="121"/>
        <item x="30"/>
        <item x="32"/>
        <item x="123"/>
        <item x="33"/>
        <item x="131"/>
        <item x="40"/>
        <item x="137"/>
        <item x="45"/>
        <item x="47"/>
        <item x="51"/>
        <item x="149"/>
        <item x="54"/>
        <item x="57"/>
        <item x="62"/>
        <item x="161"/>
        <item x="163"/>
        <item x="65"/>
        <item x="67"/>
        <item x="169"/>
        <item x="170"/>
        <item x="74"/>
        <item x="76"/>
        <item x="184"/>
        <item x="186"/>
        <item x="85"/>
        <item x="86"/>
        <item x="188"/>
        <item x="190"/>
        <item x="89"/>
        <item x="192"/>
        <item x="94"/>
        <item x="197"/>
        <item x="96"/>
        <item x="99"/>
        <item x="102"/>
        <item x="206"/>
        <item x="210"/>
        <item x="1"/>
        <item x="3"/>
        <item x="111"/>
        <item x="112"/>
        <item x="114"/>
        <item x="115"/>
        <item x="217"/>
        <item x="7"/>
        <item x="10"/>
        <item x="14"/>
        <item x="125"/>
        <item x="16"/>
        <item x="127"/>
        <item x="17"/>
        <item x="130"/>
        <item x="19"/>
        <item x="21"/>
        <item x="23"/>
        <item x="24"/>
        <item x="135"/>
        <item x="25"/>
        <item x="28"/>
        <item x="29"/>
        <item x="144"/>
        <item x="243"/>
        <item x="34"/>
        <item x="35"/>
        <item x="36"/>
        <item x="150"/>
        <item x="39"/>
        <item x="41"/>
        <item x="42"/>
        <item x="43"/>
        <item x="44"/>
        <item x="253"/>
        <item x="46"/>
        <item x="48"/>
        <item x="256"/>
        <item x="49"/>
        <item x="50"/>
        <item x="52"/>
        <item x="53"/>
        <item x="262"/>
        <item x="55"/>
        <item x="56"/>
        <item x="58"/>
        <item x="174"/>
        <item x="60"/>
        <item x="267"/>
        <item x="177"/>
        <item x="61"/>
        <item x="270"/>
        <item x="179"/>
        <item x="181"/>
        <item x="63"/>
        <item x="69"/>
        <item x="70"/>
        <item x="71"/>
        <item x="72"/>
        <item x="73"/>
        <item x="193"/>
        <item x="280"/>
        <item x="282"/>
        <item x="75"/>
        <item x="77"/>
        <item x="78"/>
        <item x="283"/>
        <item x="286"/>
        <item x="201"/>
        <item x="80"/>
        <item x="81"/>
        <item x="82"/>
        <item x="83"/>
        <item x="84"/>
        <item x="293"/>
        <item x="88"/>
        <item x="90"/>
        <item x="91"/>
        <item x="214"/>
        <item x="93"/>
        <item x="95"/>
        <item x="219"/>
        <item x="97"/>
        <item x="306"/>
        <item x="98"/>
        <item x="310"/>
        <item x="101"/>
        <item x="103"/>
        <item x="224"/>
        <item x="104"/>
        <item x="227"/>
        <item x="315"/>
        <item x="232"/>
        <item x="106"/>
        <item x="235"/>
        <item x="107"/>
        <item x="109"/>
        <item x="116"/>
        <item x="117"/>
        <item x="118"/>
        <item x="119"/>
        <item x="120"/>
        <item x="122"/>
        <item x="321"/>
        <item x="323"/>
        <item x="325"/>
        <item x="124"/>
        <item x="126"/>
        <item x="128"/>
        <item x="129"/>
        <item x="132"/>
        <item x="133"/>
        <item x="134"/>
        <item x="246"/>
        <item x="247"/>
        <item x="136"/>
        <item x="138"/>
        <item x="139"/>
        <item x="140"/>
        <item x="141"/>
        <item x="142"/>
        <item x="143"/>
        <item x="337"/>
        <item x="145"/>
        <item x="146"/>
        <item x="147"/>
        <item x="148"/>
        <item x="261"/>
        <item x="151"/>
        <item x="152"/>
        <item x="153"/>
        <item x="154"/>
        <item x="155"/>
        <item x="351"/>
        <item x="156"/>
        <item x="157"/>
        <item x="158"/>
        <item x="159"/>
        <item x="160"/>
        <item x="162"/>
        <item x="164"/>
        <item x="275"/>
        <item x="165"/>
        <item x="166"/>
        <item x="167"/>
        <item x="168"/>
        <item x="277"/>
        <item x="278"/>
        <item x="171"/>
        <item x="172"/>
        <item x="173"/>
        <item x="175"/>
        <item x="176"/>
        <item x="284"/>
        <item x="178"/>
        <item x="180"/>
        <item x="288"/>
        <item x="182"/>
        <item x="183"/>
        <item x="185"/>
        <item x="294"/>
        <item x="187"/>
        <item x="189"/>
        <item x="296"/>
        <item x="191"/>
        <item x="374"/>
        <item x="301"/>
        <item x="194"/>
        <item x="195"/>
        <item x="196"/>
        <item x="380"/>
        <item x="198"/>
        <item x="199"/>
        <item x="200"/>
        <item x="202"/>
        <item x="203"/>
        <item x="385"/>
        <item x="204"/>
        <item x="312"/>
        <item x="205"/>
        <item x="207"/>
        <item x="208"/>
        <item x="209"/>
        <item x="211"/>
        <item x="393"/>
        <item x="212"/>
        <item x="213"/>
        <item x="215"/>
        <item x="216"/>
        <item x="218"/>
        <item x="401"/>
        <item x="220"/>
        <item x="221"/>
        <item x="222"/>
        <item x="223"/>
        <item x="225"/>
        <item x="226"/>
        <item x="228"/>
        <item x="229"/>
        <item x="230"/>
        <item x="231"/>
        <item x="233"/>
        <item x="234"/>
        <item x="236"/>
        <item x="237"/>
        <item x="238"/>
        <item x="239"/>
        <item x="414"/>
        <item x="240"/>
        <item x="241"/>
        <item x="338"/>
        <item x="242"/>
        <item x="244"/>
        <item x="343"/>
        <item x="344"/>
        <item x="245"/>
        <item x="345"/>
        <item x="248"/>
        <item x="249"/>
        <item x="250"/>
        <item x="251"/>
        <item x="252"/>
        <item x="254"/>
        <item x="255"/>
        <item x="257"/>
        <item x="258"/>
        <item x="259"/>
        <item x="357"/>
        <item x="260"/>
        <item x="359"/>
        <item x="360"/>
        <item x="263"/>
        <item x="264"/>
        <item x="265"/>
        <item x="366"/>
        <item x="266"/>
        <item x="268"/>
        <item x="269"/>
        <item x="271"/>
        <item x="272"/>
        <item x="273"/>
        <item x="274"/>
        <item x="276"/>
        <item x="372"/>
        <item x="279"/>
        <item x="281"/>
        <item x="378"/>
        <item x="381"/>
        <item x="285"/>
        <item x="287"/>
        <item x="289"/>
        <item x="290"/>
        <item x="291"/>
        <item x="292"/>
        <item x="295"/>
        <item x="297"/>
        <item x="298"/>
        <item x="299"/>
        <item x="300"/>
        <item x="302"/>
        <item x="303"/>
        <item x="398"/>
        <item x="304"/>
        <item x="305"/>
        <item x="307"/>
        <item x="308"/>
        <item x="309"/>
        <item x="311"/>
        <item x="313"/>
        <item x="314"/>
        <item x="407"/>
        <item x="316"/>
        <item x="409"/>
        <item x="317"/>
        <item x="318"/>
        <item x="412"/>
        <item x="319"/>
        <item x="413"/>
        <item x="416"/>
        <item x="320"/>
        <item x="322"/>
        <item x="324"/>
        <item x="326"/>
        <item x="327"/>
        <item x="328"/>
        <item x="329"/>
        <item x="330"/>
        <item x="427"/>
        <item x="331"/>
        <item x="332"/>
        <item x="333"/>
        <item x="334"/>
        <item x="335"/>
        <item x="336"/>
        <item x="339"/>
        <item x="340"/>
        <item x="341"/>
        <item x="342"/>
        <item x="346"/>
        <item x="347"/>
        <item x="348"/>
        <item x="349"/>
        <item x="350"/>
        <item x="352"/>
        <item x="353"/>
        <item x="354"/>
        <item x="355"/>
        <item x="356"/>
        <item x="358"/>
        <item x="361"/>
        <item x="362"/>
        <item x="363"/>
        <item x="364"/>
        <item x="365"/>
        <item x="367"/>
        <item x="368"/>
        <item x="369"/>
        <item x="370"/>
        <item x="371"/>
        <item x="373"/>
        <item x="375"/>
        <item x="376"/>
        <item x="377"/>
        <item x="379"/>
        <item x="382"/>
        <item x="383"/>
        <item x="384"/>
        <item x="386"/>
        <item x="387"/>
        <item x="388"/>
        <item x="389"/>
        <item x="390"/>
        <item x="391"/>
        <item x="392"/>
        <item x="394"/>
        <item x="395"/>
        <item x="396"/>
        <item x="397"/>
        <item x="399"/>
        <item x="400"/>
        <item x="402"/>
        <item x="403"/>
        <item x="404"/>
        <item x="405"/>
        <item x="406"/>
        <item x="408"/>
        <item x="410"/>
        <item x="411"/>
        <item x="415"/>
        <item x="417"/>
        <item x="418"/>
        <item x="4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2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numFmtId="166" showAll="0"/>
    <pivotField showAll="0"/>
    <pivotField showAll="0"/>
    <pivotField numFmtId="165" showAll="0"/>
    <pivotField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7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ustomer Count" fld="0" subtotal="count" baseField="17" baseItem="0"/>
    <dataField name="Percentage of Grand Total" fld="0" subtotal="count" showDataAs="percentOfTotal" baseField="17" baseItem="0" numFmtId="10"/>
  </dataFields>
  <formats count="13">
    <format dxfId="12">
      <pivotArea dataOnly="0" outline="0" fieldPosition="0">
        <references count="2">
          <reference field="4294967294" count="0" defaultSubtotal="1" sumSubtotal="1" countASubtotal="1" avgSubtotal="1" maxSubtotal="1" minSubtotal="1" productSubtotal="1" countSubtotal="1" stdDevSubtotal="1" stdDevPSubtotal="1" varSubtotal="1" varPSubtotal="1"/>
          <reference field="7" count="1">
            <x v="0"/>
          </reference>
        </references>
      </pivotArea>
    </format>
    <format dxfId="11">
      <pivotArea collapsedLevelsAreSubtotals="1" fieldPosition="0">
        <references count="3">
          <reference field="4294967294" count="2" selected="0">
            <x v="0"/>
            <x v="1"/>
          </reference>
          <reference field="7" count="1" selected="0">
            <x v="2"/>
          </reference>
          <reference field="17" count="0"/>
        </references>
      </pivotArea>
    </format>
    <format dxfId="10">
      <pivotArea dataOnly="0" labelOnly="1" fieldPosition="0">
        <references count="1">
          <reference field="7" count="1">
            <x v="2"/>
          </reference>
        </references>
      </pivotArea>
    </format>
    <format dxfId="9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2"/>
          </reference>
        </references>
      </pivotArea>
    </format>
    <format dxfId="8">
      <pivotArea collapsedLevelsAreSubtotals="1" fieldPosition="0">
        <references count="3">
          <reference field="4294967294" count="2" selected="0">
            <x v="0"/>
            <x v="1"/>
          </reference>
          <reference field="7" count="1" selected="0">
            <x v="1"/>
          </reference>
          <reference field="17" count="0"/>
        </references>
      </pivotArea>
    </format>
    <format dxfId="7">
      <pivotArea dataOnly="0" labelOnly="1" fieldPosition="0">
        <references count="1">
          <reference field="7" count="1">
            <x v="1"/>
          </reference>
        </references>
      </pivotArea>
    </format>
    <format dxfId="6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1"/>
          </reference>
        </references>
      </pivotArea>
    </format>
    <format dxfId="5">
      <pivotArea field="7" grandCol="1" outline="0" collapsedLevelsAreSubtotals="1" axis="axisCol" fieldPosition="0">
        <references count="1">
          <reference field="4294967294" count="2" selected="0">
            <x v="0"/>
            <x v="1"/>
          </reference>
        </references>
      </pivotArea>
    </format>
    <format dxfId="4">
      <pivotArea field="7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">
      <pivotArea field="7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">
      <pivotArea field="7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7" count="0" selected="0"/>
        </references>
      </pivotArea>
    </format>
    <format dxfId="1">
      <pivotArea grandRow="1" grandCol="1"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0">
      <pivotArea dataOnly="0" labelOnly="1" fieldPosition="0">
        <references count="1">
          <reference field="17" count="0"/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F110E-D735-431C-8455-A9D7664EDE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G11" firstHeaderRow="1" firstDataRow="3" firstDataCol="1" rowPageCount="2" colPageCount="1"/>
  <pivotFields count="37">
    <pivotField dataField="1" showAll="0"/>
    <pivotField showAll="0"/>
    <pivotField showAll="0"/>
    <pivotField numFmtId="16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433">
        <item x="5"/>
        <item x="6"/>
        <item x="8"/>
        <item x="9"/>
        <item x="11"/>
        <item x="13"/>
        <item x="18"/>
        <item x="31"/>
        <item x="37"/>
        <item x="38"/>
        <item x="59"/>
        <item x="64"/>
        <item x="66"/>
        <item x="68"/>
        <item x="79"/>
        <item x="87"/>
        <item x="0"/>
        <item x="92"/>
        <item x="4"/>
        <item x="100"/>
        <item x="12"/>
        <item x="15"/>
        <item x="105"/>
        <item x="20"/>
        <item x="108"/>
        <item x="110"/>
        <item x="22"/>
        <item x="113"/>
        <item x="26"/>
        <item x="27"/>
        <item x="121"/>
        <item x="30"/>
        <item x="32"/>
        <item x="123"/>
        <item x="33"/>
        <item x="131"/>
        <item x="40"/>
        <item x="137"/>
        <item x="45"/>
        <item x="47"/>
        <item x="51"/>
        <item x="149"/>
        <item x="54"/>
        <item x="57"/>
        <item x="62"/>
        <item x="161"/>
        <item x="163"/>
        <item x="65"/>
        <item x="67"/>
        <item x="169"/>
        <item x="170"/>
        <item x="74"/>
        <item x="76"/>
        <item x="184"/>
        <item x="186"/>
        <item x="85"/>
        <item x="86"/>
        <item x="188"/>
        <item x="190"/>
        <item x="89"/>
        <item x="192"/>
        <item x="94"/>
        <item x="197"/>
        <item x="96"/>
        <item x="99"/>
        <item x="102"/>
        <item x="206"/>
        <item x="210"/>
        <item x="1"/>
        <item x="3"/>
        <item x="111"/>
        <item x="112"/>
        <item x="114"/>
        <item x="115"/>
        <item x="217"/>
        <item x="7"/>
        <item x="10"/>
        <item x="14"/>
        <item x="125"/>
        <item x="16"/>
        <item x="127"/>
        <item x="17"/>
        <item x="130"/>
        <item x="19"/>
        <item x="21"/>
        <item x="23"/>
        <item x="24"/>
        <item x="135"/>
        <item x="25"/>
        <item x="28"/>
        <item x="29"/>
        <item x="144"/>
        <item x="243"/>
        <item x="34"/>
        <item x="35"/>
        <item x="36"/>
        <item x="150"/>
        <item x="39"/>
        <item x="41"/>
        <item x="42"/>
        <item x="43"/>
        <item x="44"/>
        <item x="253"/>
        <item x="46"/>
        <item x="48"/>
        <item x="256"/>
        <item x="49"/>
        <item x="50"/>
        <item x="52"/>
        <item x="53"/>
        <item x="262"/>
        <item x="55"/>
        <item x="56"/>
        <item x="58"/>
        <item x="174"/>
        <item x="60"/>
        <item x="267"/>
        <item x="177"/>
        <item x="61"/>
        <item x="270"/>
        <item x="179"/>
        <item x="181"/>
        <item x="63"/>
        <item x="69"/>
        <item x="70"/>
        <item x="71"/>
        <item x="72"/>
        <item x="73"/>
        <item x="193"/>
        <item x="280"/>
        <item x="282"/>
        <item x="75"/>
        <item x="77"/>
        <item x="78"/>
        <item x="283"/>
        <item x="286"/>
        <item x="201"/>
        <item x="80"/>
        <item x="81"/>
        <item x="82"/>
        <item x="83"/>
        <item x="84"/>
        <item x="293"/>
        <item x="88"/>
        <item x="90"/>
        <item x="91"/>
        <item x="214"/>
        <item x="93"/>
        <item x="95"/>
        <item x="219"/>
        <item x="97"/>
        <item x="306"/>
        <item x="98"/>
        <item x="310"/>
        <item x="101"/>
        <item x="103"/>
        <item x="224"/>
        <item x="104"/>
        <item x="227"/>
        <item x="315"/>
        <item x="232"/>
        <item x="106"/>
        <item x="235"/>
        <item x="107"/>
        <item x="109"/>
        <item x="116"/>
        <item x="117"/>
        <item x="118"/>
        <item x="119"/>
        <item x="120"/>
        <item x="122"/>
        <item x="321"/>
        <item x="323"/>
        <item x="325"/>
        <item x="124"/>
        <item x="126"/>
        <item x="128"/>
        <item x="129"/>
        <item x="132"/>
        <item x="133"/>
        <item x="134"/>
        <item x="246"/>
        <item x="247"/>
        <item x="136"/>
        <item x="138"/>
        <item x="139"/>
        <item x="140"/>
        <item x="141"/>
        <item x="142"/>
        <item x="143"/>
        <item x="337"/>
        <item x="145"/>
        <item x="146"/>
        <item x="147"/>
        <item x="148"/>
        <item x="261"/>
        <item x="151"/>
        <item x="152"/>
        <item x="153"/>
        <item x="154"/>
        <item x="155"/>
        <item x="351"/>
        <item x="156"/>
        <item x="157"/>
        <item x="158"/>
        <item x="159"/>
        <item x="160"/>
        <item x="162"/>
        <item x="164"/>
        <item x="275"/>
        <item x="165"/>
        <item x="166"/>
        <item x="167"/>
        <item x="168"/>
        <item x="277"/>
        <item x="278"/>
        <item x="171"/>
        <item x="172"/>
        <item x="173"/>
        <item x="175"/>
        <item x="176"/>
        <item x="284"/>
        <item x="178"/>
        <item x="180"/>
        <item x="288"/>
        <item x="182"/>
        <item x="183"/>
        <item x="185"/>
        <item x="294"/>
        <item x="187"/>
        <item x="189"/>
        <item x="296"/>
        <item x="191"/>
        <item x="374"/>
        <item x="301"/>
        <item x="194"/>
        <item x="195"/>
        <item x="196"/>
        <item x="380"/>
        <item x="198"/>
        <item x="199"/>
        <item x="200"/>
        <item x="202"/>
        <item x="203"/>
        <item x="385"/>
        <item x="204"/>
        <item x="312"/>
        <item x="205"/>
        <item x="207"/>
        <item x="208"/>
        <item x="209"/>
        <item x="211"/>
        <item x="393"/>
        <item x="212"/>
        <item x="213"/>
        <item x="215"/>
        <item x="216"/>
        <item x="218"/>
        <item x="401"/>
        <item x="220"/>
        <item x="221"/>
        <item x="222"/>
        <item x="223"/>
        <item x="225"/>
        <item x="226"/>
        <item x="228"/>
        <item x="229"/>
        <item x="230"/>
        <item x="231"/>
        <item x="233"/>
        <item x="234"/>
        <item x="236"/>
        <item x="237"/>
        <item x="238"/>
        <item x="239"/>
        <item x="414"/>
        <item x="240"/>
        <item x="241"/>
        <item x="338"/>
        <item x="242"/>
        <item x="244"/>
        <item x="343"/>
        <item x="344"/>
        <item x="245"/>
        <item x="345"/>
        <item x="248"/>
        <item x="249"/>
        <item x="250"/>
        <item x="251"/>
        <item x="252"/>
        <item x="254"/>
        <item x="255"/>
        <item x="257"/>
        <item x="258"/>
        <item x="259"/>
        <item x="357"/>
        <item x="260"/>
        <item x="359"/>
        <item x="360"/>
        <item x="263"/>
        <item x="264"/>
        <item x="265"/>
        <item x="366"/>
        <item x="266"/>
        <item x="268"/>
        <item x="269"/>
        <item x="271"/>
        <item x="272"/>
        <item x="273"/>
        <item x="274"/>
        <item x="276"/>
        <item x="372"/>
        <item x="279"/>
        <item x="281"/>
        <item x="378"/>
        <item x="381"/>
        <item x="285"/>
        <item x="287"/>
        <item x="289"/>
        <item x="290"/>
        <item x="291"/>
        <item x="292"/>
        <item x="295"/>
        <item x="297"/>
        <item x="298"/>
        <item x="299"/>
        <item x="300"/>
        <item x="302"/>
        <item x="303"/>
        <item x="398"/>
        <item x="304"/>
        <item x="305"/>
        <item x="307"/>
        <item x="308"/>
        <item x="309"/>
        <item x="311"/>
        <item x="313"/>
        <item x="314"/>
        <item x="407"/>
        <item x="316"/>
        <item x="409"/>
        <item x="317"/>
        <item x="318"/>
        <item x="412"/>
        <item x="319"/>
        <item x="413"/>
        <item x="416"/>
        <item x="320"/>
        <item x="322"/>
        <item x="324"/>
        <item x="326"/>
        <item x="327"/>
        <item x="328"/>
        <item x="329"/>
        <item x="330"/>
        <item x="427"/>
        <item x="331"/>
        <item x="332"/>
        <item x="333"/>
        <item x="334"/>
        <item x="335"/>
        <item x="336"/>
        <item x="339"/>
        <item x="340"/>
        <item x="341"/>
        <item x="342"/>
        <item x="346"/>
        <item x="347"/>
        <item x="348"/>
        <item x="349"/>
        <item x="350"/>
        <item x="352"/>
        <item x="353"/>
        <item x="354"/>
        <item x="355"/>
        <item x="356"/>
        <item x="358"/>
        <item x="361"/>
        <item x="362"/>
        <item x="363"/>
        <item x="364"/>
        <item x="365"/>
        <item x="367"/>
        <item x="368"/>
        <item x="369"/>
        <item x="370"/>
        <item x="371"/>
        <item x="373"/>
        <item x="375"/>
        <item x="376"/>
        <item x="377"/>
        <item x="379"/>
        <item x="382"/>
        <item x="383"/>
        <item x="384"/>
        <item x="386"/>
        <item x="387"/>
        <item x="388"/>
        <item x="389"/>
        <item x="390"/>
        <item x="391"/>
        <item x="392"/>
        <item x="394"/>
        <item x="395"/>
        <item x="396"/>
        <item x="397"/>
        <item x="399"/>
        <item x="400"/>
        <item x="402"/>
        <item x="403"/>
        <item x="404"/>
        <item x="405"/>
        <item x="406"/>
        <item x="408"/>
        <item x="410"/>
        <item x="411"/>
        <item x="415"/>
        <item x="417"/>
        <item x="418"/>
        <item x="4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2"/>
        <item t="default"/>
      </items>
    </pivotField>
    <pivotField showAll="0"/>
    <pivotField showAll="0"/>
    <pivotField axis="axisPage" showAll="0">
      <items count="4">
        <item x="1"/>
        <item x="0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numFmtId="166" showAll="0"/>
    <pivotField numFmtId="166" showAll="0"/>
    <pivotField numFmtId="166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axis="axisCol" showAll="0" sortType="descending">
      <items count="3">
        <item x="0"/>
        <item x="1"/>
        <item t="default"/>
      </items>
    </pivotField>
    <pivotField numFmtId="166" showAll="0"/>
    <pivotField showAll="0"/>
    <pivotField showAll="0"/>
    <pivotField numFmtId="165" showAll="0"/>
    <pivotField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2">
    <field x="18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2">
    <pageField fld="7" hier="-1"/>
    <pageField fld="8" hier="-1"/>
  </pageFields>
  <dataFields count="2">
    <dataField name="Customers" fld="0" subtotal="count" baseField="13" baseItem="0"/>
    <dataField name="Percentage of Grand Total" fld="0" subtotal="count" showDataAs="percentOfTotal" baseField="0" baseItem="0" numFmtId="10"/>
  </dataFields>
  <formats count="2">
    <format dxfId="14">
      <pivotArea dataOnly="0" labelOnly="1" fieldPosition="0">
        <references count="1">
          <reference field="13" count="0"/>
        </references>
      </pivotArea>
    </format>
    <format dxfId="13">
      <pivotArea dataOnly="0" labelOnly="1" grandRow="1" outline="0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2BFC71-75A7-476D-91AC-C9D82F35A5C2}" name="Table1" displayName="Table1" ref="A1:AE801" totalsRowShown="0" headerRowDxfId="71" dataDxfId="69" headerRowBorderDxfId="70" tableBorderDxfId="68">
  <autoFilter ref="A1:AE801" xr:uid="{B82BFC71-75A7-476D-91AC-C9D82F35A5C2}"/>
  <sortState xmlns:xlrd2="http://schemas.microsoft.com/office/spreadsheetml/2017/richdata2" ref="A2:AE801">
    <sortCondition ref="D1:D801"/>
  </sortState>
  <tableColumns count="31">
    <tableColumn id="1" xr3:uid="{C4115FDE-AC3D-4D80-928F-C95C734730BB}" name="CustomerID" dataDxfId="67"/>
    <tableColumn id="2" xr3:uid="{82C2FF9F-E922-4DCF-8562-BF4305E2C06B}" name="Age" dataDxfId="66"/>
    <tableColumn id="3" xr3:uid="{23395E06-98B2-4E2C-8A7A-639168EBD198}" name="Gender" dataDxfId="65"/>
    <tableColumn id="4" xr3:uid="{913FFA51-9945-4E60-BA88-39529186140C}" name="SubscriptionStart" dataDxfId="64"/>
    <tableColumn id="5" xr3:uid="{2CF4E6CC-17F1-4321-AF58-317BD134BA85}" name="SubscriptionEnd" dataDxfId="63"/>
    <tableColumn id="6" xr3:uid="{D8C4C482-0EE8-4E40-B12B-B2EBA428D012}" name="DurationDays" dataDxfId="62">
      <calculatedColumnFormula>TODAY() - Table1[[#This Row],[SubscriptionStart]]</calculatedColumnFormula>
    </tableColumn>
    <tableColumn id="7" xr3:uid="{E52CF0B3-B63D-4DE4-B522-3C3231DACFFF}" name="MonthsPaid" dataDxfId="61"/>
    <tableColumn id="8" xr3:uid="{FFF3BF40-8D46-44D0-A595-F8B3941F7497}" name="SubType" dataDxfId="60"/>
    <tableColumn id="9" xr3:uid="{3B9223DD-5BD9-4CCA-966B-E5603B705C5B}" name="Tier" dataDxfId="59"/>
    <tableColumn id="10" xr3:uid="{5FA3FC65-B52E-4DA6-AE34-1094C14467DD}" name="Monthly" dataDxfId="58">
      <calculatedColumnFormula array="1">_xlfn.IFS(Table1[[#This Row],[Tier]]="Basic",10,Table1[[#This Row],[Tier]]="Standard",18,Table1[[#This Row],[Tier]]="Premium",25)</calculatedColumnFormula>
    </tableColumn>
    <tableColumn id="11" xr3:uid="{E70E39DF-ACB6-4E8D-9201-B34CDB9A98BB}" name="Discounted" dataDxfId="57">
      <calculatedColumnFormula array="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calculatedColumnFormula>
    </tableColumn>
    <tableColumn id="12" xr3:uid="{32E497ED-2392-40B3-96B0-A51D8FE05B58}" name="TotalRevenue" dataDxfId="56">
      <calculatedColumnFormula array="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calculatedColumnFormula>
    </tableColumn>
    <tableColumn id="13" xr3:uid="{449E2DC2-8F47-46B3-9F54-F6E86CEB39CB}" name="AgeGroup" dataDxfId="55">
      <calculatedColumnFormula array="1">_xlfn.IFS(Table1[[#This Row],[Age]]&gt;70,"Elderly",Table1[[#This Row],[Age]]&gt;59,"Senior",Table1[[#This Row],[Age]]&gt;49,"Mature Adult",Table1[[#This Row],[Age]]&gt;25,"Adult",Table1[[#This Row],[Age]]&gt;=18,"Young Adult")</calculatedColumnFormula>
    </tableColumn>
    <tableColumn id="14" xr3:uid="{0247DDC1-5756-4814-8DF5-065ACECE1401}" name="Region" dataDxfId="54"/>
    <tableColumn id="15" xr3:uid="{3EF83FF5-EE68-46E1-83F2-5CC715AC8A51}" name="ReferralSource" dataDxfId="53"/>
    <tableColumn id="16" xr3:uid="{70271E95-A4E6-4A6B-98D4-0D33316BC26E}" name="CancellationReason" dataDxfId="52"/>
    <tableColumn id="17" xr3:uid="{FEC8137D-A3AC-49CD-8ABA-95D15FE615B9}" name="RevenueCategory" dataDxfId="51">
      <calculatedColumnFormula array="1">_xlfn.IFS(Table1[[#This Row],[TotalRevenue]]&lt;100,"Low",Table1[[#This Row],[TotalRevenue]]&lt;300,"Medium",Table1[[#This Row],[TotalRevenue]]&lt;600,"High",TRUE,"Very High")</calculatedColumnFormula>
    </tableColumn>
    <tableColumn id="18" xr3:uid="{03E673C3-1565-49F8-B595-1B42CBF04A4D}" name="AgeBracket" dataDxfId="50">
      <calculatedColumnFormula array="1">_xlfn.IFS(Table1[[#This Row],[Age]]&gt;69,"Elderly",Table1[[#This Row],[Age]]&gt;59,"Mature Adult",Table1[[#This Row],[Age]]&gt;25,"Adult",Table1[[#This Row],[Age]]&gt;18,"Young Adult",Table1[[#This Row],[Age]]&gt;=12,"Teenager")</calculatedColumnFormula>
    </tableColumn>
    <tableColumn id="20" xr3:uid="{5A9A3344-C668-4B1C-A1E5-4CC40ADD1445}" name="ChurnStatus" dataDxfId="49">
      <calculatedColumnFormula>IF(Table1[[#This Row],[NextBillingDate]]="","Cancelled",IF(Table1[[#This Row],[CancellationDate]]&lt;&gt;"","Cancelled","Active"))</calculatedColumnFormula>
    </tableColumn>
    <tableColumn id="21" xr3:uid="{F9869CF7-D45C-4F17-AE09-5FAD912F4618}" name="LifetimeValue" dataDxfId="48">
      <calculatedColumnFormula array="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calculatedColumnFormula>
    </tableColumn>
    <tableColumn id="22" xr3:uid="{33240596-9EDD-4001-ACF7-9EA790A73915}" name="CancellationDate" dataDxfId="47"/>
    <tableColumn id="23" xr3:uid="{3588D6FA-7614-444A-A193-2BDC18539992}" name="NextBillingDate" dataDxfId="46"/>
    <tableColumn id="24" xr3:uid="{544A345B-781C-4D4B-A926-BF81FB867EDC}" name="ContractEndDate" dataDxfId="45"/>
    <tableColumn id="25" xr3:uid="{D516C5FB-2690-49D3-866A-EDA4EA0E616F}" name="RenewalCount" dataDxfId="44"/>
    <tableColumn id="19" xr3:uid="{752BAB46-F1B7-40FE-974A-B0054FA4BACA}" name="EffectiveEndDate" dataDxfId="43">
      <calculatedColumnFormula>IF(Table1[[#This Row],[ChurnStatus]]="Cancelled",Table1[[#This Row],[CancellationDate]],TODAY())</calculatedColumnFormula>
    </tableColumn>
    <tableColumn id="26" xr3:uid="{F39B8E63-88C8-42F8-AB5F-61C7CE8E3410}" name="ActiveFlagToday" dataDxfId="42">
      <calculatedColumnFormula>IF(AND(Table1[[#This Row],[SubscriptionStart]] &lt;= TODAY(), Table1[[#This Row],[EffectiveEndDate]] &gt;= TODAY()),1,0)</calculatedColumnFormula>
    </tableColumn>
    <tableColumn id="27" xr3:uid="{A9B0742B-21A7-41F0-A518-F758E0D5B0C4}" name="ActiveOn_AsOfDate1" dataDxfId="41">
      <calculatedColumnFormula>IF(AND(Table1[[#This Row],[SubscriptionStart]]&lt;=Settings!$A$2,Table1[[#This Row],[EffectiveEndDate]]&gt;=Settings!$A$2),1,0)</calculatedColumnFormula>
    </tableColumn>
    <tableColumn id="28" xr3:uid="{C55E6729-C111-4254-B86E-2F22B1A5F389}" name="ActiveOn_AsOfDate2" dataDxfId="40">
      <calculatedColumnFormula>IF(AND(Table1[[#This Row],[SubscriptionStart]]&lt;=Settings!$B$2,Table1[[#This Row],[EffectiveEndDate]]&gt;=Settings!$B$2),1,0)</calculatedColumnFormula>
    </tableColumn>
    <tableColumn id="29" xr3:uid="{28AC81AA-4D89-4F61-B790-1793A3A18271}" name="ActiveOn_AsOfDate3" dataDxfId="39">
      <calculatedColumnFormula>IF(AND(Table1[[#This Row],[SubscriptionStart]]&lt;=Settings!$C$2,Table1[[#This Row],[EffectiveEndDate]]&gt;=Settings!$C$2),1,0)</calculatedColumnFormula>
    </tableColumn>
    <tableColumn id="30" xr3:uid="{BA630838-E5B3-422C-A91C-35265F91E522}" name="ActiveOn_AsOfDate4" dataDxfId="38">
      <calculatedColumnFormula>IF(AND(Table1[[#This Row],[SubscriptionStart]]&lt;=Settings!$D$2,Table1[[#This Row],[EffectiveEndDate]]&gt;=Settings!$D$2),1,0)</calculatedColumnFormula>
    </tableColumn>
    <tableColumn id="31" xr3:uid="{CB9D8B57-914D-4E3E-B08A-12CA6D94990B}" name="ActiveOn_AsOfDate5" dataDxfId="37">
      <calculatedColumnFormula>IF(AND(Table1[[#This Row],[SubscriptionStart]]&lt;=Settings!$E$2,Table1[[#This Row],[EffectiveEndDate]]&gt;=Settings!$E$2),1,0)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3A8E16-AD63-4AA6-8E90-EC39BB24939D}" name="Timeline" displayName="Timeline" ref="A1:P741" totalsRowShown="0" headerRowDxfId="34" dataDxfId="33">
  <autoFilter ref="A1:P741" xr:uid="{3F3A8E16-AD63-4AA6-8E90-EC39BB24939D}"/>
  <tableColumns count="16">
    <tableColumn id="1" xr3:uid="{287C15F5-B6BD-4467-8938-0A4DCD18A397}" name="Date" dataDxfId="32">
      <calculatedColumnFormula>A1+1</calculatedColumnFormula>
    </tableColumn>
    <tableColumn id="2" xr3:uid="{DC8F98B8-E3FB-4EF5-8DF6-F24613F5F2B6}" name="ActiveSubscribers" dataDxfId="31">
      <calculatedColumnFormula array="1">SUMPRODUCT((Table1[SubscriptionStart]&lt;=A2)*(Table1[EffectiveEndDate]&gt;=A2))</calculatedColumnFormula>
    </tableColumn>
    <tableColumn id="3" xr3:uid="{C5B0BDBA-D9F1-4428-A82B-156CB0BDE79A}" name="NewSubscribers" dataDxfId="30">
      <calculatedColumnFormula>COUNTIFS(Table1[SubscriptionStart], A2)</calculatedColumnFormula>
    </tableColumn>
    <tableColumn id="4" xr3:uid="{F0599D91-9563-4052-8AA4-EAA59AF500A0}" name="Cancellations" dataDxfId="29">
      <calculatedColumnFormula>COUNTIFS(Table1[CancellationDate], A2)</calculatedColumnFormula>
    </tableColumn>
    <tableColumn id="5" xr3:uid="{7FD1DFEF-F53B-49EE-A840-B05DE07AD4C5}" name="NetChange" dataDxfId="28">
      <calculatedColumnFormula xml:space="preserve"> C2 - D2</calculatedColumnFormula>
    </tableColumn>
    <tableColumn id="6" xr3:uid="{90B2CC5F-2935-4F95-B9BC-FBF3ECE5D33A}" name="CumulativeSubscribers" dataDxfId="27">
      <calculatedColumnFormula>SUM($C$2:C2)</calculatedColumnFormula>
    </tableColumn>
    <tableColumn id="7" xr3:uid="{5938E019-F43F-4244-B26C-DB4B8567E684}" name="AverageSubscriberAge" dataDxfId="26">
      <calculatedColumnFormula array="1">IF(B2=0,"", SUMPRODUCT((Table1[SubscriptionStart]&lt;=A2)*(Table1[EffectiveEndDate]&gt;=A2)*Table1[Age]) / B2 )</calculatedColumnFormula>
    </tableColumn>
    <tableColumn id="8" xr3:uid="{704619C1-20A5-4AD0-91E0-59D907E17662}" name="CumulativeRevenue" dataDxfId="25">
      <calculatedColumnFormula>SUMIF(Table1[SubscriptionStart],"&lt;="&amp;A2,Table1[TotalRevenue])</calculatedColumnFormula>
    </tableColumn>
    <tableColumn id="9" xr3:uid="{AFAEF119-20E7-4E4D-8682-512C5321BD7E}" name="Month" dataDxfId="24">
      <calculatedColumnFormula>EOMONTH(A2,0)</calculatedColumnFormula>
    </tableColumn>
    <tableColumn id="10" xr3:uid="{39C26EF4-BF18-469D-8901-2CF1332B0A02}" name="MonthlyAverage" dataDxfId="23">
      <calculatedColumnFormula>AVERAGEIFS(B:B, I:I, I2)</calculatedColumnFormula>
    </tableColumn>
    <tableColumn id="11" xr3:uid="{411E73D4-A8C4-4641-B825-42B724C298C5}" name="ActiveEngland" dataDxfId="22">
      <calculatedColumnFormula array="1">SUMPRODUCT((Table1[SubscriptionStart] &lt;= $A2) * (Table1[EffectiveEndDate] &gt;= $A2) * (Table1[Region] = "England"))</calculatedColumnFormula>
    </tableColumn>
    <tableColumn id="12" xr3:uid="{30D8F4CB-2FFD-4EAF-A479-45EF0FB59B05}" name="Active Scotland" dataDxfId="21">
      <calculatedColumnFormula array="1">SUMPRODUCT((Table1[SubscriptionStart] &lt;= $A2) * (Table1[EffectiveEndDate] &gt;= $A2) * (Table1[Region] = "Scotland"))</calculatedColumnFormula>
    </tableColumn>
    <tableColumn id="13" xr3:uid="{08E76394-3D3C-4235-94C3-6A9F0E1C63B8}" name="ActiveWales" dataDxfId="20">
      <calculatedColumnFormula array="1">SUMPRODUCT((Table1[SubscriptionStart] &lt;= $A2) * (Table1[EffectiveEndDate] &gt;= $A2) * (Table1[Region] = "Wales"))</calculatedColumnFormula>
    </tableColumn>
    <tableColumn id="14" xr3:uid="{397F9D61-1FC5-4DD7-AD83-F8CA053175F1}" name="ActiveNorthernIreland" dataDxfId="19">
      <calculatedColumnFormula array="1">SUMPRODUCT((Table1[SubscriptionStart] &lt;= $A2) * (Table1[EffectiveEndDate] &gt;= $A2) * (Table1[Region] = "Northern Ireland"))</calculatedColumnFormula>
    </tableColumn>
    <tableColumn id="15" xr3:uid="{5E561E45-E31F-4566-BBF2-E232F077F0FE}" name="ActiveMale" dataDxfId="18">
      <calculatedColumnFormula array="1">SUMPRODUCT((Table1[Gender]="Male")*(Table1[SubscriptionStart]&lt;=A2)*(Table1[EffectiveEndDate]&gt;=A2))</calculatedColumnFormula>
    </tableColumn>
    <tableColumn id="16" xr3:uid="{9C10794E-194E-488A-BAC2-D9E5323DA696}" name="ActiveFemale" dataDxfId="17">
      <calculatedColumnFormula array="1">SUMPRODUCT((Table1[Gender]="Female")*(Table1[SubscriptionStart]&lt;=A2)*(Table1[EffectiveEndDate]&gt;=A2))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227B4E-E35F-49B2-88E6-3417727CFEB9}" name="Table2" displayName="Table2" ref="A1:B7" totalsRowShown="0">
  <autoFilter ref="A1:B7" xr:uid="{77227B4E-E35F-49B2-88E6-3417727CFEB9}"/>
  <tableColumns count="2">
    <tableColumn id="1" xr3:uid="{351050F6-9E43-4768-AB22-1579E3686995}" name="Metrics" dataDxfId="16"/>
    <tableColumn id="2" xr3:uid="{57B8EF6E-7126-4243-8EBA-62A33EE053CC}" name="Figures" dataDxfId="1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01"/>
  <sheetViews>
    <sheetView showGridLines="0" topLeftCell="A702" zoomScale="55" zoomScaleNormal="55" workbookViewId="0">
      <selection activeCell="Z54" sqref="Z54"/>
    </sheetView>
  </sheetViews>
  <sheetFormatPr defaultRowHeight="15"/>
  <cols>
    <col min="1" max="1" width="24.42578125" style="3" bestFit="1" customWidth="1"/>
    <col min="2" max="2" width="14.42578125" style="3" bestFit="1" customWidth="1"/>
    <col min="3" max="3" width="18.28515625" style="3" bestFit="1" customWidth="1"/>
    <col min="4" max="4" width="31.28515625" style="5" bestFit="1" customWidth="1"/>
    <col min="5" max="5" width="29.85546875" style="5" bestFit="1" customWidth="1"/>
    <col min="6" max="6" width="26.28515625" style="3" bestFit="1" customWidth="1"/>
    <col min="7" max="7" width="24.7109375" style="4" bestFit="1" customWidth="1"/>
    <col min="8" max="8" width="19.85546875" style="3" bestFit="1" customWidth="1"/>
    <col min="9" max="9" width="14.42578125" style="3" bestFit="1" customWidth="1"/>
    <col min="10" max="10" width="19.42578125" style="7" bestFit="1" customWidth="1"/>
    <col min="11" max="11" width="23.42578125" style="7" bestFit="1" customWidth="1"/>
    <col min="12" max="12" width="26.85546875" style="7" bestFit="1" customWidth="1"/>
    <col min="13" max="13" width="21.85546875" style="3" bestFit="1" customWidth="1"/>
    <col min="14" max="14" width="18.28515625" style="3" bestFit="1" customWidth="1"/>
    <col min="15" max="15" width="28.28515625" style="3" bestFit="1" customWidth="1"/>
    <col min="16" max="16" width="34.85546875" style="3" bestFit="1" customWidth="1"/>
    <col min="17" max="17" width="31.5703125" style="3" bestFit="1" customWidth="1"/>
    <col min="18" max="18" width="24.140625" style="3" bestFit="1" customWidth="1"/>
    <col min="19" max="19" width="24.85546875" style="3" bestFit="1" customWidth="1"/>
    <col min="20" max="20" width="26.28515625" style="7" bestFit="1" customWidth="1"/>
    <col min="21" max="21" width="31.140625" style="5" bestFit="1" customWidth="1"/>
    <col min="22" max="22" width="29" style="5" bestFit="1" customWidth="1"/>
    <col min="23" max="23" width="31.140625" style="5" bestFit="1" customWidth="1"/>
    <col min="24" max="24" width="27.28515625" style="3" bestFit="1" customWidth="1"/>
    <col min="25" max="25" width="31.5703125" bestFit="1" customWidth="1"/>
    <col min="26" max="26" width="30.85546875" style="45" bestFit="1" customWidth="1"/>
    <col min="27" max="27" width="35.7109375" style="45" bestFit="1" customWidth="1"/>
    <col min="28" max="30" width="36.28515625" style="45" bestFit="1" customWidth="1"/>
    <col min="31" max="31" width="36" style="45" bestFit="1" customWidth="1"/>
    <col min="32" max="32" width="36.28515625" style="45" bestFit="1" customWidth="1"/>
    <col min="33" max="33" width="36" style="45" bestFit="1" customWidth="1"/>
    <col min="34" max="34" width="36.28515625" style="45" bestFit="1" customWidth="1"/>
    <col min="35" max="35" width="43" style="48" bestFit="1" customWidth="1"/>
    <col min="36" max="36" width="37" style="48" bestFit="1" customWidth="1"/>
    <col min="37" max="37" width="42.7109375" style="48" bestFit="1" customWidth="1"/>
  </cols>
  <sheetData>
    <row r="1" spans="1:3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29</v>
      </c>
      <c r="K1" s="6" t="s">
        <v>844</v>
      </c>
      <c r="L1" s="6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6" t="s">
        <v>17</v>
      </c>
      <c r="U1" s="2" t="s">
        <v>18</v>
      </c>
      <c r="V1" s="2" t="s">
        <v>19</v>
      </c>
      <c r="W1" s="2" t="s">
        <v>20</v>
      </c>
      <c r="X1" s="1" t="s">
        <v>21</v>
      </c>
      <c r="Y1" s="1" t="s">
        <v>903</v>
      </c>
      <c r="Z1" s="51" t="s">
        <v>918</v>
      </c>
      <c r="AA1" s="51" t="s">
        <v>924</v>
      </c>
      <c r="AB1" s="51" t="s">
        <v>925</v>
      </c>
      <c r="AC1" s="51" t="s">
        <v>926</v>
      </c>
      <c r="AD1" s="51" t="s">
        <v>927</v>
      </c>
      <c r="AE1" s="51" t="s">
        <v>928</v>
      </c>
      <c r="AF1"/>
      <c r="AG1"/>
      <c r="AH1"/>
      <c r="AI1"/>
      <c r="AJ1"/>
      <c r="AK1"/>
    </row>
    <row r="2" spans="1:37">
      <c r="A2" s="3" t="s">
        <v>289</v>
      </c>
      <c r="B2" s="3">
        <v>50</v>
      </c>
      <c r="C2" s="3" t="s">
        <v>23</v>
      </c>
      <c r="D2" s="5">
        <v>44562</v>
      </c>
      <c r="E2" s="5">
        <v>44742</v>
      </c>
      <c r="F2" s="3">
        <f ca="1">TODAY() - Table1[[#This Row],[SubscriptionStart]]</f>
        <v>1419</v>
      </c>
      <c r="G2" s="4">
        <v>6</v>
      </c>
      <c r="H2" s="3" t="s">
        <v>38</v>
      </c>
      <c r="I2" s="3" t="s">
        <v>39</v>
      </c>
      <c r="J2" s="7" cm="1">
        <f t="array" ref="J2">_xlfn.IFS(Table1[[#This Row],[Tier]]="Basic",10,Table1[[#This Row],[Tier]]="Standard",18,Table1[[#This Row],[Tier]]="Premium",25)</f>
        <v>18</v>
      </c>
      <c r="K2" s="7" cm="1">
        <f t="array" ref="K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2" s="7" cm="1">
        <f t="array" ref="L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2" s="3" t="str" cm="1">
        <f t="array" ref="M2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" s="3" t="s">
        <v>52</v>
      </c>
      <c r="O2" s="3" t="s">
        <v>43</v>
      </c>
      <c r="P2" s="3" t="s">
        <v>35</v>
      </c>
      <c r="Q2" s="3" t="str" cm="1">
        <f t="array" ref="Q2">_xlfn.IFS(Table1[[#This Row],[TotalRevenue]]&lt;100,"Low",Table1[[#This Row],[TotalRevenue]]&lt;300,"Medium",Table1[[#This Row],[TotalRevenue]]&lt;600,"High",TRUE,"Very High")</f>
        <v>Low</v>
      </c>
      <c r="R2" s="3" t="str" cm="1">
        <f t="array" ref="R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" s="3" t="str">
        <f>IF(Table1[[#This Row],[NextBillingDate]]="","Cancelled",IF(Table1[[#This Row],[CancellationDate]]&lt;&gt;"","Cancelled","Active"))</f>
        <v>Cancelled</v>
      </c>
      <c r="T2" s="7" cm="1">
        <f t="array" ref="T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2" s="5">
        <v>44742</v>
      </c>
      <c r="W2" s="5">
        <v>44742</v>
      </c>
      <c r="X2" s="3">
        <v>0</v>
      </c>
      <c r="Y2" s="5">
        <f ca="1">IF(Table1[[#This Row],[ChurnStatus]]="Cancelled",Table1[[#This Row],[CancellationDate]],TODAY())</f>
        <v>44742</v>
      </c>
      <c r="Z2" s="46">
        <f ca="1">IF(AND(Table1[[#This Row],[SubscriptionStart]] &lt;= TODAY(), Table1[[#This Row],[EffectiveEndDate]] &gt;= TODAY()),1,0)</f>
        <v>0</v>
      </c>
      <c r="AA2" s="46">
        <f ca="1">IF(AND(Table1[[#This Row],[SubscriptionStart]]&lt;=Settings!$A$2,Table1[[#This Row],[EffectiveEndDate]]&gt;=Settings!$A$2),1,0)</f>
        <v>1</v>
      </c>
      <c r="AB2" s="46">
        <f ca="1">IF(AND(Table1[[#This Row],[SubscriptionStart]]&lt;=Settings!$B$2,Table1[[#This Row],[EffectiveEndDate]]&gt;=Settings!$B$2),1,0)</f>
        <v>1</v>
      </c>
      <c r="AC2" s="46">
        <f ca="1">IF(AND(Table1[[#This Row],[SubscriptionStart]]&lt;=Settings!$C$2,Table1[[#This Row],[EffectiveEndDate]]&gt;=Settings!$C$2),1,0)</f>
        <v>0</v>
      </c>
      <c r="AD2" s="46">
        <f ca="1">IF(AND(Table1[[#This Row],[SubscriptionStart]]&lt;=Settings!$D$2,Table1[[#This Row],[EffectiveEndDate]]&gt;=Settings!$D$2),1,0)</f>
        <v>0</v>
      </c>
      <c r="AE2" s="46">
        <f ca="1">IF(AND(Table1[[#This Row],[SubscriptionStart]]&lt;=Settings!$E$2,Table1[[#This Row],[EffectiveEndDate]]&gt;=Settings!$E$2),1,0)</f>
        <v>0</v>
      </c>
      <c r="AF2"/>
      <c r="AG2"/>
      <c r="AH2"/>
      <c r="AI2"/>
      <c r="AJ2"/>
      <c r="AK2"/>
    </row>
    <row r="3" spans="1:37">
      <c r="A3" s="3" t="s">
        <v>235</v>
      </c>
      <c r="B3" s="3">
        <v>19</v>
      </c>
      <c r="C3" s="3" t="s">
        <v>23</v>
      </c>
      <c r="D3" s="5">
        <v>44562</v>
      </c>
      <c r="E3" s="5">
        <v>44922</v>
      </c>
      <c r="F3" s="3">
        <f ca="1">TODAY() - Table1[[#This Row],[SubscriptionStart]]</f>
        <v>1419</v>
      </c>
      <c r="G3" s="4">
        <v>12</v>
      </c>
      <c r="H3" s="3" t="s">
        <v>24</v>
      </c>
      <c r="I3" s="3" t="s">
        <v>39</v>
      </c>
      <c r="J3" s="7" cm="1">
        <f t="array" ref="J3">_xlfn.IFS(Table1[[#This Row],[Tier]]="Basic",10,Table1[[#This Row],[Tier]]="Standard",18,Table1[[#This Row],[Tier]]="Premium",25)</f>
        <v>18</v>
      </c>
      <c r="K3" s="7" cm="1">
        <f t="array" ref="K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" s="7" cm="1">
        <f t="array" ref="L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" s="3" t="str" cm="1">
        <f t="array" ref="M3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3" s="3" t="s">
        <v>34</v>
      </c>
      <c r="O3" s="3" t="s">
        <v>32</v>
      </c>
      <c r="P3" s="3" t="s">
        <v>44</v>
      </c>
      <c r="Q3" s="3" t="str" cm="1">
        <f t="array" ref="Q3">_xlfn.IFS(Table1[[#This Row],[TotalRevenue]]&lt;100,"Low",Table1[[#This Row],[TotalRevenue]]&lt;300,"Medium",Table1[[#This Row],[TotalRevenue]]&lt;600,"High",TRUE,"Very High")</f>
        <v>Medium</v>
      </c>
      <c r="R3" s="3" t="str" cm="1">
        <f t="array" ref="R3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3" s="3" t="str">
        <f>IF(Table1[[#This Row],[NextBillingDate]]="","Cancelled",IF(Table1[[#This Row],[CancellationDate]]&lt;&gt;"","Cancelled","Active"))</f>
        <v>Cancelled</v>
      </c>
      <c r="T3" s="7" cm="1">
        <f t="array" ref="T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" s="5">
        <v>44922</v>
      </c>
      <c r="W3" s="5">
        <v>44922</v>
      </c>
      <c r="X3" s="3">
        <v>0</v>
      </c>
      <c r="Y3" s="5">
        <f ca="1">IF(Table1[[#This Row],[ChurnStatus]]="Cancelled",Table1[[#This Row],[CancellationDate]],TODAY())</f>
        <v>44922</v>
      </c>
      <c r="Z3" s="46">
        <f ca="1">IF(AND(Table1[[#This Row],[SubscriptionStart]] &lt;= TODAY(), Table1[[#This Row],[EffectiveEndDate]] &gt;= TODAY()),1,0)</f>
        <v>0</v>
      </c>
      <c r="AA3" s="46">
        <f ca="1">IF(AND(Table1[[#This Row],[SubscriptionStart]]&lt;=Settings!$A$2,Table1[[#This Row],[EffectiveEndDate]]&gt;=Settings!$A$2),1,0)</f>
        <v>1</v>
      </c>
      <c r="AB3" s="46">
        <f ca="1">IF(AND(Table1[[#This Row],[SubscriptionStart]]&lt;=Settings!$B$2,Table1[[#This Row],[EffectiveEndDate]]&gt;=Settings!$B$2),1,0)</f>
        <v>1</v>
      </c>
      <c r="AC3" s="46">
        <f ca="1">IF(AND(Table1[[#This Row],[SubscriptionStart]]&lt;=Settings!$C$2,Table1[[#This Row],[EffectiveEndDate]]&gt;=Settings!$C$2),1,0)</f>
        <v>0</v>
      </c>
      <c r="AD3" s="46">
        <f ca="1">IF(AND(Table1[[#This Row],[SubscriptionStart]]&lt;=Settings!$D$2,Table1[[#This Row],[EffectiveEndDate]]&gt;=Settings!$D$2),1,0)</f>
        <v>0</v>
      </c>
      <c r="AE3" s="46">
        <f ca="1">IF(AND(Table1[[#This Row],[SubscriptionStart]]&lt;=Settings!$E$2,Table1[[#This Row],[EffectiveEndDate]]&gt;=Settings!$E$2),1,0)</f>
        <v>0</v>
      </c>
      <c r="AF3"/>
      <c r="AG3"/>
      <c r="AH3"/>
      <c r="AI3"/>
      <c r="AJ3"/>
      <c r="AK3"/>
    </row>
    <row r="4" spans="1:37">
      <c r="A4" s="3" t="s">
        <v>189</v>
      </c>
      <c r="B4" s="3">
        <v>43</v>
      </c>
      <c r="C4" s="3" t="s">
        <v>37</v>
      </c>
      <c r="D4" s="5">
        <v>44562</v>
      </c>
      <c r="F4" s="3">
        <f ca="1">TODAY() - Table1[[#This Row],[SubscriptionStart]]</f>
        <v>1419</v>
      </c>
      <c r="G4" s="4">
        <v>48</v>
      </c>
      <c r="H4" s="3" t="s">
        <v>38</v>
      </c>
      <c r="I4" s="3" t="s">
        <v>39</v>
      </c>
      <c r="J4" s="7" cm="1">
        <f t="array" ref="J4">_xlfn.IFS(Table1[[#This Row],[Tier]]="Basic",10,Table1[[#This Row],[Tier]]="Standard",18,Table1[[#This Row],[Tier]]="Premium",25)</f>
        <v>18</v>
      </c>
      <c r="K4" s="7" cm="1">
        <f t="array" ref="K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4" s="7" cm="1">
        <f t="array" ref="L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631.79999999999995</v>
      </c>
      <c r="M4" s="3" t="str" cm="1">
        <f t="array" ref="M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" s="3" t="s">
        <v>31</v>
      </c>
      <c r="O4" s="3" t="s">
        <v>27</v>
      </c>
      <c r="Q4" s="3" t="str" cm="1">
        <f t="array" ref="Q4">_xlfn.IFS(Table1[[#This Row],[TotalRevenue]]&lt;100,"Low",Table1[[#This Row],[TotalRevenue]]&lt;300,"Medium",Table1[[#This Row],[TotalRevenue]]&lt;600,"High",TRUE,"Very High")</f>
        <v>Very High</v>
      </c>
      <c r="R4" s="3" t="str" cm="1">
        <f t="array" ref="R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" s="3" t="str">
        <f>IF(Table1[[#This Row],[NextBillingDate]]="","Cancelled",IF(Table1[[#This Row],[CancellationDate]]&lt;&gt;"","Cancelled","Active"))</f>
        <v>Active</v>
      </c>
      <c r="T4" s="7" cm="1">
        <f t="array" ref="T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712.8</v>
      </c>
      <c r="V4" s="5">
        <v>46002</v>
      </c>
      <c r="W4" s="5">
        <v>46002</v>
      </c>
      <c r="X4" s="3">
        <v>7</v>
      </c>
      <c r="Y4" s="5">
        <f ca="1">IF(Table1[[#This Row],[ChurnStatus]]="Cancelled",Table1[[#This Row],[CancellationDate]],TODAY())</f>
        <v>45981</v>
      </c>
      <c r="Z4" s="46">
        <f ca="1">IF(AND(Table1[[#This Row],[SubscriptionStart]] &lt;= TODAY(), Table1[[#This Row],[EffectiveEndDate]] &gt;= TODAY()),1,0)</f>
        <v>1</v>
      </c>
      <c r="AA4" s="46">
        <f ca="1">IF(AND(Table1[[#This Row],[SubscriptionStart]]&lt;=Settings!$A$2,Table1[[#This Row],[EffectiveEndDate]]&gt;=Settings!$A$2),1,0)</f>
        <v>1</v>
      </c>
      <c r="AB4" s="46">
        <f ca="1">IF(AND(Table1[[#This Row],[SubscriptionStart]]&lt;=Settings!$B$2,Table1[[#This Row],[EffectiveEndDate]]&gt;=Settings!$B$2),1,0)</f>
        <v>1</v>
      </c>
      <c r="AC4" s="46">
        <f ca="1">IF(AND(Table1[[#This Row],[SubscriptionStart]]&lt;=Settings!$C$2,Table1[[#This Row],[EffectiveEndDate]]&gt;=Settings!$C$2),1,0)</f>
        <v>1</v>
      </c>
      <c r="AD4" s="46">
        <f ca="1">IF(AND(Table1[[#This Row],[SubscriptionStart]]&lt;=Settings!$D$2,Table1[[#This Row],[EffectiveEndDate]]&gt;=Settings!$D$2),1,0)</f>
        <v>1</v>
      </c>
      <c r="AE4" s="46">
        <f ca="1">IF(AND(Table1[[#This Row],[SubscriptionStart]]&lt;=Settings!$E$2,Table1[[#This Row],[EffectiveEndDate]]&gt;=Settings!$E$2),1,0)</f>
        <v>1</v>
      </c>
      <c r="AF4"/>
      <c r="AG4"/>
      <c r="AH4"/>
      <c r="AI4"/>
      <c r="AJ4"/>
      <c r="AK4"/>
    </row>
    <row r="5" spans="1:37">
      <c r="A5" s="3" t="s">
        <v>604</v>
      </c>
      <c r="B5" s="3">
        <v>30</v>
      </c>
      <c r="C5" s="3" t="s">
        <v>37</v>
      </c>
      <c r="D5" s="5">
        <v>44563</v>
      </c>
      <c r="E5" s="5">
        <v>44923</v>
      </c>
      <c r="F5" s="3">
        <f ca="1">TODAY() - Table1[[#This Row],[SubscriptionStart]]</f>
        <v>1418</v>
      </c>
      <c r="G5" s="4">
        <v>12</v>
      </c>
      <c r="H5" s="3" t="s">
        <v>24</v>
      </c>
      <c r="I5" s="3" t="s">
        <v>25</v>
      </c>
      <c r="J5" s="7" cm="1">
        <f t="array" ref="J5">_xlfn.IFS(Table1[[#This Row],[Tier]]="Basic",10,Table1[[#This Row],[Tier]]="Standard",18,Table1[[#This Row],[Tier]]="Premium",25)</f>
        <v>25</v>
      </c>
      <c r="K5" s="7" cm="1">
        <f t="array" ref="K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" s="7" cm="1">
        <f t="array" ref="L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" s="3" t="str" cm="1">
        <f t="array" ref="M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" s="3" t="s">
        <v>34</v>
      </c>
      <c r="O5" s="3" t="s">
        <v>40</v>
      </c>
      <c r="P5" s="3" t="s">
        <v>44</v>
      </c>
      <c r="Q5" s="3" t="str" cm="1">
        <f t="array" ref="Q5">_xlfn.IFS(Table1[[#This Row],[TotalRevenue]]&lt;100,"Low",Table1[[#This Row],[TotalRevenue]]&lt;300,"Medium",Table1[[#This Row],[TotalRevenue]]&lt;600,"High",TRUE,"Very High")</f>
        <v>Medium</v>
      </c>
      <c r="R5" s="3" t="str" cm="1">
        <f t="array" ref="R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" s="3" t="str">
        <f>IF(Table1[[#This Row],[NextBillingDate]]="","Cancelled",IF(Table1[[#This Row],[CancellationDate]]&lt;&gt;"","Cancelled","Active"))</f>
        <v>Cancelled</v>
      </c>
      <c r="T5" s="7" cm="1">
        <f t="array" ref="T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" s="5">
        <v>44923</v>
      </c>
      <c r="W5" s="5">
        <v>44923</v>
      </c>
      <c r="X5" s="3">
        <v>0</v>
      </c>
      <c r="Y5" s="5">
        <f ca="1">IF(Table1[[#This Row],[ChurnStatus]]="Cancelled",Table1[[#This Row],[CancellationDate]],TODAY())</f>
        <v>44923</v>
      </c>
      <c r="Z5" s="46">
        <f ca="1">IF(AND(Table1[[#This Row],[SubscriptionStart]] &lt;= TODAY(), Table1[[#This Row],[EffectiveEndDate]] &gt;= TODAY()),1,0)</f>
        <v>0</v>
      </c>
      <c r="AA5" s="46">
        <f ca="1">IF(AND(Table1[[#This Row],[SubscriptionStart]]&lt;=Settings!$A$2,Table1[[#This Row],[EffectiveEndDate]]&gt;=Settings!$A$2),1,0)</f>
        <v>0</v>
      </c>
      <c r="AB5" s="46">
        <f ca="1">IF(AND(Table1[[#This Row],[SubscriptionStart]]&lt;=Settings!$B$2,Table1[[#This Row],[EffectiveEndDate]]&gt;=Settings!$B$2),1,0)</f>
        <v>1</v>
      </c>
      <c r="AC5" s="46">
        <f ca="1">IF(AND(Table1[[#This Row],[SubscriptionStart]]&lt;=Settings!$C$2,Table1[[#This Row],[EffectiveEndDate]]&gt;=Settings!$C$2),1,0)</f>
        <v>0</v>
      </c>
      <c r="AD5" s="46">
        <f ca="1">IF(AND(Table1[[#This Row],[SubscriptionStart]]&lt;=Settings!$D$2,Table1[[#This Row],[EffectiveEndDate]]&gt;=Settings!$D$2),1,0)</f>
        <v>0</v>
      </c>
      <c r="AE5" s="46">
        <f ca="1">IF(AND(Table1[[#This Row],[SubscriptionStart]]&lt;=Settings!$E$2,Table1[[#This Row],[EffectiveEndDate]]&gt;=Settings!$E$2),1,0)</f>
        <v>0</v>
      </c>
      <c r="AF5"/>
      <c r="AG5"/>
      <c r="AH5"/>
      <c r="AI5"/>
      <c r="AJ5"/>
      <c r="AK5"/>
    </row>
    <row r="6" spans="1:37">
      <c r="A6" s="3" t="s">
        <v>151</v>
      </c>
      <c r="B6" s="3">
        <v>38</v>
      </c>
      <c r="C6" s="3" t="s">
        <v>37</v>
      </c>
      <c r="D6" s="5">
        <v>44567</v>
      </c>
      <c r="E6" s="5">
        <v>44747</v>
      </c>
      <c r="F6" s="3">
        <f ca="1">TODAY() - Table1[[#This Row],[SubscriptionStart]]</f>
        <v>1414</v>
      </c>
      <c r="G6" s="4">
        <v>6</v>
      </c>
      <c r="H6" s="3" t="s">
        <v>38</v>
      </c>
      <c r="I6" s="3" t="s">
        <v>25</v>
      </c>
      <c r="J6" s="7" cm="1">
        <f t="array" ref="J6">_xlfn.IFS(Table1[[#This Row],[Tier]]="Basic",10,Table1[[#This Row],[Tier]]="Standard",18,Table1[[#This Row],[Tier]]="Premium",25)</f>
        <v>25</v>
      </c>
      <c r="K6" s="7" cm="1">
        <f t="array" ref="K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6" s="7" cm="1">
        <f t="array" ref="L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6" s="3" t="str" cm="1">
        <f t="array" ref="M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" s="3" t="s">
        <v>26</v>
      </c>
      <c r="O6" s="3" t="s">
        <v>43</v>
      </c>
      <c r="P6" s="3" t="s">
        <v>41</v>
      </c>
      <c r="Q6" s="3" t="str" cm="1">
        <f t="array" ref="Q6">_xlfn.IFS(Table1[[#This Row],[TotalRevenue]]&lt;100,"Low",Table1[[#This Row],[TotalRevenue]]&lt;300,"Medium",Table1[[#This Row],[TotalRevenue]]&lt;600,"High",TRUE,"Very High")</f>
        <v>Medium</v>
      </c>
      <c r="R6" s="3" t="str" cm="1">
        <f t="array" ref="R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" s="3" t="str">
        <f>IF(Table1[[#This Row],[NextBillingDate]]="","Cancelled",IF(Table1[[#This Row],[CancellationDate]]&lt;&gt;"","Cancelled","Active"))</f>
        <v>Cancelled</v>
      </c>
      <c r="T6" s="7" cm="1">
        <f t="array" ref="T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6" s="5">
        <v>44747</v>
      </c>
      <c r="W6" s="5">
        <v>44747</v>
      </c>
      <c r="X6" s="3">
        <v>0</v>
      </c>
      <c r="Y6" s="5">
        <f ca="1">IF(Table1[[#This Row],[ChurnStatus]]="Cancelled",Table1[[#This Row],[CancellationDate]],TODAY())</f>
        <v>44747</v>
      </c>
      <c r="Z6" s="46">
        <f ca="1">IF(AND(Table1[[#This Row],[SubscriptionStart]] &lt;= TODAY(), Table1[[#This Row],[EffectiveEndDate]] &gt;= TODAY()),1,0)</f>
        <v>0</v>
      </c>
      <c r="AA6" s="46">
        <f ca="1">IF(AND(Table1[[#This Row],[SubscriptionStart]]&lt;=Settings!$A$2,Table1[[#This Row],[EffectiveEndDate]]&gt;=Settings!$A$2),1,0)</f>
        <v>0</v>
      </c>
      <c r="AB6" s="46">
        <f ca="1">IF(AND(Table1[[#This Row],[SubscriptionStart]]&lt;=Settings!$B$2,Table1[[#This Row],[EffectiveEndDate]]&gt;=Settings!$B$2),1,0)</f>
        <v>1</v>
      </c>
      <c r="AC6" s="46">
        <f ca="1">IF(AND(Table1[[#This Row],[SubscriptionStart]]&lt;=Settings!$C$2,Table1[[#This Row],[EffectiveEndDate]]&gt;=Settings!$C$2),1,0)</f>
        <v>0</v>
      </c>
      <c r="AD6" s="46">
        <f ca="1">IF(AND(Table1[[#This Row],[SubscriptionStart]]&lt;=Settings!$D$2,Table1[[#This Row],[EffectiveEndDate]]&gt;=Settings!$D$2),1,0)</f>
        <v>0</v>
      </c>
      <c r="AE6" s="46">
        <f ca="1">IF(AND(Table1[[#This Row],[SubscriptionStart]]&lt;=Settings!$E$2,Table1[[#This Row],[EffectiveEndDate]]&gt;=Settings!$E$2),1,0)</f>
        <v>0</v>
      </c>
      <c r="AF6"/>
      <c r="AG6"/>
      <c r="AH6"/>
      <c r="AI6"/>
      <c r="AJ6"/>
      <c r="AK6"/>
    </row>
    <row r="7" spans="1:37">
      <c r="A7" s="3" t="s">
        <v>701</v>
      </c>
      <c r="B7" s="3">
        <v>30</v>
      </c>
      <c r="C7" s="3" t="s">
        <v>37</v>
      </c>
      <c r="D7" s="5">
        <v>44569</v>
      </c>
      <c r="E7" s="5">
        <v>44599</v>
      </c>
      <c r="F7" s="3">
        <f ca="1">TODAY() - Table1[[#This Row],[SubscriptionStart]]</f>
        <v>1412</v>
      </c>
      <c r="G7" s="4">
        <v>1</v>
      </c>
      <c r="H7" s="3" t="s">
        <v>29</v>
      </c>
      <c r="I7" s="3" t="s">
        <v>39</v>
      </c>
      <c r="J7" s="7" cm="1">
        <f t="array" ref="J7">_xlfn.IFS(Table1[[#This Row],[Tier]]="Basic",10,Table1[[#This Row],[Tier]]="Standard",18,Table1[[#This Row],[Tier]]="Premium",25)</f>
        <v>18</v>
      </c>
      <c r="K7" s="7" cm="1">
        <f t="array" ref="K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7" s="7" cm="1">
        <f t="array" ref="L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" s="3" t="str" cm="1">
        <f t="array" ref="M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" s="3" t="s">
        <v>31</v>
      </c>
      <c r="O7" s="3" t="s">
        <v>27</v>
      </c>
      <c r="P7" s="3" t="s">
        <v>50</v>
      </c>
      <c r="Q7" s="3" t="str" cm="1">
        <f t="array" ref="Q7">_xlfn.IFS(Table1[[#This Row],[TotalRevenue]]&lt;100,"Low",Table1[[#This Row],[TotalRevenue]]&lt;300,"Medium",Table1[[#This Row],[TotalRevenue]]&lt;600,"High",TRUE,"Very High")</f>
        <v>Low</v>
      </c>
      <c r="R7" s="3" t="str" cm="1">
        <f t="array" ref="R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" s="3" t="str">
        <f>IF(Table1[[#This Row],[NextBillingDate]]="","Cancelled",IF(Table1[[#This Row],[CancellationDate]]&lt;&gt;"","Cancelled","Active"))</f>
        <v>Cancelled</v>
      </c>
      <c r="T7" s="7" cm="1">
        <f t="array" ref="T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" s="5">
        <v>44599</v>
      </c>
      <c r="W7" s="5">
        <v>44599</v>
      </c>
      <c r="X7" s="3">
        <v>0</v>
      </c>
      <c r="Y7" s="5">
        <f ca="1">IF(Table1[[#This Row],[ChurnStatus]]="Cancelled",Table1[[#This Row],[CancellationDate]],TODAY())</f>
        <v>44599</v>
      </c>
      <c r="Z7" s="46">
        <f ca="1">IF(AND(Table1[[#This Row],[SubscriptionStart]] &lt;= TODAY(), Table1[[#This Row],[EffectiveEndDate]] &gt;= TODAY()),1,0)</f>
        <v>0</v>
      </c>
      <c r="AA7" s="46">
        <f ca="1">IF(AND(Table1[[#This Row],[SubscriptionStart]]&lt;=Settings!$A$2,Table1[[#This Row],[EffectiveEndDate]]&gt;=Settings!$A$2),1,0)</f>
        <v>0</v>
      </c>
      <c r="AB7" s="46">
        <f ca="1">IF(AND(Table1[[#This Row],[SubscriptionStart]]&lt;=Settings!$B$2,Table1[[#This Row],[EffectiveEndDate]]&gt;=Settings!$B$2),1,0)</f>
        <v>0</v>
      </c>
      <c r="AC7" s="46">
        <f ca="1">IF(AND(Table1[[#This Row],[SubscriptionStart]]&lt;=Settings!$C$2,Table1[[#This Row],[EffectiveEndDate]]&gt;=Settings!$C$2),1,0)</f>
        <v>0</v>
      </c>
      <c r="AD7" s="46">
        <f ca="1">IF(AND(Table1[[#This Row],[SubscriptionStart]]&lt;=Settings!$D$2,Table1[[#This Row],[EffectiveEndDate]]&gt;=Settings!$D$2),1,0)</f>
        <v>0</v>
      </c>
      <c r="AE7" s="46">
        <f ca="1">IF(AND(Table1[[#This Row],[SubscriptionStart]]&lt;=Settings!$E$2,Table1[[#This Row],[EffectiveEndDate]]&gt;=Settings!$E$2),1,0)</f>
        <v>0</v>
      </c>
      <c r="AF7"/>
      <c r="AG7"/>
      <c r="AH7"/>
      <c r="AI7"/>
      <c r="AJ7"/>
      <c r="AK7"/>
    </row>
    <row r="8" spans="1:37">
      <c r="A8" s="3" t="s">
        <v>312</v>
      </c>
      <c r="B8" s="3">
        <v>43</v>
      </c>
      <c r="C8" s="3" t="s">
        <v>23</v>
      </c>
      <c r="D8" s="5">
        <v>44569</v>
      </c>
      <c r="F8" s="3">
        <f ca="1">TODAY() - Table1[[#This Row],[SubscriptionStart]]</f>
        <v>1412</v>
      </c>
      <c r="G8" s="4">
        <v>48</v>
      </c>
      <c r="H8" s="3" t="s">
        <v>38</v>
      </c>
      <c r="I8" s="3" t="s">
        <v>30</v>
      </c>
      <c r="J8" s="7" cm="1">
        <f t="array" ref="J8">_xlfn.IFS(Table1[[#This Row],[Tier]]="Basic",10,Table1[[#This Row],[Tier]]="Standard",18,Table1[[#This Row],[Tier]]="Premium",25)</f>
        <v>10</v>
      </c>
      <c r="K8" s="7" cm="1">
        <f t="array" ref="K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8" s="7" cm="1">
        <f t="array" ref="L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351</v>
      </c>
      <c r="M8" s="3" t="str" cm="1">
        <f t="array" ref="M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8" s="3" t="s">
        <v>34</v>
      </c>
      <c r="O8" s="3" t="s">
        <v>40</v>
      </c>
      <c r="Q8" s="3" t="str" cm="1">
        <f t="array" ref="Q8">_xlfn.IFS(Table1[[#This Row],[TotalRevenue]]&lt;100,"Low",Table1[[#This Row],[TotalRevenue]]&lt;300,"Medium",Table1[[#This Row],[TotalRevenue]]&lt;600,"High",TRUE,"Very High")</f>
        <v>High</v>
      </c>
      <c r="R8" s="3" t="str" cm="1">
        <f t="array" ref="R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8" s="3" t="str">
        <f>IF(Table1[[#This Row],[NextBillingDate]]="","Cancelled",IF(Table1[[#This Row],[CancellationDate]]&lt;&gt;"","Cancelled","Active"))</f>
        <v>Active</v>
      </c>
      <c r="T8" s="7" cm="1">
        <f t="array" ref="T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396</v>
      </c>
      <c r="V8" s="5">
        <v>46009</v>
      </c>
      <c r="W8" s="5">
        <v>46009</v>
      </c>
      <c r="X8" s="3">
        <v>7</v>
      </c>
      <c r="Y8" s="5">
        <f ca="1">IF(Table1[[#This Row],[ChurnStatus]]="Cancelled",Table1[[#This Row],[CancellationDate]],TODAY())</f>
        <v>45981</v>
      </c>
      <c r="Z8" s="46">
        <f ca="1">IF(AND(Table1[[#This Row],[SubscriptionStart]] &lt;= TODAY(), Table1[[#This Row],[EffectiveEndDate]] &gt;= TODAY()),1,0)</f>
        <v>1</v>
      </c>
      <c r="AA8" s="46">
        <f ca="1">IF(AND(Table1[[#This Row],[SubscriptionStart]]&lt;=Settings!$A$2,Table1[[#This Row],[EffectiveEndDate]]&gt;=Settings!$A$2),1,0)</f>
        <v>0</v>
      </c>
      <c r="AB8" s="46">
        <f ca="1">IF(AND(Table1[[#This Row],[SubscriptionStart]]&lt;=Settings!$B$2,Table1[[#This Row],[EffectiveEndDate]]&gt;=Settings!$B$2),1,0)</f>
        <v>1</v>
      </c>
      <c r="AC8" s="46">
        <f ca="1">IF(AND(Table1[[#This Row],[SubscriptionStart]]&lt;=Settings!$C$2,Table1[[#This Row],[EffectiveEndDate]]&gt;=Settings!$C$2),1,0)</f>
        <v>1</v>
      </c>
      <c r="AD8" s="46">
        <f ca="1">IF(AND(Table1[[#This Row],[SubscriptionStart]]&lt;=Settings!$D$2,Table1[[#This Row],[EffectiveEndDate]]&gt;=Settings!$D$2),1,0)</f>
        <v>1</v>
      </c>
      <c r="AE8" s="46">
        <f ca="1">IF(AND(Table1[[#This Row],[SubscriptionStart]]&lt;=Settings!$E$2,Table1[[#This Row],[EffectiveEndDate]]&gt;=Settings!$E$2),1,0)</f>
        <v>1</v>
      </c>
      <c r="AF8"/>
      <c r="AG8"/>
      <c r="AH8"/>
      <c r="AI8"/>
      <c r="AJ8"/>
      <c r="AK8"/>
    </row>
    <row r="9" spans="1:37">
      <c r="A9" s="3" t="s">
        <v>565</v>
      </c>
      <c r="B9" s="3">
        <v>30</v>
      </c>
      <c r="C9" s="3" t="s">
        <v>23</v>
      </c>
      <c r="D9" s="5">
        <v>44570</v>
      </c>
      <c r="E9" s="5">
        <v>44600</v>
      </c>
      <c r="F9" s="3">
        <f ca="1">TODAY() - Table1[[#This Row],[SubscriptionStart]]</f>
        <v>1411</v>
      </c>
      <c r="G9" s="4">
        <v>1</v>
      </c>
      <c r="H9" s="3" t="s">
        <v>29</v>
      </c>
      <c r="I9" s="3" t="s">
        <v>30</v>
      </c>
      <c r="J9" s="7" cm="1">
        <f t="array" ref="J9">_xlfn.IFS(Table1[[#This Row],[Tier]]="Basic",10,Table1[[#This Row],[Tier]]="Standard",18,Table1[[#This Row],[Tier]]="Premium",25)</f>
        <v>10</v>
      </c>
      <c r="K9" s="7" cm="1">
        <f t="array" ref="K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9" s="7" cm="1">
        <f t="array" ref="L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9" s="3" t="str" cm="1">
        <f t="array" ref="M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9" s="3" t="s">
        <v>52</v>
      </c>
      <c r="O9" s="3" t="s">
        <v>49</v>
      </c>
      <c r="P9" s="3" t="s">
        <v>41</v>
      </c>
      <c r="Q9" s="3" t="str" cm="1">
        <f t="array" ref="Q9">_xlfn.IFS(Table1[[#This Row],[TotalRevenue]]&lt;100,"Low",Table1[[#This Row],[TotalRevenue]]&lt;300,"Medium",Table1[[#This Row],[TotalRevenue]]&lt;600,"High",TRUE,"Very High")</f>
        <v>Low</v>
      </c>
      <c r="R9" s="3" t="str" cm="1">
        <f t="array" ref="R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9" s="3" t="str">
        <f>IF(Table1[[#This Row],[NextBillingDate]]="","Cancelled",IF(Table1[[#This Row],[CancellationDate]]&lt;&gt;"","Cancelled","Active"))</f>
        <v>Cancelled</v>
      </c>
      <c r="T9" s="7" cm="1">
        <f t="array" ref="T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9" s="5">
        <v>44600</v>
      </c>
      <c r="W9" s="5">
        <v>44600</v>
      </c>
      <c r="X9" s="3">
        <v>0</v>
      </c>
      <c r="Y9" s="5">
        <f ca="1">IF(Table1[[#This Row],[ChurnStatus]]="Cancelled",Table1[[#This Row],[CancellationDate]],TODAY())</f>
        <v>44600</v>
      </c>
      <c r="Z9" s="46">
        <f ca="1">IF(AND(Table1[[#This Row],[SubscriptionStart]] &lt;= TODAY(), Table1[[#This Row],[EffectiveEndDate]] &gt;= TODAY()),1,0)</f>
        <v>0</v>
      </c>
      <c r="AA9" s="46">
        <f ca="1">IF(AND(Table1[[#This Row],[SubscriptionStart]]&lt;=Settings!$A$2,Table1[[#This Row],[EffectiveEndDate]]&gt;=Settings!$A$2),1,0)</f>
        <v>0</v>
      </c>
      <c r="AB9" s="46">
        <f ca="1">IF(AND(Table1[[#This Row],[SubscriptionStart]]&lt;=Settings!$B$2,Table1[[#This Row],[EffectiveEndDate]]&gt;=Settings!$B$2),1,0)</f>
        <v>0</v>
      </c>
      <c r="AC9" s="46">
        <f ca="1">IF(AND(Table1[[#This Row],[SubscriptionStart]]&lt;=Settings!$C$2,Table1[[#This Row],[EffectiveEndDate]]&gt;=Settings!$C$2),1,0)</f>
        <v>0</v>
      </c>
      <c r="AD9" s="46">
        <f ca="1">IF(AND(Table1[[#This Row],[SubscriptionStart]]&lt;=Settings!$D$2,Table1[[#This Row],[EffectiveEndDate]]&gt;=Settings!$D$2),1,0)</f>
        <v>0</v>
      </c>
      <c r="AE9" s="46">
        <f ca="1">IF(AND(Table1[[#This Row],[SubscriptionStart]]&lt;=Settings!$E$2,Table1[[#This Row],[EffectiveEndDate]]&gt;=Settings!$E$2),1,0)</f>
        <v>0</v>
      </c>
      <c r="AF9"/>
      <c r="AG9"/>
      <c r="AH9"/>
      <c r="AI9"/>
      <c r="AJ9"/>
      <c r="AK9"/>
    </row>
    <row r="10" spans="1:37">
      <c r="A10" s="3" t="s">
        <v>328</v>
      </c>
      <c r="B10" s="3">
        <v>46</v>
      </c>
      <c r="C10" s="3" t="s">
        <v>23</v>
      </c>
      <c r="D10" s="5">
        <v>44570</v>
      </c>
      <c r="F10" s="3">
        <f ca="1">TODAY() - Table1[[#This Row],[SubscriptionStart]]</f>
        <v>1411</v>
      </c>
      <c r="G10" s="4">
        <v>48</v>
      </c>
      <c r="H10" s="3" t="s">
        <v>38</v>
      </c>
      <c r="I10" s="3" t="s">
        <v>39</v>
      </c>
      <c r="J10" s="7" cm="1">
        <f t="array" ref="J10">_xlfn.IFS(Table1[[#This Row],[Tier]]="Basic",10,Table1[[#This Row],[Tier]]="Standard",18,Table1[[#This Row],[Tier]]="Premium",25)</f>
        <v>18</v>
      </c>
      <c r="K10" s="7" cm="1">
        <f t="array" ref="K1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10" s="7" cm="1">
        <f t="array" ref="L1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631.79999999999995</v>
      </c>
      <c r="M10" s="3" t="str" cm="1">
        <f t="array" ref="M1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0" s="3" t="s">
        <v>52</v>
      </c>
      <c r="O10" s="3" t="s">
        <v>49</v>
      </c>
      <c r="Q10" s="3" t="str" cm="1">
        <f t="array" ref="Q10">_xlfn.IFS(Table1[[#This Row],[TotalRevenue]]&lt;100,"Low",Table1[[#This Row],[TotalRevenue]]&lt;300,"Medium",Table1[[#This Row],[TotalRevenue]]&lt;600,"High",TRUE,"Very High")</f>
        <v>Very High</v>
      </c>
      <c r="R10" s="3" t="str" cm="1">
        <f t="array" ref="R1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0" s="3" t="str">
        <f>IF(Table1[[#This Row],[NextBillingDate]]="","Cancelled",IF(Table1[[#This Row],[CancellationDate]]&lt;&gt;"","Cancelled","Active"))</f>
        <v>Active</v>
      </c>
      <c r="T10" s="7" cm="1">
        <f t="array" ref="T1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712.8</v>
      </c>
      <c r="V10" s="5">
        <v>46010</v>
      </c>
      <c r="W10" s="5">
        <v>46010</v>
      </c>
      <c r="X10" s="3">
        <v>7</v>
      </c>
      <c r="Y10" s="5">
        <f ca="1">IF(Table1[[#This Row],[ChurnStatus]]="Cancelled",Table1[[#This Row],[CancellationDate]],TODAY())</f>
        <v>45981</v>
      </c>
      <c r="Z10" s="46">
        <f ca="1">IF(AND(Table1[[#This Row],[SubscriptionStart]] &lt;= TODAY(), Table1[[#This Row],[EffectiveEndDate]] &gt;= TODAY()),1,0)</f>
        <v>1</v>
      </c>
      <c r="AA10" s="46">
        <f ca="1">IF(AND(Table1[[#This Row],[SubscriptionStart]]&lt;=Settings!$A$2,Table1[[#This Row],[EffectiveEndDate]]&gt;=Settings!$A$2),1,0)</f>
        <v>0</v>
      </c>
      <c r="AB10" s="46">
        <f ca="1">IF(AND(Table1[[#This Row],[SubscriptionStart]]&lt;=Settings!$B$2,Table1[[#This Row],[EffectiveEndDate]]&gt;=Settings!$B$2),1,0)</f>
        <v>1</v>
      </c>
      <c r="AC10" s="46">
        <f ca="1">IF(AND(Table1[[#This Row],[SubscriptionStart]]&lt;=Settings!$C$2,Table1[[#This Row],[EffectiveEndDate]]&gt;=Settings!$C$2),1,0)</f>
        <v>1</v>
      </c>
      <c r="AD10" s="46">
        <f ca="1">IF(AND(Table1[[#This Row],[SubscriptionStart]]&lt;=Settings!$D$2,Table1[[#This Row],[EffectiveEndDate]]&gt;=Settings!$D$2),1,0)</f>
        <v>1</v>
      </c>
      <c r="AE10" s="46">
        <f ca="1">IF(AND(Table1[[#This Row],[SubscriptionStart]]&lt;=Settings!$E$2,Table1[[#This Row],[EffectiveEndDate]]&gt;=Settings!$E$2),1,0)</f>
        <v>1</v>
      </c>
      <c r="AF10"/>
      <c r="AG10"/>
      <c r="AH10"/>
      <c r="AI10"/>
      <c r="AJ10"/>
      <c r="AK10"/>
    </row>
    <row r="11" spans="1:37">
      <c r="A11" s="3" t="s">
        <v>738</v>
      </c>
      <c r="B11" s="3">
        <v>30</v>
      </c>
      <c r="C11" s="3" t="s">
        <v>37</v>
      </c>
      <c r="D11" s="5">
        <v>44573</v>
      </c>
      <c r="E11" s="5">
        <v>44933</v>
      </c>
      <c r="F11" s="3">
        <f ca="1">TODAY() - Table1[[#This Row],[SubscriptionStart]]</f>
        <v>1408</v>
      </c>
      <c r="G11" s="4">
        <v>12</v>
      </c>
      <c r="H11" s="3" t="s">
        <v>24</v>
      </c>
      <c r="I11" s="3" t="s">
        <v>30</v>
      </c>
      <c r="J11" s="7" cm="1">
        <f t="array" ref="J11">_xlfn.IFS(Table1[[#This Row],[Tier]]="Basic",10,Table1[[#This Row],[Tier]]="Standard",18,Table1[[#This Row],[Tier]]="Premium",25)</f>
        <v>10</v>
      </c>
      <c r="K11" s="7" cm="1">
        <f t="array" ref="K1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11" s="7" cm="1">
        <f t="array" ref="L1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11" s="3" t="str" cm="1">
        <f t="array" ref="M1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1" s="3" t="s">
        <v>26</v>
      </c>
      <c r="O11" s="3" t="s">
        <v>27</v>
      </c>
      <c r="P11" s="3" t="s">
        <v>47</v>
      </c>
      <c r="Q11" s="3" t="str" cm="1">
        <f t="array" ref="Q11">_xlfn.IFS(Table1[[#This Row],[TotalRevenue]]&lt;100,"Low",Table1[[#This Row],[TotalRevenue]]&lt;300,"Medium",Table1[[#This Row],[TotalRevenue]]&lt;600,"High",TRUE,"Very High")</f>
        <v>Low</v>
      </c>
      <c r="R11" s="3" t="str" cm="1">
        <f t="array" ref="R1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1" s="3" t="str">
        <f>IF(Table1[[#This Row],[NextBillingDate]]="","Cancelled",IF(Table1[[#This Row],[CancellationDate]]&lt;&gt;"","Cancelled","Active"))</f>
        <v>Cancelled</v>
      </c>
      <c r="T11" s="7" cm="1">
        <f t="array" ref="T1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11" s="5">
        <v>44933</v>
      </c>
      <c r="W11" s="5">
        <v>44933</v>
      </c>
      <c r="X11" s="3">
        <v>0</v>
      </c>
      <c r="Y11" s="5">
        <f ca="1">IF(Table1[[#This Row],[ChurnStatus]]="Cancelled",Table1[[#This Row],[CancellationDate]],TODAY())</f>
        <v>44933</v>
      </c>
      <c r="Z11" s="46">
        <f ca="1">IF(AND(Table1[[#This Row],[SubscriptionStart]] &lt;= TODAY(), Table1[[#This Row],[EffectiveEndDate]] &gt;= TODAY()),1,0)</f>
        <v>0</v>
      </c>
      <c r="AA11" s="46">
        <f ca="1">IF(AND(Table1[[#This Row],[SubscriptionStart]]&lt;=Settings!$A$2,Table1[[#This Row],[EffectiveEndDate]]&gt;=Settings!$A$2),1,0)</f>
        <v>0</v>
      </c>
      <c r="AB11" s="46">
        <f ca="1">IF(AND(Table1[[#This Row],[SubscriptionStart]]&lt;=Settings!$B$2,Table1[[#This Row],[EffectiveEndDate]]&gt;=Settings!$B$2),1,0)</f>
        <v>1</v>
      </c>
      <c r="AC11" s="46">
        <f ca="1">IF(AND(Table1[[#This Row],[SubscriptionStart]]&lt;=Settings!$C$2,Table1[[#This Row],[EffectiveEndDate]]&gt;=Settings!$C$2),1,0)</f>
        <v>1</v>
      </c>
      <c r="AD11" s="46">
        <f ca="1">IF(AND(Table1[[#This Row],[SubscriptionStart]]&lt;=Settings!$D$2,Table1[[#This Row],[EffectiveEndDate]]&gt;=Settings!$D$2),1,0)</f>
        <v>0</v>
      </c>
      <c r="AE11" s="46">
        <f ca="1">IF(AND(Table1[[#This Row],[SubscriptionStart]]&lt;=Settings!$E$2,Table1[[#This Row],[EffectiveEndDate]]&gt;=Settings!$E$2),1,0)</f>
        <v>0</v>
      </c>
      <c r="AF11"/>
      <c r="AG11"/>
      <c r="AH11"/>
      <c r="AI11"/>
      <c r="AJ11"/>
      <c r="AK11"/>
    </row>
    <row r="12" spans="1:37">
      <c r="A12" s="3" t="s">
        <v>266</v>
      </c>
      <c r="B12" s="3">
        <v>45</v>
      </c>
      <c r="C12" s="3" t="s">
        <v>37</v>
      </c>
      <c r="D12" s="5">
        <v>44576</v>
      </c>
      <c r="E12" s="5">
        <v>44606</v>
      </c>
      <c r="F12" s="3">
        <f ca="1">TODAY() - Table1[[#This Row],[SubscriptionStart]]</f>
        <v>1405</v>
      </c>
      <c r="G12" s="4">
        <v>1</v>
      </c>
      <c r="H12" s="3" t="s">
        <v>29</v>
      </c>
      <c r="I12" s="3" t="s">
        <v>39</v>
      </c>
      <c r="J12" s="7" cm="1">
        <f t="array" ref="J12">_xlfn.IFS(Table1[[#This Row],[Tier]]="Basic",10,Table1[[#This Row],[Tier]]="Standard",18,Table1[[#This Row],[Tier]]="Premium",25)</f>
        <v>18</v>
      </c>
      <c r="K12" s="7" cm="1">
        <f t="array" ref="K1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12" s="7" cm="1">
        <f t="array" ref="L1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2" s="3" t="str" cm="1">
        <f t="array" ref="M1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2" s="3" t="s">
        <v>26</v>
      </c>
      <c r="O12" s="3" t="s">
        <v>43</v>
      </c>
      <c r="P12" s="3" t="s">
        <v>50</v>
      </c>
      <c r="Q12" s="3" t="str" cm="1">
        <f t="array" ref="Q12">_xlfn.IFS(Table1[[#This Row],[TotalRevenue]]&lt;100,"Low",Table1[[#This Row],[TotalRevenue]]&lt;300,"Medium",Table1[[#This Row],[TotalRevenue]]&lt;600,"High",TRUE,"Very High")</f>
        <v>Low</v>
      </c>
      <c r="R12" s="3" t="str" cm="1">
        <f t="array" ref="R1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2" s="3" t="str">
        <f>IF(Table1[[#This Row],[NextBillingDate]]="","Cancelled",IF(Table1[[#This Row],[CancellationDate]]&lt;&gt;"","Cancelled","Active"))</f>
        <v>Cancelled</v>
      </c>
      <c r="T12" s="7" cm="1">
        <f t="array" ref="T1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2" s="5">
        <v>44606</v>
      </c>
      <c r="W12" s="5">
        <v>44606</v>
      </c>
      <c r="X12" s="3">
        <v>0</v>
      </c>
      <c r="Y12" s="5">
        <f ca="1">IF(Table1[[#This Row],[ChurnStatus]]="Cancelled",Table1[[#This Row],[CancellationDate]],TODAY())</f>
        <v>44606</v>
      </c>
      <c r="Z12" s="46">
        <f ca="1">IF(AND(Table1[[#This Row],[SubscriptionStart]] &lt;= TODAY(), Table1[[#This Row],[EffectiveEndDate]] &gt;= TODAY()),1,0)</f>
        <v>0</v>
      </c>
      <c r="AA12" s="46">
        <f ca="1">IF(AND(Table1[[#This Row],[SubscriptionStart]]&lt;=Settings!$A$2,Table1[[#This Row],[EffectiveEndDate]]&gt;=Settings!$A$2),1,0)</f>
        <v>0</v>
      </c>
      <c r="AB12" s="46">
        <f ca="1">IF(AND(Table1[[#This Row],[SubscriptionStart]]&lt;=Settings!$B$2,Table1[[#This Row],[EffectiveEndDate]]&gt;=Settings!$B$2),1,0)</f>
        <v>0</v>
      </c>
      <c r="AC12" s="46">
        <f ca="1">IF(AND(Table1[[#This Row],[SubscriptionStart]]&lt;=Settings!$C$2,Table1[[#This Row],[EffectiveEndDate]]&gt;=Settings!$C$2),1,0)</f>
        <v>0</v>
      </c>
      <c r="AD12" s="46">
        <f ca="1">IF(AND(Table1[[#This Row],[SubscriptionStart]]&lt;=Settings!$D$2,Table1[[#This Row],[EffectiveEndDate]]&gt;=Settings!$D$2),1,0)</f>
        <v>0</v>
      </c>
      <c r="AE12" s="46">
        <f ca="1">IF(AND(Table1[[#This Row],[SubscriptionStart]]&lt;=Settings!$E$2,Table1[[#This Row],[EffectiveEndDate]]&gt;=Settings!$E$2),1,0)</f>
        <v>0</v>
      </c>
      <c r="AF12"/>
      <c r="AG12"/>
      <c r="AH12"/>
      <c r="AI12"/>
      <c r="AJ12"/>
      <c r="AK12"/>
    </row>
    <row r="13" spans="1:37">
      <c r="A13" s="3" t="s">
        <v>135</v>
      </c>
      <c r="B13" s="3">
        <v>19</v>
      </c>
      <c r="C13" s="3" t="s">
        <v>23</v>
      </c>
      <c r="D13" s="5">
        <v>44577</v>
      </c>
      <c r="E13" s="5">
        <v>44607</v>
      </c>
      <c r="F13" s="3">
        <f ca="1">TODAY() - Table1[[#This Row],[SubscriptionStart]]</f>
        <v>1404</v>
      </c>
      <c r="G13" s="4">
        <v>1</v>
      </c>
      <c r="H13" s="3" t="s">
        <v>29</v>
      </c>
      <c r="I13" s="3" t="s">
        <v>30</v>
      </c>
      <c r="J13" s="7" cm="1">
        <f t="array" ref="J13">_xlfn.IFS(Table1[[#This Row],[Tier]]="Basic",10,Table1[[#This Row],[Tier]]="Standard",18,Table1[[#This Row],[Tier]]="Premium",25)</f>
        <v>10</v>
      </c>
      <c r="K13" s="7" cm="1">
        <f t="array" ref="K1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13" s="7" cm="1">
        <f t="array" ref="L1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3" s="3" t="str" cm="1">
        <f t="array" ref="M13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13" s="3" t="s">
        <v>52</v>
      </c>
      <c r="O13" s="3" t="s">
        <v>49</v>
      </c>
      <c r="P13" s="3" t="s">
        <v>35</v>
      </c>
      <c r="Q13" s="3" t="str" cm="1">
        <f t="array" ref="Q13">_xlfn.IFS(Table1[[#This Row],[TotalRevenue]]&lt;100,"Low",Table1[[#This Row],[TotalRevenue]]&lt;300,"Medium",Table1[[#This Row],[TotalRevenue]]&lt;600,"High",TRUE,"Very High")</f>
        <v>Low</v>
      </c>
      <c r="R13" s="3" t="str" cm="1">
        <f t="array" ref="R13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13" s="3" t="str">
        <f>IF(Table1[[#This Row],[NextBillingDate]]="","Cancelled",IF(Table1[[#This Row],[CancellationDate]]&lt;&gt;"","Cancelled","Active"))</f>
        <v>Cancelled</v>
      </c>
      <c r="T13" s="7" cm="1">
        <f t="array" ref="T1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3" s="5">
        <v>44607</v>
      </c>
      <c r="W13" s="5">
        <v>44607</v>
      </c>
      <c r="X13" s="3">
        <v>0</v>
      </c>
      <c r="Y13" s="5">
        <f ca="1">IF(Table1[[#This Row],[ChurnStatus]]="Cancelled",Table1[[#This Row],[CancellationDate]],TODAY())</f>
        <v>44607</v>
      </c>
      <c r="Z13" s="46">
        <f ca="1">IF(AND(Table1[[#This Row],[SubscriptionStart]] &lt;= TODAY(), Table1[[#This Row],[EffectiveEndDate]] &gt;= TODAY()),1,0)</f>
        <v>0</v>
      </c>
      <c r="AA13" s="46">
        <f ca="1">IF(AND(Table1[[#This Row],[SubscriptionStart]]&lt;=Settings!$A$2,Table1[[#This Row],[EffectiveEndDate]]&gt;=Settings!$A$2),1,0)</f>
        <v>0</v>
      </c>
      <c r="AB13" s="46">
        <f ca="1">IF(AND(Table1[[#This Row],[SubscriptionStart]]&lt;=Settings!$B$2,Table1[[#This Row],[EffectiveEndDate]]&gt;=Settings!$B$2),1,0)</f>
        <v>0</v>
      </c>
      <c r="AC13" s="46">
        <f ca="1">IF(AND(Table1[[#This Row],[SubscriptionStart]]&lt;=Settings!$C$2,Table1[[#This Row],[EffectiveEndDate]]&gt;=Settings!$C$2),1,0)</f>
        <v>0</v>
      </c>
      <c r="AD13" s="46">
        <f ca="1">IF(AND(Table1[[#This Row],[SubscriptionStart]]&lt;=Settings!$D$2,Table1[[#This Row],[EffectiveEndDate]]&gt;=Settings!$D$2),1,0)</f>
        <v>0</v>
      </c>
      <c r="AE13" s="46">
        <f ca="1">IF(AND(Table1[[#This Row],[SubscriptionStart]]&lt;=Settings!$E$2,Table1[[#This Row],[EffectiveEndDate]]&gt;=Settings!$E$2),1,0)</f>
        <v>0</v>
      </c>
      <c r="AF13"/>
      <c r="AG13"/>
      <c r="AH13"/>
      <c r="AI13"/>
      <c r="AJ13"/>
      <c r="AK13"/>
    </row>
    <row r="14" spans="1:37">
      <c r="A14" s="3" t="s">
        <v>392</v>
      </c>
      <c r="B14" s="3">
        <v>64</v>
      </c>
      <c r="C14" s="3" t="s">
        <v>23</v>
      </c>
      <c r="D14" s="5">
        <v>44577</v>
      </c>
      <c r="E14" s="5">
        <v>44937</v>
      </c>
      <c r="F14" s="3">
        <f ca="1">TODAY() - Table1[[#This Row],[SubscriptionStart]]</f>
        <v>1404</v>
      </c>
      <c r="G14" s="4">
        <v>12</v>
      </c>
      <c r="H14" s="3" t="s">
        <v>24</v>
      </c>
      <c r="I14" s="3" t="s">
        <v>39</v>
      </c>
      <c r="J14" s="7" cm="1">
        <f t="array" ref="J14">_xlfn.IFS(Table1[[#This Row],[Tier]]="Basic",10,Table1[[#This Row],[Tier]]="Standard",18,Table1[[#This Row],[Tier]]="Premium",25)</f>
        <v>18</v>
      </c>
      <c r="K14" s="7" cm="1">
        <f t="array" ref="K1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4" s="7" cm="1">
        <f t="array" ref="L1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4" s="3" t="str" cm="1">
        <f t="array" ref="M1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4" s="3" t="s">
        <v>31</v>
      </c>
      <c r="O14" s="3" t="s">
        <v>40</v>
      </c>
      <c r="P14" s="3" t="s">
        <v>44</v>
      </c>
      <c r="Q14" s="3" t="str" cm="1">
        <f t="array" ref="Q14">_xlfn.IFS(Table1[[#This Row],[TotalRevenue]]&lt;100,"Low",Table1[[#This Row],[TotalRevenue]]&lt;300,"Medium",Table1[[#This Row],[TotalRevenue]]&lt;600,"High",TRUE,"Very High")</f>
        <v>Medium</v>
      </c>
      <c r="R14" s="3" t="str" cm="1">
        <f t="array" ref="R1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4" s="3" t="str">
        <f>IF(Table1[[#This Row],[NextBillingDate]]="","Cancelled",IF(Table1[[#This Row],[CancellationDate]]&lt;&gt;"","Cancelled","Active"))</f>
        <v>Cancelled</v>
      </c>
      <c r="T14" s="7" cm="1">
        <f t="array" ref="T1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4" s="5">
        <v>44937</v>
      </c>
      <c r="W14" s="5">
        <v>44937</v>
      </c>
      <c r="X14" s="3">
        <v>0</v>
      </c>
      <c r="Y14" s="5">
        <f ca="1">IF(Table1[[#This Row],[ChurnStatus]]="Cancelled",Table1[[#This Row],[CancellationDate]],TODAY())</f>
        <v>44937</v>
      </c>
      <c r="Z14" s="46">
        <f ca="1">IF(AND(Table1[[#This Row],[SubscriptionStart]] &lt;= TODAY(), Table1[[#This Row],[EffectiveEndDate]] &gt;= TODAY()),1,0)</f>
        <v>0</v>
      </c>
      <c r="AA14" s="46">
        <f ca="1">IF(AND(Table1[[#This Row],[SubscriptionStart]]&lt;=Settings!$A$2,Table1[[#This Row],[EffectiveEndDate]]&gt;=Settings!$A$2),1,0)</f>
        <v>0</v>
      </c>
      <c r="AB14" s="46">
        <f ca="1">IF(AND(Table1[[#This Row],[SubscriptionStart]]&lt;=Settings!$B$2,Table1[[#This Row],[EffectiveEndDate]]&gt;=Settings!$B$2),1,0)</f>
        <v>1</v>
      </c>
      <c r="AC14" s="46">
        <f ca="1">IF(AND(Table1[[#This Row],[SubscriptionStart]]&lt;=Settings!$C$2,Table1[[#This Row],[EffectiveEndDate]]&gt;=Settings!$C$2),1,0)</f>
        <v>1</v>
      </c>
      <c r="AD14" s="46">
        <f ca="1">IF(AND(Table1[[#This Row],[SubscriptionStart]]&lt;=Settings!$D$2,Table1[[#This Row],[EffectiveEndDate]]&gt;=Settings!$D$2),1,0)</f>
        <v>0</v>
      </c>
      <c r="AE14" s="46">
        <f ca="1">IF(AND(Table1[[#This Row],[SubscriptionStart]]&lt;=Settings!$E$2,Table1[[#This Row],[EffectiveEndDate]]&gt;=Settings!$E$2),1,0)</f>
        <v>0</v>
      </c>
      <c r="AF14"/>
      <c r="AG14"/>
      <c r="AH14"/>
      <c r="AI14"/>
      <c r="AJ14"/>
      <c r="AK14"/>
    </row>
    <row r="15" spans="1:37">
      <c r="A15" s="3" t="s">
        <v>175</v>
      </c>
      <c r="B15" s="3">
        <v>56</v>
      </c>
      <c r="C15" s="3" t="s">
        <v>23</v>
      </c>
      <c r="D15" s="5">
        <v>44579</v>
      </c>
      <c r="E15" s="5">
        <v>44609</v>
      </c>
      <c r="F15" s="3">
        <f ca="1">TODAY() - Table1[[#This Row],[SubscriptionStart]]</f>
        <v>1402</v>
      </c>
      <c r="G15" s="4">
        <v>1</v>
      </c>
      <c r="H15" s="3" t="s">
        <v>29</v>
      </c>
      <c r="I15" s="3" t="s">
        <v>25</v>
      </c>
      <c r="J15" s="7" cm="1">
        <f t="array" ref="J15">_xlfn.IFS(Table1[[#This Row],[Tier]]="Basic",10,Table1[[#This Row],[Tier]]="Standard",18,Table1[[#This Row],[Tier]]="Premium",25)</f>
        <v>25</v>
      </c>
      <c r="K15" s="7" cm="1">
        <f t="array" ref="K1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15" s="7" cm="1">
        <f t="array" ref="L1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5" s="3" t="str" cm="1">
        <f t="array" ref="M15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15" s="3" t="s">
        <v>34</v>
      </c>
      <c r="O15" s="3" t="s">
        <v>43</v>
      </c>
      <c r="P15" s="3" t="s">
        <v>41</v>
      </c>
      <c r="Q15" s="3" t="str" cm="1">
        <f t="array" ref="Q15">_xlfn.IFS(Table1[[#This Row],[TotalRevenue]]&lt;100,"Low",Table1[[#This Row],[TotalRevenue]]&lt;300,"Medium",Table1[[#This Row],[TotalRevenue]]&lt;600,"High",TRUE,"Very High")</f>
        <v>Low</v>
      </c>
      <c r="R15" s="3" t="str" cm="1">
        <f t="array" ref="R1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5" s="3" t="str">
        <f>IF(Table1[[#This Row],[NextBillingDate]]="","Cancelled",IF(Table1[[#This Row],[CancellationDate]]&lt;&gt;"","Cancelled","Active"))</f>
        <v>Cancelled</v>
      </c>
      <c r="T15" s="7" cm="1">
        <f t="array" ref="T1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5" s="5">
        <v>44609</v>
      </c>
      <c r="W15" s="5">
        <v>44609</v>
      </c>
      <c r="X15" s="3">
        <v>0</v>
      </c>
      <c r="Y15" s="5">
        <f ca="1">IF(Table1[[#This Row],[ChurnStatus]]="Cancelled",Table1[[#This Row],[CancellationDate]],TODAY())</f>
        <v>44609</v>
      </c>
      <c r="Z15" s="46">
        <f ca="1">IF(AND(Table1[[#This Row],[SubscriptionStart]] &lt;= TODAY(), Table1[[#This Row],[EffectiveEndDate]] &gt;= TODAY()),1,0)</f>
        <v>0</v>
      </c>
      <c r="AA15" s="46">
        <f ca="1">IF(AND(Table1[[#This Row],[SubscriptionStart]]&lt;=Settings!$A$2,Table1[[#This Row],[EffectiveEndDate]]&gt;=Settings!$A$2),1,0)</f>
        <v>0</v>
      </c>
      <c r="AB15" s="46">
        <f ca="1">IF(AND(Table1[[#This Row],[SubscriptionStart]]&lt;=Settings!$B$2,Table1[[#This Row],[EffectiveEndDate]]&gt;=Settings!$B$2),1,0)</f>
        <v>0</v>
      </c>
      <c r="AC15" s="46">
        <f ca="1">IF(AND(Table1[[#This Row],[SubscriptionStart]]&lt;=Settings!$C$2,Table1[[#This Row],[EffectiveEndDate]]&gt;=Settings!$C$2),1,0)</f>
        <v>0</v>
      </c>
      <c r="AD15" s="46">
        <f ca="1">IF(AND(Table1[[#This Row],[SubscriptionStart]]&lt;=Settings!$D$2,Table1[[#This Row],[EffectiveEndDate]]&gt;=Settings!$D$2),1,0)</f>
        <v>0</v>
      </c>
      <c r="AE15" s="46">
        <f ca="1">IF(AND(Table1[[#This Row],[SubscriptionStart]]&lt;=Settings!$E$2,Table1[[#This Row],[EffectiveEndDate]]&gt;=Settings!$E$2),1,0)</f>
        <v>0</v>
      </c>
      <c r="AF15"/>
      <c r="AG15"/>
      <c r="AH15"/>
      <c r="AI15"/>
      <c r="AJ15"/>
      <c r="AK15"/>
    </row>
    <row r="16" spans="1:37">
      <c r="A16" s="3" t="s">
        <v>410</v>
      </c>
      <c r="B16" s="3">
        <v>72</v>
      </c>
      <c r="C16" s="3" t="s">
        <v>37</v>
      </c>
      <c r="D16" s="5">
        <v>44579</v>
      </c>
      <c r="E16" s="5">
        <v>44759</v>
      </c>
      <c r="F16" s="3">
        <f ca="1">TODAY() - Table1[[#This Row],[SubscriptionStart]]</f>
        <v>1402</v>
      </c>
      <c r="G16" s="4">
        <v>6</v>
      </c>
      <c r="H16" s="3" t="s">
        <v>38</v>
      </c>
      <c r="I16" s="3" t="s">
        <v>39</v>
      </c>
      <c r="J16" s="7" cm="1">
        <f t="array" ref="J16">_xlfn.IFS(Table1[[#This Row],[Tier]]="Basic",10,Table1[[#This Row],[Tier]]="Standard",18,Table1[[#This Row],[Tier]]="Premium",25)</f>
        <v>18</v>
      </c>
      <c r="K16" s="7" cm="1">
        <f t="array" ref="K1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16" s="7" cm="1">
        <f t="array" ref="L1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16" s="3" t="str" cm="1">
        <f t="array" ref="M16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16" s="3" t="s">
        <v>31</v>
      </c>
      <c r="O16" s="3" t="s">
        <v>32</v>
      </c>
      <c r="P16" s="3" t="s">
        <v>47</v>
      </c>
      <c r="Q16" s="3" t="str" cm="1">
        <f t="array" ref="Q16">_xlfn.IFS(Table1[[#This Row],[TotalRevenue]]&lt;100,"Low",Table1[[#This Row],[TotalRevenue]]&lt;300,"Medium",Table1[[#This Row],[TotalRevenue]]&lt;600,"High",TRUE,"Very High")</f>
        <v>Low</v>
      </c>
      <c r="R16" s="3" t="str" cm="1">
        <f t="array" ref="R16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16" s="3" t="str">
        <f>IF(Table1[[#This Row],[NextBillingDate]]="","Cancelled",IF(Table1[[#This Row],[CancellationDate]]&lt;&gt;"","Cancelled","Active"))</f>
        <v>Cancelled</v>
      </c>
      <c r="T16" s="7" cm="1">
        <f t="array" ref="T1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16" s="5">
        <v>44759</v>
      </c>
      <c r="W16" s="5">
        <v>44759</v>
      </c>
      <c r="X16" s="3">
        <v>0</v>
      </c>
      <c r="Y16" s="5">
        <f ca="1">IF(Table1[[#This Row],[ChurnStatus]]="Cancelled",Table1[[#This Row],[CancellationDate]],TODAY())</f>
        <v>44759</v>
      </c>
      <c r="Z16" s="46">
        <f ca="1">IF(AND(Table1[[#This Row],[SubscriptionStart]] &lt;= TODAY(), Table1[[#This Row],[EffectiveEndDate]] &gt;= TODAY()),1,0)</f>
        <v>0</v>
      </c>
      <c r="AA16" s="46">
        <f ca="1">IF(AND(Table1[[#This Row],[SubscriptionStart]]&lt;=Settings!$A$2,Table1[[#This Row],[EffectiveEndDate]]&gt;=Settings!$A$2),1,0)</f>
        <v>0</v>
      </c>
      <c r="AB16" s="46">
        <f ca="1">IF(AND(Table1[[#This Row],[SubscriptionStart]]&lt;=Settings!$B$2,Table1[[#This Row],[EffectiveEndDate]]&gt;=Settings!$B$2),1,0)</f>
        <v>1</v>
      </c>
      <c r="AC16" s="46">
        <f ca="1">IF(AND(Table1[[#This Row],[SubscriptionStart]]&lt;=Settings!$C$2,Table1[[#This Row],[EffectiveEndDate]]&gt;=Settings!$C$2),1,0)</f>
        <v>0</v>
      </c>
      <c r="AD16" s="46">
        <f ca="1">IF(AND(Table1[[#This Row],[SubscriptionStart]]&lt;=Settings!$D$2,Table1[[#This Row],[EffectiveEndDate]]&gt;=Settings!$D$2),1,0)</f>
        <v>0</v>
      </c>
      <c r="AE16" s="46">
        <f ca="1">IF(AND(Table1[[#This Row],[SubscriptionStart]]&lt;=Settings!$E$2,Table1[[#This Row],[EffectiveEndDate]]&gt;=Settings!$E$2),1,0)</f>
        <v>0</v>
      </c>
      <c r="AF16"/>
      <c r="AG16"/>
      <c r="AH16"/>
      <c r="AI16"/>
      <c r="AJ16"/>
      <c r="AK16"/>
    </row>
    <row r="17" spans="1:37">
      <c r="A17" s="3" t="s">
        <v>343</v>
      </c>
      <c r="B17" s="3">
        <v>44</v>
      </c>
      <c r="C17" s="3" t="s">
        <v>23</v>
      </c>
      <c r="D17" s="5">
        <v>44580</v>
      </c>
      <c r="E17" s="5">
        <v>44610</v>
      </c>
      <c r="F17" s="3">
        <f ca="1">TODAY() - Table1[[#This Row],[SubscriptionStart]]</f>
        <v>1401</v>
      </c>
      <c r="G17" s="4">
        <v>1</v>
      </c>
      <c r="H17" s="3" t="s">
        <v>29</v>
      </c>
      <c r="I17" s="3" t="s">
        <v>39</v>
      </c>
      <c r="J17" s="7" cm="1">
        <f t="array" ref="J17">_xlfn.IFS(Table1[[#This Row],[Tier]]="Basic",10,Table1[[#This Row],[Tier]]="Standard",18,Table1[[#This Row],[Tier]]="Premium",25)</f>
        <v>18</v>
      </c>
      <c r="K17" s="7" cm="1">
        <f t="array" ref="K1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17" s="7" cm="1">
        <f t="array" ref="L1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7" s="3" t="str" cm="1">
        <f t="array" ref="M1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7" s="3" t="s">
        <v>26</v>
      </c>
      <c r="O17" s="3" t="s">
        <v>40</v>
      </c>
      <c r="P17" s="3" t="s">
        <v>44</v>
      </c>
      <c r="Q17" s="3" t="str" cm="1">
        <f t="array" ref="Q17">_xlfn.IFS(Table1[[#This Row],[TotalRevenue]]&lt;100,"Low",Table1[[#This Row],[TotalRevenue]]&lt;300,"Medium",Table1[[#This Row],[TotalRevenue]]&lt;600,"High",TRUE,"Very High")</f>
        <v>Low</v>
      </c>
      <c r="R17" s="3" t="str" cm="1">
        <f t="array" ref="R1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7" s="3" t="str">
        <f>IF(Table1[[#This Row],[NextBillingDate]]="","Cancelled",IF(Table1[[#This Row],[CancellationDate]]&lt;&gt;"","Cancelled","Active"))</f>
        <v>Cancelled</v>
      </c>
      <c r="T17" s="7" cm="1">
        <f t="array" ref="T1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7" s="5">
        <v>44610</v>
      </c>
      <c r="W17" s="5">
        <v>44610</v>
      </c>
      <c r="X17" s="3">
        <v>0</v>
      </c>
      <c r="Y17" s="5">
        <f ca="1">IF(Table1[[#This Row],[ChurnStatus]]="Cancelled",Table1[[#This Row],[CancellationDate]],TODAY())</f>
        <v>44610</v>
      </c>
      <c r="Z17" s="46">
        <f ca="1">IF(AND(Table1[[#This Row],[SubscriptionStart]] &lt;= TODAY(), Table1[[#This Row],[EffectiveEndDate]] &gt;= TODAY()),1,0)</f>
        <v>0</v>
      </c>
      <c r="AA17" s="46">
        <f ca="1">IF(AND(Table1[[#This Row],[SubscriptionStart]]&lt;=Settings!$A$2,Table1[[#This Row],[EffectiveEndDate]]&gt;=Settings!$A$2),1,0)</f>
        <v>0</v>
      </c>
      <c r="AB17" s="46">
        <f ca="1">IF(AND(Table1[[#This Row],[SubscriptionStart]]&lt;=Settings!$B$2,Table1[[#This Row],[EffectiveEndDate]]&gt;=Settings!$B$2),1,0)</f>
        <v>0</v>
      </c>
      <c r="AC17" s="46">
        <f ca="1">IF(AND(Table1[[#This Row],[SubscriptionStart]]&lt;=Settings!$C$2,Table1[[#This Row],[EffectiveEndDate]]&gt;=Settings!$C$2),1,0)</f>
        <v>0</v>
      </c>
      <c r="AD17" s="46">
        <f ca="1">IF(AND(Table1[[#This Row],[SubscriptionStart]]&lt;=Settings!$D$2,Table1[[#This Row],[EffectiveEndDate]]&gt;=Settings!$D$2),1,0)</f>
        <v>0</v>
      </c>
      <c r="AE17" s="46">
        <f ca="1">IF(AND(Table1[[#This Row],[SubscriptionStart]]&lt;=Settings!$E$2,Table1[[#This Row],[EffectiveEndDate]]&gt;=Settings!$E$2),1,0)</f>
        <v>0</v>
      </c>
      <c r="AF17"/>
      <c r="AG17"/>
      <c r="AH17"/>
      <c r="AI17"/>
      <c r="AJ17"/>
      <c r="AK17"/>
    </row>
    <row r="18" spans="1:37">
      <c r="A18" s="3" t="s">
        <v>333</v>
      </c>
      <c r="B18" s="3">
        <v>42</v>
      </c>
      <c r="C18" s="3" t="s">
        <v>37</v>
      </c>
      <c r="D18" s="5">
        <v>44580</v>
      </c>
      <c r="E18" s="5">
        <v>44940</v>
      </c>
      <c r="F18" s="3">
        <f ca="1">TODAY() - Table1[[#This Row],[SubscriptionStart]]</f>
        <v>1401</v>
      </c>
      <c r="G18" s="4">
        <v>12</v>
      </c>
      <c r="H18" s="3" t="s">
        <v>24</v>
      </c>
      <c r="I18" s="3" t="s">
        <v>25</v>
      </c>
      <c r="J18" s="7" cm="1">
        <f t="array" ref="J18">_xlfn.IFS(Table1[[#This Row],[Tier]]="Basic",10,Table1[[#This Row],[Tier]]="Standard",18,Table1[[#This Row],[Tier]]="Premium",25)</f>
        <v>25</v>
      </c>
      <c r="K18" s="7" cm="1">
        <f t="array" ref="K1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18" s="7" cm="1">
        <f t="array" ref="L1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18" s="3" t="str" cm="1">
        <f t="array" ref="M1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8" s="3" t="s">
        <v>31</v>
      </c>
      <c r="O18" s="3" t="s">
        <v>49</v>
      </c>
      <c r="P18" s="3" t="s">
        <v>41</v>
      </c>
      <c r="Q18" s="3" t="str" cm="1">
        <f t="array" ref="Q18">_xlfn.IFS(Table1[[#This Row],[TotalRevenue]]&lt;100,"Low",Table1[[#This Row],[TotalRevenue]]&lt;300,"Medium",Table1[[#This Row],[TotalRevenue]]&lt;600,"High",TRUE,"Very High")</f>
        <v>Medium</v>
      </c>
      <c r="R18" s="3" t="str" cm="1">
        <f t="array" ref="R1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8" s="3" t="str">
        <f>IF(Table1[[#This Row],[NextBillingDate]]="","Cancelled",IF(Table1[[#This Row],[CancellationDate]]&lt;&gt;"","Cancelled","Active"))</f>
        <v>Cancelled</v>
      </c>
      <c r="T18" s="7" cm="1">
        <f t="array" ref="T1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18" s="5">
        <v>44940</v>
      </c>
      <c r="W18" s="5">
        <v>44940</v>
      </c>
      <c r="X18" s="3">
        <v>0</v>
      </c>
      <c r="Y18" s="5">
        <f ca="1">IF(Table1[[#This Row],[ChurnStatus]]="Cancelled",Table1[[#This Row],[CancellationDate]],TODAY())</f>
        <v>44940</v>
      </c>
      <c r="Z18" s="46">
        <f ca="1">IF(AND(Table1[[#This Row],[SubscriptionStart]] &lt;= TODAY(), Table1[[#This Row],[EffectiveEndDate]] &gt;= TODAY()),1,0)</f>
        <v>0</v>
      </c>
      <c r="AA18" s="46">
        <f ca="1">IF(AND(Table1[[#This Row],[SubscriptionStart]]&lt;=Settings!$A$2,Table1[[#This Row],[EffectiveEndDate]]&gt;=Settings!$A$2),1,0)</f>
        <v>0</v>
      </c>
      <c r="AB18" s="46">
        <f ca="1">IF(AND(Table1[[#This Row],[SubscriptionStart]]&lt;=Settings!$B$2,Table1[[#This Row],[EffectiveEndDate]]&gt;=Settings!$B$2),1,0)</f>
        <v>1</v>
      </c>
      <c r="AC18" s="46">
        <f ca="1">IF(AND(Table1[[#This Row],[SubscriptionStart]]&lt;=Settings!$C$2,Table1[[#This Row],[EffectiveEndDate]]&gt;=Settings!$C$2),1,0)</f>
        <v>1</v>
      </c>
      <c r="AD18" s="46">
        <f ca="1">IF(AND(Table1[[#This Row],[SubscriptionStart]]&lt;=Settings!$D$2,Table1[[#This Row],[EffectiveEndDate]]&gt;=Settings!$D$2),1,0)</f>
        <v>0</v>
      </c>
      <c r="AE18" s="46">
        <f ca="1">IF(AND(Table1[[#This Row],[SubscriptionStart]]&lt;=Settings!$E$2,Table1[[#This Row],[EffectiveEndDate]]&gt;=Settings!$E$2),1,0)</f>
        <v>0</v>
      </c>
      <c r="AF18"/>
      <c r="AG18"/>
      <c r="AH18"/>
      <c r="AI18"/>
      <c r="AJ18"/>
      <c r="AK18"/>
    </row>
    <row r="19" spans="1:37">
      <c r="A19" s="3" t="s">
        <v>682</v>
      </c>
      <c r="B19" s="3">
        <v>73</v>
      </c>
      <c r="C19" s="3" t="s">
        <v>37</v>
      </c>
      <c r="D19" s="5">
        <v>44581</v>
      </c>
      <c r="E19" s="5">
        <v>44761</v>
      </c>
      <c r="F19" s="3">
        <f ca="1">TODAY() - Table1[[#This Row],[SubscriptionStart]]</f>
        <v>1400</v>
      </c>
      <c r="G19" s="4">
        <v>6</v>
      </c>
      <c r="H19" s="3" t="s">
        <v>38</v>
      </c>
      <c r="I19" s="3" t="s">
        <v>39</v>
      </c>
      <c r="J19" s="7" cm="1">
        <f t="array" ref="J19">_xlfn.IFS(Table1[[#This Row],[Tier]]="Basic",10,Table1[[#This Row],[Tier]]="Standard",18,Table1[[#This Row],[Tier]]="Premium",25)</f>
        <v>18</v>
      </c>
      <c r="K19" s="7" cm="1">
        <f t="array" ref="K1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19" s="7" cm="1">
        <f t="array" ref="L1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19" s="3" t="str" cm="1">
        <f t="array" ref="M19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19" s="3" t="s">
        <v>31</v>
      </c>
      <c r="O19" s="3" t="s">
        <v>49</v>
      </c>
      <c r="P19" s="3" t="s">
        <v>47</v>
      </c>
      <c r="Q19" s="3" t="str" cm="1">
        <f t="array" ref="Q19">_xlfn.IFS(Table1[[#This Row],[TotalRevenue]]&lt;100,"Low",Table1[[#This Row],[TotalRevenue]]&lt;300,"Medium",Table1[[#This Row],[TotalRevenue]]&lt;600,"High",TRUE,"Very High")</f>
        <v>Low</v>
      </c>
      <c r="R19" s="3" t="str" cm="1">
        <f t="array" ref="R19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19" s="3" t="str">
        <f>IF(Table1[[#This Row],[NextBillingDate]]="","Cancelled",IF(Table1[[#This Row],[CancellationDate]]&lt;&gt;"","Cancelled","Active"))</f>
        <v>Cancelled</v>
      </c>
      <c r="T19" s="7" cm="1">
        <f t="array" ref="T1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19" s="5">
        <v>44761</v>
      </c>
      <c r="W19" s="5">
        <v>44761</v>
      </c>
      <c r="X19" s="3">
        <v>0</v>
      </c>
      <c r="Y19" s="5">
        <f ca="1">IF(Table1[[#This Row],[ChurnStatus]]="Cancelled",Table1[[#This Row],[CancellationDate]],TODAY())</f>
        <v>44761</v>
      </c>
      <c r="Z19" s="46">
        <f ca="1">IF(AND(Table1[[#This Row],[SubscriptionStart]] &lt;= TODAY(), Table1[[#This Row],[EffectiveEndDate]] &gt;= TODAY()),1,0)</f>
        <v>0</v>
      </c>
      <c r="AA19" s="46">
        <f ca="1">IF(AND(Table1[[#This Row],[SubscriptionStart]]&lt;=Settings!$A$2,Table1[[#This Row],[EffectiveEndDate]]&gt;=Settings!$A$2),1,0)</f>
        <v>0</v>
      </c>
      <c r="AB19" s="46">
        <f ca="1">IF(AND(Table1[[#This Row],[SubscriptionStart]]&lt;=Settings!$B$2,Table1[[#This Row],[EffectiveEndDate]]&gt;=Settings!$B$2),1,0)</f>
        <v>1</v>
      </c>
      <c r="AC19" s="46">
        <f ca="1">IF(AND(Table1[[#This Row],[SubscriptionStart]]&lt;=Settings!$C$2,Table1[[#This Row],[EffectiveEndDate]]&gt;=Settings!$C$2),1,0)</f>
        <v>0</v>
      </c>
      <c r="AD19" s="46">
        <f ca="1">IF(AND(Table1[[#This Row],[SubscriptionStart]]&lt;=Settings!$D$2,Table1[[#This Row],[EffectiveEndDate]]&gt;=Settings!$D$2),1,0)</f>
        <v>0</v>
      </c>
      <c r="AE19" s="46">
        <f ca="1">IF(AND(Table1[[#This Row],[SubscriptionStart]]&lt;=Settings!$E$2,Table1[[#This Row],[EffectiveEndDate]]&gt;=Settings!$E$2),1,0)</f>
        <v>0</v>
      </c>
      <c r="AF19"/>
      <c r="AG19"/>
      <c r="AH19"/>
      <c r="AI19"/>
      <c r="AJ19"/>
      <c r="AK19"/>
    </row>
    <row r="20" spans="1:37">
      <c r="A20" s="3" t="s">
        <v>247</v>
      </c>
      <c r="B20" s="3">
        <v>53</v>
      </c>
      <c r="C20" s="3" t="s">
        <v>37</v>
      </c>
      <c r="D20" s="5">
        <v>44583</v>
      </c>
      <c r="E20" s="5">
        <v>44943</v>
      </c>
      <c r="F20" s="3">
        <f ca="1">TODAY() - Table1[[#This Row],[SubscriptionStart]]</f>
        <v>1398</v>
      </c>
      <c r="G20" s="4">
        <v>12</v>
      </c>
      <c r="H20" s="3" t="s">
        <v>24</v>
      </c>
      <c r="I20" s="3" t="s">
        <v>30</v>
      </c>
      <c r="J20" s="7" cm="1">
        <f t="array" ref="J20">_xlfn.IFS(Table1[[#This Row],[Tier]]="Basic",10,Table1[[#This Row],[Tier]]="Standard",18,Table1[[#This Row],[Tier]]="Premium",25)</f>
        <v>10</v>
      </c>
      <c r="K20" s="7" cm="1">
        <f t="array" ref="K2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0" s="7" cm="1">
        <f t="array" ref="L2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0" s="3" t="str" cm="1">
        <f t="array" ref="M2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0" s="3" t="s">
        <v>52</v>
      </c>
      <c r="O20" s="3" t="s">
        <v>40</v>
      </c>
      <c r="P20" s="3" t="s">
        <v>47</v>
      </c>
      <c r="Q20" s="3" t="str" cm="1">
        <f t="array" ref="Q20">_xlfn.IFS(Table1[[#This Row],[TotalRevenue]]&lt;100,"Low",Table1[[#This Row],[TotalRevenue]]&lt;300,"Medium",Table1[[#This Row],[TotalRevenue]]&lt;600,"High",TRUE,"Very High")</f>
        <v>Low</v>
      </c>
      <c r="R20" s="3" t="str" cm="1">
        <f t="array" ref="R2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0" s="3" t="str">
        <f>IF(Table1[[#This Row],[NextBillingDate]]="","Cancelled",IF(Table1[[#This Row],[CancellationDate]]&lt;&gt;"","Cancelled","Active"))</f>
        <v>Cancelled</v>
      </c>
      <c r="T20" s="7" cm="1">
        <f t="array" ref="T2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0" s="5">
        <v>44943</v>
      </c>
      <c r="W20" s="5">
        <v>44943</v>
      </c>
      <c r="X20" s="3">
        <v>0</v>
      </c>
      <c r="Y20" s="5">
        <f ca="1">IF(Table1[[#This Row],[ChurnStatus]]="Cancelled",Table1[[#This Row],[CancellationDate]],TODAY())</f>
        <v>44943</v>
      </c>
      <c r="Z20" s="46">
        <f ca="1">IF(AND(Table1[[#This Row],[SubscriptionStart]] &lt;= TODAY(), Table1[[#This Row],[EffectiveEndDate]] &gt;= TODAY()),1,0)</f>
        <v>0</v>
      </c>
      <c r="AA20" s="46">
        <f ca="1">IF(AND(Table1[[#This Row],[SubscriptionStart]]&lt;=Settings!$A$2,Table1[[#This Row],[EffectiveEndDate]]&gt;=Settings!$A$2),1,0)</f>
        <v>0</v>
      </c>
      <c r="AB20" s="46">
        <f ca="1">IF(AND(Table1[[#This Row],[SubscriptionStart]]&lt;=Settings!$B$2,Table1[[#This Row],[EffectiveEndDate]]&gt;=Settings!$B$2),1,0)</f>
        <v>1</v>
      </c>
      <c r="AC20" s="46">
        <f ca="1">IF(AND(Table1[[#This Row],[SubscriptionStart]]&lt;=Settings!$C$2,Table1[[#This Row],[EffectiveEndDate]]&gt;=Settings!$C$2),1,0)</f>
        <v>1</v>
      </c>
      <c r="AD20" s="46">
        <f ca="1">IF(AND(Table1[[#This Row],[SubscriptionStart]]&lt;=Settings!$D$2,Table1[[#This Row],[EffectiveEndDate]]&gt;=Settings!$D$2),1,0)</f>
        <v>0</v>
      </c>
      <c r="AE20" s="46">
        <f ca="1">IF(AND(Table1[[#This Row],[SubscriptionStart]]&lt;=Settings!$E$2,Table1[[#This Row],[EffectiveEndDate]]&gt;=Settings!$E$2),1,0)</f>
        <v>0</v>
      </c>
      <c r="AF20"/>
      <c r="AG20"/>
      <c r="AH20"/>
      <c r="AI20"/>
      <c r="AJ20"/>
      <c r="AK20"/>
    </row>
    <row r="21" spans="1:37">
      <c r="A21" s="3" t="s">
        <v>693</v>
      </c>
      <c r="B21" s="3">
        <v>23</v>
      </c>
      <c r="C21" s="3" t="s">
        <v>37</v>
      </c>
      <c r="D21" s="5">
        <v>44583</v>
      </c>
      <c r="E21" s="5">
        <v>44943</v>
      </c>
      <c r="F21" s="3">
        <f ca="1">TODAY() - Table1[[#This Row],[SubscriptionStart]]</f>
        <v>1398</v>
      </c>
      <c r="G21" s="4">
        <v>12</v>
      </c>
      <c r="H21" s="3" t="s">
        <v>24</v>
      </c>
      <c r="I21" s="3" t="s">
        <v>30</v>
      </c>
      <c r="J21" s="7" cm="1">
        <f t="array" ref="J21">_xlfn.IFS(Table1[[#This Row],[Tier]]="Basic",10,Table1[[#This Row],[Tier]]="Standard",18,Table1[[#This Row],[Tier]]="Premium",25)</f>
        <v>10</v>
      </c>
      <c r="K21" s="7" cm="1">
        <f t="array" ref="K2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1" s="7" cm="1">
        <f t="array" ref="L2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1" s="3" t="str" cm="1">
        <f t="array" ref="M21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21" s="3" t="s">
        <v>26</v>
      </c>
      <c r="O21" s="3" t="s">
        <v>32</v>
      </c>
      <c r="P21" s="3" t="s">
        <v>35</v>
      </c>
      <c r="Q21" s="3" t="str" cm="1">
        <f t="array" ref="Q21">_xlfn.IFS(Table1[[#This Row],[TotalRevenue]]&lt;100,"Low",Table1[[#This Row],[TotalRevenue]]&lt;300,"Medium",Table1[[#This Row],[TotalRevenue]]&lt;600,"High",TRUE,"Very High")</f>
        <v>Low</v>
      </c>
      <c r="R21" s="3" t="str" cm="1">
        <f t="array" ref="R21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21" s="3" t="str">
        <f>IF(Table1[[#This Row],[NextBillingDate]]="","Cancelled",IF(Table1[[#This Row],[CancellationDate]]&lt;&gt;"","Cancelled","Active"))</f>
        <v>Cancelled</v>
      </c>
      <c r="T21" s="7" cm="1">
        <f t="array" ref="T2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1" s="5">
        <v>44943</v>
      </c>
      <c r="W21" s="5">
        <v>44943</v>
      </c>
      <c r="X21" s="3">
        <v>0</v>
      </c>
      <c r="Y21" s="5">
        <f ca="1">IF(Table1[[#This Row],[ChurnStatus]]="Cancelled",Table1[[#This Row],[CancellationDate]],TODAY())</f>
        <v>44943</v>
      </c>
      <c r="Z21" s="46">
        <f ca="1">IF(AND(Table1[[#This Row],[SubscriptionStart]] &lt;= TODAY(), Table1[[#This Row],[EffectiveEndDate]] &gt;= TODAY()),1,0)</f>
        <v>0</v>
      </c>
      <c r="AA21" s="46">
        <f ca="1">IF(AND(Table1[[#This Row],[SubscriptionStart]]&lt;=Settings!$A$2,Table1[[#This Row],[EffectiveEndDate]]&gt;=Settings!$A$2),1,0)</f>
        <v>0</v>
      </c>
      <c r="AB21" s="46">
        <f ca="1">IF(AND(Table1[[#This Row],[SubscriptionStart]]&lt;=Settings!$B$2,Table1[[#This Row],[EffectiveEndDate]]&gt;=Settings!$B$2),1,0)</f>
        <v>1</v>
      </c>
      <c r="AC21" s="46">
        <f ca="1">IF(AND(Table1[[#This Row],[SubscriptionStart]]&lt;=Settings!$C$2,Table1[[#This Row],[EffectiveEndDate]]&gt;=Settings!$C$2),1,0)</f>
        <v>1</v>
      </c>
      <c r="AD21" s="46">
        <f ca="1">IF(AND(Table1[[#This Row],[SubscriptionStart]]&lt;=Settings!$D$2,Table1[[#This Row],[EffectiveEndDate]]&gt;=Settings!$D$2),1,0)</f>
        <v>0</v>
      </c>
      <c r="AE21" s="46">
        <f ca="1">IF(AND(Table1[[#This Row],[SubscriptionStart]]&lt;=Settings!$E$2,Table1[[#This Row],[EffectiveEndDate]]&gt;=Settings!$E$2),1,0)</f>
        <v>0</v>
      </c>
      <c r="AF21"/>
      <c r="AG21"/>
      <c r="AH21"/>
      <c r="AI21"/>
      <c r="AJ21"/>
      <c r="AK21"/>
    </row>
    <row r="22" spans="1:37">
      <c r="A22" s="3" t="s">
        <v>340</v>
      </c>
      <c r="B22" s="3">
        <v>57</v>
      </c>
      <c r="C22" s="3" t="s">
        <v>37</v>
      </c>
      <c r="D22" s="5">
        <v>44585</v>
      </c>
      <c r="E22" s="5">
        <v>44945</v>
      </c>
      <c r="F22" s="3">
        <f ca="1">TODAY() - Table1[[#This Row],[SubscriptionStart]]</f>
        <v>1396</v>
      </c>
      <c r="G22" s="4">
        <v>12</v>
      </c>
      <c r="H22" s="3" t="s">
        <v>24</v>
      </c>
      <c r="I22" s="3" t="s">
        <v>39</v>
      </c>
      <c r="J22" s="7" cm="1">
        <f t="array" ref="J22">_xlfn.IFS(Table1[[#This Row],[Tier]]="Basic",10,Table1[[#This Row],[Tier]]="Standard",18,Table1[[#This Row],[Tier]]="Premium",25)</f>
        <v>18</v>
      </c>
      <c r="K22" s="7" cm="1">
        <f t="array" ref="K2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22" s="7" cm="1">
        <f t="array" ref="L2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22" s="3" t="str" cm="1">
        <f t="array" ref="M22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2" s="3" t="s">
        <v>26</v>
      </c>
      <c r="O22" s="3" t="s">
        <v>40</v>
      </c>
      <c r="P22" s="3" t="s">
        <v>35</v>
      </c>
      <c r="Q22" s="3" t="str" cm="1">
        <f t="array" ref="Q22">_xlfn.IFS(Table1[[#This Row],[TotalRevenue]]&lt;100,"Low",Table1[[#This Row],[TotalRevenue]]&lt;300,"Medium",Table1[[#This Row],[TotalRevenue]]&lt;600,"High",TRUE,"Very High")</f>
        <v>Medium</v>
      </c>
      <c r="R22" s="3" t="str" cm="1">
        <f t="array" ref="R2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2" s="3" t="str">
        <f>IF(Table1[[#This Row],[NextBillingDate]]="","Cancelled",IF(Table1[[#This Row],[CancellationDate]]&lt;&gt;"","Cancelled","Active"))</f>
        <v>Cancelled</v>
      </c>
      <c r="T22" s="7" cm="1">
        <f t="array" ref="T2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22" s="5">
        <v>44945</v>
      </c>
      <c r="W22" s="5">
        <v>44945</v>
      </c>
      <c r="X22" s="3">
        <v>0</v>
      </c>
      <c r="Y22" s="5">
        <f ca="1">IF(Table1[[#This Row],[ChurnStatus]]="Cancelled",Table1[[#This Row],[CancellationDate]],TODAY())</f>
        <v>44945</v>
      </c>
      <c r="Z22" s="46">
        <f ca="1">IF(AND(Table1[[#This Row],[SubscriptionStart]] &lt;= TODAY(), Table1[[#This Row],[EffectiveEndDate]] &gt;= TODAY()),1,0)</f>
        <v>0</v>
      </c>
      <c r="AA22" s="46">
        <f ca="1">IF(AND(Table1[[#This Row],[SubscriptionStart]]&lt;=Settings!$A$2,Table1[[#This Row],[EffectiveEndDate]]&gt;=Settings!$A$2),1,0)</f>
        <v>0</v>
      </c>
      <c r="AB22" s="46">
        <f ca="1">IF(AND(Table1[[#This Row],[SubscriptionStart]]&lt;=Settings!$B$2,Table1[[#This Row],[EffectiveEndDate]]&gt;=Settings!$B$2),1,0)</f>
        <v>1</v>
      </c>
      <c r="AC22" s="46">
        <f ca="1">IF(AND(Table1[[#This Row],[SubscriptionStart]]&lt;=Settings!$C$2,Table1[[#This Row],[EffectiveEndDate]]&gt;=Settings!$C$2),1,0)</f>
        <v>1</v>
      </c>
      <c r="AD22" s="46">
        <f ca="1">IF(AND(Table1[[#This Row],[SubscriptionStart]]&lt;=Settings!$D$2,Table1[[#This Row],[EffectiveEndDate]]&gt;=Settings!$D$2),1,0)</f>
        <v>0</v>
      </c>
      <c r="AE22" s="46">
        <f ca="1">IF(AND(Table1[[#This Row],[SubscriptionStart]]&lt;=Settings!$E$2,Table1[[#This Row],[EffectiveEndDate]]&gt;=Settings!$E$2),1,0)</f>
        <v>0</v>
      </c>
      <c r="AF22"/>
      <c r="AG22"/>
      <c r="AH22"/>
      <c r="AI22"/>
      <c r="AJ22"/>
      <c r="AK22"/>
    </row>
    <row r="23" spans="1:37">
      <c r="A23" s="3" t="s">
        <v>74</v>
      </c>
      <c r="B23" s="3">
        <v>41</v>
      </c>
      <c r="C23" s="3" t="s">
        <v>37</v>
      </c>
      <c r="D23" s="5">
        <v>44585</v>
      </c>
      <c r="F23" s="3">
        <f ca="1">TODAY() - Table1[[#This Row],[SubscriptionStart]]</f>
        <v>1396</v>
      </c>
      <c r="G23" s="4">
        <v>48</v>
      </c>
      <c r="H23" s="3" t="s">
        <v>24</v>
      </c>
      <c r="I23" s="3" t="s">
        <v>30</v>
      </c>
      <c r="J23" s="7" cm="1">
        <f t="array" ref="J23">_xlfn.IFS(Table1[[#This Row],[Tier]]="Basic",10,Table1[[#This Row],[Tier]]="Standard",18,Table1[[#This Row],[Tier]]="Premium",25)</f>
        <v>10</v>
      </c>
      <c r="K23" s="7" cm="1">
        <f t="array" ref="K2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23" s="7" cm="1">
        <f t="array" ref="L2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312</v>
      </c>
      <c r="M23" s="3" t="str" cm="1">
        <f t="array" ref="M2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3" s="3" t="s">
        <v>34</v>
      </c>
      <c r="O23" s="3" t="s">
        <v>43</v>
      </c>
      <c r="Q23" s="3" t="str" cm="1">
        <f t="array" ref="Q23">_xlfn.IFS(Table1[[#This Row],[TotalRevenue]]&lt;100,"Low",Table1[[#This Row],[TotalRevenue]]&lt;300,"Medium",Table1[[#This Row],[TotalRevenue]]&lt;600,"High",TRUE,"Very High")</f>
        <v>High</v>
      </c>
      <c r="R23" s="3" t="str" cm="1">
        <f t="array" ref="R2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3" s="3" t="str">
        <f>IF(Table1[[#This Row],[NextBillingDate]]="","Cancelled",IF(Table1[[#This Row],[CancellationDate]]&lt;&gt;"","Cancelled","Active"))</f>
        <v>Active</v>
      </c>
      <c r="T23" s="7" cm="1">
        <f t="array" ref="T2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392</v>
      </c>
      <c r="V23" s="5">
        <v>46025</v>
      </c>
      <c r="W23" s="5">
        <v>46025</v>
      </c>
      <c r="X23" s="3">
        <v>3</v>
      </c>
      <c r="Y23" s="5">
        <f ca="1">IF(Table1[[#This Row],[ChurnStatus]]="Cancelled",Table1[[#This Row],[CancellationDate]],TODAY())</f>
        <v>45981</v>
      </c>
      <c r="Z23" s="46">
        <f ca="1">IF(AND(Table1[[#This Row],[SubscriptionStart]] &lt;= TODAY(), Table1[[#This Row],[EffectiveEndDate]] &gt;= TODAY()),1,0)</f>
        <v>1</v>
      </c>
      <c r="AA23" s="46">
        <f ca="1">IF(AND(Table1[[#This Row],[SubscriptionStart]]&lt;=Settings!$A$2,Table1[[#This Row],[EffectiveEndDate]]&gt;=Settings!$A$2),1,0)</f>
        <v>0</v>
      </c>
      <c r="AB23" s="46">
        <f ca="1">IF(AND(Table1[[#This Row],[SubscriptionStart]]&lt;=Settings!$B$2,Table1[[#This Row],[EffectiveEndDate]]&gt;=Settings!$B$2),1,0)</f>
        <v>1</v>
      </c>
      <c r="AC23" s="46">
        <f ca="1">IF(AND(Table1[[#This Row],[SubscriptionStart]]&lt;=Settings!$C$2,Table1[[#This Row],[EffectiveEndDate]]&gt;=Settings!$C$2),1,0)</f>
        <v>1</v>
      </c>
      <c r="AD23" s="46">
        <f ca="1">IF(AND(Table1[[#This Row],[SubscriptionStart]]&lt;=Settings!$D$2,Table1[[#This Row],[EffectiveEndDate]]&gt;=Settings!$D$2),1,0)</f>
        <v>1</v>
      </c>
      <c r="AE23" s="46">
        <f ca="1">IF(AND(Table1[[#This Row],[SubscriptionStart]]&lt;=Settings!$E$2,Table1[[#This Row],[EffectiveEndDate]]&gt;=Settings!$E$2),1,0)</f>
        <v>1</v>
      </c>
      <c r="AF23"/>
      <c r="AG23"/>
      <c r="AH23"/>
      <c r="AI23"/>
      <c r="AJ23"/>
      <c r="AK23"/>
    </row>
    <row r="24" spans="1:37">
      <c r="A24" s="3" t="s">
        <v>305</v>
      </c>
      <c r="B24" s="3">
        <v>66</v>
      </c>
      <c r="C24" s="3" t="s">
        <v>37</v>
      </c>
      <c r="D24" s="5">
        <v>44587</v>
      </c>
      <c r="E24" s="5">
        <v>44617</v>
      </c>
      <c r="F24" s="3">
        <f ca="1">TODAY() - Table1[[#This Row],[SubscriptionStart]]</f>
        <v>1394</v>
      </c>
      <c r="G24" s="4">
        <v>1</v>
      </c>
      <c r="H24" s="3" t="s">
        <v>29</v>
      </c>
      <c r="I24" s="3" t="s">
        <v>30</v>
      </c>
      <c r="J24" s="7" cm="1">
        <f t="array" ref="J24">_xlfn.IFS(Table1[[#This Row],[Tier]]="Basic",10,Table1[[#This Row],[Tier]]="Standard",18,Table1[[#This Row],[Tier]]="Premium",25)</f>
        <v>10</v>
      </c>
      <c r="K24" s="7" cm="1">
        <f t="array" ref="K2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24" s="7" cm="1">
        <f t="array" ref="L2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24" s="3" t="str" cm="1">
        <f t="array" ref="M2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4" s="3" t="s">
        <v>31</v>
      </c>
      <c r="O24" s="3" t="s">
        <v>43</v>
      </c>
      <c r="P24" s="3" t="s">
        <v>44</v>
      </c>
      <c r="Q24" s="3" t="str" cm="1">
        <f t="array" ref="Q24">_xlfn.IFS(Table1[[#This Row],[TotalRevenue]]&lt;100,"Low",Table1[[#This Row],[TotalRevenue]]&lt;300,"Medium",Table1[[#This Row],[TotalRevenue]]&lt;600,"High",TRUE,"Very High")</f>
        <v>Low</v>
      </c>
      <c r="R24" s="3" t="str" cm="1">
        <f t="array" ref="R2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4" s="3" t="str">
        <f>IF(Table1[[#This Row],[NextBillingDate]]="","Cancelled",IF(Table1[[#This Row],[CancellationDate]]&lt;&gt;"","Cancelled","Active"))</f>
        <v>Cancelled</v>
      </c>
      <c r="T24" s="7" cm="1">
        <f t="array" ref="T2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24" s="5">
        <v>44617</v>
      </c>
      <c r="W24" s="5">
        <v>44617</v>
      </c>
      <c r="X24" s="3">
        <v>0</v>
      </c>
      <c r="Y24" s="5">
        <f ca="1">IF(Table1[[#This Row],[ChurnStatus]]="Cancelled",Table1[[#This Row],[CancellationDate]],TODAY())</f>
        <v>44617</v>
      </c>
      <c r="Z24" s="46">
        <f ca="1">IF(AND(Table1[[#This Row],[SubscriptionStart]] &lt;= TODAY(), Table1[[#This Row],[EffectiveEndDate]] &gt;= TODAY()),1,0)</f>
        <v>0</v>
      </c>
      <c r="AA24" s="46">
        <f ca="1">IF(AND(Table1[[#This Row],[SubscriptionStart]]&lt;=Settings!$A$2,Table1[[#This Row],[EffectiveEndDate]]&gt;=Settings!$A$2),1,0)</f>
        <v>0</v>
      </c>
      <c r="AB24" s="46">
        <f ca="1">IF(AND(Table1[[#This Row],[SubscriptionStart]]&lt;=Settings!$B$2,Table1[[#This Row],[EffectiveEndDate]]&gt;=Settings!$B$2),1,0)</f>
        <v>0</v>
      </c>
      <c r="AC24" s="46">
        <f ca="1">IF(AND(Table1[[#This Row],[SubscriptionStart]]&lt;=Settings!$C$2,Table1[[#This Row],[EffectiveEndDate]]&gt;=Settings!$C$2),1,0)</f>
        <v>0</v>
      </c>
      <c r="AD24" s="46">
        <f ca="1">IF(AND(Table1[[#This Row],[SubscriptionStart]]&lt;=Settings!$D$2,Table1[[#This Row],[EffectiveEndDate]]&gt;=Settings!$D$2),1,0)</f>
        <v>0</v>
      </c>
      <c r="AE24" s="46">
        <f ca="1">IF(AND(Table1[[#This Row],[SubscriptionStart]]&lt;=Settings!$E$2,Table1[[#This Row],[EffectiveEndDate]]&gt;=Settings!$E$2),1,0)</f>
        <v>0</v>
      </c>
      <c r="AF24"/>
      <c r="AG24"/>
      <c r="AH24"/>
      <c r="AI24"/>
      <c r="AJ24"/>
      <c r="AK24"/>
    </row>
    <row r="25" spans="1:37">
      <c r="A25" s="3" t="s">
        <v>541</v>
      </c>
      <c r="B25" s="3">
        <v>58</v>
      </c>
      <c r="C25" s="3" t="s">
        <v>23</v>
      </c>
      <c r="D25" s="5">
        <v>44589</v>
      </c>
      <c r="E25" s="5">
        <v>44949</v>
      </c>
      <c r="F25" s="3">
        <f ca="1">TODAY() - Table1[[#This Row],[SubscriptionStart]]</f>
        <v>1392</v>
      </c>
      <c r="G25" s="4">
        <v>12</v>
      </c>
      <c r="H25" s="3" t="s">
        <v>24</v>
      </c>
      <c r="I25" s="3" t="s">
        <v>30</v>
      </c>
      <c r="J25" s="7" cm="1">
        <f t="array" ref="J25">_xlfn.IFS(Table1[[#This Row],[Tier]]="Basic",10,Table1[[#This Row],[Tier]]="Standard",18,Table1[[#This Row],[Tier]]="Premium",25)</f>
        <v>10</v>
      </c>
      <c r="K25" s="7" cm="1">
        <f t="array" ref="K2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5" s="7" cm="1">
        <f t="array" ref="L2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5" s="3" t="str" cm="1">
        <f t="array" ref="M25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5" s="3" t="s">
        <v>34</v>
      </c>
      <c r="O25" s="3" t="s">
        <v>49</v>
      </c>
      <c r="P25" s="3" t="s">
        <v>44</v>
      </c>
      <c r="Q25" s="3" t="str" cm="1">
        <f t="array" ref="Q25">_xlfn.IFS(Table1[[#This Row],[TotalRevenue]]&lt;100,"Low",Table1[[#This Row],[TotalRevenue]]&lt;300,"Medium",Table1[[#This Row],[TotalRevenue]]&lt;600,"High",TRUE,"Very High")</f>
        <v>Low</v>
      </c>
      <c r="R25" s="3" t="str" cm="1">
        <f t="array" ref="R2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5" s="3" t="str">
        <f>IF(Table1[[#This Row],[NextBillingDate]]="","Cancelled",IF(Table1[[#This Row],[CancellationDate]]&lt;&gt;"","Cancelled","Active"))</f>
        <v>Cancelled</v>
      </c>
      <c r="T25" s="7" cm="1">
        <f t="array" ref="T2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5" s="5">
        <v>44949</v>
      </c>
      <c r="W25" s="5">
        <v>44949</v>
      </c>
      <c r="X25" s="3">
        <v>0</v>
      </c>
      <c r="Y25" s="5">
        <f ca="1">IF(Table1[[#This Row],[ChurnStatus]]="Cancelled",Table1[[#This Row],[CancellationDate]],TODAY())</f>
        <v>44949</v>
      </c>
      <c r="Z25" s="46">
        <f ca="1">IF(AND(Table1[[#This Row],[SubscriptionStart]] &lt;= TODAY(), Table1[[#This Row],[EffectiveEndDate]] &gt;= TODAY()),1,0)</f>
        <v>0</v>
      </c>
      <c r="AA25" s="46">
        <f ca="1">IF(AND(Table1[[#This Row],[SubscriptionStart]]&lt;=Settings!$A$2,Table1[[#This Row],[EffectiveEndDate]]&gt;=Settings!$A$2),1,0)</f>
        <v>0</v>
      </c>
      <c r="AB25" s="46">
        <f ca="1">IF(AND(Table1[[#This Row],[SubscriptionStart]]&lt;=Settings!$B$2,Table1[[#This Row],[EffectiveEndDate]]&gt;=Settings!$B$2),1,0)</f>
        <v>1</v>
      </c>
      <c r="AC25" s="46">
        <f ca="1">IF(AND(Table1[[#This Row],[SubscriptionStart]]&lt;=Settings!$C$2,Table1[[#This Row],[EffectiveEndDate]]&gt;=Settings!$C$2),1,0)</f>
        <v>1</v>
      </c>
      <c r="AD25" s="46">
        <f ca="1">IF(AND(Table1[[#This Row],[SubscriptionStart]]&lt;=Settings!$D$2,Table1[[#This Row],[EffectiveEndDate]]&gt;=Settings!$D$2),1,0)</f>
        <v>0</v>
      </c>
      <c r="AE25" s="46">
        <f ca="1">IF(AND(Table1[[#This Row],[SubscriptionStart]]&lt;=Settings!$E$2,Table1[[#This Row],[EffectiveEndDate]]&gt;=Settings!$E$2),1,0)</f>
        <v>0</v>
      </c>
      <c r="AF25"/>
      <c r="AG25"/>
      <c r="AH25"/>
      <c r="AI25"/>
      <c r="AJ25"/>
      <c r="AK25"/>
    </row>
    <row r="26" spans="1:37">
      <c r="A26" s="3" t="s">
        <v>823</v>
      </c>
      <c r="B26" s="3">
        <v>28</v>
      </c>
      <c r="C26" s="3" t="s">
        <v>23</v>
      </c>
      <c r="D26" s="5">
        <v>44589</v>
      </c>
      <c r="E26" s="5">
        <v>44949</v>
      </c>
      <c r="F26" s="3">
        <f ca="1">TODAY() - Table1[[#This Row],[SubscriptionStart]]</f>
        <v>1392</v>
      </c>
      <c r="G26" s="4">
        <v>12</v>
      </c>
      <c r="H26" s="3" t="s">
        <v>24</v>
      </c>
      <c r="I26" s="3" t="s">
        <v>30</v>
      </c>
      <c r="J26" s="7" cm="1">
        <f t="array" ref="J26">_xlfn.IFS(Table1[[#This Row],[Tier]]="Basic",10,Table1[[#This Row],[Tier]]="Standard",18,Table1[[#This Row],[Tier]]="Premium",25)</f>
        <v>10</v>
      </c>
      <c r="K26" s="7" cm="1">
        <f t="array" ref="K2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6" s="7" cm="1">
        <f t="array" ref="L2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6" s="3" t="str" cm="1">
        <f t="array" ref="M2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6" s="3" t="s">
        <v>31</v>
      </c>
      <c r="O26" s="3" t="s">
        <v>40</v>
      </c>
      <c r="P26" s="3" t="s">
        <v>50</v>
      </c>
      <c r="Q26" s="3" t="str" cm="1">
        <f t="array" ref="Q26">_xlfn.IFS(Table1[[#This Row],[TotalRevenue]]&lt;100,"Low",Table1[[#This Row],[TotalRevenue]]&lt;300,"Medium",Table1[[#This Row],[TotalRevenue]]&lt;600,"High",TRUE,"Very High")</f>
        <v>Low</v>
      </c>
      <c r="R26" s="3" t="str" cm="1">
        <f t="array" ref="R2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6" s="3" t="str">
        <f>IF(Table1[[#This Row],[NextBillingDate]]="","Cancelled",IF(Table1[[#This Row],[CancellationDate]]&lt;&gt;"","Cancelled","Active"))</f>
        <v>Cancelled</v>
      </c>
      <c r="T26" s="7" cm="1">
        <f t="array" ref="T2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6" s="5">
        <v>44949</v>
      </c>
      <c r="W26" s="5">
        <v>44949</v>
      </c>
      <c r="X26" s="3">
        <v>0</v>
      </c>
      <c r="Y26" s="5">
        <f ca="1">IF(Table1[[#This Row],[ChurnStatus]]="Cancelled",Table1[[#This Row],[CancellationDate]],TODAY())</f>
        <v>44949</v>
      </c>
      <c r="Z26" s="46">
        <f ca="1">IF(AND(Table1[[#This Row],[SubscriptionStart]] &lt;= TODAY(), Table1[[#This Row],[EffectiveEndDate]] &gt;= TODAY()),1,0)</f>
        <v>0</v>
      </c>
      <c r="AA26" s="46">
        <f ca="1">IF(AND(Table1[[#This Row],[SubscriptionStart]]&lt;=Settings!$A$2,Table1[[#This Row],[EffectiveEndDate]]&gt;=Settings!$A$2),1,0)</f>
        <v>0</v>
      </c>
      <c r="AB26" s="46">
        <f ca="1">IF(AND(Table1[[#This Row],[SubscriptionStart]]&lt;=Settings!$B$2,Table1[[#This Row],[EffectiveEndDate]]&gt;=Settings!$B$2),1,0)</f>
        <v>1</v>
      </c>
      <c r="AC26" s="46">
        <f ca="1">IF(AND(Table1[[#This Row],[SubscriptionStart]]&lt;=Settings!$C$2,Table1[[#This Row],[EffectiveEndDate]]&gt;=Settings!$C$2),1,0)</f>
        <v>1</v>
      </c>
      <c r="AD26" s="46">
        <f ca="1">IF(AND(Table1[[#This Row],[SubscriptionStart]]&lt;=Settings!$D$2,Table1[[#This Row],[EffectiveEndDate]]&gt;=Settings!$D$2),1,0)</f>
        <v>0</v>
      </c>
      <c r="AE26" s="46">
        <f ca="1">IF(AND(Table1[[#This Row],[SubscriptionStart]]&lt;=Settings!$E$2,Table1[[#This Row],[EffectiveEndDate]]&gt;=Settings!$E$2),1,0)</f>
        <v>0</v>
      </c>
      <c r="AF26"/>
      <c r="AG26"/>
      <c r="AH26"/>
      <c r="AI26"/>
      <c r="AJ26"/>
      <c r="AK26"/>
    </row>
    <row r="27" spans="1:37">
      <c r="A27" s="3" t="s">
        <v>522</v>
      </c>
      <c r="B27" s="3">
        <v>32</v>
      </c>
      <c r="C27" s="3" t="s">
        <v>37</v>
      </c>
      <c r="D27" s="5">
        <v>44591</v>
      </c>
      <c r="E27" s="5">
        <v>44771</v>
      </c>
      <c r="F27" s="3">
        <f ca="1">TODAY() - Table1[[#This Row],[SubscriptionStart]]</f>
        <v>1390</v>
      </c>
      <c r="G27" s="4">
        <v>6</v>
      </c>
      <c r="H27" s="3" t="s">
        <v>38</v>
      </c>
      <c r="I27" s="3" t="s">
        <v>30</v>
      </c>
      <c r="J27" s="7" cm="1">
        <f t="array" ref="J27">_xlfn.IFS(Table1[[#This Row],[Tier]]="Basic",10,Table1[[#This Row],[Tier]]="Standard",18,Table1[[#This Row],[Tier]]="Premium",25)</f>
        <v>10</v>
      </c>
      <c r="K27" s="7" cm="1">
        <f t="array" ref="K2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27" s="7" cm="1">
        <f t="array" ref="L2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27" s="3" t="str" cm="1">
        <f t="array" ref="M2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7" s="3" t="s">
        <v>26</v>
      </c>
      <c r="O27" s="3" t="s">
        <v>49</v>
      </c>
      <c r="P27" s="3" t="s">
        <v>44</v>
      </c>
      <c r="Q27" s="3" t="str" cm="1">
        <f t="array" ref="Q27">_xlfn.IFS(Table1[[#This Row],[TotalRevenue]]&lt;100,"Low",Table1[[#This Row],[TotalRevenue]]&lt;300,"Medium",Table1[[#This Row],[TotalRevenue]]&lt;600,"High",TRUE,"Very High")</f>
        <v>Low</v>
      </c>
      <c r="R27" s="3" t="str" cm="1">
        <f t="array" ref="R2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7" s="3" t="str">
        <f>IF(Table1[[#This Row],[NextBillingDate]]="","Cancelled",IF(Table1[[#This Row],[CancellationDate]]&lt;&gt;"","Cancelled","Active"))</f>
        <v>Cancelled</v>
      </c>
      <c r="T27" s="7" cm="1">
        <f t="array" ref="T2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27" s="5">
        <v>44771</v>
      </c>
      <c r="W27" s="5">
        <v>44771</v>
      </c>
      <c r="X27" s="3">
        <v>0</v>
      </c>
      <c r="Y27" s="5">
        <f ca="1">IF(Table1[[#This Row],[ChurnStatus]]="Cancelled",Table1[[#This Row],[CancellationDate]],TODAY())</f>
        <v>44771</v>
      </c>
      <c r="Z27" s="46">
        <f ca="1">IF(AND(Table1[[#This Row],[SubscriptionStart]] &lt;= TODAY(), Table1[[#This Row],[EffectiveEndDate]] &gt;= TODAY()),1,0)</f>
        <v>0</v>
      </c>
      <c r="AA27" s="46">
        <f ca="1">IF(AND(Table1[[#This Row],[SubscriptionStart]]&lt;=Settings!$A$2,Table1[[#This Row],[EffectiveEndDate]]&gt;=Settings!$A$2),1,0)</f>
        <v>0</v>
      </c>
      <c r="AB27" s="46">
        <f ca="1">IF(AND(Table1[[#This Row],[SubscriptionStart]]&lt;=Settings!$B$2,Table1[[#This Row],[EffectiveEndDate]]&gt;=Settings!$B$2),1,0)</f>
        <v>1</v>
      </c>
      <c r="AC27" s="46">
        <f ca="1">IF(AND(Table1[[#This Row],[SubscriptionStart]]&lt;=Settings!$C$2,Table1[[#This Row],[EffectiveEndDate]]&gt;=Settings!$C$2),1,0)</f>
        <v>0</v>
      </c>
      <c r="AD27" s="46">
        <f ca="1">IF(AND(Table1[[#This Row],[SubscriptionStart]]&lt;=Settings!$D$2,Table1[[#This Row],[EffectiveEndDate]]&gt;=Settings!$D$2),1,0)</f>
        <v>0</v>
      </c>
      <c r="AE27" s="46">
        <f ca="1">IF(AND(Table1[[#This Row],[SubscriptionStart]]&lt;=Settings!$E$2,Table1[[#This Row],[EffectiveEndDate]]&gt;=Settings!$E$2),1,0)</f>
        <v>0</v>
      </c>
      <c r="AF27"/>
      <c r="AG27"/>
      <c r="AH27"/>
      <c r="AI27"/>
      <c r="AJ27"/>
      <c r="AK27"/>
    </row>
    <row r="28" spans="1:37">
      <c r="A28" s="3" t="s">
        <v>429</v>
      </c>
      <c r="B28" s="3">
        <v>60</v>
      </c>
      <c r="C28" s="3" t="s">
        <v>37</v>
      </c>
      <c r="D28" s="5">
        <v>44592</v>
      </c>
      <c r="E28" s="5">
        <v>44952</v>
      </c>
      <c r="F28" s="3">
        <f ca="1">TODAY() - Table1[[#This Row],[SubscriptionStart]]</f>
        <v>1389</v>
      </c>
      <c r="G28" s="4">
        <v>12</v>
      </c>
      <c r="H28" s="3" t="s">
        <v>24</v>
      </c>
      <c r="I28" s="3" t="s">
        <v>39</v>
      </c>
      <c r="J28" s="7" cm="1">
        <f t="array" ref="J28">_xlfn.IFS(Table1[[#This Row],[Tier]]="Basic",10,Table1[[#This Row],[Tier]]="Standard",18,Table1[[#This Row],[Tier]]="Premium",25)</f>
        <v>18</v>
      </c>
      <c r="K28" s="7" cm="1">
        <f t="array" ref="K2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28" s="7" cm="1">
        <f t="array" ref="L2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28" s="3" t="str" cm="1">
        <f t="array" ref="M28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8" s="3" t="s">
        <v>26</v>
      </c>
      <c r="O28" s="3" t="s">
        <v>49</v>
      </c>
      <c r="P28" s="3" t="s">
        <v>50</v>
      </c>
      <c r="Q28" s="3" t="str" cm="1">
        <f t="array" ref="Q28">_xlfn.IFS(Table1[[#This Row],[TotalRevenue]]&lt;100,"Low",Table1[[#This Row],[TotalRevenue]]&lt;300,"Medium",Table1[[#This Row],[TotalRevenue]]&lt;600,"High",TRUE,"Very High")</f>
        <v>Medium</v>
      </c>
      <c r="R28" s="3" t="str" cm="1">
        <f t="array" ref="R28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8" s="3" t="str">
        <f>IF(Table1[[#This Row],[NextBillingDate]]="","Cancelled",IF(Table1[[#This Row],[CancellationDate]]&lt;&gt;"","Cancelled","Active"))</f>
        <v>Cancelled</v>
      </c>
      <c r="T28" s="7" cm="1">
        <f t="array" ref="T2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28" s="5">
        <v>44952</v>
      </c>
      <c r="W28" s="5">
        <v>44952</v>
      </c>
      <c r="X28" s="3">
        <v>0</v>
      </c>
      <c r="Y28" s="5">
        <f ca="1">IF(Table1[[#This Row],[ChurnStatus]]="Cancelled",Table1[[#This Row],[CancellationDate]],TODAY())</f>
        <v>44952</v>
      </c>
      <c r="Z28" s="46">
        <f ca="1">IF(AND(Table1[[#This Row],[SubscriptionStart]] &lt;= TODAY(), Table1[[#This Row],[EffectiveEndDate]] &gt;= TODAY()),1,0)</f>
        <v>0</v>
      </c>
      <c r="AA28" s="46">
        <f ca="1">IF(AND(Table1[[#This Row],[SubscriptionStart]]&lt;=Settings!$A$2,Table1[[#This Row],[EffectiveEndDate]]&gt;=Settings!$A$2),1,0)</f>
        <v>0</v>
      </c>
      <c r="AB28" s="46">
        <f ca="1">IF(AND(Table1[[#This Row],[SubscriptionStart]]&lt;=Settings!$B$2,Table1[[#This Row],[EffectiveEndDate]]&gt;=Settings!$B$2),1,0)</f>
        <v>1</v>
      </c>
      <c r="AC28" s="46">
        <f ca="1">IF(AND(Table1[[#This Row],[SubscriptionStart]]&lt;=Settings!$C$2,Table1[[#This Row],[EffectiveEndDate]]&gt;=Settings!$C$2),1,0)</f>
        <v>1</v>
      </c>
      <c r="AD28" s="46">
        <f ca="1">IF(AND(Table1[[#This Row],[SubscriptionStart]]&lt;=Settings!$D$2,Table1[[#This Row],[EffectiveEndDate]]&gt;=Settings!$D$2),1,0)</f>
        <v>0</v>
      </c>
      <c r="AE28" s="46">
        <f ca="1">IF(AND(Table1[[#This Row],[SubscriptionStart]]&lt;=Settings!$E$2,Table1[[#This Row],[EffectiveEndDate]]&gt;=Settings!$E$2),1,0)</f>
        <v>0</v>
      </c>
      <c r="AF28"/>
      <c r="AG28"/>
      <c r="AH28"/>
      <c r="AI28"/>
      <c r="AJ28"/>
      <c r="AK28"/>
    </row>
    <row r="29" spans="1:37">
      <c r="A29" s="3" t="s">
        <v>148</v>
      </c>
      <c r="B29" s="3">
        <v>54</v>
      </c>
      <c r="C29" s="3" t="s">
        <v>37</v>
      </c>
      <c r="D29" s="5">
        <v>44594</v>
      </c>
      <c r="F29" s="3">
        <f ca="1">TODAY() - Table1[[#This Row],[SubscriptionStart]]</f>
        <v>1387</v>
      </c>
      <c r="G29" s="4">
        <v>48</v>
      </c>
      <c r="H29" s="3" t="s">
        <v>38</v>
      </c>
      <c r="I29" s="3" t="s">
        <v>30</v>
      </c>
      <c r="J29" s="7" cm="1">
        <f t="array" ref="J29">_xlfn.IFS(Table1[[#This Row],[Tier]]="Basic",10,Table1[[#This Row],[Tier]]="Standard",18,Table1[[#This Row],[Tier]]="Premium",25)</f>
        <v>10</v>
      </c>
      <c r="K29" s="7" cm="1">
        <f t="array" ref="K2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29" s="7" cm="1">
        <f t="array" ref="L2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351</v>
      </c>
      <c r="M29" s="3" t="str" cm="1">
        <f t="array" ref="M29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9" s="3" t="s">
        <v>34</v>
      </c>
      <c r="O29" s="3" t="s">
        <v>49</v>
      </c>
      <c r="Q29" s="3" t="str" cm="1">
        <f t="array" ref="Q29">_xlfn.IFS(Table1[[#This Row],[TotalRevenue]]&lt;100,"Low",Table1[[#This Row],[TotalRevenue]]&lt;300,"Medium",Table1[[#This Row],[TotalRevenue]]&lt;600,"High",TRUE,"Very High")</f>
        <v>High</v>
      </c>
      <c r="R29" s="3" t="str" cm="1">
        <f t="array" ref="R2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9" s="3" t="str">
        <f>IF(Table1[[#This Row],[NextBillingDate]]="","Cancelled",IF(Table1[[#This Row],[CancellationDate]]&lt;&gt;"","Cancelled","Active"))</f>
        <v>Active</v>
      </c>
      <c r="T29" s="7" cm="1">
        <f t="array" ref="T2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396</v>
      </c>
      <c r="V29" s="5">
        <v>46034</v>
      </c>
      <c r="W29" s="5">
        <v>46034</v>
      </c>
      <c r="X29" s="3">
        <v>7</v>
      </c>
      <c r="Y29" s="5">
        <f ca="1">IF(Table1[[#This Row],[ChurnStatus]]="Cancelled",Table1[[#This Row],[CancellationDate]],TODAY())</f>
        <v>45981</v>
      </c>
      <c r="Z29" s="46">
        <f ca="1">IF(AND(Table1[[#This Row],[SubscriptionStart]] &lt;= TODAY(), Table1[[#This Row],[EffectiveEndDate]] &gt;= TODAY()),1,0)</f>
        <v>1</v>
      </c>
      <c r="AA29" s="46">
        <f ca="1">IF(AND(Table1[[#This Row],[SubscriptionStart]]&lt;=Settings!$A$2,Table1[[#This Row],[EffectiveEndDate]]&gt;=Settings!$A$2),1,0)</f>
        <v>0</v>
      </c>
      <c r="AB29" s="46">
        <f ca="1">IF(AND(Table1[[#This Row],[SubscriptionStart]]&lt;=Settings!$B$2,Table1[[#This Row],[EffectiveEndDate]]&gt;=Settings!$B$2),1,0)</f>
        <v>1</v>
      </c>
      <c r="AC29" s="46">
        <f ca="1">IF(AND(Table1[[#This Row],[SubscriptionStart]]&lt;=Settings!$C$2,Table1[[#This Row],[EffectiveEndDate]]&gt;=Settings!$C$2),1,0)</f>
        <v>1</v>
      </c>
      <c r="AD29" s="46">
        <f ca="1">IF(AND(Table1[[#This Row],[SubscriptionStart]]&lt;=Settings!$D$2,Table1[[#This Row],[EffectiveEndDate]]&gt;=Settings!$D$2),1,0)</f>
        <v>1</v>
      </c>
      <c r="AE29" s="46">
        <f ca="1">IF(AND(Table1[[#This Row],[SubscriptionStart]]&lt;=Settings!$E$2,Table1[[#This Row],[EffectiveEndDate]]&gt;=Settings!$E$2),1,0)</f>
        <v>1</v>
      </c>
      <c r="AF29"/>
      <c r="AG29"/>
      <c r="AH29"/>
      <c r="AI29"/>
      <c r="AJ29"/>
      <c r="AK29"/>
    </row>
    <row r="30" spans="1:37">
      <c r="A30" s="3" t="s">
        <v>449</v>
      </c>
      <c r="B30" s="3">
        <v>38</v>
      </c>
      <c r="C30" s="3" t="s">
        <v>23</v>
      </c>
      <c r="D30" s="5">
        <v>44596</v>
      </c>
      <c r="E30" s="5">
        <v>44776</v>
      </c>
      <c r="F30" s="3">
        <f ca="1">TODAY() - Table1[[#This Row],[SubscriptionStart]]</f>
        <v>1385</v>
      </c>
      <c r="G30" s="4">
        <v>6</v>
      </c>
      <c r="H30" s="3" t="s">
        <v>38</v>
      </c>
      <c r="I30" s="3" t="s">
        <v>30</v>
      </c>
      <c r="J30" s="7" cm="1">
        <f t="array" ref="J30">_xlfn.IFS(Table1[[#This Row],[Tier]]="Basic",10,Table1[[#This Row],[Tier]]="Standard",18,Table1[[#This Row],[Tier]]="Premium",25)</f>
        <v>10</v>
      </c>
      <c r="K30" s="7" cm="1">
        <f t="array" ref="K3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30" s="7" cm="1">
        <f t="array" ref="L3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30" s="3" t="str" cm="1">
        <f t="array" ref="M3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0" s="3" t="s">
        <v>34</v>
      </c>
      <c r="O30" s="3" t="s">
        <v>49</v>
      </c>
      <c r="P30" s="3" t="s">
        <v>41</v>
      </c>
      <c r="Q30" s="3" t="str" cm="1">
        <f t="array" ref="Q30">_xlfn.IFS(Table1[[#This Row],[TotalRevenue]]&lt;100,"Low",Table1[[#This Row],[TotalRevenue]]&lt;300,"Medium",Table1[[#This Row],[TotalRevenue]]&lt;600,"High",TRUE,"Very High")</f>
        <v>Low</v>
      </c>
      <c r="R30" s="3" t="str" cm="1">
        <f t="array" ref="R3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0" s="3" t="str">
        <f>IF(Table1[[#This Row],[NextBillingDate]]="","Cancelled",IF(Table1[[#This Row],[CancellationDate]]&lt;&gt;"","Cancelled","Active"))</f>
        <v>Cancelled</v>
      </c>
      <c r="T30" s="7" cm="1">
        <f t="array" ref="T3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30" s="5">
        <v>44776</v>
      </c>
      <c r="W30" s="5">
        <v>44776</v>
      </c>
      <c r="X30" s="3">
        <v>0</v>
      </c>
      <c r="Y30" s="5">
        <f ca="1">IF(Table1[[#This Row],[ChurnStatus]]="Cancelled",Table1[[#This Row],[CancellationDate]],TODAY())</f>
        <v>44776</v>
      </c>
      <c r="Z30" s="46">
        <f ca="1">IF(AND(Table1[[#This Row],[SubscriptionStart]] &lt;= TODAY(), Table1[[#This Row],[EffectiveEndDate]] &gt;= TODAY()),1,0)</f>
        <v>0</v>
      </c>
      <c r="AA30" s="46">
        <f ca="1">IF(AND(Table1[[#This Row],[SubscriptionStart]]&lt;=Settings!$A$2,Table1[[#This Row],[EffectiveEndDate]]&gt;=Settings!$A$2),1,0)</f>
        <v>0</v>
      </c>
      <c r="AB30" s="46">
        <f ca="1">IF(AND(Table1[[#This Row],[SubscriptionStart]]&lt;=Settings!$B$2,Table1[[#This Row],[EffectiveEndDate]]&gt;=Settings!$B$2),1,0)</f>
        <v>1</v>
      </c>
      <c r="AC30" s="46">
        <f ca="1">IF(AND(Table1[[#This Row],[SubscriptionStart]]&lt;=Settings!$C$2,Table1[[#This Row],[EffectiveEndDate]]&gt;=Settings!$C$2),1,0)</f>
        <v>0</v>
      </c>
      <c r="AD30" s="46">
        <f ca="1">IF(AND(Table1[[#This Row],[SubscriptionStart]]&lt;=Settings!$D$2,Table1[[#This Row],[EffectiveEndDate]]&gt;=Settings!$D$2),1,0)</f>
        <v>0</v>
      </c>
      <c r="AE30" s="46">
        <f ca="1">IF(AND(Table1[[#This Row],[SubscriptionStart]]&lt;=Settings!$E$2,Table1[[#This Row],[EffectiveEndDate]]&gt;=Settings!$E$2),1,0)</f>
        <v>0</v>
      </c>
      <c r="AF30"/>
      <c r="AG30"/>
      <c r="AH30"/>
      <c r="AI30"/>
      <c r="AJ30"/>
      <c r="AK30"/>
    </row>
    <row r="31" spans="1:37">
      <c r="A31" s="3" t="s">
        <v>788</v>
      </c>
      <c r="B31" s="3">
        <v>31</v>
      </c>
      <c r="C31" s="3" t="s">
        <v>37</v>
      </c>
      <c r="D31" s="5">
        <v>44596</v>
      </c>
      <c r="E31" s="5">
        <v>44956</v>
      </c>
      <c r="F31" s="3">
        <f ca="1">TODAY() - Table1[[#This Row],[SubscriptionStart]]</f>
        <v>1385</v>
      </c>
      <c r="G31" s="4">
        <v>12</v>
      </c>
      <c r="H31" s="3" t="s">
        <v>24</v>
      </c>
      <c r="I31" s="3" t="s">
        <v>39</v>
      </c>
      <c r="J31" s="7" cm="1">
        <f t="array" ref="J31">_xlfn.IFS(Table1[[#This Row],[Tier]]="Basic",10,Table1[[#This Row],[Tier]]="Standard",18,Table1[[#This Row],[Tier]]="Premium",25)</f>
        <v>18</v>
      </c>
      <c r="K31" s="7" cm="1">
        <f t="array" ref="K3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1" s="7" cm="1">
        <f t="array" ref="L3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1" s="3" t="str" cm="1">
        <f t="array" ref="M3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1" s="3" t="s">
        <v>31</v>
      </c>
      <c r="O31" s="3" t="s">
        <v>27</v>
      </c>
      <c r="P31" s="3" t="s">
        <v>41</v>
      </c>
      <c r="Q31" s="3" t="str" cm="1">
        <f t="array" ref="Q31">_xlfn.IFS(Table1[[#This Row],[TotalRevenue]]&lt;100,"Low",Table1[[#This Row],[TotalRevenue]]&lt;300,"Medium",Table1[[#This Row],[TotalRevenue]]&lt;600,"High",TRUE,"Very High")</f>
        <v>Medium</v>
      </c>
      <c r="R31" s="3" t="str" cm="1">
        <f t="array" ref="R3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1" s="3" t="str">
        <f>IF(Table1[[#This Row],[NextBillingDate]]="","Cancelled",IF(Table1[[#This Row],[CancellationDate]]&lt;&gt;"","Cancelled","Active"))</f>
        <v>Cancelled</v>
      </c>
      <c r="T31" s="7" cm="1">
        <f t="array" ref="T3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1" s="5">
        <v>44956</v>
      </c>
      <c r="W31" s="5">
        <v>44956</v>
      </c>
      <c r="X31" s="3">
        <v>0</v>
      </c>
      <c r="Y31" s="5">
        <f ca="1">IF(Table1[[#This Row],[ChurnStatus]]="Cancelled",Table1[[#This Row],[CancellationDate]],TODAY())</f>
        <v>44956</v>
      </c>
      <c r="Z31" s="46">
        <f ca="1">IF(AND(Table1[[#This Row],[SubscriptionStart]] &lt;= TODAY(), Table1[[#This Row],[EffectiveEndDate]] &gt;= TODAY()),1,0)</f>
        <v>0</v>
      </c>
      <c r="AA31" s="46">
        <f ca="1">IF(AND(Table1[[#This Row],[SubscriptionStart]]&lt;=Settings!$A$2,Table1[[#This Row],[EffectiveEndDate]]&gt;=Settings!$A$2),1,0)</f>
        <v>0</v>
      </c>
      <c r="AB31" s="46">
        <f ca="1">IF(AND(Table1[[#This Row],[SubscriptionStart]]&lt;=Settings!$B$2,Table1[[#This Row],[EffectiveEndDate]]&gt;=Settings!$B$2),1,0)</f>
        <v>1</v>
      </c>
      <c r="AC31" s="46">
        <f ca="1">IF(AND(Table1[[#This Row],[SubscriptionStart]]&lt;=Settings!$C$2,Table1[[#This Row],[EffectiveEndDate]]&gt;=Settings!$C$2),1,0)</f>
        <v>1</v>
      </c>
      <c r="AD31" s="46">
        <f ca="1">IF(AND(Table1[[#This Row],[SubscriptionStart]]&lt;=Settings!$D$2,Table1[[#This Row],[EffectiveEndDate]]&gt;=Settings!$D$2),1,0)</f>
        <v>0</v>
      </c>
      <c r="AE31" s="46">
        <f ca="1">IF(AND(Table1[[#This Row],[SubscriptionStart]]&lt;=Settings!$E$2,Table1[[#This Row],[EffectiveEndDate]]&gt;=Settings!$E$2),1,0)</f>
        <v>0</v>
      </c>
      <c r="AF31"/>
      <c r="AG31"/>
      <c r="AH31"/>
      <c r="AI31"/>
      <c r="AJ31"/>
      <c r="AK31"/>
    </row>
    <row r="32" spans="1:37">
      <c r="A32" s="3" t="s">
        <v>747</v>
      </c>
      <c r="B32" s="3">
        <v>20</v>
      </c>
      <c r="C32" s="3" t="s">
        <v>23</v>
      </c>
      <c r="D32" s="5">
        <v>44597</v>
      </c>
      <c r="E32" s="5">
        <v>44957</v>
      </c>
      <c r="F32" s="3">
        <f ca="1">TODAY() - Table1[[#This Row],[SubscriptionStart]]</f>
        <v>1384</v>
      </c>
      <c r="G32" s="4">
        <v>12</v>
      </c>
      <c r="H32" s="3" t="s">
        <v>24</v>
      </c>
      <c r="I32" s="3" t="s">
        <v>39</v>
      </c>
      <c r="J32" s="7" cm="1">
        <f t="array" ref="J32">_xlfn.IFS(Table1[[#This Row],[Tier]]="Basic",10,Table1[[#This Row],[Tier]]="Standard",18,Table1[[#This Row],[Tier]]="Premium",25)</f>
        <v>18</v>
      </c>
      <c r="K32" s="7" cm="1">
        <f t="array" ref="K3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2" s="7" cm="1">
        <f t="array" ref="L3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2" s="3" t="str" cm="1">
        <f t="array" ref="M32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32" s="3" t="s">
        <v>52</v>
      </c>
      <c r="O32" s="3" t="s">
        <v>27</v>
      </c>
      <c r="P32" s="3" t="s">
        <v>41</v>
      </c>
      <c r="Q32" s="3" t="str" cm="1">
        <f t="array" ref="Q32">_xlfn.IFS(Table1[[#This Row],[TotalRevenue]]&lt;100,"Low",Table1[[#This Row],[TotalRevenue]]&lt;300,"Medium",Table1[[#This Row],[TotalRevenue]]&lt;600,"High",TRUE,"Very High")</f>
        <v>Medium</v>
      </c>
      <c r="R32" s="3" t="str" cm="1">
        <f t="array" ref="R32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32" s="3" t="str">
        <f>IF(Table1[[#This Row],[NextBillingDate]]="","Cancelled",IF(Table1[[#This Row],[CancellationDate]]&lt;&gt;"","Cancelled","Active"))</f>
        <v>Cancelled</v>
      </c>
      <c r="T32" s="7" cm="1">
        <f t="array" ref="T3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2" s="5">
        <v>44957</v>
      </c>
      <c r="W32" s="5">
        <v>44957</v>
      </c>
      <c r="X32" s="3">
        <v>0</v>
      </c>
      <c r="Y32" s="5">
        <f ca="1">IF(Table1[[#This Row],[ChurnStatus]]="Cancelled",Table1[[#This Row],[CancellationDate]],TODAY())</f>
        <v>44957</v>
      </c>
      <c r="Z32" s="46">
        <f ca="1">IF(AND(Table1[[#This Row],[SubscriptionStart]] &lt;= TODAY(), Table1[[#This Row],[EffectiveEndDate]] &gt;= TODAY()),1,0)</f>
        <v>0</v>
      </c>
      <c r="AA32" s="46">
        <f ca="1">IF(AND(Table1[[#This Row],[SubscriptionStart]]&lt;=Settings!$A$2,Table1[[#This Row],[EffectiveEndDate]]&gt;=Settings!$A$2),1,0)</f>
        <v>0</v>
      </c>
      <c r="AB32" s="46">
        <f ca="1">IF(AND(Table1[[#This Row],[SubscriptionStart]]&lt;=Settings!$B$2,Table1[[#This Row],[EffectiveEndDate]]&gt;=Settings!$B$2),1,0)</f>
        <v>1</v>
      </c>
      <c r="AC32" s="46">
        <f ca="1">IF(AND(Table1[[#This Row],[SubscriptionStart]]&lt;=Settings!$C$2,Table1[[#This Row],[EffectiveEndDate]]&gt;=Settings!$C$2),1,0)</f>
        <v>1</v>
      </c>
      <c r="AD32" s="46">
        <f ca="1">IF(AND(Table1[[#This Row],[SubscriptionStart]]&lt;=Settings!$D$2,Table1[[#This Row],[EffectiveEndDate]]&gt;=Settings!$D$2),1,0)</f>
        <v>0</v>
      </c>
      <c r="AE32" s="46">
        <f ca="1">IF(AND(Table1[[#This Row],[SubscriptionStart]]&lt;=Settings!$E$2,Table1[[#This Row],[EffectiveEndDate]]&gt;=Settings!$E$2),1,0)</f>
        <v>0</v>
      </c>
      <c r="AF32"/>
      <c r="AG32"/>
      <c r="AH32"/>
      <c r="AI32"/>
      <c r="AJ32"/>
      <c r="AK32"/>
    </row>
    <row r="33" spans="1:37">
      <c r="A33" s="3" t="s">
        <v>229</v>
      </c>
      <c r="B33" s="3">
        <v>28</v>
      </c>
      <c r="C33" s="3" t="s">
        <v>23</v>
      </c>
      <c r="D33" s="5">
        <v>44599</v>
      </c>
      <c r="E33" s="5">
        <v>44959</v>
      </c>
      <c r="F33" s="3">
        <f ca="1">TODAY() - Table1[[#This Row],[SubscriptionStart]]</f>
        <v>1382</v>
      </c>
      <c r="G33" s="4">
        <v>12</v>
      </c>
      <c r="H33" s="3" t="s">
        <v>24</v>
      </c>
      <c r="I33" s="3" t="s">
        <v>39</v>
      </c>
      <c r="J33" s="7" cm="1">
        <f t="array" ref="J33">_xlfn.IFS(Table1[[#This Row],[Tier]]="Basic",10,Table1[[#This Row],[Tier]]="Standard",18,Table1[[#This Row],[Tier]]="Premium",25)</f>
        <v>18</v>
      </c>
      <c r="K33" s="7" cm="1">
        <f t="array" ref="K3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3" s="7" cm="1">
        <f t="array" ref="L3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3" s="3" t="str" cm="1">
        <f t="array" ref="M3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3" s="3" t="s">
        <v>34</v>
      </c>
      <c r="O33" s="3" t="s">
        <v>43</v>
      </c>
      <c r="P33" s="3" t="s">
        <v>41</v>
      </c>
      <c r="Q33" s="3" t="str" cm="1">
        <f t="array" ref="Q33">_xlfn.IFS(Table1[[#This Row],[TotalRevenue]]&lt;100,"Low",Table1[[#This Row],[TotalRevenue]]&lt;300,"Medium",Table1[[#This Row],[TotalRevenue]]&lt;600,"High",TRUE,"Very High")</f>
        <v>Medium</v>
      </c>
      <c r="R33" s="3" t="str" cm="1">
        <f t="array" ref="R3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3" s="3" t="str">
        <f>IF(Table1[[#This Row],[NextBillingDate]]="","Cancelled",IF(Table1[[#This Row],[CancellationDate]]&lt;&gt;"","Cancelled","Active"))</f>
        <v>Cancelled</v>
      </c>
      <c r="T33" s="7" cm="1">
        <f t="array" ref="T3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3" s="5">
        <v>44959</v>
      </c>
      <c r="W33" s="5">
        <v>44959</v>
      </c>
      <c r="X33" s="3">
        <v>0</v>
      </c>
      <c r="Y33" s="5">
        <f ca="1">IF(Table1[[#This Row],[ChurnStatus]]="Cancelled",Table1[[#This Row],[CancellationDate]],TODAY())</f>
        <v>44959</v>
      </c>
      <c r="Z33" s="46">
        <f ca="1">IF(AND(Table1[[#This Row],[SubscriptionStart]] &lt;= TODAY(), Table1[[#This Row],[EffectiveEndDate]] &gt;= TODAY()),1,0)</f>
        <v>0</v>
      </c>
      <c r="AA33" s="46">
        <f ca="1">IF(AND(Table1[[#This Row],[SubscriptionStart]]&lt;=Settings!$A$2,Table1[[#This Row],[EffectiveEndDate]]&gt;=Settings!$A$2),1,0)</f>
        <v>0</v>
      </c>
      <c r="AB33" s="46">
        <f ca="1">IF(AND(Table1[[#This Row],[SubscriptionStart]]&lt;=Settings!$B$2,Table1[[#This Row],[EffectiveEndDate]]&gt;=Settings!$B$2),1,0)</f>
        <v>1</v>
      </c>
      <c r="AC33" s="46">
        <f ca="1">IF(AND(Table1[[#This Row],[SubscriptionStart]]&lt;=Settings!$C$2,Table1[[#This Row],[EffectiveEndDate]]&gt;=Settings!$C$2),1,0)</f>
        <v>1</v>
      </c>
      <c r="AD33" s="46">
        <f ca="1">IF(AND(Table1[[#This Row],[SubscriptionStart]]&lt;=Settings!$D$2,Table1[[#This Row],[EffectiveEndDate]]&gt;=Settings!$D$2),1,0)</f>
        <v>0</v>
      </c>
      <c r="AE33" s="46">
        <f ca="1">IF(AND(Table1[[#This Row],[SubscriptionStart]]&lt;=Settings!$E$2,Table1[[#This Row],[EffectiveEndDate]]&gt;=Settings!$E$2),1,0)</f>
        <v>0</v>
      </c>
      <c r="AF33"/>
      <c r="AG33"/>
      <c r="AH33"/>
      <c r="AI33"/>
      <c r="AJ33"/>
      <c r="AK33"/>
    </row>
    <row r="34" spans="1:37">
      <c r="A34" s="3" t="s">
        <v>438</v>
      </c>
      <c r="B34" s="3">
        <v>26</v>
      </c>
      <c r="C34" s="3" t="s">
        <v>37</v>
      </c>
      <c r="D34" s="5">
        <v>44599</v>
      </c>
      <c r="E34" s="5">
        <v>44959</v>
      </c>
      <c r="F34" s="3">
        <f ca="1">TODAY() - Table1[[#This Row],[SubscriptionStart]]</f>
        <v>1382</v>
      </c>
      <c r="G34" s="4">
        <v>12</v>
      </c>
      <c r="H34" s="3" t="s">
        <v>24</v>
      </c>
      <c r="I34" s="3" t="s">
        <v>25</v>
      </c>
      <c r="J34" s="7" cm="1">
        <f t="array" ref="J34">_xlfn.IFS(Table1[[#This Row],[Tier]]="Basic",10,Table1[[#This Row],[Tier]]="Standard",18,Table1[[#This Row],[Tier]]="Premium",25)</f>
        <v>25</v>
      </c>
      <c r="K34" s="7" cm="1">
        <f t="array" ref="K3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4" s="7" cm="1">
        <f t="array" ref="L3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4" s="3" t="str" cm="1">
        <f t="array" ref="M3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4" s="3" t="s">
        <v>26</v>
      </c>
      <c r="O34" s="3" t="s">
        <v>32</v>
      </c>
      <c r="P34" s="3" t="s">
        <v>44</v>
      </c>
      <c r="Q34" s="3" t="str" cm="1">
        <f t="array" ref="Q34">_xlfn.IFS(Table1[[#This Row],[TotalRevenue]]&lt;100,"Low",Table1[[#This Row],[TotalRevenue]]&lt;300,"Medium",Table1[[#This Row],[TotalRevenue]]&lt;600,"High",TRUE,"Very High")</f>
        <v>Medium</v>
      </c>
      <c r="R34" s="3" t="str" cm="1">
        <f t="array" ref="R3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4" s="3" t="str">
        <f>IF(Table1[[#This Row],[NextBillingDate]]="","Cancelled",IF(Table1[[#This Row],[CancellationDate]]&lt;&gt;"","Cancelled","Active"))</f>
        <v>Cancelled</v>
      </c>
      <c r="T34" s="7" cm="1">
        <f t="array" ref="T3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4" s="5">
        <v>44959</v>
      </c>
      <c r="W34" s="5">
        <v>44959</v>
      </c>
      <c r="X34" s="3">
        <v>0</v>
      </c>
      <c r="Y34" s="5">
        <f ca="1">IF(Table1[[#This Row],[ChurnStatus]]="Cancelled",Table1[[#This Row],[CancellationDate]],TODAY())</f>
        <v>44959</v>
      </c>
      <c r="Z34" s="46">
        <f ca="1">IF(AND(Table1[[#This Row],[SubscriptionStart]] &lt;= TODAY(), Table1[[#This Row],[EffectiveEndDate]] &gt;= TODAY()),1,0)</f>
        <v>0</v>
      </c>
      <c r="AA34" s="46">
        <f ca="1">IF(AND(Table1[[#This Row],[SubscriptionStart]]&lt;=Settings!$A$2,Table1[[#This Row],[EffectiveEndDate]]&gt;=Settings!$A$2),1,0)</f>
        <v>0</v>
      </c>
      <c r="AB34" s="46">
        <f ca="1">IF(AND(Table1[[#This Row],[SubscriptionStart]]&lt;=Settings!$B$2,Table1[[#This Row],[EffectiveEndDate]]&gt;=Settings!$B$2),1,0)</f>
        <v>1</v>
      </c>
      <c r="AC34" s="46">
        <f ca="1">IF(AND(Table1[[#This Row],[SubscriptionStart]]&lt;=Settings!$C$2,Table1[[#This Row],[EffectiveEndDate]]&gt;=Settings!$C$2),1,0)</f>
        <v>1</v>
      </c>
      <c r="AD34" s="46">
        <f ca="1">IF(AND(Table1[[#This Row],[SubscriptionStart]]&lt;=Settings!$D$2,Table1[[#This Row],[EffectiveEndDate]]&gt;=Settings!$D$2),1,0)</f>
        <v>0</v>
      </c>
      <c r="AE34" s="46">
        <f ca="1">IF(AND(Table1[[#This Row],[SubscriptionStart]]&lt;=Settings!$E$2,Table1[[#This Row],[EffectiveEndDate]]&gt;=Settings!$E$2),1,0)</f>
        <v>0</v>
      </c>
      <c r="AF34"/>
      <c r="AG34"/>
      <c r="AH34"/>
      <c r="AI34"/>
      <c r="AJ34"/>
      <c r="AK34"/>
    </row>
    <row r="35" spans="1:37">
      <c r="A35" s="3" t="s">
        <v>221</v>
      </c>
      <c r="B35" s="3">
        <v>27</v>
      </c>
      <c r="C35" s="3" t="s">
        <v>37</v>
      </c>
      <c r="D35" s="5">
        <v>44600</v>
      </c>
      <c r="E35" s="5">
        <v>44780</v>
      </c>
      <c r="F35" s="3">
        <f ca="1">TODAY() - Table1[[#This Row],[SubscriptionStart]]</f>
        <v>1381</v>
      </c>
      <c r="G35" s="4">
        <v>6</v>
      </c>
      <c r="H35" s="3" t="s">
        <v>38</v>
      </c>
      <c r="I35" s="3" t="s">
        <v>30</v>
      </c>
      <c r="J35" s="7" cm="1">
        <f t="array" ref="J35">_xlfn.IFS(Table1[[#This Row],[Tier]]="Basic",10,Table1[[#This Row],[Tier]]="Standard",18,Table1[[#This Row],[Tier]]="Premium",25)</f>
        <v>10</v>
      </c>
      <c r="K35" s="7" cm="1">
        <f t="array" ref="K3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35" s="7" cm="1">
        <f t="array" ref="L3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35" s="3" t="str" cm="1">
        <f t="array" ref="M3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5" s="3" t="s">
        <v>34</v>
      </c>
      <c r="O35" s="3" t="s">
        <v>49</v>
      </c>
      <c r="P35" s="3" t="s">
        <v>41</v>
      </c>
      <c r="Q35" s="3" t="str" cm="1">
        <f t="array" ref="Q35">_xlfn.IFS(Table1[[#This Row],[TotalRevenue]]&lt;100,"Low",Table1[[#This Row],[TotalRevenue]]&lt;300,"Medium",Table1[[#This Row],[TotalRevenue]]&lt;600,"High",TRUE,"Very High")</f>
        <v>Low</v>
      </c>
      <c r="R35" s="3" t="str" cm="1">
        <f t="array" ref="R3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5" s="3" t="str">
        <f>IF(Table1[[#This Row],[NextBillingDate]]="","Cancelled",IF(Table1[[#This Row],[CancellationDate]]&lt;&gt;"","Cancelled","Active"))</f>
        <v>Cancelled</v>
      </c>
      <c r="T35" s="7" cm="1">
        <f t="array" ref="T3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35" s="5">
        <v>44780</v>
      </c>
      <c r="W35" s="5">
        <v>44780</v>
      </c>
      <c r="X35" s="3">
        <v>0</v>
      </c>
      <c r="Y35" s="5">
        <f ca="1">IF(Table1[[#This Row],[ChurnStatus]]="Cancelled",Table1[[#This Row],[CancellationDate]],TODAY())</f>
        <v>44780</v>
      </c>
      <c r="Z35" s="46">
        <f ca="1">IF(AND(Table1[[#This Row],[SubscriptionStart]] &lt;= TODAY(), Table1[[#This Row],[EffectiveEndDate]] &gt;= TODAY()),1,0)</f>
        <v>0</v>
      </c>
      <c r="AA35" s="46">
        <f ca="1">IF(AND(Table1[[#This Row],[SubscriptionStart]]&lt;=Settings!$A$2,Table1[[#This Row],[EffectiveEndDate]]&gt;=Settings!$A$2),1,0)</f>
        <v>0</v>
      </c>
      <c r="AB35" s="46">
        <f ca="1">IF(AND(Table1[[#This Row],[SubscriptionStart]]&lt;=Settings!$B$2,Table1[[#This Row],[EffectiveEndDate]]&gt;=Settings!$B$2),1,0)</f>
        <v>1</v>
      </c>
      <c r="AC35" s="46">
        <f ca="1">IF(AND(Table1[[#This Row],[SubscriptionStart]]&lt;=Settings!$C$2,Table1[[#This Row],[EffectiveEndDate]]&gt;=Settings!$C$2),1,0)</f>
        <v>0</v>
      </c>
      <c r="AD35" s="46">
        <f ca="1">IF(AND(Table1[[#This Row],[SubscriptionStart]]&lt;=Settings!$D$2,Table1[[#This Row],[EffectiveEndDate]]&gt;=Settings!$D$2),1,0)</f>
        <v>0</v>
      </c>
      <c r="AE35" s="46">
        <f ca="1">IF(AND(Table1[[#This Row],[SubscriptionStart]]&lt;=Settings!$E$2,Table1[[#This Row],[EffectiveEndDate]]&gt;=Settings!$E$2),1,0)</f>
        <v>0</v>
      </c>
      <c r="AF35"/>
      <c r="AG35"/>
      <c r="AH35"/>
      <c r="AI35"/>
      <c r="AJ35"/>
      <c r="AK35"/>
    </row>
    <row r="36" spans="1:37">
      <c r="A36" s="3" t="s">
        <v>830</v>
      </c>
      <c r="B36" s="3">
        <v>32</v>
      </c>
      <c r="C36" s="3" t="s">
        <v>37</v>
      </c>
      <c r="D36" s="5">
        <v>44601</v>
      </c>
      <c r="E36" s="5">
        <v>44781</v>
      </c>
      <c r="F36" s="3">
        <f ca="1">TODAY() - Table1[[#This Row],[SubscriptionStart]]</f>
        <v>1380</v>
      </c>
      <c r="G36" s="4">
        <v>6</v>
      </c>
      <c r="H36" s="3" t="s">
        <v>38</v>
      </c>
      <c r="I36" s="3" t="s">
        <v>25</v>
      </c>
      <c r="J36" s="7" cm="1">
        <f t="array" ref="J36">_xlfn.IFS(Table1[[#This Row],[Tier]]="Basic",10,Table1[[#This Row],[Tier]]="Standard",18,Table1[[#This Row],[Tier]]="Premium",25)</f>
        <v>25</v>
      </c>
      <c r="K36" s="7" cm="1">
        <f t="array" ref="K3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36" s="7" cm="1">
        <f t="array" ref="L3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36" s="3" t="str" cm="1">
        <f t="array" ref="M3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6" s="3" t="s">
        <v>31</v>
      </c>
      <c r="O36" s="3" t="s">
        <v>27</v>
      </c>
      <c r="P36" s="3" t="s">
        <v>47</v>
      </c>
      <c r="Q36" s="3" t="str" cm="1">
        <f t="array" ref="Q36">_xlfn.IFS(Table1[[#This Row],[TotalRevenue]]&lt;100,"Low",Table1[[#This Row],[TotalRevenue]]&lt;300,"Medium",Table1[[#This Row],[TotalRevenue]]&lt;600,"High",TRUE,"Very High")</f>
        <v>Medium</v>
      </c>
      <c r="R36" s="3" t="str" cm="1">
        <f t="array" ref="R3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6" s="3" t="str">
        <f>IF(Table1[[#This Row],[NextBillingDate]]="","Cancelled",IF(Table1[[#This Row],[CancellationDate]]&lt;&gt;"","Cancelled","Active"))</f>
        <v>Cancelled</v>
      </c>
      <c r="T36" s="7" cm="1">
        <f t="array" ref="T3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36" s="5">
        <v>44781</v>
      </c>
      <c r="W36" s="5">
        <v>44781</v>
      </c>
      <c r="X36" s="3">
        <v>0</v>
      </c>
      <c r="Y36" s="5">
        <f ca="1">IF(Table1[[#This Row],[ChurnStatus]]="Cancelled",Table1[[#This Row],[CancellationDate]],TODAY())</f>
        <v>44781</v>
      </c>
      <c r="Z36" s="46">
        <f ca="1">IF(AND(Table1[[#This Row],[SubscriptionStart]] &lt;= TODAY(), Table1[[#This Row],[EffectiveEndDate]] &gt;= TODAY()),1,0)</f>
        <v>0</v>
      </c>
      <c r="AA36" s="46">
        <f ca="1">IF(AND(Table1[[#This Row],[SubscriptionStart]]&lt;=Settings!$A$2,Table1[[#This Row],[EffectiveEndDate]]&gt;=Settings!$A$2),1,0)</f>
        <v>0</v>
      </c>
      <c r="AB36" s="46">
        <f ca="1">IF(AND(Table1[[#This Row],[SubscriptionStart]]&lt;=Settings!$B$2,Table1[[#This Row],[EffectiveEndDate]]&gt;=Settings!$B$2),1,0)</f>
        <v>1</v>
      </c>
      <c r="AC36" s="46">
        <f ca="1">IF(AND(Table1[[#This Row],[SubscriptionStart]]&lt;=Settings!$C$2,Table1[[#This Row],[EffectiveEndDate]]&gt;=Settings!$C$2),1,0)</f>
        <v>0</v>
      </c>
      <c r="AD36" s="46">
        <f ca="1">IF(AND(Table1[[#This Row],[SubscriptionStart]]&lt;=Settings!$D$2,Table1[[#This Row],[EffectiveEndDate]]&gt;=Settings!$D$2),1,0)</f>
        <v>0</v>
      </c>
      <c r="AE36" s="46">
        <f ca="1">IF(AND(Table1[[#This Row],[SubscriptionStart]]&lt;=Settings!$E$2,Table1[[#This Row],[EffectiveEndDate]]&gt;=Settings!$E$2),1,0)</f>
        <v>0</v>
      </c>
      <c r="AF36"/>
      <c r="AG36"/>
      <c r="AH36"/>
      <c r="AI36"/>
      <c r="AJ36"/>
      <c r="AK36"/>
    </row>
    <row r="37" spans="1:37">
      <c r="A37" s="3" t="s">
        <v>503</v>
      </c>
      <c r="B37" s="3">
        <v>53</v>
      </c>
      <c r="C37" s="3" t="s">
        <v>23</v>
      </c>
      <c r="D37" s="5">
        <v>44603</v>
      </c>
      <c r="E37" s="5">
        <v>44963</v>
      </c>
      <c r="F37" s="3">
        <f ca="1">TODAY() - Table1[[#This Row],[SubscriptionStart]]</f>
        <v>1378</v>
      </c>
      <c r="G37" s="4">
        <v>12</v>
      </c>
      <c r="H37" s="3" t="s">
        <v>24</v>
      </c>
      <c r="I37" s="3" t="s">
        <v>39</v>
      </c>
      <c r="J37" s="7" cm="1">
        <f t="array" ref="J37">_xlfn.IFS(Table1[[#This Row],[Tier]]="Basic",10,Table1[[#This Row],[Tier]]="Standard",18,Table1[[#This Row],[Tier]]="Premium",25)</f>
        <v>18</v>
      </c>
      <c r="K37" s="7" cm="1">
        <f t="array" ref="K3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7" s="7" cm="1">
        <f t="array" ref="L3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7" s="3" t="str" cm="1">
        <f t="array" ref="M3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7" s="3" t="s">
        <v>52</v>
      </c>
      <c r="O37" s="3" t="s">
        <v>49</v>
      </c>
      <c r="P37" s="3" t="s">
        <v>50</v>
      </c>
      <c r="Q37" s="3" t="str" cm="1">
        <f t="array" ref="Q37">_xlfn.IFS(Table1[[#This Row],[TotalRevenue]]&lt;100,"Low",Table1[[#This Row],[TotalRevenue]]&lt;300,"Medium",Table1[[#This Row],[TotalRevenue]]&lt;600,"High",TRUE,"Very High")</f>
        <v>Medium</v>
      </c>
      <c r="R37" s="3" t="str" cm="1">
        <f t="array" ref="R3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7" s="3" t="str">
        <f>IF(Table1[[#This Row],[NextBillingDate]]="","Cancelled",IF(Table1[[#This Row],[CancellationDate]]&lt;&gt;"","Cancelled","Active"))</f>
        <v>Cancelled</v>
      </c>
      <c r="T37" s="7" cm="1">
        <f t="array" ref="T3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7" s="5">
        <v>44963</v>
      </c>
      <c r="W37" s="5">
        <v>44963</v>
      </c>
      <c r="X37" s="3">
        <v>0</v>
      </c>
      <c r="Y37" s="5">
        <f ca="1">IF(Table1[[#This Row],[ChurnStatus]]="Cancelled",Table1[[#This Row],[CancellationDate]],TODAY())</f>
        <v>44963</v>
      </c>
      <c r="Z37" s="46">
        <f ca="1">IF(AND(Table1[[#This Row],[SubscriptionStart]] &lt;= TODAY(), Table1[[#This Row],[EffectiveEndDate]] &gt;= TODAY()),1,0)</f>
        <v>0</v>
      </c>
      <c r="AA37" s="46">
        <f ca="1">IF(AND(Table1[[#This Row],[SubscriptionStart]]&lt;=Settings!$A$2,Table1[[#This Row],[EffectiveEndDate]]&gt;=Settings!$A$2),1,0)</f>
        <v>0</v>
      </c>
      <c r="AB37" s="46">
        <f ca="1">IF(AND(Table1[[#This Row],[SubscriptionStart]]&lt;=Settings!$B$2,Table1[[#This Row],[EffectiveEndDate]]&gt;=Settings!$B$2),1,0)</f>
        <v>1</v>
      </c>
      <c r="AC37" s="46">
        <f ca="1">IF(AND(Table1[[#This Row],[SubscriptionStart]]&lt;=Settings!$C$2,Table1[[#This Row],[EffectiveEndDate]]&gt;=Settings!$C$2),1,0)</f>
        <v>1</v>
      </c>
      <c r="AD37" s="46">
        <f ca="1">IF(AND(Table1[[#This Row],[SubscriptionStart]]&lt;=Settings!$D$2,Table1[[#This Row],[EffectiveEndDate]]&gt;=Settings!$D$2),1,0)</f>
        <v>0</v>
      </c>
      <c r="AE37" s="46">
        <f ca="1">IF(AND(Table1[[#This Row],[SubscriptionStart]]&lt;=Settings!$E$2,Table1[[#This Row],[EffectiveEndDate]]&gt;=Settings!$E$2),1,0)</f>
        <v>0</v>
      </c>
      <c r="AF37"/>
      <c r="AG37"/>
      <c r="AH37"/>
      <c r="AI37"/>
      <c r="AJ37"/>
      <c r="AK37"/>
    </row>
    <row r="38" spans="1:37">
      <c r="A38" s="3" t="s">
        <v>767</v>
      </c>
      <c r="B38" s="3">
        <v>72</v>
      </c>
      <c r="C38" s="3" t="s">
        <v>23</v>
      </c>
      <c r="D38" s="5">
        <v>44606</v>
      </c>
      <c r="E38" s="5">
        <v>44966</v>
      </c>
      <c r="F38" s="3">
        <f ca="1">TODAY() - Table1[[#This Row],[SubscriptionStart]]</f>
        <v>1375</v>
      </c>
      <c r="G38" s="4">
        <v>12</v>
      </c>
      <c r="H38" s="3" t="s">
        <v>24</v>
      </c>
      <c r="I38" s="3" t="s">
        <v>39</v>
      </c>
      <c r="J38" s="7" cm="1">
        <f t="array" ref="J38">_xlfn.IFS(Table1[[#This Row],[Tier]]="Basic",10,Table1[[#This Row],[Tier]]="Standard",18,Table1[[#This Row],[Tier]]="Premium",25)</f>
        <v>18</v>
      </c>
      <c r="K38" s="7" cm="1">
        <f t="array" ref="K3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8" s="7" cm="1">
        <f t="array" ref="L3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8" s="3" t="str" cm="1">
        <f t="array" ref="M38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38" s="3" t="s">
        <v>31</v>
      </c>
      <c r="O38" s="3" t="s">
        <v>40</v>
      </c>
      <c r="P38" s="3" t="s">
        <v>50</v>
      </c>
      <c r="Q38" s="3" t="str" cm="1">
        <f t="array" ref="Q38">_xlfn.IFS(Table1[[#This Row],[TotalRevenue]]&lt;100,"Low",Table1[[#This Row],[TotalRevenue]]&lt;300,"Medium",Table1[[#This Row],[TotalRevenue]]&lt;600,"High",TRUE,"Very High")</f>
        <v>Medium</v>
      </c>
      <c r="R38" s="3" t="str" cm="1">
        <f t="array" ref="R38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38" s="3" t="str">
        <f>IF(Table1[[#This Row],[NextBillingDate]]="","Cancelled",IF(Table1[[#This Row],[CancellationDate]]&lt;&gt;"","Cancelled","Active"))</f>
        <v>Cancelled</v>
      </c>
      <c r="T38" s="7" cm="1">
        <f t="array" ref="T3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8" s="5">
        <v>44966</v>
      </c>
      <c r="W38" s="5">
        <v>44966</v>
      </c>
      <c r="X38" s="3">
        <v>0</v>
      </c>
      <c r="Y38" s="5">
        <f ca="1">IF(Table1[[#This Row],[ChurnStatus]]="Cancelled",Table1[[#This Row],[CancellationDate]],TODAY())</f>
        <v>44966</v>
      </c>
      <c r="Z38" s="46">
        <f ca="1">IF(AND(Table1[[#This Row],[SubscriptionStart]] &lt;= TODAY(), Table1[[#This Row],[EffectiveEndDate]] &gt;= TODAY()),1,0)</f>
        <v>0</v>
      </c>
      <c r="AA38" s="46">
        <f ca="1">IF(AND(Table1[[#This Row],[SubscriptionStart]]&lt;=Settings!$A$2,Table1[[#This Row],[EffectiveEndDate]]&gt;=Settings!$A$2),1,0)</f>
        <v>0</v>
      </c>
      <c r="AB38" s="46">
        <f ca="1">IF(AND(Table1[[#This Row],[SubscriptionStart]]&lt;=Settings!$B$2,Table1[[#This Row],[EffectiveEndDate]]&gt;=Settings!$B$2),1,0)</f>
        <v>1</v>
      </c>
      <c r="AC38" s="46">
        <f ca="1">IF(AND(Table1[[#This Row],[SubscriptionStart]]&lt;=Settings!$C$2,Table1[[#This Row],[EffectiveEndDate]]&gt;=Settings!$C$2),1,0)</f>
        <v>1</v>
      </c>
      <c r="AD38" s="46">
        <f ca="1">IF(AND(Table1[[#This Row],[SubscriptionStart]]&lt;=Settings!$D$2,Table1[[#This Row],[EffectiveEndDate]]&gt;=Settings!$D$2),1,0)</f>
        <v>0</v>
      </c>
      <c r="AE38" s="46">
        <f ca="1">IF(AND(Table1[[#This Row],[SubscriptionStart]]&lt;=Settings!$E$2,Table1[[#This Row],[EffectiveEndDate]]&gt;=Settings!$E$2),1,0)</f>
        <v>0</v>
      </c>
      <c r="AF38"/>
      <c r="AG38"/>
      <c r="AH38"/>
      <c r="AI38"/>
      <c r="AJ38"/>
      <c r="AK38"/>
    </row>
    <row r="39" spans="1:37">
      <c r="A39" s="3" t="s">
        <v>502</v>
      </c>
      <c r="B39" s="3">
        <v>47</v>
      </c>
      <c r="C39" s="3" t="s">
        <v>23</v>
      </c>
      <c r="D39" s="5">
        <v>44606</v>
      </c>
      <c r="F39" s="3">
        <f ca="1">TODAY() - Table1[[#This Row],[SubscriptionStart]]</f>
        <v>1375</v>
      </c>
      <c r="G39" s="4">
        <v>48</v>
      </c>
      <c r="H39" s="3" t="s">
        <v>38</v>
      </c>
      <c r="I39" s="3" t="s">
        <v>30</v>
      </c>
      <c r="J39" s="7" cm="1">
        <f t="array" ref="J39">_xlfn.IFS(Table1[[#This Row],[Tier]]="Basic",10,Table1[[#This Row],[Tier]]="Standard",18,Table1[[#This Row],[Tier]]="Premium",25)</f>
        <v>10</v>
      </c>
      <c r="K39" s="7" cm="1">
        <f t="array" ref="K3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39" s="7" cm="1">
        <f t="array" ref="L3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351</v>
      </c>
      <c r="M39" s="3" t="str" cm="1">
        <f t="array" ref="M3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9" s="3" t="s">
        <v>26</v>
      </c>
      <c r="O39" s="3" t="s">
        <v>49</v>
      </c>
      <c r="Q39" s="3" t="str" cm="1">
        <f t="array" ref="Q39">_xlfn.IFS(Table1[[#This Row],[TotalRevenue]]&lt;100,"Low",Table1[[#This Row],[TotalRevenue]]&lt;300,"Medium",Table1[[#This Row],[TotalRevenue]]&lt;600,"High",TRUE,"Very High")</f>
        <v>High</v>
      </c>
      <c r="R39" s="3" t="str" cm="1">
        <f t="array" ref="R3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9" s="3" t="str">
        <f>IF(Table1[[#This Row],[NextBillingDate]]="","Cancelled",IF(Table1[[#This Row],[CancellationDate]]&lt;&gt;"","Cancelled","Active"))</f>
        <v>Active</v>
      </c>
      <c r="T39" s="7" cm="1">
        <f t="array" ref="T3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396</v>
      </c>
      <c r="V39" s="5">
        <v>46046</v>
      </c>
      <c r="W39" s="5">
        <v>46046</v>
      </c>
      <c r="X39" s="3">
        <v>7</v>
      </c>
      <c r="Y39" s="5">
        <f ca="1">IF(Table1[[#This Row],[ChurnStatus]]="Cancelled",Table1[[#This Row],[CancellationDate]],TODAY())</f>
        <v>45981</v>
      </c>
      <c r="Z39" s="46">
        <f ca="1">IF(AND(Table1[[#This Row],[SubscriptionStart]] &lt;= TODAY(), Table1[[#This Row],[EffectiveEndDate]] &gt;= TODAY()),1,0)</f>
        <v>1</v>
      </c>
      <c r="AA39" s="46">
        <f ca="1">IF(AND(Table1[[#This Row],[SubscriptionStart]]&lt;=Settings!$A$2,Table1[[#This Row],[EffectiveEndDate]]&gt;=Settings!$A$2),1,0)</f>
        <v>0</v>
      </c>
      <c r="AB39" s="46">
        <f ca="1">IF(AND(Table1[[#This Row],[SubscriptionStart]]&lt;=Settings!$B$2,Table1[[#This Row],[EffectiveEndDate]]&gt;=Settings!$B$2),1,0)</f>
        <v>1</v>
      </c>
      <c r="AC39" s="46">
        <f ca="1">IF(AND(Table1[[#This Row],[SubscriptionStart]]&lt;=Settings!$C$2,Table1[[#This Row],[EffectiveEndDate]]&gt;=Settings!$C$2),1,0)</f>
        <v>1</v>
      </c>
      <c r="AD39" s="46">
        <f ca="1">IF(AND(Table1[[#This Row],[SubscriptionStart]]&lt;=Settings!$D$2,Table1[[#This Row],[EffectiveEndDate]]&gt;=Settings!$D$2),1,0)</f>
        <v>1</v>
      </c>
      <c r="AE39" s="46">
        <f ca="1">IF(AND(Table1[[#This Row],[SubscriptionStart]]&lt;=Settings!$E$2,Table1[[#This Row],[EffectiveEndDate]]&gt;=Settings!$E$2),1,0)</f>
        <v>1</v>
      </c>
      <c r="AF39"/>
      <c r="AG39"/>
      <c r="AH39"/>
      <c r="AI39"/>
      <c r="AJ39"/>
      <c r="AK39"/>
    </row>
    <row r="40" spans="1:37">
      <c r="A40" s="3" t="s">
        <v>347</v>
      </c>
      <c r="B40" s="3">
        <v>21</v>
      </c>
      <c r="C40" s="3" t="s">
        <v>23</v>
      </c>
      <c r="D40" s="5">
        <v>44607</v>
      </c>
      <c r="E40" s="5">
        <v>44787</v>
      </c>
      <c r="F40" s="3">
        <f ca="1">TODAY() - Table1[[#This Row],[SubscriptionStart]]</f>
        <v>1374</v>
      </c>
      <c r="G40" s="4">
        <v>6</v>
      </c>
      <c r="H40" s="3" t="s">
        <v>38</v>
      </c>
      <c r="I40" s="3" t="s">
        <v>25</v>
      </c>
      <c r="J40" s="7" cm="1">
        <f t="array" ref="J40">_xlfn.IFS(Table1[[#This Row],[Tier]]="Basic",10,Table1[[#This Row],[Tier]]="Standard",18,Table1[[#This Row],[Tier]]="Premium",25)</f>
        <v>25</v>
      </c>
      <c r="K40" s="7" cm="1">
        <f t="array" ref="K4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40" s="7" cm="1">
        <f t="array" ref="L4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40" s="3" t="str" cm="1">
        <f t="array" ref="M40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40" s="3" t="s">
        <v>31</v>
      </c>
      <c r="O40" s="3" t="s">
        <v>27</v>
      </c>
      <c r="P40" s="3" t="s">
        <v>44</v>
      </c>
      <c r="Q40" s="3" t="str" cm="1">
        <f t="array" ref="Q40">_xlfn.IFS(Table1[[#This Row],[TotalRevenue]]&lt;100,"Low",Table1[[#This Row],[TotalRevenue]]&lt;300,"Medium",Table1[[#This Row],[TotalRevenue]]&lt;600,"High",TRUE,"Very High")</f>
        <v>Medium</v>
      </c>
      <c r="R40" s="3" t="str" cm="1">
        <f t="array" ref="R40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40" s="3" t="str">
        <f>IF(Table1[[#This Row],[NextBillingDate]]="","Cancelled",IF(Table1[[#This Row],[CancellationDate]]&lt;&gt;"","Cancelled","Active"))</f>
        <v>Cancelled</v>
      </c>
      <c r="T40" s="7" cm="1">
        <f t="array" ref="T4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40" s="5">
        <v>44787</v>
      </c>
      <c r="W40" s="5">
        <v>44787</v>
      </c>
      <c r="X40" s="3">
        <v>0</v>
      </c>
      <c r="Y40" s="5">
        <f ca="1">IF(Table1[[#This Row],[ChurnStatus]]="Cancelled",Table1[[#This Row],[CancellationDate]],TODAY())</f>
        <v>44787</v>
      </c>
      <c r="Z40" s="46">
        <f ca="1">IF(AND(Table1[[#This Row],[SubscriptionStart]] &lt;= TODAY(), Table1[[#This Row],[EffectiveEndDate]] &gt;= TODAY()),1,0)</f>
        <v>0</v>
      </c>
      <c r="AA40" s="46">
        <f ca="1">IF(AND(Table1[[#This Row],[SubscriptionStart]]&lt;=Settings!$A$2,Table1[[#This Row],[EffectiveEndDate]]&gt;=Settings!$A$2),1,0)</f>
        <v>0</v>
      </c>
      <c r="AB40" s="46">
        <f ca="1">IF(AND(Table1[[#This Row],[SubscriptionStart]]&lt;=Settings!$B$2,Table1[[#This Row],[EffectiveEndDate]]&gt;=Settings!$B$2),1,0)</f>
        <v>1</v>
      </c>
      <c r="AC40" s="46">
        <f ca="1">IF(AND(Table1[[#This Row],[SubscriptionStart]]&lt;=Settings!$C$2,Table1[[#This Row],[EffectiveEndDate]]&gt;=Settings!$C$2),1,0)</f>
        <v>0</v>
      </c>
      <c r="AD40" s="46">
        <f ca="1">IF(AND(Table1[[#This Row],[SubscriptionStart]]&lt;=Settings!$D$2,Table1[[#This Row],[EffectiveEndDate]]&gt;=Settings!$D$2),1,0)</f>
        <v>0</v>
      </c>
      <c r="AE40" s="46">
        <f ca="1">IF(AND(Table1[[#This Row],[SubscriptionStart]]&lt;=Settings!$E$2,Table1[[#This Row],[EffectiveEndDate]]&gt;=Settings!$E$2),1,0)</f>
        <v>0</v>
      </c>
      <c r="AF40"/>
      <c r="AG40"/>
      <c r="AH40"/>
      <c r="AI40"/>
      <c r="AJ40"/>
      <c r="AK40"/>
    </row>
    <row r="41" spans="1:37">
      <c r="A41" s="3" t="s">
        <v>669</v>
      </c>
      <c r="B41" s="3">
        <v>29</v>
      </c>
      <c r="C41" s="3" t="s">
        <v>23</v>
      </c>
      <c r="D41" s="5">
        <v>44607</v>
      </c>
      <c r="F41" s="3">
        <f ca="1">TODAY() - Table1[[#This Row],[SubscriptionStart]]</f>
        <v>1374</v>
      </c>
      <c r="G41" s="4">
        <v>48</v>
      </c>
      <c r="H41" s="3" t="s">
        <v>24</v>
      </c>
      <c r="I41" s="3" t="s">
        <v>25</v>
      </c>
      <c r="J41" s="7" cm="1">
        <f t="array" ref="J41">_xlfn.IFS(Table1[[#This Row],[Tier]]="Basic",10,Table1[[#This Row],[Tier]]="Standard",18,Table1[[#This Row],[Tier]]="Premium",25)</f>
        <v>25</v>
      </c>
      <c r="K41" s="7" cm="1">
        <f t="array" ref="K4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16.666666666666664</v>
      </c>
      <c r="L41" s="7" cm="1">
        <f t="array" ref="L4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780</v>
      </c>
      <c r="M41" s="3" t="str" cm="1">
        <f t="array" ref="M4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1" s="3" t="s">
        <v>26</v>
      </c>
      <c r="O41" s="3" t="s">
        <v>32</v>
      </c>
      <c r="Q41" s="3" t="str" cm="1">
        <f t="array" ref="Q41">_xlfn.IFS(Table1[[#This Row],[TotalRevenue]]&lt;100,"Low",Table1[[#This Row],[TotalRevenue]]&lt;300,"Medium",Table1[[#This Row],[TotalRevenue]]&lt;600,"High",TRUE,"Very High")</f>
        <v>Very High</v>
      </c>
      <c r="R41" s="3" t="str" cm="1">
        <f t="array" ref="R4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1" s="3" t="str">
        <f>IF(Table1[[#This Row],[NextBillingDate]]="","Cancelled",IF(Table1[[#This Row],[CancellationDate]]&lt;&gt;"","Cancelled","Active"))</f>
        <v>Active</v>
      </c>
      <c r="T41" s="7" cm="1">
        <f t="array" ref="T4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980</v>
      </c>
      <c r="V41" s="5">
        <v>46047</v>
      </c>
      <c r="W41" s="5">
        <v>46047</v>
      </c>
      <c r="X41" s="3">
        <v>3</v>
      </c>
      <c r="Y41" s="5">
        <f ca="1">IF(Table1[[#This Row],[ChurnStatus]]="Cancelled",Table1[[#This Row],[CancellationDate]],TODAY())</f>
        <v>45981</v>
      </c>
      <c r="Z41" s="46">
        <f ca="1">IF(AND(Table1[[#This Row],[SubscriptionStart]] &lt;= TODAY(), Table1[[#This Row],[EffectiveEndDate]] &gt;= TODAY()),1,0)</f>
        <v>1</v>
      </c>
      <c r="AA41" s="46">
        <f ca="1">IF(AND(Table1[[#This Row],[SubscriptionStart]]&lt;=Settings!$A$2,Table1[[#This Row],[EffectiveEndDate]]&gt;=Settings!$A$2),1,0)</f>
        <v>0</v>
      </c>
      <c r="AB41" s="46">
        <f ca="1">IF(AND(Table1[[#This Row],[SubscriptionStart]]&lt;=Settings!$B$2,Table1[[#This Row],[EffectiveEndDate]]&gt;=Settings!$B$2),1,0)</f>
        <v>1</v>
      </c>
      <c r="AC41" s="46">
        <f ca="1">IF(AND(Table1[[#This Row],[SubscriptionStart]]&lt;=Settings!$C$2,Table1[[#This Row],[EffectiveEndDate]]&gt;=Settings!$C$2),1,0)</f>
        <v>1</v>
      </c>
      <c r="AD41" s="46">
        <f ca="1">IF(AND(Table1[[#This Row],[SubscriptionStart]]&lt;=Settings!$D$2,Table1[[#This Row],[EffectiveEndDate]]&gt;=Settings!$D$2),1,0)</f>
        <v>1</v>
      </c>
      <c r="AE41" s="46">
        <f ca="1">IF(AND(Table1[[#This Row],[SubscriptionStart]]&lt;=Settings!$E$2,Table1[[#This Row],[EffectiveEndDate]]&gt;=Settings!$E$2),1,0)</f>
        <v>1</v>
      </c>
      <c r="AF41"/>
      <c r="AG41"/>
      <c r="AH41"/>
      <c r="AI41"/>
      <c r="AJ41"/>
      <c r="AK41"/>
    </row>
    <row r="42" spans="1:37">
      <c r="A42" s="3" t="s">
        <v>430</v>
      </c>
      <c r="B42" s="3">
        <v>42</v>
      </c>
      <c r="C42" s="3" t="s">
        <v>23</v>
      </c>
      <c r="D42" s="5">
        <v>44608</v>
      </c>
      <c r="E42" s="5">
        <v>44638</v>
      </c>
      <c r="F42" s="3">
        <f ca="1">TODAY() - Table1[[#This Row],[SubscriptionStart]]</f>
        <v>1373</v>
      </c>
      <c r="G42" s="4">
        <v>1</v>
      </c>
      <c r="H42" s="3" t="s">
        <v>29</v>
      </c>
      <c r="I42" s="3" t="s">
        <v>25</v>
      </c>
      <c r="J42" s="7" cm="1">
        <f t="array" ref="J42">_xlfn.IFS(Table1[[#This Row],[Tier]]="Basic",10,Table1[[#This Row],[Tier]]="Standard",18,Table1[[#This Row],[Tier]]="Premium",25)</f>
        <v>25</v>
      </c>
      <c r="K42" s="7" cm="1">
        <f t="array" ref="K4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42" s="7" cm="1">
        <f t="array" ref="L4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2" s="3" t="str" cm="1">
        <f t="array" ref="M4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2" s="3" t="s">
        <v>52</v>
      </c>
      <c r="O42" s="3" t="s">
        <v>49</v>
      </c>
      <c r="P42" s="3" t="s">
        <v>44</v>
      </c>
      <c r="Q42" s="3" t="str" cm="1">
        <f t="array" ref="Q42">_xlfn.IFS(Table1[[#This Row],[TotalRevenue]]&lt;100,"Low",Table1[[#This Row],[TotalRevenue]]&lt;300,"Medium",Table1[[#This Row],[TotalRevenue]]&lt;600,"High",TRUE,"Very High")</f>
        <v>Low</v>
      </c>
      <c r="R42" s="3" t="str" cm="1">
        <f t="array" ref="R4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2" s="3" t="str">
        <f>IF(Table1[[#This Row],[NextBillingDate]]="","Cancelled",IF(Table1[[#This Row],[CancellationDate]]&lt;&gt;"","Cancelled","Active"))</f>
        <v>Cancelled</v>
      </c>
      <c r="T42" s="7" cm="1">
        <f t="array" ref="T4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2" s="5">
        <v>44638</v>
      </c>
      <c r="W42" s="5">
        <v>44638</v>
      </c>
      <c r="X42" s="3">
        <v>0</v>
      </c>
      <c r="Y42" s="5">
        <f ca="1">IF(Table1[[#This Row],[ChurnStatus]]="Cancelled",Table1[[#This Row],[CancellationDate]],TODAY())</f>
        <v>44638</v>
      </c>
      <c r="Z42" s="46">
        <f ca="1">IF(AND(Table1[[#This Row],[SubscriptionStart]] &lt;= TODAY(), Table1[[#This Row],[EffectiveEndDate]] &gt;= TODAY()),1,0)</f>
        <v>0</v>
      </c>
      <c r="AA42" s="46">
        <f ca="1">IF(AND(Table1[[#This Row],[SubscriptionStart]]&lt;=Settings!$A$2,Table1[[#This Row],[EffectiveEndDate]]&gt;=Settings!$A$2),1,0)</f>
        <v>0</v>
      </c>
      <c r="AB42" s="46">
        <f ca="1">IF(AND(Table1[[#This Row],[SubscriptionStart]]&lt;=Settings!$B$2,Table1[[#This Row],[EffectiveEndDate]]&gt;=Settings!$B$2),1,0)</f>
        <v>0</v>
      </c>
      <c r="AC42" s="46">
        <f ca="1">IF(AND(Table1[[#This Row],[SubscriptionStart]]&lt;=Settings!$C$2,Table1[[#This Row],[EffectiveEndDate]]&gt;=Settings!$C$2),1,0)</f>
        <v>0</v>
      </c>
      <c r="AD42" s="46">
        <f ca="1">IF(AND(Table1[[#This Row],[SubscriptionStart]]&lt;=Settings!$D$2,Table1[[#This Row],[EffectiveEndDate]]&gt;=Settings!$D$2),1,0)</f>
        <v>0</v>
      </c>
      <c r="AE42" s="46">
        <f ca="1">IF(AND(Table1[[#This Row],[SubscriptionStart]]&lt;=Settings!$E$2,Table1[[#This Row],[EffectiveEndDate]]&gt;=Settings!$E$2),1,0)</f>
        <v>0</v>
      </c>
      <c r="AF42"/>
      <c r="AG42"/>
      <c r="AH42"/>
      <c r="AI42"/>
      <c r="AJ42"/>
      <c r="AK42"/>
    </row>
    <row r="43" spans="1:37">
      <c r="A43" s="3" t="s">
        <v>750</v>
      </c>
      <c r="B43" s="3">
        <v>39</v>
      </c>
      <c r="C43" s="3" t="s">
        <v>23</v>
      </c>
      <c r="D43" s="5">
        <v>44608</v>
      </c>
      <c r="E43" s="5">
        <v>44788</v>
      </c>
      <c r="F43" s="3">
        <f ca="1">TODAY() - Table1[[#This Row],[SubscriptionStart]]</f>
        <v>1373</v>
      </c>
      <c r="G43" s="4">
        <v>6</v>
      </c>
      <c r="H43" s="3" t="s">
        <v>38</v>
      </c>
      <c r="I43" s="3" t="s">
        <v>30</v>
      </c>
      <c r="J43" s="7" cm="1">
        <f t="array" ref="J43">_xlfn.IFS(Table1[[#This Row],[Tier]]="Basic",10,Table1[[#This Row],[Tier]]="Standard",18,Table1[[#This Row],[Tier]]="Premium",25)</f>
        <v>10</v>
      </c>
      <c r="K43" s="7" cm="1">
        <f t="array" ref="K4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43" s="7" cm="1">
        <f t="array" ref="L4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43" s="3" t="str" cm="1">
        <f t="array" ref="M4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3" s="3" t="s">
        <v>34</v>
      </c>
      <c r="O43" s="3" t="s">
        <v>49</v>
      </c>
      <c r="P43" s="3" t="s">
        <v>35</v>
      </c>
      <c r="Q43" s="3" t="str" cm="1">
        <f t="array" ref="Q43">_xlfn.IFS(Table1[[#This Row],[TotalRevenue]]&lt;100,"Low",Table1[[#This Row],[TotalRevenue]]&lt;300,"Medium",Table1[[#This Row],[TotalRevenue]]&lt;600,"High",TRUE,"Very High")</f>
        <v>Low</v>
      </c>
      <c r="R43" s="3" t="str" cm="1">
        <f t="array" ref="R4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3" s="3" t="str">
        <f>IF(Table1[[#This Row],[NextBillingDate]]="","Cancelled",IF(Table1[[#This Row],[CancellationDate]]&lt;&gt;"","Cancelled","Active"))</f>
        <v>Cancelled</v>
      </c>
      <c r="T43" s="7" cm="1">
        <f t="array" ref="T4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43" s="5">
        <v>44788</v>
      </c>
      <c r="W43" s="5">
        <v>44788</v>
      </c>
      <c r="X43" s="3">
        <v>0</v>
      </c>
      <c r="Y43" s="5">
        <f ca="1">IF(Table1[[#This Row],[ChurnStatus]]="Cancelled",Table1[[#This Row],[CancellationDate]],TODAY())</f>
        <v>44788</v>
      </c>
      <c r="Z43" s="46">
        <f ca="1">IF(AND(Table1[[#This Row],[SubscriptionStart]] &lt;= TODAY(), Table1[[#This Row],[EffectiveEndDate]] &gt;= TODAY()),1,0)</f>
        <v>0</v>
      </c>
      <c r="AA43" s="46">
        <f ca="1">IF(AND(Table1[[#This Row],[SubscriptionStart]]&lt;=Settings!$A$2,Table1[[#This Row],[EffectiveEndDate]]&gt;=Settings!$A$2),1,0)</f>
        <v>0</v>
      </c>
      <c r="AB43" s="46">
        <f ca="1">IF(AND(Table1[[#This Row],[SubscriptionStart]]&lt;=Settings!$B$2,Table1[[#This Row],[EffectiveEndDate]]&gt;=Settings!$B$2),1,0)</f>
        <v>1</v>
      </c>
      <c r="AC43" s="46">
        <f ca="1">IF(AND(Table1[[#This Row],[SubscriptionStart]]&lt;=Settings!$C$2,Table1[[#This Row],[EffectiveEndDate]]&gt;=Settings!$C$2),1,0)</f>
        <v>0</v>
      </c>
      <c r="AD43" s="46">
        <f ca="1">IF(AND(Table1[[#This Row],[SubscriptionStart]]&lt;=Settings!$D$2,Table1[[#This Row],[EffectiveEndDate]]&gt;=Settings!$D$2),1,0)</f>
        <v>0</v>
      </c>
      <c r="AE43" s="46">
        <f ca="1">IF(AND(Table1[[#This Row],[SubscriptionStart]]&lt;=Settings!$E$2,Table1[[#This Row],[EffectiveEndDate]]&gt;=Settings!$E$2),1,0)</f>
        <v>0</v>
      </c>
      <c r="AF43"/>
      <c r="AG43"/>
      <c r="AH43"/>
      <c r="AI43"/>
      <c r="AJ43"/>
      <c r="AK43"/>
    </row>
    <row r="44" spans="1:37">
      <c r="A44" s="3" t="s">
        <v>633</v>
      </c>
      <c r="B44" s="3">
        <v>42</v>
      </c>
      <c r="C44" s="3" t="s">
        <v>37</v>
      </c>
      <c r="D44" s="5">
        <v>44609</v>
      </c>
      <c r="F44" s="3">
        <f ca="1">TODAY() - Table1[[#This Row],[SubscriptionStart]]</f>
        <v>1372</v>
      </c>
      <c r="G44" s="4">
        <v>46</v>
      </c>
      <c r="H44" s="3" t="s">
        <v>29</v>
      </c>
      <c r="I44" s="3" t="s">
        <v>25</v>
      </c>
      <c r="J44" s="7" cm="1">
        <f t="array" ref="J44">_xlfn.IFS(Table1[[#This Row],[Tier]]="Basic",10,Table1[[#This Row],[Tier]]="Standard",18,Table1[[#This Row],[Tier]]="Premium",25)</f>
        <v>25</v>
      </c>
      <c r="K44" s="7" cm="1">
        <f t="array" ref="K4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44" s="7" cm="1">
        <f t="array" ref="L4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1097.5</v>
      </c>
      <c r="M44" s="3" t="str" cm="1">
        <f t="array" ref="M4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4" s="3" t="s">
        <v>26</v>
      </c>
      <c r="O44" s="3" t="s">
        <v>27</v>
      </c>
      <c r="Q44" s="3" t="str" cm="1">
        <f t="array" ref="Q44">_xlfn.IFS(Table1[[#This Row],[TotalRevenue]]&lt;100,"Low",Table1[[#This Row],[TotalRevenue]]&lt;300,"Medium",Table1[[#This Row],[TotalRevenue]]&lt;600,"High",TRUE,"Very High")</f>
        <v>Very High</v>
      </c>
      <c r="R44" s="3" t="str" cm="1">
        <f t="array" ref="R4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4" s="3" t="str">
        <f>IF(Table1[[#This Row],[NextBillingDate]]="","Cancelled",IF(Table1[[#This Row],[CancellationDate]]&lt;&gt;"","Cancelled","Active"))</f>
        <v>Active</v>
      </c>
      <c r="T44" s="7" cm="1">
        <f t="array" ref="T4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1122.5</v>
      </c>
      <c r="V44" s="5">
        <v>45989</v>
      </c>
      <c r="W44" s="5">
        <v>45989</v>
      </c>
      <c r="X44" s="3">
        <v>45</v>
      </c>
      <c r="Y44" s="5">
        <f ca="1">IF(Table1[[#This Row],[ChurnStatus]]="Cancelled",Table1[[#This Row],[CancellationDate]],TODAY())</f>
        <v>45981</v>
      </c>
      <c r="Z44" s="46">
        <f ca="1">IF(AND(Table1[[#This Row],[SubscriptionStart]] &lt;= TODAY(), Table1[[#This Row],[EffectiveEndDate]] &gt;= TODAY()),1,0)</f>
        <v>1</v>
      </c>
      <c r="AA44" s="46">
        <f ca="1">IF(AND(Table1[[#This Row],[SubscriptionStart]]&lt;=Settings!$A$2,Table1[[#This Row],[EffectiveEndDate]]&gt;=Settings!$A$2),1,0)</f>
        <v>0</v>
      </c>
      <c r="AB44" s="46">
        <f ca="1">IF(AND(Table1[[#This Row],[SubscriptionStart]]&lt;=Settings!$B$2,Table1[[#This Row],[EffectiveEndDate]]&gt;=Settings!$B$2),1,0)</f>
        <v>1</v>
      </c>
      <c r="AC44" s="46">
        <f ca="1">IF(AND(Table1[[#This Row],[SubscriptionStart]]&lt;=Settings!$C$2,Table1[[#This Row],[EffectiveEndDate]]&gt;=Settings!$C$2),1,0)</f>
        <v>1</v>
      </c>
      <c r="AD44" s="46">
        <f ca="1">IF(AND(Table1[[#This Row],[SubscriptionStart]]&lt;=Settings!$D$2,Table1[[#This Row],[EffectiveEndDate]]&gt;=Settings!$D$2),1,0)</f>
        <v>1</v>
      </c>
      <c r="AE44" s="46">
        <f ca="1">IF(AND(Table1[[#This Row],[SubscriptionStart]]&lt;=Settings!$E$2,Table1[[#This Row],[EffectiveEndDate]]&gt;=Settings!$E$2),1,0)</f>
        <v>1</v>
      </c>
      <c r="AF44"/>
      <c r="AG44"/>
      <c r="AH44"/>
      <c r="AI44"/>
      <c r="AJ44"/>
      <c r="AK44"/>
    </row>
    <row r="45" spans="1:37">
      <c r="A45" s="3" t="s">
        <v>828</v>
      </c>
      <c r="B45" s="3">
        <v>48</v>
      </c>
      <c r="C45" s="3" t="s">
        <v>23</v>
      </c>
      <c r="D45" s="5">
        <v>44610</v>
      </c>
      <c r="E45" s="5">
        <v>44790</v>
      </c>
      <c r="F45" s="3">
        <f ca="1">TODAY() - Table1[[#This Row],[SubscriptionStart]]</f>
        <v>1371</v>
      </c>
      <c r="G45" s="4">
        <v>6</v>
      </c>
      <c r="H45" s="3" t="s">
        <v>38</v>
      </c>
      <c r="I45" s="3" t="s">
        <v>30</v>
      </c>
      <c r="J45" s="7" cm="1">
        <f t="array" ref="J45">_xlfn.IFS(Table1[[#This Row],[Tier]]="Basic",10,Table1[[#This Row],[Tier]]="Standard",18,Table1[[#This Row],[Tier]]="Premium",25)</f>
        <v>10</v>
      </c>
      <c r="K45" s="7" cm="1">
        <f t="array" ref="K4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45" s="7" cm="1">
        <f t="array" ref="L4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45" s="3" t="str" cm="1">
        <f t="array" ref="M4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5" s="3" t="s">
        <v>34</v>
      </c>
      <c r="O45" s="3" t="s">
        <v>32</v>
      </c>
      <c r="P45" s="3" t="s">
        <v>47</v>
      </c>
      <c r="Q45" s="3" t="str" cm="1">
        <f t="array" ref="Q45">_xlfn.IFS(Table1[[#This Row],[TotalRevenue]]&lt;100,"Low",Table1[[#This Row],[TotalRevenue]]&lt;300,"Medium",Table1[[#This Row],[TotalRevenue]]&lt;600,"High",TRUE,"Very High")</f>
        <v>Low</v>
      </c>
      <c r="R45" s="3" t="str" cm="1">
        <f t="array" ref="R4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5" s="3" t="str">
        <f>IF(Table1[[#This Row],[NextBillingDate]]="","Cancelled",IF(Table1[[#This Row],[CancellationDate]]&lt;&gt;"","Cancelled","Active"))</f>
        <v>Cancelled</v>
      </c>
      <c r="T45" s="7" cm="1">
        <f t="array" ref="T4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45" s="5">
        <v>44790</v>
      </c>
      <c r="W45" s="5">
        <v>44790</v>
      </c>
      <c r="X45" s="3">
        <v>0</v>
      </c>
      <c r="Y45" s="5">
        <f ca="1">IF(Table1[[#This Row],[ChurnStatus]]="Cancelled",Table1[[#This Row],[CancellationDate]],TODAY())</f>
        <v>44790</v>
      </c>
      <c r="Z45" s="46">
        <f ca="1">IF(AND(Table1[[#This Row],[SubscriptionStart]] &lt;= TODAY(), Table1[[#This Row],[EffectiveEndDate]] &gt;= TODAY()),1,0)</f>
        <v>0</v>
      </c>
      <c r="AA45" s="46">
        <f ca="1">IF(AND(Table1[[#This Row],[SubscriptionStart]]&lt;=Settings!$A$2,Table1[[#This Row],[EffectiveEndDate]]&gt;=Settings!$A$2),1,0)</f>
        <v>0</v>
      </c>
      <c r="AB45" s="46">
        <f ca="1">IF(AND(Table1[[#This Row],[SubscriptionStart]]&lt;=Settings!$B$2,Table1[[#This Row],[EffectiveEndDate]]&gt;=Settings!$B$2),1,0)</f>
        <v>1</v>
      </c>
      <c r="AC45" s="46">
        <f ca="1">IF(AND(Table1[[#This Row],[SubscriptionStart]]&lt;=Settings!$C$2,Table1[[#This Row],[EffectiveEndDate]]&gt;=Settings!$C$2),1,0)</f>
        <v>0</v>
      </c>
      <c r="AD45" s="46">
        <f ca="1">IF(AND(Table1[[#This Row],[SubscriptionStart]]&lt;=Settings!$D$2,Table1[[#This Row],[EffectiveEndDate]]&gt;=Settings!$D$2),1,0)</f>
        <v>0</v>
      </c>
      <c r="AE45" s="46">
        <f ca="1">IF(AND(Table1[[#This Row],[SubscriptionStart]]&lt;=Settings!$E$2,Table1[[#This Row],[EffectiveEndDate]]&gt;=Settings!$E$2),1,0)</f>
        <v>0</v>
      </c>
      <c r="AF45"/>
      <c r="AG45"/>
      <c r="AH45"/>
      <c r="AI45"/>
      <c r="AJ45"/>
      <c r="AK45"/>
    </row>
    <row r="46" spans="1:37">
      <c r="A46" s="3" t="s">
        <v>350</v>
      </c>
      <c r="B46" s="3">
        <v>70</v>
      </c>
      <c r="C46" s="3" t="s">
        <v>37</v>
      </c>
      <c r="D46" s="5">
        <v>44610</v>
      </c>
      <c r="F46" s="3">
        <f ca="1">TODAY() - Table1[[#This Row],[SubscriptionStart]]</f>
        <v>1371</v>
      </c>
      <c r="G46" s="4">
        <v>48</v>
      </c>
      <c r="H46" s="3" t="s">
        <v>24</v>
      </c>
      <c r="I46" s="3" t="s">
        <v>30</v>
      </c>
      <c r="J46" s="7" cm="1">
        <f t="array" ref="J46">_xlfn.IFS(Table1[[#This Row],[Tier]]="Basic",10,Table1[[#This Row],[Tier]]="Standard",18,Table1[[#This Row],[Tier]]="Premium",25)</f>
        <v>10</v>
      </c>
      <c r="K46" s="7" cm="1">
        <f t="array" ref="K4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46" s="7" cm="1">
        <f t="array" ref="L4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312</v>
      </c>
      <c r="M46" s="3" t="str" cm="1">
        <f t="array" ref="M46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6" s="3" t="s">
        <v>31</v>
      </c>
      <c r="O46" s="3" t="s">
        <v>49</v>
      </c>
      <c r="Q46" s="3" t="str" cm="1">
        <f t="array" ref="Q46">_xlfn.IFS(Table1[[#This Row],[TotalRevenue]]&lt;100,"Low",Table1[[#This Row],[TotalRevenue]]&lt;300,"Medium",Table1[[#This Row],[TotalRevenue]]&lt;600,"High",TRUE,"Very High")</f>
        <v>High</v>
      </c>
      <c r="R46" s="3" t="str" cm="1">
        <f t="array" ref="R46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46" s="3" t="str">
        <f>IF(Table1[[#This Row],[NextBillingDate]]="","Cancelled",IF(Table1[[#This Row],[CancellationDate]]&lt;&gt;"","Cancelled","Active"))</f>
        <v>Active</v>
      </c>
      <c r="T46" s="7" cm="1">
        <f t="array" ref="T4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392</v>
      </c>
      <c r="V46" s="5">
        <v>46050</v>
      </c>
      <c r="W46" s="5">
        <v>46050</v>
      </c>
      <c r="X46" s="3">
        <v>3</v>
      </c>
      <c r="Y46" s="5">
        <f ca="1">IF(Table1[[#This Row],[ChurnStatus]]="Cancelled",Table1[[#This Row],[CancellationDate]],TODAY())</f>
        <v>45981</v>
      </c>
      <c r="Z46" s="46">
        <f ca="1">IF(AND(Table1[[#This Row],[SubscriptionStart]] &lt;= TODAY(), Table1[[#This Row],[EffectiveEndDate]] &gt;= TODAY()),1,0)</f>
        <v>1</v>
      </c>
      <c r="AA46" s="46">
        <f ca="1">IF(AND(Table1[[#This Row],[SubscriptionStart]]&lt;=Settings!$A$2,Table1[[#This Row],[EffectiveEndDate]]&gt;=Settings!$A$2),1,0)</f>
        <v>0</v>
      </c>
      <c r="AB46" s="46">
        <f ca="1">IF(AND(Table1[[#This Row],[SubscriptionStart]]&lt;=Settings!$B$2,Table1[[#This Row],[EffectiveEndDate]]&gt;=Settings!$B$2),1,0)</f>
        <v>1</v>
      </c>
      <c r="AC46" s="46">
        <f ca="1">IF(AND(Table1[[#This Row],[SubscriptionStart]]&lt;=Settings!$C$2,Table1[[#This Row],[EffectiveEndDate]]&gt;=Settings!$C$2),1,0)</f>
        <v>1</v>
      </c>
      <c r="AD46" s="46">
        <f ca="1">IF(AND(Table1[[#This Row],[SubscriptionStart]]&lt;=Settings!$D$2,Table1[[#This Row],[EffectiveEndDate]]&gt;=Settings!$D$2),1,0)</f>
        <v>1</v>
      </c>
      <c r="AE46" s="46">
        <f ca="1">IF(AND(Table1[[#This Row],[SubscriptionStart]]&lt;=Settings!$E$2,Table1[[#This Row],[EffectiveEndDate]]&gt;=Settings!$E$2),1,0)</f>
        <v>1</v>
      </c>
      <c r="AF46"/>
      <c r="AG46"/>
      <c r="AH46"/>
      <c r="AI46"/>
      <c r="AJ46"/>
      <c r="AK46"/>
    </row>
    <row r="47" spans="1:37">
      <c r="A47" s="3" t="s">
        <v>460</v>
      </c>
      <c r="B47" s="3">
        <v>33</v>
      </c>
      <c r="C47" s="3" t="s">
        <v>37</v>
      </c>
      <c r="D47" s="5">
        <v>44610</v>
      </c>
      <c r="F47" s="3">
        <f ca="1">TODAY() - Table1[[#This Row],[SubscriptionStart]]</f>
        <v>1371</v>
      </c>
      <c r="G47" s="4">
        <v>48</v>
      </c>
      <c r="H47" s="3" t="s">
        <v>24</v>
      </c>
      <c r="I47" s="3" t="s">
        <v>25</v>
      </c>
      <c r="J47" s="7" cm="1">
        <f t="array" ref="J47">_xlfn.IFS(Table1[[#This Row],[Tier]]="Basic",10,Table1[[#This Row],[Tier]]="Standard",18,Table1[[#This Row],[Tier]]="Premium",25)</f>
        <v>25</v>
      </c>
      <c r="K47" s="7" cm="1">
        <f t="array" ref="K4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16.666666666666664</v>
      </c>
      <c r="L47" s="7" cm="1">
        <f t="array" ref="L4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780</v>
      </c>
      <c r="M47" s="3" t="str" cm="1">
        <f t="array" ref="M4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7" s="3" t="s">
        <v>26</v>
      </c>
      <c r="O47" s="3" t="s">
        <v>43</v>
      </c>
      <c r="Q47" s="3" t="str" cm="1">
        <f t="array" ref="Q47">_xlfn.IFS(Table1[[#This Row],[TotalRevenue]]&lt;100,"Low",Table1[[#This Row],[TotalRevenue]]&lt;300,"Medium",Table1[[#This Row],[TotalRevenue]]&lt;600,"High",TRUE,"Very High")</f>
        <v>Very High</v>
      </c>
      <c r="R47" s="3" t="str" cm="1">
        <f t="array" ref="R4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7" s="3" t="str">
        <f>IF(Table1[[#This Row],[NextBillingDate]]="","Cancelled",IF(Table1[[#This Row],[CancellationDate]]&lt;&gt;"","Cancelled","Active"))</f>
        <v>Active</v>
      </c>
      <c r="T47" s="7" cm="1">
        <f t="array" ref="T4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980</v>
      </c>
      <c r="V47" s="5">
        <v>46050</v>
      </c>
      <c r="W47" s="5">
        <v>46050</v>
      </c>
      <c r="X47" s="3">
        <v>3</v>
      </c>
      <c r="Y47" s="5">
        <f ca="1">IF(Table1[[#This Row],[ChurnStatus]]="Cancelled",Table1[[#This Row],[CancellationDate]],TODAY())</f>
        <v>45981</v>
      </c>
      <c r="Z47" s="46">
        <f ca="1">IF(AND(Table1[[#This Row],[SubscriptionStart]] &lt;= TODAY(), Table1[[#This Row],[EffectiveEndDate]] &gt;= TODAY()),1,0)</f>
        <v>1</v>
      </c>
      <c r="AA47" s="46">
        <f ca="1">IF(AND(Table1[[#This Row],[SubscriptionStart]]&lt;=Settings!$A$2,Table1[[#This Row],[EffectiveEndDate]]&gt;=Settings!$A$2),1,0)</f>
        <v>0</v>
      </c>
      <c r="AB47" s="46">
        <f ca="1">IF(AND(Table1[[#This Row],[SubscriptionStart]]&lt;=Settings!$B$2,Table1[[#This Row],[EffectiveEndDate]]&gt;=Settings!$B$2),1,0)</f>
        <v>1</v>
      </c>
      <c r="AC47" s="46">
        <f ca="1">IF(AND(Table1[[#This Row],[SubscriptionStart]]&lt;=Settings!$C$2,Table1[[#This Row],[EffectiveEndDate]]&gt;=Settings!$C$2),1,0)</f>
        <v>1</v>
      </c>
      <c r="AD47" s="46">
        <f ca="1">IF(AND(Table1[[#This Row],[SubscriptionStart]]&lt;=Settings!$D$2,Table1[[#This Row],[EffectiveEndDate]]&gt;=Settings!$D$2),1,0)</f>
        <v>1</v>
      </c>
      <c r="AE47" s="46">
        <f ca="1">IF(AND(Table1[[#This Row],[SubscriptionStart]]&lt;=Settings!$E$2,Table1[[#This Row],[EffectiveEndDate]]&gt;=Settings!$E$2),1,0)</f>
        <v>1</v>
      </c>
      <c r="AF47"/>
      <c r="AG47"/>
      <c r="AH47"/>
      <c r="AI47"/>
      <c r="AJ47"/>
      <c r="AK47"/>
    </row>
    <row r="48" spans="1:37">
      <c r="A48" s="3" t="s">
        <v>371</v>
      </c>
      <c r="B48" s="3">
        <v>59</v>
      </c>
      <c r="C48" s="3" t="s">
        <v>23</v>
      </c>
      <c r="D48" s="5">
        <v>44615</v>
      </c>
      <c r="E48" s="5">
        <v>44975</v>
      </c>
      <c r="F48" s="3">
        <f ca="1">TODAY() - Table1[[#This Row],[SubscriptionStart]]</f>
        <v>1366</v>
      </c>
      <c r="G48" s="4">
        <v>12</v>
      </c>
      <c r="H48" s="3" t="s">
        <v>24</v>
      </c>
      <c r="I48" s="3" t="s">
        <v>39</v>
      </c>
      <c r="J48" s="7" cm="1">
        <f t="array" ref="J48">_xlfn.IFS(Table1[[#This Row],[Tier]]="Basic",10,Table1[[#This Row],[Tier]]="Standard",18,Table1[[#This Row],[Tier]]="Premium",25)</f>
        <v>18</v>
      </c>
      <c r="K48" s="7" cm="1">
        <f t="array" ref="K4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48" s="7" cm="1">
        <f t="array" ref="L4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48" s="3" t="str" cm="1">
        <f t="array" ref="M4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8" s="3" t="s">
        <v>31</v>
      </c>
      <c r="O48" s="3" t="s">
        <v>49</v>
      </c>
      <c r="P48" s="3" t="s">
        <v>50</v>
      </c>
      <c r="Q48" s="3" t="str" cm="1">
        <f t="array" ref="Q48">_xlfn.IFS(Table1[[#This Row],[TotalRevenue]]&lt;100,"Low",Table1[[#This Row],[TotalRevenue]]&lt;300,"Medium",Table1[[#This Row],[TotalRevenue]]&lt;600,"High",TRUE,"Very High")</f>
        <v>Medium</v>
      </c>
      <c r="R48" s="3" t="str" cm="1">
        <f t="array" ref="R4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8" s="3" t="str">
        <f>IF(Table1[[#This Row],[NextBillingDate]]="","Cancelled",IF(Table1[[#This Row],[CancellationDate]]&lt;&gt;"","Cancelled","Active"))</f>
        <v>Cancelled</v>
      </c>
      <c r="T48" s="7" cm="1">
        <f t="array" ref="T4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48" s="5">
        <v>44975</v>
      </c>
      <c r="W48" s="5">
        <v>44975</v>
      </c>
      <c r="X48" s="3">
        <v>0</v>
      </c>
      <c r="Y48" s="5">
        <f ca="1">IF(Table1[[#This Row],[ChurnStatus]]="Cancelled",Table1[[#This Row],[CancellationDate]],TODAY())</f>
        <v>44975</v>
      </c>
      <c r="Z48" s="46">
        <f ca="1">IF(AND(Table1[[#This Row],[SubscriptionStart]] &lt;= TODAY(), Table1[[#This Row],[EffectiveEndDate]] &gt;= TODAY()),1,0)</f>
        <v>0</v>
      </c>
      <c r="AA48" s="46">
        <f ca="1">IF(AND(Table1[[#This Row],[SubscriptionStart]]&lt;=Settings!$A$2,Table1[[#This Row],[EffectiveEndDate]]&gt;=Settings!$A$2),1,0)</f>
        <v>0</v>
      </c>
      <c r="AB48" s="46">
        <f ca="1">IF(AND(Table1[[#This Row],[SubscriptionStart]]&lt;=Settings!$B$2,Table1[[#This Row],[EffectiveEndDate]]&gt;=Settings!$B$2),1,0)</f>
        <v>1</v>
      </c>
      <c r="AC48" s="46">
        <f ca="1">IF(AND(Table1[[#This Row],[SubscriptionStart]]&lt;=Settings!$C$2,Table1[[#This Row],[EffectiveEndDate]]&gt;=Settings!$C$2),1,0)</f>
        <v>1</v>
      </c>
      <c r="AD48" s="46">
        <f ca="1">IF(AND(Table1[[#This Row],[SubscriptionStart]]&lt;=Settings!$D$2,Table1[[#This Row],[EffectiveEndDate]]&gt;=Settings!$D$2),1,0)</f>
        <v>0</v>
      </c>
      <c r="AE48" s="46">
        <f ca="1">IF(AND(Table1[[#This Row],[SubscriptionStart]]&lt;=Settings!$E$2,Table1[[#This Row],[EffectiveEndDate]]&gt;=Settings!$E$2),1,0)</f>
        <v>0</v>
      </c>
      <c r="AF48"/>
      <c r="AG48"/>
      <c r="AH48"/>
      <c r="AI48"/>
      <c r="AJ48"/>
      <c r="AK48"/>
    </row>
    <row r="49" spans="1:37">
      <c r="A49" s="3" t="s">
        <v>302</v>
      </c>
      <c r="B49" s="3">
        <v>38</v>
      </c>
      <c r="C49" s="3" t="s">
        <v>23</v>
      </c>
      <c r="D49" s="5">
        <v>44616</v>
      </c>
      <c r="E49" s="5">
        <v>44976</v>
      </c>
      <c r="F49" s="3">
        <f ca="1">TODAY() - Table1[[#This Row],[SubscriptionStart]]</f>
        <v>1365</v>
      </c>
      <c r="G49" s="4">
        <v>12</v>
      </c>
      <c r="H49" s="3" t="s">
        <v>24</v>
      </c>
      <c r="I49" s="3" t="s">
        <v>39</v>
      </c>
      <c r="J49" s="7" cm="1">
        <f t="array" ref="J49">_xlfn.IFS(Table1[[#This Row],[Tier]]="Basic",10,Table1[[#This Row],[Tier]]="Standard",18,Table1[[#This Row],[Tier]]="Premium",25)</f>
        <v>18</v>
      </c>
      <c r="K49" s="7" cm="1">
        <f t="array" ref="K4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49" s="7" cm="1">
        <f t="array" ref="L4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49" s="3" t="str" cm="1">
        <f t="array" ref="M4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9" s="3" t="s">
        <v>52</v>
      </c>
      <c r="O49" s="3" t="s">
        <v>27</v>
      </c>
      <c r="P49" s="3" t="s">
        <v>44</v>
      </c>
      <c r="Q49" s="3" t="str" cm="1">
        <f t="array" ref="Q49">_xlfn.IFS(Table1[[#This Row],[TotalRevenue]]&lt;100,"Low",Table1[[#This Row],[TotalRevenue]]&lt;300,"Medium",Table1[[#This Row],[TotalRevenue]]&lt;600,"High",TRUE,"Very High")</f>
        <v>Medium</v>
      </c>
      <c r="R49" s="3" t="str" cm="1">
        <f t="array" ref="R4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9" s="3" t="str">
        <f>IF(Table1[[#This Row],[NextBillingDate]]="","Cancelled",IF(Table1[[#This Row],[CancellationDate]]&lt;&gt;"","Cancelled","Active"))</f>
        <v>Cancelled</v>
      </c>
      <c r="T49" s="7" cm="1">
        <f t="array" ref="T4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49" s="5">
        <v>44976</v>
      </c>
      <c r="W49" s="5">
        <v>44976</v>
      </c>
      <c r="X49" s="3">
        <v>0</v>
      </c>
      <c r="Y49" s="5">
        <f ca="1">IF(Table1[[#This Row],[ChurnStatus]]="Cancelled",Table1[[#This Row],[CancellationDate]],TODAY())</f>
        <v>44976</v>
      </c>
      <c r="Z49" s="46">
        <f ca="1">IF(AND(Table1[[#This Row],[SubscriptionStart]] &lt;= TODAY(), Table1[[#This Row],[EffectiveEndDate]] &gt;= TODAY()),1,0)</f>
        <v>0</v>
      </c>
      <c r="AA49" s="46">
        <f ca="1">IF(AND(Table1[[#This Row],[SubscriptionStart]]&lt;=Settings!$A$2,Table1[[#This Row],[EffectiveEndDate]]&gt;=Settings!$A$2),1,0)</f>
        <v>0</v>
      </c>
      <c r="AB49" s="46">
        <f ca="1">IF(AND(Table1[[#This Row],[SubscriptionStart]]&lt;=Settings!$B$2,Table1[[#This Row],[EffectiveEndDate]]&gt;=Settings!$B$2),1,0)</f>
        <v>1</v>
      </c>
      <c r="AC49" s="46">
        <f ca="1">IF(AND(Table1[[#This Row],[SubscriptionStart]]&lt;=Settings!$C$2,Table1[[#This Row],[EffectiveEndDate]]&gt;=Settings!$C$2),1,0)</f>
        <v>1</v>
      </c>
      <c r="AD49" s="46">
        <f ca="1">IF(AND(Table1[[#This Row],[SubscriptionStart]]&lt;=Settings!$D$2,Table1[[#This Row],[EffectiveEndDate]]&gt;=Settings!$D$2),1,0)</f>
        <v>0</v>
      </c>
      <c r="AE49" s="46">
        <f ca="1">IF(AND(Table1[[#This Row],[SubscriptionStart]]&lt;=Settings!$E$2,Table1[[#This Row],[EffectiveEndDate]]&gt;=Settings!$E$2),1,0)</f>
        <v>0</v>
      </c>
      <c r="AF49"/>
      <c r="AG49"/>
      <c r="AH49"/>
      <c r="AI49"/>
      <c r="AJ49"/>
      <c r="AK49"/>
    </row>
    <row r="50" spans="1:37">
      <c r="A50" s="3" t="s">
        <v>458</v>
      </c>
      <c r="B50" s="3">
        <v>42</v>
      </c>
      <c r="C50" s="3" t="s">
        <v>23</v>
      </c>
      <c r="D50" s="5">
        <v>44616</v>
      </c>
      <c r="E50" s="5">
        <v>44976</v>
      </c>
      <c r="F50" s="3">
        <f ca="1">TODAY() - Table1[[#This Row],[SubscriptionStart]]</f>
        <v>1365</v>
      </c>
      <c r="G50" s="4">
        <v>12</v>
      </c>
      <c r="H50" s="3" t="s">
        <v>24</v>
      </c>
      <c r="I50" s="3" t="s">
        <v>25</v>
      </c>
      <c r="J50" s="7" cm="1">
        <f t="array" ref="J50">_xlfn.IFS(Table1[[#This Row],[Tier]]="Basic",10,Table1[[#This Row],[Tier]]="Standard",18,Table1[[#This Row],[Tier]]="Premium",25)</f>
        <v>25</v>
      </c>
      <c r="K50" s="7" cm="1">
        <f t="array" ref="K5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0" s="7" cm="1">
        <f t="array" ref="L5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0" s="3" t="str" cm="1">
        <f t="array" ref="M5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0" s="3" t="s">
        <v>26</v>
      </c>
      <c r="O50" s="3" t="s">
        <v>27</v>
      </c>
      <c r="P50" s="3" t="s">
        <v>44</v>
      </c>
      <c r="Q50" s="3" t="str" cm="1">
        <f t="array" ref="Q50">_xlfn.IFS(Table1[[#This Row],[TotalRevenue]]&lt;100,"Low",Table1[[#This Row],[TotalRevenue]]&lt;300,"Medium",Table1[[#This Row],[TotalRevenue]]&lt;600,"High",TRUE,"Very High")</f>
        <v>Medium</v>
      </c>
      <c r="R50" s="3" t="str" cm="1">
        <f t="array" ref="R5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0" s="3" t="str">
        <f>IF(Table1[[#This Row],[NextBillingDate]]="","Cancelled",IF(Table1[[#This Row],[CancellationDate]]&lt;&gt;"","Cancelled","Active"))</f>
        <v>Cancelled</v>
      </c>
      <c r="T50" s="7" cm="1">
        <f t="array" ref="T5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0" s="5">
        <v>44976</v>
      </c>
      <c r="W50" s="5">
        <v>44976</v>
      </c>
      <c r="X50" s="3">
        <v>0</v>
      </c>
      <c r="Y50" s="5">
        <f ca="1">IF(Table1[[#This Row],[ChurnStatus]]="Cancelled",Table1[[#This Row],[CancellationDate]],TODAY())</f>
        <v>44976</v>
      </c>
      <c r="Z50" s="46">
        <f ca="1">IF(AND(Table1[[#This Row],[SubscriptionStart]] &lt;= TODAY(), Table1[[#This Row],[EffectiveEndDate]] &gt;= TODAY()),1,0)</f>
        <v>0</v>
      </c>
      <c r="AA50" s="46">
        <f ca="1">IF(AND(Table1[[#This Row],[SubscriptionStart]]&lt;=Settings!$A$2,Table1[[#This Row],[EffectiveEndDate]]&gt;=Settings!$A$2),1,0)</f>
        <v>0</v>
      </c>
      <c r="AB50" s="46">
        <f ca="1">IF(AND(Table1[[#This Row],[SubscriptionStart]]&lt;=Settings!$B$2,Table1[[#This Row],[EffectiveEndDate]]&gt;=Settings!$B$2),1,0)</f>
        <v>1</v>
      </c>
      <c r="AC50" s="46">
        <f ca="1">IF(AND(Table1[[#This Row],[SubscriptionStart]]&lt;=Settings!$C$2,Table1[[#This Row],[EffectiveEndDate]]&gt;=Settings!$C$2),1,0)</f>
        <v>1</v>
      </c>
      <c r="AD50" s="46">
        <f ca="1">IF(AND(Table1[[#This Row],[SubscriptionStart]]&lt;=Settings!$D$2,Table1[[#This Row],[EffectiveEndDate]]&gt;=Settings!$D$2),1,0)</f>
        <v>0</v>
      </c>
      <c r="AE50" s="46">
        <f ca="1">IF(AND(Table1[[#This Row],[SubscriptionStart]]&lt;=Settings!$E$2,Table1[[#This Row],[EffectiveEndDate]]&gt;=Settings!$E$2),1,0)</f>
        <v>0</v>
      </c>
      <c r="AF50"/>
      <c r="AG50"/>
      <c r="AH50"/>
      <c r="AI50"/>
      <c r="AJ50"/>
      <c r="AK50"/>
    </row>
    <row r="51" spans="1:37">
      <c r="A51" s="3" t="s">
        <v>652</v>
      </c>
      <c r="B51" s="3">
        <v>40</v>
      </c>
      <c r="C51" s="3" t="s">
        <v>23</v>
      </c>
      <c r="D51" s="5">
        <v>44617</v>
      </c>
      <c r="E51" s="5">
        <v>44977</v>
      </c>
      <c r="F51" s="3">
        <f ca="1">TODAY() - Table1[[#This Row],[SubscriptionStart]]</f>
        <v>1364</v>
      </c>
      <c r="G51" s="4">
        <v>12</v>
      </c>
      <c r="H51" s="3" t="s">
        <v>24</v>
      </c>
      <c r="I51" s="3" t="s">
        <v>25</v>
      </c>
      <c r="J51" s="7" cm="1">
        <f t="array" ref="J51">_xlfn.IFS(Table1[[#This Row],[Tier]]="Basic",10,Table1[[#This Row],[Tier]]="Standard",18,Table1[[#This Row],[Tier]]="Premium",25)</f>
        <v>25</v>
      </c>
      <c r="K51" s="7" cm="1">
        <f t="array" ref="K5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1" s="7" cm="1">
        <f t="array" ref="L5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1" s="3" t="str" cm="1">
        <f t="array" ref="M5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1" s="3" t="s">
        <v>34</v>
      </c>
      <c r="O51" s="3" t="s">
        <v>49</v>
      </c>
      <c r="P51" s="3" t="s">
        <v>47</v>
      </c>
      <c r="Q51" s="3" t="str" cm="1">
        <f t="array" ref="Q51">_xlfn.IFS(Table1[[#This Row],[TotalRevenue]]&lt;100,"Low",Table1[[#This Row],[TotalRevenue]]&lt;300,"Medium",Table1[[#This Row],[TotalRevenue]]&lt;600,"High",TRUE,"Very High")</f>
        <v>Medium</v>
      </c>
      <c r="R51" s="3" t="str" cm="1">
        <f t="array" ref="R5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1" s="3" t="str">
        <f>IF(Table1[[#This Row],[NextBillingDate]]="","Cancelled",IF(Table1[[#This Row],[CancellationDate]]&lt;&gt;"","Cancelled","Active"))</f>
        <v>Cancelled</v>
      </c>
      <c r="T51" s="7" cm="1">
        <f t="array" ref="T5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1" s="5">
        <v>44977</v>
      </c>
      <c r="W51" s="5">
        <v>44977</v>
      </c>
      <c r="X51" s="3">
        <v>0</v>
      </c>
      <c r="Y51" s="5">
        <f ca="1">IF(Table1[[#This Row],[ChurnStatus]]="Cancelled",Table1[[#This Row],[CancellationDate]],TODAY())</f>
        <v>44977</v>
      </c>
      <c r="Z51" s="46">
        <f ca="1">IF(AND(Table1[[#This Row],[SubscriptionStart]] &lt;= TODAY(), Table1[[#This Row],[EffectiveEndDate]] &gt;= TODAY()),1,0)</f>
        <v>0</v>
      </c>
      <c r="AA51" s="46">
        <f ca="1">IF(AND(Table1[[#This Row],[SubscriptionStart]]&lt;=Settings!$A$2,Table1[[#This Row],[EffectiveEndDate]]&gt;=Settings!$A$2),1,0)</f>
        <v>0</v>
      </c>
      <c r="AB51" s="46">
        <f ca="1">IF(AND(Table1[[#This Row],[SubscriptionStart]]&lt;=Settings!$B$2,Table1[[#This Row],[EffectiveEndDate]]&gt;=Settings!$B$2),1,0)</f>
        <v>1</v>
      </c>
      <c r="AC51" s="46">
        <f ca="1">IF(AND(Table1[[#This Row],[SubscriptionStart]]&lt;=Settings!$C$2,Table1[[#This Row],[EffectiveEndDate]]&gt;=Settings!$C$2),1,0)</f>
        <v>1</v>
      </c>
      <c r="AD51" s="46">
        <f ca="1">IF(AND(Table1[[#This Row],[SubscriptionStart]]&lt;=Settings!$D$2,Table1[[#This Row],[EffectiveEndDate]]&gt;=Settings!$D$2),1,0)</f>
        <v>0</v>
      </c>
      <c r="AE51" s="46">
        <f ca="1">IF(AND(Table1[[#This Row],[SubscriptionStart]]&lt;=Settings!$E$2,Table1[[#This Row],[EffectiveEndDate]]&gt;=Settings!$E$2),1,0)</f>
        <v>0</v>
      </c>
      <c r="AF51"/>
      <c r="AG51"/>
      <c r="AH51"/>
      <c r="AI51"/>
      <c r="AJ51"/>
      <c r="AK51"/>
    </row>
    <row r="52" spans="1:37">
      <c r="A52" s="3" t="s">
        <v>779</v>
      </c>
      <c r="B52" s="3">
        <v>21</v>
      </c>
      <c r="C52" s="3" t="s">
        <v>23</v>
      </c>
      <c r="D52" s="5">
        <v>44617</v>
      </c>
      <c r="E52" s="5">
        <v>44977</v>
      </c>
      <c r="F52" s="3">
        <f ca="1">TODAY() - Table1[[#This Row],[SubscriptionStart]]</f>
        <v>1364</v>
      </c>
      <c r="G52" s="4">
        <v>12</v>
      </c>
      <c r="H52" s="3" t="s">
        <v>24</v>
      </c>
      <c r="I52" s="3" t="s">
        <v>39</v>
      </c>
      <c r="J52" s="7" cm="1">
        <f t="array" ref="J52">_xlfn.IFS(Table1[[#This Row],[Tier]]="Basic",10,Table1[[#This Row],[Tier]]="Standard",18,Table1[[#This Row],[Tier]]="Premium",25)</f>
        <v>18</v>
      </c>
      <c r="K52" s="7" cm="1">
        <f t="array" ref="K5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52" s="7" cm="1">
        <f t="array" ref="L5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52" s="3" t="str" cm="1">
        <f t="array" ref="M52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2" s="3" t="s">
        <v>31</v>
      </c>
      <c r="O52" s="3" t="s">
        <v>43</v>
      </c>
      <c r="P52" s="3" t="s">
        <v>47</v>
      </c>
      <c r="Q52" s="3" t="str" cm="1">
        <f t="array" ref="Q52">_xlfn.IFS(Table1[[#This Row],[TotalRevenue]]&lt;100,"Low",Table1[[#This Row],[TotalRevenue]]&lt;300,"Medium",Table1[[#This Row],[TotalRevenue]]&lt;600,"High",TRUE,"Very High")</f>
        <v>Medium</v>
      </c>
      <c r="R52" s="3" t="str" cm="1">
        <f t="array" ref="R52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2" s="3" t="str">
        <f>IF(Table1[[#This Row],[NextBillingDate]]="","Cancelled",IF(Table1[[#This Row],[CancellationDate]]&lt;&gt;"","Cancelled","Active"))</f>
        <v>Cancelled</v>
      </c>
      <c r="T52" s="7" cm="1">
        <f t="array" ref="T5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52" s="5">
        <v>44977</v>
      </c>
      <c r="W52" s="5">
        <v>44977</v>
      </c>
      <c r="X52" s="3">
        <v>0</v>
      </c>
      <c r="Y52" s="5">
        <f ca="1">IF(Table1[[#This Row],[ChurnStatus]]="Cancelled",Table1[[#This Row],[CancellationDate]],TODAY())</f>
        <v>44977</v>
      </c>
      <c r="Z52" s="46">
        <f ca="1">IF(AND(Table1[[#This Row],[SubscriptionStart]] &lt;= TODAY(), Table1[[#This Row],[EffectiveEndDate]] &gt;= TODAY()),1,0)</f>
        <v>0</v>
      </c>
      <c r="AA52" s="46">
        <f ca="1">IF(AND(Table1[[#This Row],[SubscriptionStart]]&lt;=Settings!$A$2,Table1[[#This Row],[EffectiveEndDate]]&gt;=Settings!$A$2),1,0)</f>
        <v>0</v>
      </c>
      <c r="AB52" s="46">
        <f ca="1">IF(AND(Table1[[#This Row],[SubscriptionStart]]&lt;=Settings!$B$2,Table1[[#This Row],[EffectiveEndDate]]&gt;=Settings!$B$2),1,0)</f>
        <v>1</v>
      </c>
      <c r="AC52" s="46">
        <f ca="1">IF(AND(Table1[[#This Row],[SubscriptionStart]]&lt;=Settings!$C$2,Table1[[#This Row],[EffectiveEndDate]]&gt;=Settings!$C$2),1,0)</f>
        <v>1</v>
      </c>
      <c r="AD52" s="46">
        <f ca="1">IF(AND(Table1[[#This Row],[SubscriptionStart]]&lt;=Settings!$D$2,Table1[[#This Row],[EffectiveEndDate]]&gt;=Settings!$D$2),1,0)</f>
        <v>0</v>
      </c>
      <c r="AE52" s="46">
        <f ca="1">IF(AND(Table1[[#This Row],[SubscriptionStart]]&lt;=Settings!$E$2,Table1[[#This Row],[EffectiveEndDate]]&gt;=Settings!$E$2),1,0)</f>
        <v>0</v>
      </c>
      <c r="AF52"/>
      <c r="AG52"/>
      <c r="AH52"/>
      <c r="AI52"/>
      <c r="AJ52"/>
      <c r="AK52"/>
    </row>
    <row r="53" spans="1:37">
      <c r="A53" s="3" t="s">
        <v>677</v>
      </c>
      <c r="B53" s="3">
        <v>31</v>
      </c>
      <c r="C53" s="3" t="s">
        <v>37</v>
      </c>
      <c r="D53" s="5">
        <v>44618</v>
      </c>
      <c r="E53" s="5">
        <v>44648</v>
      </c>
      <c r="F53" s="3">
        <f ca="1">TODAY() - Table1[[#This Row],[SubscriptionStart]]</f>
        <v>1363</v>
      </c>
      <c r="G53" s="4">
        <v>1</v>
      </c>
      <c r="H53" s="3" t="s">
        <v>29</v>
      </c>
      <c r="I53" s="3" t="s">
        <v>25</v>
      </c>
      <c r="J53" s="7" cm="1">
        <f t="array" ref="J53">_xlfn.IFS(Table1[[#This Row],[Tier]]="Basic",10,Table1[[#This Row],[Tier]]="Standard",18,Table1[[#This Row],[Tier]]="Premium",25)</f>
        <v>25</v>
      </c>
      <c r="K53" s="7" cm="1">
        <f t="array" ref="K5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53" s="7" cm="1">
        <f t="array" ref="L5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53" s="3" t="str" cm="1">
        <f t="array" ref="M5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3" s="3" t="s">
        <v>52</v>
      </c>
      <c r="O53" s="3" t="s">
        <v>40</v>
      </c>
      <c r="P53" s="3" t="s">
        <v>50</v>
      </c>
      <c r="Q53" s="3" t="str" cm="1">
        <f t="array" ref="Q53">_xlfn.IFS(Table1[[#This Row],[TotalRevenue]]&lt;100,"Low",Table1[[#This Row],[TotalRevenue]]&lt;300,"Medium",Table1[[#This Row],[TotalRevenue]]&lt;600,"High",TRUE,"Very High")</f>
        <v>Low</v>
      </c>
      <c r="R53" s="3" t="str" cm="1">
        <f t="array" ref="R5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3" s="3" t="str">
        <f>IF(Table1[[#This Row],[NextBillingDate]]="","Cancelled",IF(Table1[[#This Row],[CancellationDate]]&lt;&gt;"","Cancelled","Active"))</f>
        <v>Cancelled</v>
      </c>
      <c r="T53" s="7" cm="1">
        <f t="array" ref="T5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53" s="5">
        <v>44648</v>
      </c>
      <c r="W53" s="5">
        <v>44648</v>
      </c>
      <c r="X53" s="3">
        <v>0</v>
      </c>
      <c r="Y53" s="5">
        <f ca="1">IF(Table1[[#This Row],[ChurnStatus]]="Cancelled",Table1[[#This Row],[CancellationDate]],TODAY())</f>
        <v>44648</v>
      </c>
      <c r="Z53" s="46">
        <f ca="1">IF(AND(Table1[[#This Row],[SubscriptionStart]] &lt;= TODAY(), Table1[[#This Row],[EffectiveEndDate]] &gt;= TODAY()),1,0)</f>
        <v>0</v>
      </c>
      <c r="AA53" s="46">
        <f ca="1">IF(AND(Table1[[#This Row],[SubscriptionStart]]&lt;=Settings!$A$2,Table1[[#This Row],[EffectiveEndDate]]&gt;=Settings!$A$2),1,0)</f>
        <v>0</v>
      </c>
      <c r="AB53" s="46">
        <f ca="1">IF(AND(Table1[[#This Row],[SubscriptionStart]]&lt;=Settings!$B$2,Table1[[#This Row],[EffectiveEndDate]]&gt;=Settings!$B$2),1,0)</f>
        <v>0</v>
      </c>
      <c r="AC53" s="46">
        <f ca="1">IF(AND(Table1[[#This Row],[SubscriptionStart]]&lt;=Settings!$C$2,Table1[[#This Row],[EffectiveEndDate]]&gt;=Settings!$C$2),1,0)</f>
        <v>0</v>
      </c>
      <c r="AD53" s="46">
        <f ca="1">IF(AND(Table1[[#This Row],[SubscriptionStart]]&lt;=Settings!$D$2,Table1[[#This Row],[EffectiveEndDate]]&gt;=Settings!$D$2),1,0)</f>
        <v>0</v>
      </c>
      <c r="AE53" s="46">
        <f ca="1">IF(AND(Table1[[#This Row],[SubscriptionStart]]&lt;=Settings!$E$2,Table1[[#This Row],[EffectiveEndDate]]&gt;=Settings!$E$2),1,0)</f>
        <v>0</v>
      </c>
      <c r="AF53"/>
      <c r="AG53"/>
      <c r="AH53"/>
      <c r="AI53"/>
      <c r="AJ53"/>
      <c r="AK53"/>
    </row>
    <row r="54" spans="1:37">
      <c r="A54" s="3" t="s">
        <v>101</v>
      </c>
      <c r="B54" s="3">
        <v>38</v>
      </c>
      <c r="C54" s="3" t="s">
        <v>23</v>
      </c>
      <c r="D54" s="5">
        <v>44619</v>
      </c>
      <c r="E54" s="5">
        <v>44649</v>
      </c>
      <c r="F54" s="3">
        <f ca="1">TODAY() - Table1[[#This Row],[SubscriptionStart]]</f>
        <v>1362</v>
      </c>
      <c r="G54" s="4">
        <v>1</v>
      </c>
      <c r="H54" s="3" t="s">
        <v>29</v>
      </c>
      <c r="I54" s="3" t="s">
        <v>30</v>
      </c>
      <c r="J54" s="7" cm="1">
        <f t="array" ref="J54">_xlfn.IFS(Table1[[#This Row],[Tier]]="Basic",10,Table1[[#This Row],[Tier]]="Standard",18,Table1[[#This Row],[Tier]]="Premium",25)</f>
        <v>10</v>
      </c>
      <c r="K54" s="7" cm="1">
        <f t="array" ref="K5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54" s="7" cm="1">
        <f t="array" ref="L5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54" s="3" t="str" cm="1">
        <f t="array" ref="M5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4" s="3" t="s">
        <v>34</v>
      </c>
      <c r="O54" s="3" t="s">
        <v>27</v>
      </c>
      <c r="P54" s="3" t="s">
        <v>50</v>
      </c>
      <c r="Q54" s="3" t="str" cm="1">
        <f t="array" ref="Q54">_xlfn.IFS(Table1[[#This Row],[TotalRevenue]]&lt;100,"Low",Table1[[#This Row],[TotalRevenue]]&lt;300,"Medium",Table1[[#This Row],[TotalRevenue]]&lt;600,"High",TRUE,"Very High")</f>
        <v>Low</v>
      </c>
      <c r="R54" s="3" t="str" cm="1">
        <f t="array" ref="R5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4" s="3" t="str">
        <f>IF(Table1[[#This Row],[NextBillingDate]]="","Cancelled",IF(Table1[[#This Row],[CancellationDate]]&lt;&gt;"","Cancelled","Active"))</f>
        <v>Cancelled</v>
      </c>
      <c r="T54" s="7" cm="1">
        <f t="array" ref="T5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54" s="5">
        <v>44649</v>
      </c>
      <c r="W54" s="5">
        <v>44649</v>
      </c>
      <c r="X54" s="3">
        <v>0</v>
      </c>
      <c r="Y54" s="5">
        <f ca="1">IF(Table1[[#This Row],[ChurnStatus]]="Cancelled",Table1[[#This Row],[CancellationDate]],TODAY())</f>
        <v>44649</v>
      </c>
      <c r="Z54" s="46">
        <f ca="1">IF(AND(Table1[[#This Row],[SubscriptionStart]] &lt;= TODAY(), Table1[[#This Row],[EffectiveEndDate]] &gt;= TODAY()),1,0)</f>
        <v>0</v>
      </c>
      <c r="AA54" s="46">
        <f ca="1">IF(AND(Table1[[#This Row],[SubscriptionStart]]&lt;=Settings!$A$2,Table1[[#This Row],[EffectiveEndDate]]&gt;=Settings!$A$2),1,0)</f>
        <v>0</v>
      </c>
      <c r="AB54" s="46">
        <f ca="1">IF(AND(Table1[[#This Row],[SubscriptionStart]]&lt;=Settings!$B$2,Table1[[#This Row],[EffectiveEndDate]]&gt;=Settings!$B$2),1,0)</f>
        <v>0</v>
      </c>
      <c r="AC54" s="46">
        <f ca="1">IF(AND(Table1[[#This Row],[SubscriptionStart]]&lt;=Settings!$C$2,Table1[[#This Row],[EffectiveEndDate]]&gt;=Settings!$C$2),1,0)</f>
        <v>0</v>
      </c>
      <c r="AD54" s="46">
        <f ca="1">IF(AND(Table1[[#This Row],[SubscriptionStart]]&lt;=Settings!$D$2,Table1[[#This Row],[EffectiveEndDate]]&gt;=Settings!$D$2),1,0)</f>
        <v>0</v>
      </c>
      <c r="AE54" s="46">
        <f ca="1">IF(AND(Table1[[#This Row],[SubscriptionStart]]&lt;=Settings!$E$2,Table1[[#This Row],[EffectiveEndDate]]&gt;=Settings!$E$2),1,0)</f>
        <v>0</v>
      </c>
      <c r="AF54"/>
      <c r="AG54"/>
      <c r="AH54"/>
      <c r="AI54"/>
      <c r="AJ54"/>
      <c r="AK54"/>
    </row>
    <row r="55" spans="1:37">
      <c r="A55" s="3" t="s">
        <v>140</v>
      </c>
      <c r="B55" s="3">
        <v>62</v>
      </c>
      <c r="C55" s="3" t="s">
        <v>23</v>
      </c>
      <c r="D55" s="5">
        <v>44619</v>
      </c>
      <c r="F55" s="3">
        <f ca="1">TODAY() - Table1[[#This Row],[SubscriptionStart]]</f>
        <v>1362</v>
      </c>
      <c r="G55" s="4">
        <v>48</v>
      </c>
      <c r="H55" s="3" t="s">
        <v>24</v>
      </c>
      <c r="I55" s="3" t="s">
        <v>25</v>
      </c>
      <c r="J55" s="7" cm="1">
        <f t="array" ref="J55">_xlfn.IFS(Table1[[#This Row],[Tier]]="Basic",10,Table1[[#This Row],[Tier]]="Standard",18,Table1[[#This Row],[Tier]]="Premium",25)</f>
        <v>25</v>
      </c>
      <c r="K55" s="7" cm="1">
        <f t="array" ref="K5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16.666666666666664</v>
      </c>
      <c r="L55" s="7" cm="1">
        <f t="array" ref="L5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780</v>
      </c>
      <c r="M55" s="3" t="str" cm="1">
        <f t="array" ref="M55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55" s="3" t="s">
        <v>26</v>
      </c>
      <c r="O55" s="3" t="s">
        <v>40</v>
      </c>
      <c r="Q55" s="3" t="str" cm="1">
        <f t="array" ref="Q55">_xlfn.IFS(Table1[[#This Row],[TotalRevenue]]&lt;100,"Low",Table1[[#This Row],[TotalRevenue]]&lt;300,"Medium",Table1[[#This Row],[TotalRevenue]]&lt;600,"High",TRUE,"Very High")</f>
        <v>Very High</v>
      </c>
      <c r="R55" s="3" t="str" cm="1">
        <f t="array" ref="R55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55" s="3" t="str">
        <f>IF(Table1[[#This Row],[NextBillingDate]]="","Cancelled",IF(Table1[[#This Row],[CancellationDate]]&lt;&gt;"","Cancelled","Active"))</f>
        <v>Active</v>
      </c>
      <c r="T55" s="7" cm="1">
        <f t="array" ref="T5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980</v>
      </c>
      <c r="V55" s="5">
        <v>46059</v>
      </c>
      <c r="W55" s="5">
        <v>46059</v>
      </c>
      <c r="X55" s="3">
        <v>3</v>
      </c>
      <c r="Y55" s="5">
        <f ca="1">IF(Table1[[#This Row],[ChurnStatus]]="Cancelled",Table1[[#This Row],[CancellationDate]],TODAY())</f>
        <v>45981</v>
      </c>
      <c r="Z55" s="46">
        <f ca="1">IF(AND(Table1[[#This Row],[SubscriptionStart]] &lt;= TODAY(), Table1[[#This Row],[EffectiveEndDate]] &gt;= TODAY()),1,0)</f>
        <v>1</v>
      </c>
      <c r="AA55" s="46">
        <f ca="1">IF(AND(Table1[[#This Row],[SubscriptionStart]]&lt;=Settings!$A$2,Table1[[#This Row],[EffectiveEndDate]]&gt;=Settings!$A$2),1,0)</f>
        <v>0</v>
      </c>
      <c r="AB55" s="46">
        <f ca="1">IF(AND(Table1[[#This Row],[SubscriptionStart]]&lt;=Settings!$B$2,Table1[[#This Row],[EffectiveEndDate]]&gt;=Settings!$B$2),1,0)</f>
        <v>1</v>
      </c>
      <c r="AC55" s="46">
        <f ca="1">IF(AND(Table1[[#This Row],[SubscriptionStart]]&lt;=Settings!$C$2,Table1[[#This Row],[EffectiveEndDate]]&gt;=Settings!$C$2),1,0)</f>
        <v>1</v>
      </c>
      <c r="AD55" s="46">
        <f ca="1">IF(AND(Table1[[#This Row],[SubscriptionStart]]&lt;=Settings!$D$2,Table1[[#This Row],[EffectiveEndDate]]&gt;=Settings!$D$2),1,0)</f>
        <v>1</v>
      </c>
      <c r="AE55" s="46">
        <f ca="1">IF(AND(Table1[[#This Row],[SubscriptionStart]]&lt;=Settings!$E$2,Table1[[#This Row],[EffectiveEndDate]]&gt;=Settings!$E$2),1,0)</f>
        <v>1</v>
      </c>
      <c r="AF55"/>
      <c r="AG55"/>
      <c r="AH55"/>
      <c r="AI55"/>
      <c r="AJ55"/>
      <c r="AK55"/>
    </row>
    <row r="56" spans="1:37">
      <c r="A56" s="3" t="s">
        <v>306</v>
      </c>
      <c r="B56" s="3">
        <v>18</v>
      </c>
      <c r="C56" s="3" t="s">
        <v>23</v>
      </c>
      <c r="D56" s="5">
        <v>44621</v>
      </c>
      <c r="F56" s="3">
        <f ca="1">TODAY() - Table1[[#This Row],[SubscriptionStart]]</f>
        <v>1360</v>
      </c>
      <c r="G56" s="4">
        <v>46</v>
      </c>
      <c r="H56" s="3" t="s">
        <v>29</v>
      </c>
      <c r="I56" s="3" t="s">
        <v>30</v>
      </c>
      <c r="J56" s="7" cm="1">
        <f t="array" ref="J56">_xlfn.IFS(Table1[[#This Row],[Tier]]="Basic",10,Table1[[#This Row],[Tier]]="Standard",18,Table1[[#This Row],[Tier]]="Premium",25)</f>
        <v>10</v>
      </c>
      <c r="K56" s="7" cm="1">
        <f t="array" ref="K5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56" s="7" cm="1">
        <f t="array" ref="L5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439</v>
      </c>
      <c r="M56" s="3" t="str" cm="1">
        <f t="array" ref="M56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6" s="3" t="s">
        <v>34</v>
      </c>
      <c r="O56" s="3" t="s">
        <v>49</v>
      </c>
      <c r="Q56" s="3" t="str" cm="1">
        <f t="array" ref="Q56">_xlfn.IFS(Table1[[#This Row],[TotalRevenue]]&lt;100,"Low",Table1[[#This Row],[TotalRevenue]]&lt;300,"Medium",Table1[[#This Row],[TotalRevenue]]&lt;600,"High",TRUE,"Very High")</f>
        <v>High</v>
      </c>
      <c r="R56" s="3" t="str" cm="1">
        <f t="array" ref="R56">_xlfn.IFS(Table1[[#This Row],[Age]]&gt;69,"Elderly",Table1[[#This Row],[Age]]&gt;59,"Mature Adult",Table1[[#This Row],[Age]]&gt;25,"Adult",Table1[[#This Row],[Age]]&gt;18,"Young Adult",Table1[[#This Row],[Age]]&gt;=12,"Teenager")</f>
        <v>Teenager</v>
      </c>
      <c r="S56" s="3" t="str">
        <f>IF(Table1[[#This Row],[NextBillingDate]]="","Cancelled",IF(Table1[[#This Row],[CancellationDate]]&lt;&gt;"","Cancelled","Active"))</f>
        <v>Active</v>
      </c>
      <c r="T56" s="7" cm="1">
        <f t="array" ref="T5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449</v>
      </c>
      <c r="V56" s="5">
        <v>46001</v>
      </c>
      <c r="W56" s="5">
        <v>46001</v>
      </c>
      <c r="X56" s="3">
        <v>45</v>
      </c>
      <c r="Y56" s="5">
        <f ca="1">IF(Table1[[#This Row],[ChurnStatus]]="Cancelled",Table1[[#This Row],[CancellationDate]],TODAY())</f>
        <v>45981</v>
      </c>
      <c r="Z56" s="46">
        <f ca="1">IF(AND(Table1[[#This Row],[SubscriptionStart]] &lt;= TODAY(), Table1[[#This Row],[EffectiveEndDate]] &gt;= TODAY()),1,0)</f>
        <v>1</v>
      </c>
      <c r="AA56" s="46">
        <f ca="1">IF(AND(Table1[[#This Row],[SubscriptionStart]]&lt;=Settings!$A$2,Table1[[#This Row],[EffectiveEndDate]]&gt;=Settings!$A$2),1,0)</f>
        <v>0</v>
      </c>
      <c r="AB56" s="46">
        <f ca="1">IF(AND(Table1[[#This Row],[SubscriptionStart]]&lt;=Settings!$B$2,Table1[[#This Row],[EffectiveEndDate]]&gt;=Settings!$B$2),1,0)</f>
        <v>1</v>
      </c>
      <c r="AC56" s="46">
        <f ca="1">IF(AND(Table1[[#This Row],[SubscriptionStart]]&lt;=Settings!$C$2,Table1[[#This Row],[EffectiveEndDate]]&gt;=Settings!$C$2),1,0)</f>
        <v>1</v>
      </c>
      <c r="AD56" s="46">
        <f ca="1">IF(AND(Table1[[#This Row],[SubscriptionStart]]&lt;=Settings!$D$2,Table1[[#This Row],[EffectiveEndDate]]&gt;=Settings!$D$2),1,0)</f>
        <v>1</v>
      </c>
      <c r="AE56" s="46">
        <f ca="1">IF(AND(Table1[[#This Row],[SubscriptionStart]]&lt;=Settings!$E$2,Table1[[#This Row],[EffectiveEndDate]]&gt;=Settings!$E$2),1,0)</f>
        <v>1</v>
      </c>
      <c r="AF56"/>
      <c r="AG56"/>
      <c r="AH56"/>
      <c r="AI56"/>
      <c r="AJ56"/>
      <c r="AK56"/>
    </row>
    <row r="57" spans="1:37">
      <c r="A57" s="3" t="s">
        <v>327</v>
      </c>
      <c r="B57" s="3">
        <v>21</v>
      </c>
      <c r="C57" s="3" t="s">
        <v>37</v>
      </c>
      <c r="D57" s="5">
        <v>44624</v>
      </c>
      <c r="E57" s="5">
        <v>44984</v>
      </c>
      <c r="F57" s="3">
        <f ca="1">TODAY() - Table1[[#This Row],[SubscriptionStart]]</f>
        <v>1357</v>
      </c>
      <c r="G57" s="4">
        <v>12</v>
      </c>
      <c r="H57" s="3" t="s">
        <v>24</v>
      </c>
      <c r="I57" s="3" t="s">
        <v>25</v>
      </c>
      <c r="J57" s="7" cm="1">
        <f t="array" ref="J57">_xlfn.IFS(Table1[[#This Row],[Tier]]="Basic",10,Table1[[#This Row],[Tier]]="Standard",18,Table1[[#This Row],[Tier]]="Premium",25)</f>
        <v>25</v>
      </c>
      <c r="K57" s="7" cm="1">
        <f t="array" ref="K5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7" s="7" cm="1">
        <f t="array" ref="L5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7" s="3" t="str" cm="1">
        <f t="array" ref="M57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7" s="3" t="s">
        <v>52</v>
      </c>
      <c r="O57" s="3" t="s">
        <v>43</v>
      </c>
      <c r="P57" s="3" t="s">
        <v>47</v>
      </c>
      <c r="Q57" s="3" t="str" cm="1">
        <f t="array" ref="Q57">_xlfn.IFS(Table1[[#This Row],[TotalRevenue]]&lt;100,"Low",Table1[[#This Row],[TotalRevenue]]&lt;300,"Medium",Table1[[#This Row],[TotalRevenue]]&lt;600,"High",TRUE,"Very High")</f>
        <v>Medium</v>
      </c>
      <c r="R57" s="3" t="str" cm="1">
        <f t="array" ref="R57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7" s="3" t="str">
        <f>IF(Table1[[#This Row],[NextBillingDate]]="","Cancelled",IF(Table1[[#This Row],[CancellationDate]]&lt;&gt;"","Cancelled","Active"))</f>
        <v>Cancelled</v>
      </c>
      <c r="T57" s="7" cm="1">
        <f t="array" ref="T5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7" s="5">
        <v>44984</v>
      </c>
      <c r="W57" s="5">
        <v>44984</v>
      </c>
      <c r="X57" s="3">
        <v>0</v>
      </c>
      <c r="Y57" s="5">
        <f ca="1">IF(Table1[[#This Row],[ChurnStatus]]="Cancelled",Table1[[#This Row],[CancellationDate]],TODAY())</f>
        <v>44984</v>
      </c>
      <c r="Z57" s="46">
        <f ca="1">IF(AND(Table1[[#This Row],[SubscriptionStart]] &lt;= TODAY(), Table1[[#This Row],[EffectiveEndDate]] &gt;= TODAY()),1,0)</f>
        <v>0</v>
      </c>
      <c r="AA57" s="46">
        <f ca="1">IF(AND(Table1[[#This Row],[SubscriptionStart]]&lt;=Settings!$A$2,Table1[[#This Row],[EffectiveEndDate]]&gt;=Settings!$A$2),1,0)</f>
        <v>0</v>
      </c>
      <c r="AB57" s="46">
        <f ca="1">IF(AND(Table1[[#This Row],[SubscriptionStart]]&lt;=Settings!$B$2,Table1[[#This Row],[EffectiveEndDate]]&gt;=Settings!$B$2),1,0)</f>
        <v>1</v>
      </c>
      <c r="AC57" s="46">
        <f ca="1">IF(AND(Table1[[#This Row],[SubscriptionStart]]&lt;=Settings!$C$2,Table1[[#This Row],[EffectiveEndDate]]&gt;=Settings!$C$2),1,0)</f>
        <v>1</v>
      </c>
      <c r="AD57" s="46">
        <f ca="1">IF(AND(Table1[[#This Row],[SubscriptionStart]]&lt;=Settings!$D$2,Table1[[#This Row],[EffectiveEndDate]]&gt;=Settings!$D$2),1,0)</f>
        <v>0</v>
      </c>
      <c r="AE57" s="46">
        <f ca="1">IF(AND(Table1[[#This Row],[SubscriptionStart]]&lt;=Settings!$E$2,Table1[[#This Row],[EffectiveEndDate]]&gt;=Settings!$E$2),1,0)</f>
        <v>0</v>
      </c>
      <c r="AF57"/>
      <c r="AG57"/>
      <c r="AH57"/>
      <c r="AI57"/>
      <c r="AJ57"/>
      <c r="AK57"/>
    </row>
    <row r="58" spans="1:37">
      <c r="A58" s="3" t="s">
        <v>124</v>
      </c>
      <c r="B58" s="3">
        <v>29</v>
      </c>
      <c r="C58" s="3" t="s">
        <v>23</v>
      </c>
      <c r="D58" s="5">
        <v>44626</v>
      </c>
      <c r="E58" s="5">
        <v>44806</v>
      </c>
      <c r="F58" s="3">
        <f ca="1">TODAY() - Table1[[#This Row],[SubscriptionStart]]</f>
        <v>1355</v>
      </c>
      <c r="G58" s="4">
        <v>6</v>
      </c>
      <c r="H58" s="3" t="s">
        <v>38</v>
      </c>
      <c r="I58" s="3" t="s">
        <v>39</v>
      </c>
      <c r="J58" s="7" cm="1">
        <f t="array" ref="J58">_xlfn.IFS(Table1[[#This Row],[Tier]]="Basic",10,Table1[[#This Row],[Tier]]="Standard",18,Table1[[#This Row],[Tier]]="Premium",25)</f>
        <v>18</v>
      </c>
      <c r="K58" s="7" cm="1">
        <f t="array" ref="K5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58" s="7" cm="1">
        <f t="array" ref="L5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58" s="3" t="str" cm="1">
        <f t="array" ref="M5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8" s="3" t="s">
        <v>34</v>
      </c>
      <c r="O58" s="3" t="s">
        <v>32</v>
      </c>
      <c r="P58" s="3" t="s">
        <v>35</v>
      </c>
      <c r="Q58" s="3" t="str" cm="1">
        <f t="array" ref="Q58">_xlfn.IFS(Table1[[#This Row],[TotalRevenue]]&lt;100,"Low",Table1[[#This Row],[TotalRevenue]]&lt;300,"Medium",Table1[[#This Row],[TotalRevenue]]&lt;600,"High",TRUE,"Very High")</f>
        <v>Low</v>
      </c>
      <c r="R58" s="3" t="str" cm="1">
        <f t="array" ref="R5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8" s="3" t="str">
        <f>IF(Table1[[#This Row],[NextBillingDate]]="","Cancelled",IF(Table1[[#This Row],[CancellationDate]]&lt;&gt;"","Cancelled","Active"))</f>
        <v>Cancelled</v>
      </c>
      <c r="T58" s="7" cm="1">
        <f t="array" ref="T5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58" s="5">
        <v>44806</v>
      </c>
      <c r="W58" s="5">
        <v>44806</v>
      </c>
      <c r="X58" s="3">
        <v>0</v>
      </c>
      <c r="Y58" s="5">
        <f ca="1">IF(Table1[[#This Row],[ChurnStatus]]="Cancelled",Table1[[#This Row],[CancellationDate]],TODAY())</f>
        <v>44806</v>
      </c>
      <c r="Z58" s="46">
        <f ca="1">IF(AND(Table1[[#This Row],[SubscriptionStart]] &lt;= TODAY(), Table1[[#This Row],[EffectiveEndDate]] &gt;= TODAY()),1,0)</f>
        <v>0</v>
      </c>
      <c r="AA58" s="46">
        <f ca="1">IF(AND(Table1[[#This Row],[SubscriptionStart]]&lt;=Settings!$A$2,Table1[[#This Row],[EffectiveEndDate]]&gt;=Settings!$A$2),1,0)</f>
        <v>0</v>
      </c>
      <c r="AB58" s="46">
        <f ca="1">IF(AND(Table1[[#This Row],[SubscriptionStart]]&lt;=Settings!$B$2,Table1[[#This Row],[EffectiveEndDate]]&gt;=Settings!$B$2),1,0)</f>
        <v>1</v>
      </c>
      <c r="AC58" s="46">
        <f ca="1">IF(AND(Table1[[#This Row],[SubscriptionStart]]&lt;=Settings!$C$2,Table1[[#This Row],[EffectiveEndDate]]&gt;=Settings!$C$2),1,0)</f>
        <v>0</v>
      </c>
      <c r="AD58" s="46">
        <f ca="1">IF(AND(Table1[[#This Row],[SubscriptionStart]]&lt;=Settings!$D$2,Table1[[#This Row],[EffectiveEndDate]]&gt;=Settings!$D$2),1,0)</f>
        <v>0</v>
      </c>
      <c r="AE58" s="46">
        <f ca="1">IF(AND(Table1[[#This Row],[SubscriptionStart]]&lt;=Settings!$E$2,Table1[[#This Row],[EffectiveEndDate]]&gt;=Settings!$E$2),1,0)</f>
        <v>0</v>
      </c>
      <c r="AF58"/>
      <c r="AG58"/>
      <c r="AH58"/>
      <c r="AI58"/>
      <c r="AJ58"/>
      <c r="AK58"/>
    </row>
    <row r="59" spans="1:37">
      <c r="A59" s="3" t="s">
        <v>293</v>
      </c>
      <c r="B59" s="3">
        <v>65</v>
      </c>
      <c r="C59" s="3" t="s">
        <v>37</v>
      </c>
      <c r="D59" s="5">
        <v>44627</v>
      </c>
      <c r="F59" s="3">
        <f ca="1">TODAY() - Table1[[#This Row],[SubscriptionStart]]</f>
        <v>1354</v>
      </c>
      <c r="G59" s="4">
        <v>48</v>
      </c>
      <c r="H59" s="3" t="s">
        <v>38</v>
      </c>
      <c r="I59" s="3" t="s">
        <v>39</v>
      </c>
      <c r="J59" s="7" cm="1">
        <f t="array" ref="J59">_xlfn.IFS(Table1[[#This Row],[Tier]]="Basic",10,Table1[[#This Row],[Tier]]="Standard",18,Table1[[#This Row],[Tier]]="Premium",25)</f>
        <v>18</v>
      </c>
      <c r="K59" s="7" cm="1">
        <f t="array" ref="K5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59" s="7" cm="1">
        <f t="array" ref="L5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631.79999999999995</v>
      </c>
      <c r="M59" s="3" t="str" cm="1">
        <f t="array" ref="M5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59" s="3" t="s">
        <v>34</v>
      </c>
      <c r="O59" s="3" t="s">
        <v>27</v>
      </c>
      <c r="Q59" s="3" t="str" cm="1">
        <f t="array" ref="Q59">_xlfn.IFS(Table1[[#This Row],[TotalRevenue]]&lt;100,"Low",Table1[[#This Row],[TotalRevenue]]&lt;300,"Medium",Table1[[#This Row],[TotalRevenue]]&lt;600,"High",TRUE,"Very High")</f>
        <v>Very High</v>
      </c>
      <c r="R59" s="3" t="str" cm="1">
        <f t="array" ref="R5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59" s="3" t="str">
        <f>IF(Table1[[#This Row],[NextBillingDate]]="","Cancelled",IF(Table1[[#This Row],[CancellationDate]]&lt;&gt;"","Cancelled","Active"))</f>
        <v>Active</v>
      </c>
      <c r="T59" s="7" cm="1">
        <f t="array" ref="T5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712.8</v>
      </c>
      <c r="V59" s="5">
        <v>46067</v>
      </c>
      <c r="W59" s="5">
        <v>46067</v>
      </c>
      <c r="X59" s="3">
        <v>7</v>
      </c>
      <c r="Y59" s="5">
        <f ca="1">IF(Table1[[#This Row],[ChurnStatus]]="Cancelled",Table1[[#This Row],[CancellationDate]],TODAY())</f>
        <v>45981</v>
      </c>
      <c r="Z59" s="46">
        <f ca="1">IF(AND(Table1[[#This Row],[SubscriptionStart]] &lt;= TODAY(), Table1[[#This Row],[EffectiveEndDate]] &gt;= TODAY()),1,0)</f>
        <v>1</v>
      </c>
      <c r="AA59" s="46">
        <f ca="1">IF(AND(Table1[[#This Row],[SubscriptionStart]]&lt;=Settings!$A$2,Table1[[#This Row],[EffectiveEndDate]]&gt;=Settings!$A$2),1,0)</f>
        <v>0</v>
      </c>
      <c r="AB59" s="46">
        <f ca="1">IF(AND(Table1[[#This Row],[SubscriptionStart]]&lt;=Settings!$B$2,Table1[[#This Row],[EffectiveEndDate]]&gt;=Settings!$B$2),1,0)</f>
        <v>1</v>
      </c>
      <c r="AC59" s="46">
        <f ca="1">IF(AND(Table1[[#This Row],[SubscriptionStart]]&lt;=Settings!$C$2,Table1[[#This Row],[EffectiveEndDate]]&gt;=Settings!$C$2),1,0)</f>
        <v>1</v>
      </c>
      <c r="AD59" s="46">
        <f ca="1">IF(AND(Table1[[#This Row],[SubscriptionStart]]&lt;=Settings!$D$2,Table1[[#This Row],[EffectiveEndDate]]&gt;=Settings!$D$2),1,0)</f>
        <v>1</v>
      </c>
      <c r="AE59" s="46">
        <f ca="1">IF(AND(Table1[[#This Row],[SubscriptionStart]]&lt;=Settings!$E$2,Table1[[#This Row],[EffectiveEndDate]]&gt;=Settings!$E$2),1,0)</f>
        <v>1</v>
      </c>
      <c r="AF59"/>
      <c r="AG59"/>
      <c r="AH59"/>
      <c r="AI59"/>
      <c r="AJ59"/>
      <c r="AK59"/>
    </row>
    <row r="60" spans="1:37">
      <c r="A60" s="3" t="s">
        <v>96</v>
      </c>
      <c r="B60" s="3">
        <v>26</v>
      </c>
      <c r="C60" s="3" t="s">
        <v>37</v>
      </c>
      <c r="D60" s="5">
        <v>44627</v>
      </c>
      <c r="F60" s="3">
        <f ca="1">TODAY() - Table1[[#This Row],[SubscriptionStart]]</f>
        <v>1354</v>
      </c>
      <c r="G60" s="4">
        <v>46</v>
      </c>
      <c r="H60" s="3" t="s">
        <v>29</v>
      </c>
      <c r="I60" s="3" t="s">
        <v>25</v>
      </c>
      <c r="J60" s="7" cm="1">
        <f t="array" ref="J60">_xlfn.IFS(Table1[[#This Row],[Tier]]="Basic",10,Table1[[#This Row],[Tier]]="Standard",18,Table1[[#This Row],[Tier]]="Premium",25)</f>
        <v>25</v>
      </c>
      <c r="K60" s="7" cm="1">
        <f t="array" ref="K6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60" s="7" cm="1">
        <f t="array" ref="L6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1097.5</v>
      </c>
      <c r="M60" s="3" t="str" cm="1">
        <f t="array" ref="M6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0" s="3" t="s">
        <v>52</v>
      </c>
      <c r="O60" s="3" t="s">
        <v>32</v>
      </c>
      <c r="Q60" s="3" t="str" cm="1">
        <f t="array" ref="Q60">_xlfn.IFS(Table1[[#This Row],[TotalRevenue]]&lt;100,"Low",Table1[[#This Row],[TotalRevenue]]&lt;300,"Medium",Table1[[#This Row],[TotalRevenue]]&lt;600,"High",TRUE,"Very High")</f>
        <v>Very High</v>
      </c>
      <c r="R60" s="3" t="str" cm="1">
        <f t="array" ref="R6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0" s="3" t="str">
        <f>IF(Table1[[#This Row],[NextBillingDate]]="","Cancelled",IF(Table1[[#This Row],[CancellationDate]]&lt;&gt;"","Cancelled","Active"))</f>
        <v>Active</v>
      </c>
      <c r="T60" s="7" cm="1">
        <f t="array" ref="T6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1122.5</v>
      </c>
      <c r="V60" s="5">
        <v>46007</v>
      </c>
      <c r="W60" s="5">
        <v>46007</v>
      </c>
      <c r="X60" s="3">
        <v>45</v>
      </c>
      <c r="Y60" s="5">
        <f ca="1">IF(Table1[[#This Row],[ChurnStatus]]="Cancelled",Table1[[#This Row],[CancellationDate]],TODAY())</f>
        <v>45981</v>
      </c>
      <c r="Z60" s="46">
        <f ca="1">IF(AND(Table1[[#This Row],[SubscriptionStart]] &lt;= TODAY(), Table1[[#This Row],[EffectiveEndDate]] &gt;= TODAY()),1,0)</f>
        <v>1</v>
      </c>
      <c r="AA60" s="46">
        <f ca="1">IF(AND(Table1[[#This Row],[SubscriptionStart]]&lt;=Settings!$A$2,Table1[[#This Row],[EffectiveEndDate]]&gt;=Settings!$A$2),1,0)</f>
        <v>0</v>
      </c>
      <c r="AB60" s="46">
        <f ca="1">IF(AND(Table1[[#This Row],[SubscriptionStart]]&lt;=Settings!$B$2,Table1[[#This Row],[EffectiveEndDate]]&gt;=Settings!$B$2),1,0)</f>
        <v>1</v>
      </c>
      <c r="AC60" s="46">
        <f ca="1">IF(AND(Table1[[#This Row],[SubscriptionStart]]&lt;=Settings!$C$2,Table1[[#This Row],[EffectiveEndDate]]&gt;=Settings!$C$2),1,0)</f>
        <v>1</v>
      </c>
      <c r="AD60" s="46">
        <f ca="1">IF(AND(Table1[[#This Row],[SubscriptionStart]]&lt;=Settings!$D$2,Table1[[#This Row],[EffectiveEndDate]]&gt;=Settings!$D$2),1,0)</f>
        <v>1</v>
      </c>
      <c r="AE60" s="46">
        <f ca="1">IF(AND(Table1[[#This Row],[SubscriptionStart]]&lt;=Settings!$E$2,Table1[[#This Row],[EffectiveEndDate]]&gt;=Settings!$E$2),1,0)</f>
        <v>1</v>
      </c>
      <c r="AF60"/>
      <c r="AG60"/>
      <c r="AH60"/>
      <c r="AI60"/>
      <c r="AJ60"/>
      <c r="AK60"/>
    </row>
    <row r="61" spans="1:37">
      <c r="A61" s="3" t="s">
        <v>417</v>
      </c>
      <c r="B61" s="3">
        <v>36</v>
      </c>
      <c r="C61" s="3" t="s">
        <v>23</v>
      </c>
      <c r="D61" s="5">
        <v>44628</v>
      </c>
      <c r="E61" s="5">
        <v>44988</v>
      </c>
      <c r="F61" s="3">
        <f ca="1">TODAY() - Table1[[#This Row],[SubscriptionStart]]</f>
        <v>1353</v>
      </c>
      <c r="G61" s="4">
        <v>12</v>
      </c>
      <c r="H61" s="3" t="s">
        <v>24</v>
      </c>
      <c r="I61" s="3" t="s">
        <v>30</v>
      </c>
      <c r="J61" s="7" cm="1">
        <f t="array" ref="J61">_xlfn.IFS(Table1[[#This Row],[Tier]]="Basic",10,Table1[[#This Row],[Tier]]="Standard",18,Table1[[#This Row],[Tier]]="Premium",25)</f>
        <v>10</v>
      </c>
      <c r="K61" s="7" cm="1">
        <f t="array" ref="K6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1" s="7" cm="1">
        <f t="array" ref="L6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1" s="3" t="str" cm="1">
        <f t="array" ref="M6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1" s="3" t="s">
        <v>31</v>
      </c>
      <c r="O61" s="3" t="s">
        <v>27</v>
      </c>
      <c r="P61" s="3" t="s">
        <v>41</v>
      </c>
      <c r="Q61" s="3" t="str" cm="1">
        <f t="array" ref="Q61">_xlfn.IFS(Table1[[#This Row],[TotalRevenue]]&lt;100,"Low",Table1[[#This Row],[TotalRevenue]]&lt;300,"Medium",Table1[[#This Row],[TotalRevenue]]&lt;600,"High",TRUE,"Very High")</f>
        <v>Low</v>
      </c>
      <c r="R61" s="3" t="str" cm="1">
        <f t="array" ref="R6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1" s="3" t="str">
        <f>IF(Table1[[#This Row],[NextBillingDate]]="","Cancelled",IF(Table1[[#This Row],[CancellationDate]]&lt;&gt;"","Cancelled","Active"))</f>
        <v>Cancelled</v>
      </c>
      <c r="T61" s="7" cm="1">
        <f t="array" ref="T6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1" s="5">
        <v>44988</v>
      </c>
      <c r="W61" s="5">
        <v>44988</v>
      </c>
      <c r="X61" s="3">
        <v>0</v>
      </c>
      <c r="Y61" s="5">
        <f ca="1">IF(Table1[[#This Row],[ChurnStatus]]="Cancelled",Table1[[#This Row],[CancellationDate]],TODAY())</f>
        <v>44988</v>
      </c>
      <c r="Z61" s="46">
        <f ca="1">IF(AND(Table1[[#This Row],[SubscriptionStart]] &lt;= TODAY(), Table1[[#This Row],[EffectiveEndDate]] &gt;= TODAY()),1,0)</f>
        <v>0</v>
      </c>
      <c r="AA61" s="46">
        <f ca="1">IF(AND(Table1[[#This Row],[SubscriptionStart]]&lt;=Settings!$A$2,Table1[[#This Row],[EffectiveEndDate]]&gt;=Settings!$A$2),1,0)</f>
        <v>0</v>
      </c>
      <c r="AB61" s="46">
        <f ca="1">IF(AND(Table1[[#This Row],[SubscriptionStart]]&lt;=Settings!$B$2,Table1[[#This Row],[EffectiveEndDate]]&gt;=Settings!$B$2),1,0)</f>
        <v>1</v>
      </c>
      <c r="AC61" s="46">
        <f ca="1">IF(AND(Table1[[#This Row],[SubscriptionStart]]&lt;=Settings!$C$2,Table1[[#This Row],[EffectiveEndDate]]&gt;=Settings!$C$2),1,0)</f>
        <v>1</v>
      </c>
      <c r="AD61" s="46">
        <f ca="1">IF(AND(Table1[[#This Row],[SubscriptionStart]]&lt;=Settings!$D$2,Table1[[#This Row],[EffectiveEndDate]]&gt;=Settings!$D$2),1,0)</f>
        <v>0</v>
      </c>
      <c r="AE61" s="46">
        <f ca="1">IF(AND(Table1[[#This Row],[SubscriptionStart]]&lt;=Settings!$E$2,Table1[[#This Row],[EffectiveEndDate]]&gt;=Settings!$E$2),1,0)</f>
        <v>0</v>
      </c>
      <c r="AF61"/>
      <c r="AG61"/>
      <c r="AH61"/>
      <c r="AI61"/>
      <c r="AJ61"/>
      <c r="AK61"/>
    </row>
    <row r="62" spans="1:37">
      <c r="A62" s="3" t="s">
        <v>169</v>
      </c>
      <c r="B62" s="3">
        <v>23</v>
      </c>
      <c r="C62" s="3" t="s">
        <v>23</v>
      </c>
      <c r="D62" s="5">
        <v>44629</v>
      </c>
      <c r="F62" s="3">
        <f ca="1">TODAY() - Table1[[#This Row],[SubscriptionStart]]</f>
        <v>1352</v>
      </c>
      <c r="G62" s="4">
        <v>48</v>
      </c>
      <c r="H62" s="3" t="s">
        <v>24</v>
      </c>
      <c r="I62" s="3" t="s">
        <v>30</v>
      </c>
      <c r="J62" s="7" cm="1">
        <f t="array" ref="J62">_xlfn.IFS(Table1[[#This Row],[Tier]]="Basic",10,Table1[[#This Row],[Tier]]="Standard",18,Table1[[#This Row],[Tier]]="Premium",25)</f>
        <v>10</v>
      </c>
      <c r="K62" s="7" cm="1">
        <f t="array" ref="K6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62" s="7" cm="1">
        <f t="array" ref="L6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312</v>
      </c>
      <c r="M62" s="3" t="str" cm="1">
        <f t="array" ref="M62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62" s="3" t="s">
        <v>52</v>
      </c>
      <c r="O62" s="3" t="s">
        <v>43</v>
      </c>
      <c r="Q62" s="3" t="str" cm="1">
        <f t="array" ref="Q62">_xlfn.IFS(Table1[[#This Row],[TotalRevenue]]&lt;100,"Low",Table1[[#This Row],[TotalRevenue]]&lt;300,"Medium",Table1[[#This Row],[TotalRevenue]]&lt;600,"High",TRUE,"Very High")</f>
        <v>High</v>
      </c>
      <c r="R62" s="3" t="str" cm="1">
        <f t="array" ref="R62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62" s="3" t="str">
        <f>IF(Table1[[#This Row],[NextBillingDate]]="","Cancelled",IF(Table1[[#This Row],[CancellationDate]]&lt;&gt;"","Cancelled","Active"))</f>
        <v>Active</v>
      </c>
      <c r="T62" s="7" cm="1">
        <f t="array" ref="T6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392</v>
      </c>
      <c r="V62" s="5">
        <v>46069</v>
      </c>
      <c r="W62" s="5">
        <v>46069</v>
      </c>
      <c r="X62" s="3">
        <v>3</v>
      </c>
      <c r="Y62" s="5">
        <f ca="1">IF(Table1[[#This Row],[ChurnStatus]]="Cancelled",Table1[[#This Row],[CancellationDate]],TODAY())</f>
        <v>45981</v>
      </c>
      <c r="Z62" s="46">
        <f ca="1">IF(AND(Table1[[#This Row],[SubscriptionStart]] &lt;= TODAY(), Table1[[#This Row],[EffectiveEndDate]] &gt;= TODAY()),1,0)</f>
        <v>1</v>
      </c>
      <c r="AA62" s="46">
        <f ca="1">IF(AND(Table1[[#This Row],[SubscriptionStart]]&lt;=Settings!$A$2,Table1[[#This Row],[EffectiveEndDate]]&gt;=Settings!$A$2),1,0)</f>
        <v>0</v>
      </c>
      <c r="AB62" s="46">
        <f ca="1">IF(AND(Table1[[#This Row],[SubscriptionStart]]&lt;=Settings!$B$2,Table1[[#This Row],[EffectiveEndDate]]&gt;=Settings!$B$2),1,0)</f>
        <v>1</v>
      </c>
      <c r="AC62" s="46">
        <f ca="1">IF(AND(Table1[[#This Row],[SubscriptionStart]]&lt;=Settings!$C$2,Table1[[#This Row],[EffectiveEndDate]]&gt;=Settings!$C$2),1,0)</f>
        <v>1</v>
      </c>
      <c r="AD62" s="46">
        <f ca="1">IF(AND(Table1[[#This Row],[SubscriptionStart]]&lt;=Settings!$D$2,Table1[[#This Row],[EffectiveEndDate]]&gt;=Settings!$D$2),1,0)</f>
        <v>1</v>
      </c>
      <c r="AE62" s="46">
        <f ca="1">IF(AND(Table1[[#This Row],[SubscriptionStart]]&lt;=Settings!$E$2,Table1[[#This Row],[EffectiveEndDate]]&gt;=Settings!$E$2),1,0)</f>
        <v>1</v>
      </c>
      <c r="AF62"/>
      <c r="AG62"/>
      <c r="AH62"/>
      <c r="AI62"/>
      <c r="AJ62"/>
      <c r="AK62"/>
    </row>
    <row r="63" spans="1:37">
      <c r="A63" s="3" t="s">
        <v>807</v>
      </c>
      <c r="B63" s="3">
        <v>25</v>
      </c>
      <c r="C63" s="3" t="s">
        <v>37</v>
      </c>
      <c r="D63" s="5">
        <v>44630</v>
      </c>
      <c r="F63" s="3">
        <f ca="1">TODAY() - Table1[[#This Row],[SubscriptionStart]]</f>
        <v>1351</v>
      </c>
      <c r="G63" s="4">
        <v>48</v>
      </c>
      <c r="H63" s="3" t="s">
        <v>38</v>
      </c>
      <c r="I63" s="3" t="s">
        <v>25</v>
      </c>
      <c r="J63" s="7" cm="1">
        <f t="array" ref="J63">_xlfn.IFS(Table1[[#This Row],[Tier]]="Basic",10,Table1[[#This Row],[Tier]]="Standard",18,Table1[[#This Row],[Tier]]="Premium",25)</f>
        <v>25</v>
      </c>
      <c r="K63" s="7" cm="1">
        <f t="array" ref="K6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18.75</v>
      </c>
      <c r="L63" s="7" cm="1">
        <f t="array" ref="L6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877.5</v>
      </c>
      <c r="M63" s="3" t="str" cm="1">
        <f t="array" ref="M63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63" s="3" t="s">
        <v>31</v>
      </c>
      <c r="O63" s="3" t="s">
        <v>49</v>
      </c>
      <c r="Q63" s="3" t="str" cm="1">
        <f t="array" ref="Q63">_xlfn.IFS(Table1[[#This Row],[TotalRevenue]]&lt;100,"Low",Table1[[#This Row],[TotalRevenue]]&lt;300,"Medium",Table1[[#This Row],[TotalRevenue]]&lt;600,"High",TRUE,"Very High")</f>
        <v>Very High</v>
      </c>
      <c r="R63" s="3" t="str" cm="1">
        <f t="array" ref="R63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63" s="3" t="str">
        <f>IF(Table1[[#This Row],[NextBillingDate]]="","Cancelled",IF(Table1[[#This Row],[CancellationDate]]&lt;&gt;"","Cancelled","Active"))</f>
        <v>Active</v>
      </c>
      <c r="T63" s="7" cm="1">
        <f t="array" ref="T6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990</v>
      </c>
      <c r="V63" s="5">
        <v>46070</v>
      </c>
      <c r="W63" s="5">
        <v>46070</v>
      </c>
      <c r="X63" s="3">
        <v>7</v>
      </c>
      <c r="Y63" s="5">
        <f ca="1">IF(Table1[[#This Row],[ChurnStatus]]="Cancelled",Table1[[#This Row],[CancellationDate]],TODAY())</f>
        <v>45981</v>
      </c>
      <c r="Z63" s="46">
        <f ca="1">IF(AND(Table1[[#This Row],[SubscriptionStart]] &lt;= TODAY(), Table1[[#This Row],[EffectiveEndDate]] &gt;= TODAY()),1,0)</f>
        <v>1</v>
      </c>
      <c r="AA63" s="46">
        <f ca="1">IF(AND(Table1[[#This Row],[SubscriptionStart]]&lt;=Settings!$A$2,Table1[[#This Row],[EffectiveEndDate]]&gt;=Settings!$A$2),1,0)</f>
        <v>0</v>
      </c>
      <c r="AB63" s="46">
        <f ca="1">IF(AND(Table1[[#This Row],[SubscriptionStart]]&lt;=Settings!$B$2,Table1[[#This Row],[EffectiveEndDate]]&gt;=Settings!$B$2),1,0)</f>
        <v>1</v>
      </c>
      <c r="AC63" s="46">
        <f ca="1">IF(AND(Table1[[#This Row],[SubscriptionStart]]&lt;=Settings!$C$2,Table1[[#This Row],[EffectiveEndDate]]&gt;=Settings!$C$2),1,0)</f>
        <v>1</v>
      </c>
      <c r="AD63" s="46">
        <f ca="1">IF(AND(Table1[[#This Row],[SubscriptionStart]]&lt;=Settings!$D$2,Table1[[#This Row],[EffectiveEndDate]]&gt;=Settings!$D$2),1,0)</f>
        <v>1</v>
      </c>
      <c r="AE63" s="46">
        <f ca="1">IF(AND(Table1[[#This Row],[SubscriptionStart]]&lt;=Settings!$E$2,Table1[[#This Row],[EffectiveEndDate]]&gt;=Settings!$E$2),1,0)</f>
        <v>1</v>
      </c>
      <c r="AF63"/>
      <c r="AG63"/>
      <c r="AH63"/>
      <c r="AI63"/>
      <c r="AJ63"/>
      <c r="AK63"/>
    </row>
    <row r="64" spans="1:37">
      <c r="A64" s="3" t="s">
        <v>78</v>
      </c>
      <c r="B64" s="3">
        <v>40</v>
      </c>
      <c r="C64" s="3" t="s">
        <v>23</v>
      </c>
      <c r="D64" s="5">
        <v>44630</v>
      </c>
      <c r="F64" s="3">
        <f ca="1">TODAY() - Table1[[#This Row],[SubscriptionStart]]</f>
        <v>1351</v>
      </c>
      <c r="G64" s="4">
        <v>46</v>
      </c>
      <c r="H64" s="3" t="s">
        <v>29</v>
      </c>
      <c r="I64" s="3" t="s">
        <v>30</v>
      </c>
      <c r="J64" s="7" cm="1">
        <f t="array" ref="J64">_xlfn.IFS(Table1[[#This Row],[Tier]]="Basic",10,Table1[[#This Row],[Tier]]="Standard",18,Table1[[#This Row],[Tier]]="Premium",25)</f>
        <v>10</v>
      </c>
      <c r="K64" s="7" cm="1">
        <f t="array" ref="K6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64" s="7" cm="1">
        <f t="array" ref="L6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439</v>
      </c>
      <c r="M64" s="3" t="str" cm="1">
        <f t="array" ref="M6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4" s="3" t="s">
        <v>31</v>
      </c>
      <c r="O64" s="3" t="s">
        <v>43</v>
      </c>
      <c r="Q64" s="3" t="str" cm="1">
        <f t="array" ref="Q64">_xlfn.IFS(Table1[[#This Row],[TotalRevenue]]&lt;100,"Low",Table1[[#This Row],[TotalRevenue]]&lt;300,"Medium",Table1[[#This Row],[TotalRevenue]]&lt;600,"High",TRUE,"Very High")</f>
        <v>High</v>
      </c>
      <c r="R64" s="3" t="str" cm="1">
        <f t="array" ref="R6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4" s="3" t="str">
        <f>IF(Table1[[#This Row],[NextBillingDate]]="","Cancelled",IF(Table1[[#This Row],[CancellationDate]]&lt;&gt;"","Cancelled","Active"))</f>
        <v>Active</v>
      </c>
      <c r="T64" s="7" cm="1">
        <f t="array" ref="T6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449</v>
      </c>
      <c r="V64" s="5">
        <v>46010</v>
      </c>
      <c r="W64" s="5">
        <v>46010</v>
      </c>
      <c r="X64" s="3">
        <v>45</v>
      </c>
      <c r="Y64" s="5">
        <f ca="1">IF(Table1[[#This Row],[ChurnStatus]]="Cancelled",Table1[[#This Row],[CancellationDate]],TODAY())</f>
        <v>45981</v>
      </c>
      <c r="Z64" s="46">
        <f ca="1">IF(AND(Table1[[#This Row],[SubscriptionStart]] &lt;= TODAY(), Table1[[#This Row],[EffectiveEndDate]] &gt;= TODAY()),1,0)</f>
        <v>1</v>
      </c>
      <c r="AA64" s="46">
        <f ca="1">IF(AND(Table1[[#This Row],[SubscriptionStart]]&lt;=Settings!$A$2,Table1[[#This Row],[EffectiveEndDate]]&gt;=Settings!$A$2),1,0)</f>
        <v>0</v>
      </c>
      <c r="AB64" s="46">
        <f ca="1">IF(AND(Table1[[#This Row],[SubscriptionStart]]&lt;=Settings!$B$2,Table1[[#This Row],[EffectiveEndDate]]&gt;=Settings!$B$2),1,0)</f>
        <v>1</v>
      </c>
      <c r="AC64" s="46">
        <f ca="1">IF(AND(Table1[[#This Row],[SubscriptionStart]]&lt;=Settings!$C$2,Table1[[#This Row],[EffectiveEndDate]]&gt;=Settings!$C$2),1,0)</f>
        <v>1</v>
      </c>
      <c r="AD64" s="46">
        <f ca="1">IF(AND(Table1[[#This Row],[SubscriptionStart]]&lt;=Settings!$D$2,Table1[[#This Row],[EffectiveEndDate]]&gt;=Settings!$D$2),1,0)</f>
        <v>1</v>
      </c>
      <c r="AE64" s="46">
        <f ca="1">IF(AND(Table1[[#This Row],[SubscriptionStart]]&lt;=Settings!$E$2,Table1[[#This Row],[EffectiveEndDate]]&gt;=Settings!$E$2),1,0)</f>
        <v>1</v>
      </c>
      <c r="AF64"/>
      <c r="AG64"/>
      <c r="AH64"/>
      <c r="AI64"/>
      <c r="AJ64"/>
      <c r="AK64"/>
    </row>
    <row r="65" spans="1:37">
      <c r="A65" s="3" t="s">
        <v>131</v>
      </c>
      <c r="B65" s="3">
        <v>44</v>
      </c>
      <c r="C65" s="3" t="s">
        <v>23</v>
      </c>
      <c r="D65" s="5">
        <v>44631</v>
      </c>
      <c r="E65" s="5">
        <v>44991</v>
      </c>
      <c r="F65" s="3">
        <f ca="1">TODAY() - Table1[[#This Row],[SubscriptionStart]]</f>
        <v>1350</v>
      </c>
      <c r="G65" s="4">
        <v>12</v>
      </c>
      <c r="H65" s="3" t="s">
        <v>24</v>
      </c>
      <c r="I65" s="3" t="s">
        <v>25</v>
      </c>
      <c r="J65" s="7" cm="1">
        <f t="array" ref="J65">_xlfn.IFS(Table1[[#This Row],[Tier]]="Basic",10,Table1[[#This Row],[Tier]]="Standard",18,Table1[[#This Row],[Tier]]="Premium",25)</f>
        <v>25</v>
      </c>
      <c r="K65" s="7" cm="1">
        <f t="array" ref="K6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65" s="7" cm="1">
        <f t="array" ref="L6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65" s="3" t="str" cm="1">
        <f t="array" ref="M6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5" s="3" t="s">
        <v>34</v>
      </c>
      <c r="O65" s="3" t="s">
        <v>43</v>
      </c>
      <c r="P65" s="3" t="s">
        <v>50</v>
      </c>
      <c r="Q65" s="3" t="str" cm="1">
        <f t="array" ref="Q65">_xlfn.IFS(Table1[[#This Row],[TotalRevenue]]&lt;100,"Low",Table1[[#This Row],[TotalRevenue]]&lt;300,"Medium",Table1[[#This Row],[TotalRevenue]]&lt;600,"High",TRUE,"Very High")</f>
        <v>Medium</v>
      </c>
      <c r="R65" s="3" t="str" cm="1">
        <f t="array" ref="R6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5" s="3" t="str">
        <f>IF(Table1[[#This Row],[NextBillingDate]]="","Cancelled",IF(Table1[[#This Row],[CancellationDate]]&lt;&gt;"","Cancelled","Active"))</f>
        <v>Cancelled</v>
      </c>
      <c r="T65" s="7" cm="1">
        <f t="array" ref="T6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65" s="5">
        <v>44991</v>
      </c>
      <c r="W65" s="5">
        <v>44991</v>
      </c>
      <c r="X65" s="3">
        <v>0</v>
      </c>
      <c r="Y65" s="5">
        <f ca="1">IF(Table1[[#This Row],[ChurnStatus]]="Cancelled",Table1[[#This Row],[CancellationDate]],TODAY())</f>
        <v>44991</v>
      </c>
      <c r="Z65" s="46">
        <f ca="1">IF(AND(Table1[[#This Row],[SubscriptionStart]] &lt;= TODAY(), Table1[[#This Row],[EffectiveEndDate]] &gt;= TODAY()),1,0)</f>
        <v>0</v>
      </c>
      <c r="AA65" s="46">
        <f ca="1">IF(AND(Table1[[#This Row],[SubscriptionStart]]&lt;=Settings!$A$2,Table1[[#This Row],[EffectiveEndDate]]&gt;=Settings!$A$2),1,0)</f>
        <v>0</v>
      </c>
      <c r="AB65" s="46">
        <f ca="1">IF(AND(Table1[[#This Row],[SubscriptionStart]]&lt;=Settings!$B$2,Table1[[#This Row],[EffectiveEndDate]]&gt;=Settings!$B$2),1,0)</f>
        <v>1</v>
      </c>
      <c r="AC65" s="46">
        <f ca="1">IF(AND(Table1[[#This Row],[SubscriptionStart]]&lt;=Settings!$C$2,Table1[[#This Row],[EffectiveEndDate]]&gt;=Settings!$C$2),1,0)</f>
        <v>1</v>
      </c>
      <c r="AD65" s="46">
        <f ca="1">IF(AND(Table1[[#This Row],[SubscriptionStart]]&lt;=Settings!$D$2,Table1[[#This Row],[EffectiveEndDate]]&gt;=Settings!$D$2),1,0)</f>
        <v>0</v>
      </c>
      <c r="AE65" s="46">
        <f ca="1">IF(AND(Table1[[#This Row],[SubscriptionStart]]&lt;=Settings!$E$2,Table1[[#This Row],[EffectiveEndDate]]&gt;=Settings!$E$2),1,0)</f>
        <v>0</v>
      </c>
      <c r="AF65"/>
      <c r="AG65"/>
      <c r="AH65"/>
      <c r="AI65"/>
      <c r="AJ65"/>
      <c r="AK65"/>
    </row>
    <row r="66" spans="1:37">
      <c r="A66" s="3" t="s">
        <v>754</v>
      </c>
      <c r="B66" s="3">
        <v>67</v>
      </c>
      <c r="C66" s="3" t="s">
        <v>23</v>
      </c>
      <c r="D66" s="5">
        <v>44632</v>
      </c>
      <c r="E66" s="5">
        <v>44992</v>
      </c>
      <c r="F66" s="3">
        <f ca="1">TODAY() - Table1[[#This Row],[SubscriptionStart]]</f>
        <v>1349</v>
      </c>
      <c r="G66" s="4">
        <v>12</v>
      </c>
      <c r="H66" s="3" t="s">
        <v>24</v>
      </c>
      <c r="I66" s="3" t="s">
        <v>30</v>
      </c>
      <c r="J66" s="7" cm="1">
        <f t="array" ref="J66">_xlfn.IFS(Table1[[#This Row],[Tier]]="Basic",10,Table1[[#This Row],[Tier]]="Standard",18,Table1[[#This Row],[Tier]]="Premium",25)</f>
        <v>10</v>
      </c>
      <c r="K66" s="7" cm="1">
        <f t="array" ref="K6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6" s="7" cm="1">
        <f t="array" ref="L6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6" s="3" t="str" cm="1">
        <f t="array" ref="M66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6" s="3" t="s">
        <v>52</v>
      </c>
      <c r="O66" s="3" t="s">
        <v>49</v>
      </c>
      <c r="P66" s="3" t="s">
        <v>50</v>
      </c>
      <c r="Q66" s="3" t="str" cm="1">
        <f t="array" ref="Q66">_xlfn.IFS(Table1[[#This Row],[TotalRevenue]]&lt;100,"Low",Table1[[#This Row],[TotalRevenue]]&lt;300,"Medium",Table1[[#This Row],[TotalRevenue]]&lt;600,"High",TRUE,"Very High")</f>
        <v>Low</v>
      </c>
      <c r="R66" s="3" t="str" cm="1">
        <f t="array" ref="R66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66" s="3" t="str">
        <f>IF(Table1[[#This Row],[NextBillingDate]]="","Cancelled",IF(Table1[[#This Row],[CancellationDate]]&lt;&gt;"","Cancelled","Active"))</f>
        <v>Cancelled</v>
      </c>
      <c r="T66" s="7" cm="1">
        <f t="array" ref="T6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6" s="5">
        <v>44992</v>
      </c>
      <c r="W66" s="5">
        <v>44992</v>
      </c>
      <c r="X66" s="3">
        <v>0</v>
      </c>
      <c r="Y66" s="5">
        <f ca="1">IF(Table1[[#This Row],[ChurnStatus]]="Cancelled",Table1[[#This Row],[CancellationDate]],TODAY())</f>
        <v>44992</v>
      </c>
      <c r="Z66" s="46">
        <f ca="1">IF(AND(Table1[[#This Row],[SubscriptionStart]] &lt;= TODAY(), Table1[[#This Row],[EffectiveEndDate]] &gt;= TODAY()),1,0)</f>
        <v>0</v>
      </c>
      <c r="AA66" s="46">
        <f ca="1">IF(AND(Table1[[#This Row],[SubscriptionStart]]&lt;=Settings!$A$2,Table1[[#This Row],[EffectiveEndDate]]&gt;=Settings!$A$2),1,0)</f>
        <v>0</v>
      </c>
      <c r="AB66" s="46">
        <f ca="1">IF(AND(Table1[[#This Row],[SubscriptionStart]]&lt;=Settings!$B$2,Table1[[#This Row],[EffectiveEndDate]]&gt;=Settings!$B$2),1,0)</f>
        <v>1</v>
      </c>
      <c r="AC66" s="46">
        <f ca="1">IF(AND(Table1[[#This Row],[SubscriptionStart]]&lt;=Settings!$C$2,Table1[[#This Row],[EffectiveEndDate]]&gt;=Settings!$C$2),1,0)</f>
        <v>1</v>
      </c>
      <c r="AD66" s="46">
        <f ca="1">IF(AND(Table1[[#This Row],[SubscriptionStart]]&lt;=Settings!$D$2,Table1[[#This Row],[EffectiveEndDate]]&gt;=Settings!$D$2),1,0)</f>
        <v>0</v>
      </c>
      <c r="AE66" s="46">
        <f ca="1">IF(AND(Table1[[#This Row],[SubscriptionStart]]&lt;=Settings!$E$2,Table1[[#This Row],[EffectiveEndDate]]&gt;=Settings!$E$2),1,0)</f>
        <v>0</v>
      </c>
      <c r="AF66"/>
      <c r="AG66"/>
      <c r="AH66"/>
      <c r="AI66"/>
      <c r="AJ66"/>
      <c r="AK66"/>
    </row>
    <row r="67" spans="1:37">
      <c r="A67" s="3" t="s">
        <v>233</v>
      </c>
      <c r="B67" s="3">
        <v>56</v>
      </c>
      <c r="C67" s="3" t="s">
        <v>37</v>
      </c>
      <c r="D67" s="5">
        <v>44633</v>
      </c>
      <c r="E67" s="5">
        <v>44993</v>
      </c>
      <c r="F67" s="3">
        <f ca="1">TODAY() - Table1[[#This Row],[SubscriptionStart]]</f>
        <v>1348</v>
      </c>
      <c r="G67" s="4">
        <v>12</v>
      </c>
      <c r="H67" s="3" t="s">
        <v>24</v>
      </c>
      <c r="I67" s="3" t="s">
        <v>30</v>
      </c>
      <c r="J67" s="7" cm="1">
        <f t="array" ref="J67">_xlfn.IFS(Table1[[#This Row],[Tier]]="Basic",10,Table1[[#This Row],[Tier]]="Standard",18,Table1[[#This Row],[Tier]]="Premium",25)</f>
        <v>10</v>
      </c>
      <c r="K67" s="7" cm="1">
        <f t="array" ref="K6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7" s="7" cm="1">
        <f t="array" ref="L6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7" s="3" t="str" cm="1">
        <f t="array" ref="M6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7" s="3" t="s">
        <v>52</v>
      </c>
      <c r="O67" s="3" t="s">
        <v>49</v>
      </c>
      <c r="P67" s="3" t="s">
        <v>50</v>
      </c>
      <c r="Q67" s="3" t="str" cm="1">
        <f t="array" ref="Q67">_xlfn.IFS(Table1[[#This Row],[TotalRevenue]]&lt;100,"Low",Table1[[#This Row],[TotalRevenue]]&lt;300,"Medium",Table1[[#This Row],[TotalRevenue]]&lt;600,"High",TRUE,"Very High")</f>
        <v>Low</v>
      </c>
      <c r="R67" s="3" t="str" cm="1">
        <f t="array" ref="R6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7" s="3" t="str">
        <f>IF(Table1[[#This Row],[NextBillingDate]]="","Cancelled",IF(Table1[[#This Row],[CancellationDate]]&lt;&gt;"","Cancelled","Active"))</f>
        <v>Cancelled</v>
      </c>
      <c r="T67" s="7" cm="1">
        <f t="array" ref="T6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7" s="5">
        <v>44993</v>
      </c>
      <c r="W67" s="5">
        <v>44993</v>
      </c>
      <c r="X67" s="3">
        <v>0</v>
      </c>
      <c r="Y67" s="5">
        <f ca="1">IF(Table1[[#This Row],[ChurnStatus]]="Cancelled",Table1[[#This Row],[CancellationDate]],TODAY())</f>
        <v>44993</v>
      </c>
      <c r="Z67" s="46">
        <f ca="1">IF(AND(Table1[[#This Row],[SubscriptionStart]] &lt;= TODAY(), Table1[[#This Row],[EffectiveEndDate]] &gt;= TODAY()),1,0)</f>
        <v>0</v>
      </c>
      <c r="AA67" s="46">
        <f ca="1">IF(AND(Table1[[#This Row],[SubscriptionStart]]&lt;=Settings!$A$2,Table1[[#This Row],[EffectiveEndDate]]&gt;=Settings!$A$2),1,0)</f>
        <v>0</v>
      </c>
      <c r="AB67" s="46">
        <f ca="1">IF(AND(Table1[[#This Row],[SubscriptionStart]]&lt;=Settings!$B$2,Table1[[#This Row],[EffectiveEndDate]]&gt;=Settings!$B$2),1,0)</f>
        <v>1</v>
      </c>
      <c r="AC67" s="46">
        <f ca="1">IF(AND(Table1[[#This Row],[SubscriptionStart]]&lt;=Settings!$C$2,Table1[[#This Row],[EffectiveEndDate]]&gt;=Settings!$C$2),1,0)</f>
        <v>1</v>
      </c>
      <c r="AD67" s="46">
        <f ca="1">IF(AND(Table1[[#This Row],[SubscriptionStart]]&lt;=Settings!$D$2,Table1[[#This Row],[EffectiveEndDate]]&gt;=Settings!$D$2),1,0)</f>
        <v>0</v>
      </c>
      <c r="AE67" s="46">
        <f ca="1">IF(AND(Table1[[#This Row],[SubscriptionStart]]&lt;=Settings!$E$2,Table1[[#This Row],[EffectiveEndDate]]&gt;=Settings!$E$2),1,0)</f>
        <v>0</v>
      </c>
      <c r="AF67"/>
      <c r="AG67"/>
      <c r="AH67"/>
      <c r="AI67"/>
      <c r="AJ67"/>
      <c r="AK67"/>
    </row>
    <row r="68" spans="1:37">
      <c r="A68" s="3" t="s">
        <v>272</v>
      </c>
      <c r="B68" s="3">
        <v>31</v>
      </c>
      <c r="C68" s="3" t="s">
        <v>37</v>
      </c>
      <c r="D68" s="5">
        <v>44635</v>
      </c>
      <c r="E68" s="5">
        <v>44815</v>
      </c>
      <c r="F68" s="3">
        <f ca="1">TODAY() - Table1[[#This Row],[SubscriptionStart]]</f>
        <v>1346</v>
      </c>
      <c r="G68" s="4">
        <v>6</v>
      </c>
      <c r="H68" s="3" t="s">
        <v>38</v>
      </c>
      <c r="I68" s="3" t="s">
        <v>39</v>
      </c>
      <c r="J68" s="7" cm="1">
        <f t="array" ref="J68">_xlfn.IFS(Table1[[#This Row],[Tier]]="Basic",10,Table1[[#This Row],[Tier]]="Standard",18,Table1[[#This Row],[Tier]]="Premium",25)</f>
        <v>18</v>
      </c>
      <c r="K68" s="7" cm="1">
        <f t="array" ref="K6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68" s="7" cm="1">
        <f t="array" ref="L6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68" s="3" t="str" cm="1">
        <f t="array" ref="M6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8" s="3" t="s">
        <v>34</v>
      </c>
      <c r="O68" s="3" t="s">
        <v>49</v>
      </c>
      <c r="P68" s="3" t="s">
        <v>47</v>
      </c>
      <c r="Q68" s="3" t="str" cm="1">
        <f t="array" ref="Q68">_xlfn.IFS(Table1[[#This Row],[TotalRevenue]]&lt;100,"Low",Table1[[#This Row],[TotalRevenue]]&lt;300,"Medium",Table1[[#This Row],[TotalRevenue]]&lt;600,"High",TRUE,"Very High")</f>
        <v>Low</v>
      </c>
      <c r="R68" s="3" t="str" cm="1">
        <f t="array" ref="R6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8" s="3" t="str">
        <f>IF(Table1[[#This Row],[NextBillingDate]]="","Cancelled",IF(Table1[[#This Row],[CancellationDate]]&lt;&gt;"","Cancelled","Active"))</f>
        <v>Cancelled</v>
      </c>
      <c r="T68" s="7" cm="1">
        <f t="array" ref="T6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68" s="5">
        <v>44815</v>
      </c>
      <c r="W68" s="5">
        <v>44815</v>
      </c>
      <c r="X68" s="3">
        <v>0</v>
      </c>
      <c r="Y68" s="5">
        <f ca="1">IF(Table1[[#This Row],[ChurnStatus]]="Cancelled",Table1[[#This Row],[CancellationDate]],TODAY())</f>
        <v>44815</v>
      </c>
      <c r="Z68" s="46">
        <f ca="1">IF(AND(Table1[[#This Row],[SubscriptionStart]] &lt;= TODAY(), Table1[[#This Row],[EffectiveEndDate]] &gt;= TODAY()),1,0)</f>
        <v>0</v>
      </c>
      <c r="AA68" s="46">
        <f ca="1">IF(AND(Table1[[#This Row],[SubscriptionStart]]&lt;=Settings!$A$2,Table1[[#This Row],[EffectiveEndDate]]&gt;=Settings!$A$2),1,0)</f>
        <v>0</v>
      </c>
      <c r="AB68" s="46">
        <f ca="1">IF(AND(Table1[[#This Row],[SubscriptionStart]]&lt;=Settings!$B$2,Table1[[#This Row],[EffectiveEndDate]]&gt;=Settings!$B$2),1,0)</f>
        <v>1</v>
      </c>
      <c r="AC68" s="46">
        <f ca="1">IF(AND(Table1[[#This Row],[SubscriptionStart]]&lt;=Settings!$C$2,Table1[[#This Row],[EffectiveEndDate]]&gt;=Settings!$C$2),1,0)</f>
        <v>0</v>
      </c>
      <c r="AD68" s="46">
        <f ca="1">IF(AND(Table1[[#This Row],[SubscriptionStart]]&lt;=Settings!$D$2,Table1[[#This Row],[EffectiveEndDate]]&gt;=Settings!$D$2),1,0)</f>
        <v>0</v>
      </c>
      <c r="AE68" s="46">
        <f ca="1">IF(AND(Table1[[#This Row],[SubscriptionStart]]&lt;=Settings!$E$2,Table1[[#This Row],[EffectiveEndDate]]&gt;=Settings!$E$2),1,0)</f>
        <v>0</v>
      </c>
      <c r="AF68"/>
      <c r="AG68"/>
      <c r="AH68"/>
      <c r="AI68"/>
      <c r="AJ68"/>
      <c r="AK68"/>
    </row>
    <row r="69" spans="1:37">
      <c r="A69" s="3" t="s">
        <v>174</v>
      </c>
      <c r="B69" s="3">
        <v>27</v>
      </c>
      <c r="C69" s="3" t="s">
        <v>37</v>
      </c>
      <c r="D69" s="5">
        <v>44635</v>
      </c>
      <c r="E69" s="5">
        <v>44995</v>
      </c>
      <c r="F69" s="3">
        <f ca="1">TODAY() - Table1[[#This Row],[SubscriptionStart]]</f>
        <v>1346</v>
      </c>
      <c r="G69" s="4">
        <v>12</v>
      </c>
      <c r="H69" s="3" t="s">
        <v>24</v>
      </c>
      <c r="I69" s="3" t="s">
        <v>30</v>
      </c>
      <c r="J69" s="7" cm="1">
        <f t="array" ref="J69">_xlfn.IFS(Table1[[#This Row],[Tier]]="Basic",10,Table1[[#This Row],[Tier]]="Standard",18,Table1[[#This Row],[Tier]]="Premium",25)</f>
        <v>10</v>
      </c>
      <c r="K69" s="7" cm="1">
        <f t="array" ref="K6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9" s="7" cm="1">
        <f t="array" ref="L6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9" s="3" t="str" cm="1">
        <f t="array" ref="M6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9" s="3" t="s">
        <v>34</v>
      </c>
      <c r="O69" s="3" t="s">
        <v>27</v>
      </c>
      <c r="P69" s="3" t="s">
        <v>35</v>
      </c>
      <c r="Q69" s="3" t="str" cm="1">
        <f t="array" ref="Q69">_xlfn.IFS(Table1[[#This Row],[TotalRevenue]]&lt;100,"Low",Table1[[#This Row],[TotalRevenue]]&lt;300,"Medium",Table1[[#This Row],[TotalRevenue]]&lt;600,"High",TRUE,"Very High")</f>
        <v>Low</v>
      </c>
      <c r="R69" s="3" t="str" cm="1">
        <f t="array" ref="R6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9" s="3" t="str">
        <f>IF(Table1[[#This Row],[NextBillingDate]]="","Cancelled",IF(Table1[[#This Row],[CancellationDate]]&lt;&gt;"","Cancelled","Active"))</f>
        <v>Cancelled</v>
      </c>
      <c r="T69" s="7" cm="1">
        <f t="array" ref="T6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9" s="5">
        <v>44995</v>
      </c>
      <c r="W69" s="5">
        <v>44995</v>
      </c>
      <c r="X69" s="3">
        <v>0</v>
      </c>
      <c r="Y69" s="5">
        <f ca="1">IF(Table1[[#This Row],[ChurnStatus]]="Cancelled",Table1[[#This Row],[CancellationDate]],TODAY())</f>
        <v>44995</v>
      </c>
      <c r="Z69" s="46">
        <f ca="1">IF(AND(Table1[[#This Row],[SubscriptionStart]] &lt;= TODAY(), Table1[[#This Row],[EffectiveEndDate]] &gt;= TODAY()),1,0)</f>
        <v>0</v>
      </c>
      <c r="AA69" s="46">
        <f ca="1">IF(AND(Table1[[#This Row],[SubscriptionStart]]&lt;=Settings!$A$2,Table1[[#This Row],[EffectiveEndDate]]&gt;=Settings!$A$2),1,0)</f>
        <v>0</v>
      </c>
      <c r="AB69" s="46">
        <f ca="1">IF(AND(Table1[[#This Row],[SubscriptionStart]]&lt;=Settings!$B$2,Table1[[#This Row],[EffectiveEndDate]]&gt;=Settings!$B$2),1,0)</f>
        <v>1</v>
      </c>
      <c r="AC69" s="46">
        <f ca="1">IF(AND(Table1[[#This Row],[SubscriptionStart]]&lt;=Settings!$C$2,Table1[[#This Row],[EffectiveEndDate]]&gt;=Settings!$C$2),1,0)</f>
        <v>1</v>
      </c>
      <c r="AD69" s="46">
        <f ca="1">IF(AND(Table1[[#This Row],[SubscriptionStart]]&lt;=Settings!$D$2,Table1[[#This Row],[EffectiveEndDate]]&gt;=Settings!$D$2),1,0)</f>
        <v>0</v>
      </c>
      <c r="AE69" s="46">
        <f ca="1">IF(AND(Table1[[#This Row],[SubscriptionStart]]&lt;=Settings!$E$2,Table1[[#This Row],[EffectiveEndDate]]&gt;=Settings!$E$2),1,0)</f>
        <v>0</v>
      </c>
      <c r="AF69"/>
      <c r="AG69"/>
      <c r="AH69"/>
      <c r="AI69"/>
      <c r="AJ69"/>
      <c r="AK69"/>
    </row>
    <row r="70" spans="1:37">
      <c r="A70" s="3" t="s">
        <v>735</v>
      </c>
      <c r="B70" s="3">
        <v>36</v>
      </c>
      <c r="C70" s="3" t="s">
        <v>37</v>
      </c>
      <c r="D70" s="5">
        <v>44636</v>
      </c>
      <c r="E70" s="5">
        <v>44816</v>
      </c>
      <c r="F70" s="3">
        <f ca="1">TODAY() - Table1[[#This Row],[SubscriptionStart]]</f>
        <v>1345</v>
      </c>
      <c r="G70" s="4">
        <v>6</v>
      </c>
      <c r="H70" s="3" t="s">
        <v>38</v>
      </c>
      <c r="I70" s="3" t="s">
        <v>30</v>
      </c>
      <c r="J70" s="7" cm="1">
        <f t="array" ref="J70">_xlfn.IFS(Table1[[#This Row],[Tier]]="Basic",10,Table1[[#This Row],[Tier]]="Standard",18,Table1[[#This Row],[Tier]]="Premium",25)</f>
        <v>10</v>
      </c>
      <c r="K70" s="7" cm="1">
        <f t="array" ref="K7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70" s="7" cm="1">
        <f t="array" ref="L7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70" s="3" t="str" cm="1">
        <f t="array" ref="M7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0" s="3" t="s">
        <v>52</v>
      </c>
      <c r="O70" s="3" t="s">
        <v>32</v>
      </c>
      <c r="P70" s="3" t="s">
        <v>35</v>
      </c>
      <c r="Q70" s="3" t="str" cm="1">
        <f t="array" ref="Q70">_xlfn.IFS(Table1[[#This Row],[TotalRevenue]]&lt;100,"Low",Table1[[#This Row],[TotalRevenue]]&lt;300,"Medium",Table1[[#This Row],[TotalRevenue]]&lt;600,"High",TRUE,"Very High")</f>
        <v>Low</v>
      </c>
      <c r="R70" s="3" t="str" cm="1">
        <f t="array" ref="R7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0" s="3" t="str">
        <f>IF(Table1[[#This Row],[NextBillingDate]]="","Cancelled",IF(Table1[[#This Row],[CancellationDate]]&lt;&gt;"","Cancelled","Active"))</f>
        <v>Cancelled</v>
      </c>
      <c r="T70" s="7" cm="1">
        <f t="array" ref="T7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70" s="5">
        <v>44816</v>
      </c>
      <c r="W70" s="5">
        <v>44816</v>
      </c>
      <c r="X70" s="3">
        <v>0</v>
      </c>
      <c r="Y70" s="5">
        <f ca="1">IF(Table1[[#This Row],[ChurnStatus]]="Cancelled",Table1[[#This Row],[CancellationDate]],TODAY())</f>
        <v>44816</v>
      </c>
      <c r="Z70" s="46">
        <f ca="1">IF(AND(Table1[[#This Row],[SubscriptionStart]] &lt;= TODAY(), Table1[[#This Row],[EffectiveEndDate]] &gt;= TODAY()),1,0)</f>
        <v>0</v>
      </c>
      <c r="AA70" s="46">
        <f ca="1">IF(AND(Table1[[#This Row],[SubscriptionStart]]&lt;=Settings!$A$2,Table1[[#This Row],[EffectiveEndDate]]&gt;=Settings!$A$2),1,0)</f>
        <v>0</v>
      </c>
      <c r="AB70" s="46">
        <f ca="1">IF(AND(Table1[[#This Row],[SubscriptionStart]]&lt;=Settings!$B$2,Table1[[#This Row],[EffectiveEndDate]]&gt;=Settings!$B$2),1,0)</f>
        <v>1</v>
      </c>
      <c r="AC70" s="46">
        <f ca="1">IF(AND(Table1[[#This Row],[SubscriptionStart]]&lt;=Settings!$C$2,Table1[[#This Row],[EffectiveEndDate]]&gt;=Settings!$C$2),1,0)</f>
        <v>0</v>
      </c>
      <c r="AD70" s="46">
        <f ca="1">IF(AND(Table1[[#This Row],[SubscriptionStart]]&lt;=Settings!$D$2,Table1[[#This Row],[EffectiveEndDate]]&gt;=Settings!$D$2),1,0)</f>
        <v>0</v>
      </c>
      <c r="AE70" s="46">
        <f ca="1">IF(AND(Table1[[#This Row],[SubscriptionStart]]&lt;=Settings!$E$2,Table1[[#This Row],[EffectiveEndDate]]&gt;=Settings!$E$2),1,0)</f>
        <v>0</v>
      </c>
      <c r="AF70"/>
      <c r="AG70"/>
      <c r="AH70"/>
      <c r="AI70"/>
      <c r="AJ70"/>
      <c r="AK70"/>
    </row>
    <row r="71" spans="1:37">
      <c r="A71" s="3" t="s">
        <v>308</v>
      </c>
      <c r="B71" s="3">
        <v>27</v>
      </c>
      <c r="C71" s="3" t="s">
        <v>23</v>
      </c>
      <c r="D71" s="5">
        <v>44638</v>
      </c>
      <c r="E71" s="5">
        <v>44998</v>
      </c>
      <c r="F71" s="3">
        <f ca="1">TODAY() - Table1[[#This Row],[SubscriptionStart]]</f>
        <v>1343</v>
      </c>
      <c r="G71" s="4">
        <v>12</v>
      </c>
      <c r="H71" s="3" t="s">
        <v>24</v>
      </c>
      <c r="I71" s="3" t="s">
        <v>30</v>
      </c>
      <c r="J71" s="7" cm="1">
        <f t="array" ref="J71">_xlfn.IFS(Table1[[#This Row],[Tier]]="Basic",10,Table1[[#This Row],[Tier]]="Standard",18,Table1[[#This Row],[Tier]]="Premium",25)</f>
        <v>10</v>
      </c>
      <c r="K71" s="7" cm="1">
        <f t="array" ref="K7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1" s="7" cm="1">
        <f t="array" ref="L7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1" s="3" t="str" cm="1">
        <f t="array" ref="M7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1" s="3" t="s">
        <v>52</v>
      </c>
      <c r="O71" s="3" t="s">
        <v>32</v>
      </c>
      <c r="P71" s="3" t="s">
        <v>41</v>
      </c>
      <c r="Q71" s="3" t="str" cm="1">
        <f t="array" ref="Q71">_xlfn.IFS(Table1[[#This Row],[TotalRevenue]]&lt;100,"Low",Table1[[#This Row],[TotalRevenue]]&lt;300,"Medium",Table1[[#This Row],[TotalRevenue]]&lt;600,"High",TRUE,"Very High")</f>
        <v>Low</v>
      </c>
      <c r="R71" s="3" t="str" cm="1">
        <f t="array" ref="R7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1" s="3" t="str">
        <f>IF(Table1[[#This Row],[NextBillingDate]]="","Cancelled",IF(Table1[[#This Row],[CancellationDate]]&lt;&gt;"","Cancelled","Active"))</f>
        <v>Cancelled</v>
      </c>
      <c r="T71" s="7" cm="1">
        <f t="array" ref="T7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1" s="5">
        <v>44998</v>
      </c>
      <c r="W71" s="5">
        <v>44998</v>
      </c>
      <c r="X71" s="3">
        <v>0</v>
      </c>
      <c r="Y71" s="5">
        <f ca="1">IF(Table1[[#This Row],[ChurnStatus]]="Cancelled",Table1[[#This Row],[CancellationDate]],TODAY())</f>
        <v>44998</v>
      </c>
      <c r="Z71" s="46">
        <f ca="1">IF(AND(Table1[[#This Row],[SubscriptionStart]] &lt;= TODAY(), Table1[[#This Row],[EffectiveEndDate]] &gt;= TODAY()),1,0)</f>
        <v>0</v>
      </c>
      <c r="AA71" s="46">
        <f ca="1">IF(AND(Table1[[#This Row],[SubscriptionStart]]&lt;=Settings!$A$2,Table1[[#This Row],[EffectiveEndDate]]&gt;=Settings!$A$2),1,0)</f>
        <v>0</v>
      </c>
      <c r="AB71" s="46">
        <f ca="1">IF(AND(Table1[[#This Row],[SubscriptionStart]]&lt;=Settings!$B$2,Table1[[#This Row],[EffectiveEndDate]]&gt;=Settings!$B$2),1,0)</f>
        <v>1</v>
      </c>
      <c r="AC71" s="46">
        <f ca="1">IF(AND(Table1[[#This Row],[SubscriptionStart]]&lt;=Settings!$C$2,Table1[[#This Row],[EffectiveEndDate]]&gt;=Settings!$C$2),1,0)</f>
        <v>1</v>
      </c>
      <c r="AD71" s="46">
        <f ca="1">IF(AND(Table1[[#This Row],[SubscriptionStart]]&lt;=Settings!$D$2,Table1[[#This Row],[EffectiveEndDate]]&gt;=Settings!$D$2),1,0)</f>
        <v>0</v>
      </c>
      <c r="AE71" s="46">
        <f ca="1">IF(AND(Table1[[#This Row],[SubscriptionStart]]&lt;=Settings!$E$2,Table1[[#This Row],[EffectiveEndDate]]&gt;=Settings!$E$2),1,0)</f>
        <v>0</v>
      </c>
      <c r="AF71"/>
      <c r="AG71"/>
      <c r="AH71"/>
      <c r="AI71"/>
      <c r="AJ71"/>
      <c r="AK71"/>
    </row>
    <row r="72" spans="1:37">
      <c r="A72" s="3" t="s">
        <v>593</v>
      </c>
      <c r="B72" s="3">
        <v>29</v>
      </c>
      <c r="C72" s="3" t="s">
        <v>23</v>
      </c>
      <c r="D72" s="5">
        <v>44638</v>
      </c>
      <c r="F72" s="3">
        <f ca="1">TODAY() - Table1[[#This Row],[SubscriptionStart]]</f>
        <v>1343</v>
      </c>
      <c r="G72" s="4">
        <v>45</v>
      </c>
      <c r="H72" s="3" t="s">
        <v>29</v>
      </c>
      <c r="I72" s="3" t="s">
        <v>39</v>
      </c>
      <c r="J72" s="7" cm="1">
        <f t="array" ref="J72">_xlfn.IFS(Table1[[#This Row],[Tier]]="Basic",10,Table1[[#This Row],[Tier]]="Standard",18,Table1[[#This Row],[Tier]]="Premium",25)</f>
        <v>18</v>
      </c>
      <c r="K72" s="7" cm="1">
        <f t="array" ref="K7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72" s="7" cm="1">
        <f t="array" ref="L7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772.2</v>
      </c>
      <c r="M72" s="3" t="str" cm="1">
        <f t="array" ref="M7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2" s="3" t="s">
        <v>34</v>
      </c>
      <c r="O72" s="3" t="s">
        <v>43</v>
      </c>
      <c r="Q72" s="3" t="str" cm="1">
        <f t="array" ref="Q72">_xlfn.IFS(Table1[[#This Row],[TotalRevenue]]&lt;100,"Low",Table1[[#This Row],[TotalRevenue]]&lt;300,"Medium",Table1[[#This Row],[TotalRevenue]]&lt;600,"High",TRUE,"Very High")</f>
        <v>Very High</v>
      </c>
      <c r="R72" s="3" t="str" cm="1">
        <f t="array" ref="R7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2" s="3" t="str">
        <f>IF(Table1[[#This Row],[NextBillingDate]]="","Cancelled",IF(Table1[[#This Row],[CancellationDate]]&lt;&gt;"","Cancelled","Active"))</f>
        <v>Active</v>
      </c>
      <c r="T72" s="7" cm="1">
        <f t="array" ref="T7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790.2</v>
      </c>
      <c r="V72" s="5">
        <v>45988</v>
      </c>
      <c r="W72" s="5">
        <v>45988</v>
      </c>
      <c r="X72" s="3">
        <v>44</v>
      </c>
      <c r="Y72" s="5">
        <f ca="1">IF(Table1[[#This Row],[ChurnStatus]]="Cancelled",Table1[[#This Row],[CancellationDate]],TODAY())</f>
        <v>45981</v>
      </c>
      <c r="Z72" s="46">
        <f ca="1">IF(AND(Table1[[#This Row],[SubscriptionStart]] &lt;= TODAY(), Table1[[#This Row],[EffectiveEndDate]] &gt;= TODAY()),1,0)</f>
        <v>1</v>
      </c>
      <c r="AA72" s="46">
        <f ca="1">IF(AND(Table1[[#This Row],[SubscriptionStart]]&lt;=Settings!$A$2,Table1[[#This Row],[EffectiveEndDate]]&gt;=Settings!$A$2),1,0)</f>
        <v>0</v>
      </c>
      <c r="AB72" s="46">
        <f ca="1">IF(AND(Table1[[#This Row],[SubscriptionStart]]&lt;=Settings!$B$2,Table1[[#This Row],[EffectiveEndDate]]&gt;=Settings!$B$2),1,0)</f>
        <v>1</v>
      </c>
      <c r="AC72" s="46">
        <f ca="1">IF(AND(Table1[[#This Row],[SubscriptionStart]]&lt;=Settings!$C$2,Table1[[#This Row],[EffectiveEndDate]]&gt;=Settings!$C$2),1,0)</f>
        <v>1</v>
      </c>
      <c r="AD72" s="46">
        <f ca="1">IF(AND(Table1[[#This Row],[SubscriptionStart]]&lt;=Settings!$D$2,Table1[[#This Row],[EffectiveEndDate]]&gt;=Settings!$D$2),1,0)</f>
        <v>1</v>
      </c>
      <c r="AE72" s="46">
        <f ca="1">IF(AND(Table1[[#This Row],[SubscriptionStart]]&lt;=Settings!$E$2,Table1[[#This Row],[EffectiveEndDate]]&gt;=Settings!$E$2),1,0)</f>
        <v>1</v>
      </c>
      <c r="AF72"/>
      <c r="AG72"/>
      <c r="AH72"/>
      <c r="AI72"/>
      <c r="AJ72"/>
      <c r="AK72"/>
    </row>
    <row r="73" spans="1:37">
      <c r="A73" s="3" t="s">
        <v>634</v>
      </c>
      <c r="B73" s="3">
        <v>40</v>
      </c>
      <c r="C73" s="3" t="s">
        <v>37</v>
      </c>
      <c r="D73" s="5">
        <v>44642</v>
      </c>
      <c r="E73" s="5">
        <v>45002</v>
      </c>
      <c r="F73" s="3">
        <f ca="1">TODAY() - Table1[[#This Row],[SubscriptionStart]]</f>
        <v>1339</v>
      </c>
      <c r="G73" s="4">
        <v>12</v>
      </c>
      <c r="H73" s="3" t="s">
        <v>24</v>
      </c>
      <c r="I73" s="3" t="s">
        <v>30</v>
      </c>
      <c r="J73" s="7" cm="1">
        <f t="array" ref="J73">_xlfn.IFS(Table1[[#This Row],[Tier]]="Basic",10,Table1[[#This Row],[Tier]]="Standard",18,Table1[[#This Row],[Tier]]="Premium",25)</f>
        <v>10</v>
      </c>
      <c r="K73" s="7" cm="1">
        <f t="array" ref="K7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3" s="7" cm="1">
        <f t="array" ref="L7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3" s="3" t="str" cm="1">
        <f t="array" ref="M7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3" s="3" t="s">
        <v>26</v>
      </c>
      <c r="O73" s="3" t="s">
        <v>43</v>
      </c>
      <c r="P73" s="3" t="s">
        <v>44</v>
      </c>
      <c r="Q73" s="3" t="str" cm="1">
        <f t="array" ref="Q73">_xlfn.IFS(Table1[[#This Row],[TotalRevenue]]&lt;100,"Low",Table1[[#This Row],[TotalRevenue]]&lt;300,"Medium",Table1[[#This Row],[TotalRevenue]]&lt;600,"High",TRUE,"Very High")</f>
        <v>Low</v>
      </c>
      <c r="R73" s="3" t="str" cm="1">
        <f t="array" ref="R7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3" s="3" t="str">
        <f>IF(Table1[[#This Row],[NextBillingDate]]="","Cancelled",IF(Table1[[#This Row],[CancellationDate]]&lt;&gt;"","Cancelled","Active"))</f>
        <v>Cancelled</v>
      </c>
      <c r="T73" s="7" cm="1">
        <f t="array" ref="T7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3" s="5">
        <v>45002</v>
      </c>
      <c r="W73" s="5">
        <v>45002</v>
      </c>
      <c r="X73" s="3">
        <v>0</v>
      </c>
      <c r="Y73" s="5">
        <f ca="1">IF(Table1[[#This Row],[ChurnStatus]]="Cancelled",Table1[[#This Row],[CancellationDate]],TODAY())</f>
        <v>45002</v>
      </c>
      <c r="Z73" s="46">
        <f ca="1">IF(AND(Table1[[#This Row],[SubscriptionStart]] &lt;= TODAY(), Table1[[#This Row],[EffectiveEndDate]] &gt;= TODAY()),1,0)</f>
        <v>0</v>
      </c>
      <c r="AA73" s="46">
        <f ca="1">IF(AND(Table1[[#This Row],[SubscriptionStart]]&lt;=Settings!$A$2,Table1[[#This Row],[EffectiveEndDate]]&gt;=Settings!$A$2),1,0)</f>
        <v>0</v>
      </c>
      <c r="AB73" s="46">
        <f ca="1">IF(AND(Table1[[#This Row],[SubscriptionStart]]&lt;=Settings!$B$2,Table1[[#This Row],[EffectiveEndDate]]&gt;=Settings!$B$2),1,0)</f>
        <v>1</v>
      </c>
      <c r="AC73" s="46">
        <f ca="1">IF(AND(Table1[[#This Row],[SubscriptionStart]]&lt;=Settings!$C$2,Table1[[#This Row],[EffectiveEndDate]]&gt;=Settings!$C$2),1,0)</f>
        <v>1</v>
      </c>
      <c r="AD73" s="46">
        <f ca="1">IF(AND(Table1[[#This Row],[SubscriptionStart]]&lt;=Settings!$D$2,Table1[[#This Row],[EffectiveEndDate]]&gt;=Settings!$D$2),1,0)</f>
        <v>0</v>
      </c>
      <c r="AE73" s="46">
        <f ca="1">IF(AND(Table1[[#This Row],[SubscriptionStart]]&lt;=Settings!$E$2,Table1[[#This Row],[EffectiveEndDate]]&gt;=Settings!$E$2),1,0)</f>
        <v>0</v>
      </c>
      <c r="AF73"/>
      <c r="AG73"/>
      <c r="AH73"/>
      <c r="AI73"/>
      <c r="AJ73"/>
      <c r="AK73"/>
    </row>
    <row r="74" spans="1:37">
      <c r="A74" s="3" t="s">
        <v>800</v>
      </c>
      <c r="B74" s="3">
        <v>57</v>
      </c>
      <c r="C74" s="3" t="s">
        <v>23</v>
      </c>
      <c r="D74" s="5">
        <v>44644</v>
      </c>
      <c r="E74" s="5">
        <v>45004</v>
      </c>
      <c r="F74" s="3">
        <f ca="1">TODAY() - Table1[[#This Row],[SubscriptionStart]]</f>
        <v>1337</v>
      </c>
      <c r="G74" s="4">
        <v>12</v>
      </c>
      <c r="H74" s="3" t="s">
        <v>24</v>
      </c>
      <c r="I74" s="3" t="s">
        <v>25</v>
      </c>
      <c r="J74" s="7" cm="1">
        <f t="array" ref="J74">_xlfn.IFS(Table1[[#This Row],[Tier]]="Basic",10,Table1[[#This Row],[Tier]]="Standard",18,Table1[[#This Row],[Tier]]="Premium",25)</f>
        <v>25</v>
      </c>
      <c r="K74" s="7" cm="1">
        <f t="array" ref="K7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4" s="7" cm="1">
        <f t="array" ref="L7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4" s="3" t="str" cm="1">
        <f t="array" ref="M74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4" s="3" t="s">
        <v>34</v>
      </c>
      <c r="O74" s="3" t="s">
        <v>43</v>
      </c>
      <c r="P74" s="3" t="s">
        <v>47</v>
      </c>
      <c r="Q74" s="3" t="str" cm="1">
        <f t="array" ref="Q74">_xlfn.IFS(Table1[[#This Row],[TotalRevenue]]&lt;100,"Low",Table1[[#This Row],[TotalRevenue]]&lt;300,"Medium",Table1[[#This Row],[TotalRevenue]]&lt;600,"High",TRUE,"Very High")</f>
        <v>Medium</v>
      </c>
      <c r="R74" s="3" t="str" cm="1">
        <f t="array" ref="R7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4" s="3" t="str">
        <f>IF(Table1[[#This Row],[NextBillingDate]]="","Cancelled",IF(Table1[[#This Row],[CancellationDate]]&lt;&gt;"","Cancelled","Active"))</f>
        <v>Cancelled</v>
      </c>
      <c r="T74" s="7" cm="1">
        <f t="array" ref="T7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4" s="5">
        <v>45004</v>
      </c>
      <c r="W74" s="5">
        <v>45004</v>
      </c>
      <c r="X74" s="3">
        <v>0</v>
      </c>
      <c r="Y74" s="5">
        <f ca="1">IF(Table1[[#This Row],[ChurnStatus]]="Cancelled",Table1[[#This Row],[CancellationDate]],TODAY())</f>
        <v>45004</v>
      </c>
      <c r="Z74" s="46">
        <f ca="1">IF(AND(Table1[[#This Row],[SubscriptionStart]] &lt;= TODAY(), Table1[[#This Row],[EffectiveEndDate]] &gt;= TODAY()),1,0)</f>
        <v>0</v>
      </c>
      <c r="AA74" s="46">
        <f ca="1">IF(AND(Table1[[#This Row],[SubscriptionStart]]&lt;=Settings!$A$2,Table1[[#This Row],[EffectiveEndDate]]&gt;=Settings!$A$2),1,0)</f>
        <v>0</v>
      </c>
      <c r="AB74" s="46">
        <f ca="1">IF(AND(Table1[[#This Row],[SubscriptionStart]]&lt;=Settings!$B$2,Table1[[#This Row],[EffectiveEndDate]]&gt;=Settings!$B$2),1,0)</f>
        <v>1</v>
      </c>
      <c r="AC74" s="46">
        <f ca="1">IF(AND(Table1[[#This Row],[SubscriptionStart]]&lt;=Settings!$C$2,Table1[[#This Row],[EffectiveEndDate]]&gt;=Settings!$C$2),1,0)</f>
        <v>1</v>
      </c>
      <c r="AD74" s="46">
        <f ca="1">IF(AND(Table1[[#This Row],[SubscriptionStart]]&lt;=Settings!$D$2,Table1[[#This Row],[EffectiveEndDate]]&gt;=Settings!$D$2),1,0)</f>
        <v>0</v>
      </c>
      <c r="AE74" s="46">
        <f ca="1">IF(AND(Table1[[#This Row],[SubscriptionStart]]&lt;=Settings!$E$2,Table1[[#This Row],[EffectiveEndDate]]&gt;=Settings!$E$2),1,0)</f>
        <v>0</v>
      </c>
      <c r="AF74"/>
      <c r="AG74"/>
      <c r="AH74"/>
      <c r="AI74"/>
      <c r="AJ74"/>
      <c r="AK74"/>
    </row>
    <row r="75" spans="1:37">
      <c r="A75" s="3" t="s">
        <v>268</v>
      </c>
      <c r="B75" s="3">
        <v>56</v>
      </c>
      <c r="C75" s="3" t="s">
        <v>37</v>
      </c>
      <c r="D75" s="5">
        <v>44645</v>
      </c>
      <c r="E75" s="5">
        <v>44825</v>
      </c>
      <c r="F75" s="3">
        <f ca="1">TODAY() - Table1[[#This Row],[SubscriptionStart]]</f>
        <v>1336</v>
      </c>
      <c r="G75" s="4">
        <v>6</v>
      </c>
      <c r="H75" s="3" t="s">
        <v>38</v>
      </c>
      <c r="I75" s="3" t="s">
        <v>30</v>
      </c>
      <c r="J75" s="7" cm="1">
        <f t="array" ref="J75">_xlfn.IFS(Table1[[#This Row],[Tier]]="Basic",10,Table1[[#This Row],[Tier]]="Standard",18,Table1[[#This Row],[Tier]]="Premium",25)</f>
        <v>10</v>
      </c>
      <c r="K75" s="7" cm="1">
        <f t="array" ref="K7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75" s="7" cm="1">
        <f t="array" ref="L7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75" s="3" t="str" cm="1">
        <f t="array" ref="M75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5" s="3" t="s">
        <v>52</v>
      </c>
      <c r="O75" s="3" t="s">
        <v>40</v>
      </c>
      <c r="P75" s="3" t="s">
        <v>35</v>
      </c>
      <c r="Q75" s="3" t="str" cm="1">
        <f t="array" ref="Q75">_xlfn.IFS(Table1[[#This Row],[TotalRevenue]]&lt;100,"Low",Table1[[#This Row],[TotalRevenue]]&lt;300,"Medium",Table1[[#This Row],[TotalRevenue]]&lt;600,"High",TRUE,"Very High")</f>
        <v>Low</v>
      </c>
      <c r="R75" s="3" t="str" cm="1">
        <f t="array" ref="R7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5" s="3" t="str">
        <f>IF(Table1[[#This Row],[NextBillingDate]]="","Cancelled",IF(Table1[[#This Row],[CancellationDate]]&lt;&gt;"","Cancelled","Active"))</f>
        <v>Cancelled</v>
      </c>
      <c r="T75" s="7" cm="1">
        <f t="array" ref="T7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75" s="5">
        <v>44825</v>
      </c>
      <c r="W75" s="5">
        <v>44825</v>
      </c>
      <c r="X75" s="3">
        <v>0</v>
      </c>
      <c r="Y75" s="5">
        <f ca="1">IF(Table1[[#This Row],[ChurnStatus]]="Cancelled",Table1[[#This Row],[CancellationDate]],TODAY())</f>
        <v>44825</v>
      </c>
      <c r="Z75" s="46">
        <f ca="1">IF(AND(Table1[[#This Row],[SubscriptionStart]] &lt;= TODAY(), Table1[[#This Row],[EffectiveEndDate]] &gt;= TODAY()),1,0)</f>
        <v>0</v>
      </c>
      <c r="AA75" s="46">
        <f ca="1">IF(AND(Table1[[#This Row],[SubscriptionStart]]&lt;=Settings!$A$2,Table1[[#This Row],[EffectiveEndDate]]&gt;=Settings!$A$2),1,0)</f>
        <v>0</v>
      </c>
      <c r="AB75" s="46">
        <f ca="1">IF(AND(Table1[[#This Row],[SubscriptionStart]]&lt;=Settings!$B$2,Table1[[#This Row],[EffectiveEndDate]]&gt;=Settings!$B$2),1,0)</f>
        <v>1</v>
      </c>
      <c r="AC75" s="46">
        <f ca="1">IF(AND(Table1[[#This Row],[SubscriptionStart]]&lt;=Settings!$C$2,Table1[[#This Row],[EffectiveEndDate]]&gt;=Settings!$C$2),1,0)</f>
        <v>0</v>
      </c>
      <c r="AD75" s="46">
        <f ca="1">IF(AND(Table1[[#This Row],[SubscriptionStart]]&lt;=Settings!$D$2,Table1[[#This Row],[EffectiveEndDate]]&gt;=Settings!$D$2),1,0)</f>
        <v>0</v>
      </c>
      <c r="AE75" s="46">
        <f ca="1">IF(AND(Table1[[#This Row],[SubscriptionStart]]&lt;=Settings!$E$2,Table1[[#This Row],[EffectiveEndDate]]&gt;=Settings!$E$2),1,0)</f>
        <v>0</v>
      </c>
      <c r="AF75"/>
      <c r="AG75"/>
      <c r="AH75"/>
      <c r="AI75"/>
      <c r="AJ75"/>
      <c r="AK75"/>
    </row>
    <row r="76" spans="1:37">
      <c r="A76" s="3" t="s">
        <v>66</v>
      </c>
      <c r="B76" s="3">
        <v>55</v>
      </c>
      <c r="C76" s="3" t="s">
        <v>37</v>
      </c>
      <c r="D76" s="5">
        <v>44645</v>
      </c>
      <c r="F76" s="3">
        <f ca="1">TODAY() - Table1[[#This Row],[SubscriptionStart]]</f>
        <v>1336</v>
      </c>
      <c r="G76" s="4">
        <v>48</v>
      </c>
      <c r="H76" s="3" t="s">
        <v>24</v>
      </c>
      <c r="I76" s="3" t="s">
        <v>39</v>
      </c>
      <c r="J76" s="7" cm="1">
        <f t="array" ref="J76">_xlfn.IFS(Table1[[#This Row],[Tier]]="Basic",10,Table1[[#This Row],[Tier]]="Standard",18,Table1[[#This Row],[Tier]]="Premium",25)</f>
        <v>18</v>
      </c>
      <c r="K76" s="7" cm="1">
        <f t="array" ref="K7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76" s="7" cm="1">
        <f t="array" ref="L7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561.6</v>
      </c>
      <c r="M76" s="3" t="str" cm="1">
        <f t="array" ref="M76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6" s="3" t="s">
        <v>34</v>
      </c>
      <c r="O76" s="3" t="s">
        <v>43</v>
      </c>
      <c r="Q76" s="3" t="str" cm="1">
        <f t="array" ref="Q76">_xlfn.IFS(Table1[[#This Row],[TotalRevenue]]&lt;100,"Low",Table1[[#This Row],[TotalRevenue]]&lt;300,"Medium",Table1[[#This Row],[TotalRevenue]]&lt;600,"High",TRUE,"Very High")</f>
        <v>High</v>
      </c>
      <c r="R76" s="3" t="str" cm="1">
        <f t="array" ref="R7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6" s="3" t="str">
        <f>IF(Table1[[#This Row],[NextBillingDate]]="","Cancelled",IF(Table1[[#This Row],[CancellationDate]]&lt;&gt;"","Cancelled","Active"))</f>
        <v>Active</v>
      </c>
      <c r="T76" s="7" cm="1">
        <f t="array" ref="T7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705.6</v>
      </c>
      <c r="V76" s="5">
        <v>46085</v>
      </c>
      <c r="W76" s="5">
        <v>46085</v>
      </c>
      <c r="X76" s="3">
        <v>3</v>
      </c>
      <c r="Y76" s="5">
        <f ca="1">IF(Table1[[#This Row],[ChurnStatus]]="Cancelled",Table1[[#This Row],[CancellationDate]],TODAY())</f>
        <v>45981</v>
      </c>
      <c r="Z76" s="46">
        <f ca="1">IF(AND(Table1[[#This Row],[SubscriptionStart]] &lt;= TODAY(), Table1[[#This Row],[EffectiveEndDate]] &gt;= TODAY()),1,0)</f>
        <v>1</v>
      </c>
      <c r="AA76" s="46">
        <f ca="1">IF(AND(Table1[[#This Row],[SubscriptionStart]]&lt;=Settings!$A$2,Table1[[#This Row],[EffectiveEndDate]]&gt;=Settings!$A$2),1,0)</f>
        <v>0</v>
      </c>
      <c r="AB76" s="46">
        <f ca="1">IF(AND(Table1[[#This Row],[SubscriptionStart]]&lt;=Settings!$B$2,Table1[[#This Row],[EffectiveEndDate]]&gt;=Settings!$B$2),1,0)</f>
        <v>1</v>
      </c>
      <c r="AC76" s="46">
        <f ca="1">IF(AND(Table1[[#This Row],[SubscriptionStart]]&lt;=Settings!$C$2,Table1[[#This Row],[EffectiveEndDate]]&gt;=Settings!$C$2),1,0)</f>
        <v>1</v>
      </c>
      <c r="AD76" s="46">
        <f ca="1">IF(AND(Table1[[#This Row],[SubscriptionStart]]&lt;=Settings!$D$2,Table1[[#This Row],[EffectiveEndDate]]&gt;=Settings!$D$2),1,0)</f>
        <v>1</v>
      </c>
      <c r="AE76" s="46">
        <f ca="1">IF(AND(Table1[[#This Row],[SubscriptionStart]]&lt;=Settings!$E$2,Table1[[#This Row],[EffectiveEndDate]]&gt;=Settings!$E$2),1,0)</f>
        <v>1</v>
      </c>
      <c r="AF76"/>
      <c r="AG76"/>
      <c r="AH76"/>
      <c r="AI76"/>
      <c r="AJ76"/>
      <c r="AK76"/>
    </row>
    <row r="77" spans="1:37">
      <c r="A77" s="3" t="s">
        <v>690</v>
      </c>
      <c r="B77" s="3">
        <v>46</v>
      </c>
      <c r="C77" s="3" t="s">
        <v>37</v>
      </c>
      <c r="D77" s="5">
        <v>44646</v>
      </c>
      <c r="E77" s="5">
        <v>45006</v>
      </c>
      <c r="F77" s="3">
        <f ca="1">TODAY() - Table1[[#This Row],[SubscriptionStart]]</f>
        <v>1335</v>
      </c>
      <c r="G77" s="4">
        <v>12</v>
      </c>
      <c r="H77" s="3" t="s">
        <v>24</v>
      </c>
      <c r="I77" s="3" t="s">
        <v>30</v>
      </c>
      <c r="J77" s="7" cm="1">
        <f t="array" ref="J77">_xlfn.IFS(Table1[[#This Row],[Tier]]="Basic",10,Table1[[#This Row],[Tier]]="Standard",18,Table1[[#This Row],[Tier]]="Premium",25)</f>
        <v>10</v>
      </c>
      <c r="K77" s="7" cm="1">
        <f t="array" ref="K7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7" s="7" cm="1">
        <f t="array" ref="L7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7" s="3" t="str" cm="1">
        <f t="array" ref="M7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7" s="3" t="s">
        <v>34</v>
      </c>
      <c r="O77" s="3" t="s">
        <v>32</v>
      </c>
      <c r="P77" s="3" t="s">
        <v>44</v>
      </c>
      <c r="Q77" s="3" t="str" cm="1">
        <f t="array" ref="Q77">_xlfn.IFS(Table1[[#This Row],[TotalRevenue]]&lt;100,"Low",Table1[[#This Row],[TotalRevenue]]&lt;300,"Medium",Table1[[#This Row],[TotalRevenue]]&lt;600,"High",TRUE,"Very High")</f>
        <v>Low</v>
      </c>
      <c r="R77" s="3" t="str" cm="1">
        <f t="array" ref="R7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7" s="3" t="str">
        <f>IF(Table1[[#This Row],[NextBillingDate]]="","Cancelled",IF(Table1[[#This Row],[CancellationDate]]&lt;&gt;"","Cancelled","Active"))</f>
        <v>Cancelled</v>
      </c>
      <c r="T77" s="7" cm="1">
        <f t="array" ref="T7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7" s="5">
        <v>45006</v>
      </c>
      <c r="W77" s="5">
        <v>45006</v>
      </c>
      <c r="X77" s="3">
        <v>0</v>
      </c>
      <c r="Y77" s="5">
        <f ca="1">IF(Table1[[#This Row],[ChurnStatus]]="Cancelled",Table1[[#This Row],[CancellationDate]],TODAY())</f>
        <v>45006</v>
      </c>
      <c r="Z77" s="46">
        <f ca="1">IF(AND(Table1[[#This Row],[SubscriptionStart]] &lt;= TODAY(), Table1[[#This Row],[EffectiveEndDate]] &gt;= TODAY()),1,0)</f>
        <v>0</v>
      </c>
      <c r="AA77" s="46">
        <f ca="1">IF(AND(Table1[[#This Row],[SubscriptionStart]]&lt;=Settings!$A$2,Table1[[#This Row],[EffectiveEndDate]]&gt;=Settings!$A$2),1,0)</f>
        <v>0</v>
      </c>
      <c r="AB77" s="46">
        <f ca="1">IF(AND(Table1[[#This Row],[SubscriptionStart]]&lt;=Settings!$B$2,Table1[[#This Row],[EffectiveEndDate]]&gt;=Settings!$B$2),1,0)</f>
        <v>1</v>
      </c>
      <c r="AC77" s="46">
        <f ca="1">IF(AND(Table1[[#This Row],[SubscriptionStart]]&lt;=Settings!$C$2,Table1[[#This Row],[EffectiveEndDate]]&gt;=Settings!$C$2),1,0)</f>
        <v>1</v>
      </c>
      <c r="AD77" s="46">
        <f ca="1">IF(AND(Table1[[#This Row],[SubscriptionStart]]&lt;=Settings!$D$2,Table1[[#This Row],[EffectiveEndDate]]&gt;=Settings!$D$2),1,0)</f>
        <v>0</v>
      </c>
      <c r="AE77" s="46">
        <f ca="1">IF(AND(Table1[[#This Row],[SubscriptionStart]]&lt;=Settings!$E$2,Table1[[#This Row],[EffectiveEndDate]]&gt;=Settings!$E$2),1,0)</f>
        <v>0</v>
      </c>
      <c r="AF77"/>
      <c r="AG77"/>
      <c r="AH77"/>
      <c r="AI77"/>
      <c r="AJ77"/>
      <c r="AK77"/>
    </row>
    <row r="78" spans="1:37">
      <c r="A78" s="3" t="s">
        <v>803</v>
      </c>
      <c r="B78" s="3">
        <v>59</v>
      </c>
      <c r="C78" s="3" t="s">
        <v>23</v>
      </c>
      <c r="D78" s="5">
        <v>44646</v>
      </c>
      <c r="E78" s="5">
        <v>45006</v>
      </c>
      <c r="F78" s="3">
        <f ca="1">TODAY() - Table1[[#This Row],[SubscriptionStart]]</f>
        <v>1335</v>
      </c>
      <c r="G78" s="4">
        <v>12</v>
      </c>
      <c r="H78" s="3" t="s">
        <v>24</v>
      </c>
      <c r="I78" s="3" t="s">
        <v>25</v>
      </c>
      <c r="J78" s="7" cm="1">
        <f t="array" ref="J78">_xlfn.IFS(Table1[[#This Row],[Tier]]="Basic",10,Table1[[#This Row],[Tier]]="Standard",18,Table1[[#This Row],[Tier]]="Premium",25)</f>
        <v>25</v>
      </c>
      <c r="K78" s="7" cm="1">
        <f t="array" ref="K7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8" s="7" cm="1">
        <f t="array" ref="L7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8" s="3" t="str" cm="1">
        <f t="array" ref="M7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8" s="3" t="s">
        <v>34</v>
      </c>
      <c r="O78" s="3" t="s">
        <v>43</v>
      </c>
      <c r="P78" s="3" t="s">
        <v>50</v>
      </c>
      <c r="Q78" s="3" t="str" cm="1">
        <f t="array" ref="Q78">_xlfn.IFS(Table1[[#This Row],[TotalRevenue]]&lt;100,"Low",Table1[[#This Row],[TotalRevenue]]&lt;300,"Medium",Table1[[#This Row],[TotalRevenue]]&lt;600,"High",TRUE,"Very High")</f>
        <v>Medium</v>
      </c>
      <c r="R78" s="3" t="str" cm="1">
        <f t="array" ref="R7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8" s="3" t="str">
        <f>IF(Table1[[#This Row],[NextBillingDate]]="","Cancelled",IF(Table1[[#This Row],[CancellationDate]]&lt;&gt;"","Cancelled","Active"))</f>
        <v>Cancelled</v>
      </c>
      <c r="T78" s="7" cm="1">
        <f t="array" ref="T7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8" s="5">
        <v>45006</v>
      </c>
      <c r="W78" s="5">
        <v>45006</v>
      </c>
      <c r="X78" s="3">
        <v>0</v>
      </c>
      <c r="Y78" s="5">
        <f ca="1">IF(Table1[[#This Row],[ChurnStatus]]="Cancelled",Table1[[#This Row],[CancellationDate]],TODAY())</f>
        <v>45006</v>
      </c>
      <c r="Z78" s="46">
        <f ca="1">IF(AND(Table1[[#This Row],[SubscriptionStart]] &lt;= TODAY(), Table1[[#This Row],[EffectiveEndDate]] &gt;= TODAY()),1,0)</f>
        <v>0</v>
      </c>
      <c r="AA78" s="46">
        <f ca="1">IF(AND(Table1[[#This Row],[SubscriptionStart]]&lt;=Settings!$A$2,Table1[[#This Row],[EffectiveEndDate]]&gt;=Settings!$A$2),1,0)</f>
        <v>0</v>
      </c>
      <c r="AB78" s="46">
        <f ca="1">IF(AND(Table1[[#This Row],[SubscriptionStart]]&lt;=Settings!$B$2,Table1[[#This Row],[EffectiveEndDate]]&gt;=Settings!$B$2),1,0)</f>
        <v>1</v>
      </c>
      <c r="AC78" s="46">
        <f ca="1">IF(AND(Table1[[#This Row],[SubscriptionStart]]&lt;=Settings!$C$2,Table1[[#This Row],[EffectiveEndDate]]&gt;=Settings!$C$2),1,0)</f>
        <v>1</v>
      </c>
      <c r="AD78" s="46">
        <f ca="1">IF(AND(Table1[[#This Row],[SubscriptionStart]]&lt;=Settings!$D$2,Table1[[#This Row],[EffectiveEndDate]]&gt;=Settings!$D$2),1,0)</f>
        <v>0</v>
      </c>
      <c r="AE78" s="46">
        <f ca="1">IF(AND(Table1[[#This Row],[SubscriptionStart]]&lt;=Settings!$E$2,Table1[[#This Row],[EffectiveEndDate]]&gt;=Settings!$E$2),1,0)</f>
        <v>0</v>
      </c>
      <c r="AF78"/>
      <c r="AG78"/>
      <c r="AH78"/>
      <c r="AI78"/>
      <c r="AJ78"/>
      <c r="AK78"/>
    </row>
    <row r="79" spans="1:37">
      <c r="A79" s="3" t="s">
        <v>533</v>
      </c>
      <c r="B79" s="3">
        <v>52</v>
      </c>
      <c r="C79" s="3" t="s">
        <v>37</v>
      </c>
      <c r="D79" s="5">
        <v>44647</v>
      </c>
      <c r="F79" s="3">
        <f ca="1">TODAY() - Table1[[#This Row],[SubscriptionStart]]</f>
        <v>1334</v>
      </c>
      <c r="G79" s="4">
        <v>45</v>
      </c>
      <c r="H79" s="3" t="s">
        <v>29</v>
      </c>
      <c r="I79" s="3" t="s">
        <v>25</v>
      </c>
      <c r="J79" s="7" cm="1">
        <f t="array" ref="J79">_xlfn.IFS(Table1[[#This Row],[Tier]]="Basic",10,Table1[[#This Row],[Tier]]="Standard",18,Table1[[#This Row],[Tier]]="Premium",25)</f>
        <v>25</v>
      </c>
      <c r="K79" s="7" cm="1">
        <f t="array" ref="K7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79" s="7" cm="1">
        <f t="array" ref="L7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1072.5</v>
      </c>
      <c r="M79" s="3" t="str" cm="1">
        <f t="array" ref="M79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9" s="3" t="s">
        <v>34</v>
      </c>
      <c r="O79" s="3" t="s">
        <v>27</v>
      </c>
      <c r="Q79" s="3" t="str" cm="1">
        <f t="array" ref="Q79">_xlfn.IFS(Table1[[#This Row],[TotalRevenue]]&lt;100,"Low",Table1[[#This Row],[TotalRevenue]]&lt;300,"Medium",Table1[[#This Row],[TotalRevenue]]&lt;600,"High",TRUE,"Very High")</f>
        <v>Very High</v>
      </c>
      <c r="R79" s="3" t="str" cm="1">
        <f t="array" ref="R7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9" s="3" t="str">
        <f>IF(Table1[[#This Row],[NextBillingDate]]="","Cancelled",IF(Table1[[#This Row],[CancellationDate]]&lt;&gt;"","Cancelled","Active"))</f>
        <v>Active</v>
      </c>
      <c r="T79" s="7" cm="1">
        <f t="array" ref="T7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1097.5</v>
      </c>
      <c r="V79" s="5">
        <v>45997</v>
      </c>
      <c r="W79" s="5">
        <v>45997</v>
      </c>
      <c r="X79" s="3">
        <v>44</v>
      </c>
      <c r="Y79" s="5">
        <f ca="1">IF(Table1[[#This Row],[ChurnStatus]]="Cancelled",Table1[[#This Row],[CancellationDate]],TODAY())</f>
        <v>45981</v>
      </c>
      <c r="Z79" s="46">
        <f ca="1">IF(AND(Table1[[#This Row],[SubscriptionStart]] &lt;= TODAY(), Table1[[#This Row],[EffectiveEndDate]] &gt;= TODAY()),1,0)</f>
        <v>1</v>
      </c>
      <c r="AA79" s="46">
        <f ca="1">IF(AND(Table1[[#This Row],[SubscriptionStart]]&lt;=Settings!$A$2,Table1[[#This Row],[EffectiveEndDate]]&gt;=Settings!$A$2),1,0)</f>
        <v>0</v>
      </c>
      <c r="AB79" s="46">
        <f ca="1">IF(AND(Table1[[#This Row],[SubscriptionStart]]&lt;=Settings!$B$2,Table1[[#This Row],[EffectiveEndDate]]&gt;=Settings!$B$2),1,0)</f>
        <v>1</v>
      </c>
      <c r="AC79" s="46">
        <f ca="1">IF(AND(Table1[[#This Row],[SubscriptionStart]]&lt;=Settings!$C$2,Table1[[#This Row],[EffectiveEndDate]]&gt;=Settings!$C$2),1,0)</f>
        <v>1</v>
      </c>
      <c r="AD79" s="46">
        <f ca="1">IF(AND(Table1[[#This Row],[SubscriptionStart]]&lt;=Settings!$D$2,Table1[[#This Row],[EffectiveEndDate]]&gt;=Settings!$D$2),1,0)</f>
        <v>1</v>
      </c>
      <c r="AE79" s="46">
        <f ca="1">IF(AND(Table1[[#This Row],[SubscriptionStart]]&lt;=Settings!$E$2,Table1[[#This Row],[EffectiveEndDate]]&gt;=Settings!$E$2),1,0)</f>
        <v>1</v>
      </c>
      <c r="AF79"/>
      <c r="AG79"/>
      <c r="AH79"/>
      <c r="AI79"/>
      <c r="AJ79"/>
      <c r="AK79"/>
    </row>
    <row r="80" spans="1:37">
      <c r="A80" s="3" t="s">
        <v>264</v>
      </c>
      <c r="B80" s="3">
        <v>18</v>
      </c>
      <c r="C80" s="3" t="s">
        <v>37</v>
      </c>
      <c r="D80" s="5">
        <v>44648</v>
      </c>
      <c r="E80" s="5">
        <v>45008</v>
      </c>
      <c r="F80" s="3">
        <f ca="1">TODAY() - Table1[[#This Row],[SubscriptionStart]]</f>
        <v>1333</v>
      </c>
      <c r="G80" s="4">
        <v>12</v>
      </c>
      <c r="H80" s="3" t="s">
        <v>24</v>
      </c>
      <c r="I80" s="3" t="s">
        <v>25</v>
      </c>
      <c r="J80" s="7" cm="1">
        <f t="array" ref="J80">_xlfn.IFS(Table1[[#This Row],[Tier]]="Basic",10,Table1[[#This Row],[Tier]]="Standard",18,Table1[[#This Row],[Tier]]="Premium",25)</f>
        <v>25</v>
      </c>
      <c r="K80" s="7" cm="1">
        <f t="array" ref="K8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80" s="7" cm="1">
        <f t="array" ref="L8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80" s="3" t="str" cm="1">
        <f t="array" ref="M80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80" s="3" t="s">
        <v>34</v>
      </c>
      <c r="O80" s="3" t="s">
        <v>49</v>
      </c>
      <c r="P80" s="3" t="s">
        <v>35</v>
      </c>
      <c r="Q80" s="3" t="str" cm="1">
        <f t="array" ref="Q80">_xlfn.IFS(Table1[[#This Row],[TotalRevenue]]&lt;100,"Low",Table1[[#This Row],[TotalRevenue]]&lt;300,"Medium",Table1[[#This Row],[TotalRevenue]]&lt;600,"High",TRUE,"Very High")</f>
        <v>Medium</v>
      </c>
      <c r="R80" s="3" t="str" cm="1">
        <f t="array" ref="R80">_xlfn.IFS(Table1[[#This Row],[Age]]&gt;69,"Elderly",Table1[[#This Row],[Age]]&gt;59,"Mature Adult",Table1[[#This Row],[Age]]&gt;25,"Adult",Table1[[#This Row],[Age]]&gt;18,"Young Adult",Table1[[#This Row],[Age]]&gt;=12,"Teenager")</f>
        <v>Teenager</v>
      </c>
      <c r="S80" s="3" t="str">
        <f>IF(Table1[[#This Row],[NextBillingDate]]="","Cancelled",IF(Table1[[#This Row],[CancellationDate]]&lt;&gt;"","Cancelled","Active"))</f>
        <v>Cancelled</v>
      </c>
      <c r="T80" s="7" cm="1">
        <f t="array" ref="T8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80" s="5">
        <v>45008</v>
      </c>
      <c r="W80" s="5">
        <v>45008</v>
      </c>
      <c r="X80" s="3">
        <v>0</v>
      </c>
      <c r="Y80" s="5">
        <f ca="1">IF(Table1[[#This Row],[ChurnStatus]]="Cancelled",Table1[[#This Row],[CancellationDate]],TODAY())</f>
        <v>45008</v>
      </c>
      <c r="Z80" s="46">
        <f ca="1">IF(AND(Table1[[#This Row],[SubscriptionStart]] &lt;= TODAY(), Table1[[#This Row],[EffectiveEndDate]] &gt;= TODAY()),1,0)</f>
        <v>0</v>
      </c>
      <c r="AA80" s="46">
        <f ca="1">IF(AND(Table1[[#This Row],[SubscriptionStart]]&lt;=Settings!$A$2,Table1[[#This Row],[EffectiveEndDate]]&gt;=Settings!$A$2),1,0)</f>
        <v>0</v>
      </c>
      <c r="AB80" s="46">
        <f ca="1">IF(AND(Table1[[#This Row],[SubscriptionStart]]&lt;=Settings!$B$2,Table1[[#This Row],[EffectiveEndDate]]&gt;=Settings!$B$2),1,0)</f>
        <v>1</v>
      </c>
      <c r="AC80" s="46">
        <f ca="1">IF(AND(Table1[[#This Row],[SubscriptionStart]]&lt;=Settings!$C$2,Table1[[#This Row],[EffectiveEndDate]]&gt;=Settings!$C$2),1,0)</f>
        <v>1</v>
      </c>
      <c r="AD80" s="46">
        <f ca="1">IF(AND(Table1[[#This Row],[SubscriptionStart]]&lt;=Settings!$D$2,Table1[[#This Row],[EffectiveEndDate]]&gt;=Settings!$D$2),1,0)</f>
        <v>0</v>
      </c>
      <c r="AE80" s="46">
        <f ca="1">IF(AND(Table1[[#This Row],[SubscriptionStart]]&lt;=Settings!$E$2,Table1[[#This Row],[EffectiveEndDate]]&gt;=Settings!$E$2),1,0)</f>
        <v>0</v>
      </c>
      <c r="AF80"/>
      <c r="AG80"/>
      <c r="AH80"/>
      <c r="AI80"/>
      <c r="AJ80"/>
      <c r="AK80"/>
    </row>
    <row r="81" spans="1:37">
      <c r="A81" s="3" t="s">
        <v>439</v>
      </c>
      <c r="B81" s="3">
        <v>61</v>
      </c>
      <c r="C81" s="3" t="s">
        <v>23</v>
      </c>
      <c r="D81" s="5">
        <v>44648</v>
      </c>
      <c r="E81" s="5">
        <v>45008</v>
      </c>
      <c r="F81" s="3">
        <f ca="1">TODAY() - Table1[[#This Row],[SubscriptionStart]]</f>
        <v>1333</v>
      </c>
      <c r="G81" s="4">
        <v>12</v>
      </c>
      <c r="H81" s="3" t="s">
        <v>24</v>
      </c>
      <c r="I81" s="3" t="s">
        <v>25</v>
      </c>
      <c r="J81" s="7" cm="1">
        <f t="array" ref="J81">_xlfn.IFS(Table1[[#This Row],[Tier]]="Basic",10,Table1[[#This Row],[Tier]]="Standard",18,Table1[[#This Row],[Tier]]="Premium",25)</f>
        <v>25</v>
      </c>
      <c r="K81" s="7" cm="1">
        <f t="array" ref="K8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81" s="7" cm="1">
        <f t="array" ref="L8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81" s="3" t="str" cm="1">
        <f t="array" ref="M81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81" s="3" t="s">
        <v>34</v>
      </c>
      <c r="O81" s="3" t="s">
        <v>40</v>
      </c>
      <c r="P81" s="3" t="s">
        <v>41</v>
      </c>
      <c r="Q81" s="3" t="str" cm="1">
        <f t="array" ref="Q81">_xlfn.IFS(Table1[[#This Row],[TotalRevenue]]&lt;100,"Low",Table1[[#This Row],[TotalRevenue]]&lt;300,"Medium",Table1[[#This Row],[TotalRevenue]]&lt;600,"High",TRUE,"Very High")</f>
        <v>Medium</v>
      </c>
      <c r="R81" s="3" t="str" cm="1">
        <f t="array" ref="R81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81" s="3" t="str">
        <f>IF(Table1[[#This Row],[NextBillingDate]]="","Cancelled",IF(Table1[[#This Row],[CancellationDate]]&lt;&gt;"","Cancelled","Active"))</f>
        <v>Cancelled</v>
      </c>
      <c r="T81" s="7" cm="1">
        <f t="array" ref="T8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81" s="5">
        <v>45008</v>
      </c>
      <c r="W81" s="5">
        <v>45008</v>
      </c>
      <c r="X81" s="3">
        <v>0</v>
      </c>
      <c r="Y81" s="5">
        <f ca="1">IF(Table1[[#This Row],[ChurnStatus]]="Cancelled",Table1[[#This Row],[CancellationDate]],TODAY())</f>
        <v>45008</v>
      </c>
      <c r="Z81" s="46">
        <f ca="1">IF(AND(Table1[[#This Row],[SubscriptionStart]] &lt;= TODAY(), Table1[[#This Row],[EffectiveEndDate]] &gt;= TODAY()),1,0)</f>
        <v>0</v>
      </c>
      <c r="AA81" s="46">
        <f ca="1">IF(AND(Table1[[#This Row],[SubscriptionStart]]&lt;=Settings!$A$2,Table1[[#This Row],[EffectiveEndDate]]&gt;=Settings!$A$2),1,0)</f>
        <v>0</v>
      </c>
      <c r="AB81" s="46">
        <f ca="1">IF(AND(Table1[[#This Row],[SubscriptionStart]]&lt;=Settings!$B$2,Table1[[#This Row],[EffectiveEndDate]]&gt;=Settings!$B$2),1,0)</f>
        <v>1</v>
      </c>
      <c r="AC81" s="46">
        <f ca="1">IF(AND(Table1[[#This Row],[SubscriptionStart]]&lt;=Settings!$C$2,Table1[[#This Row],[EffectiveEndDate]]&gt;=Settings!$C$2),1,0)</f>
        <v>1</v>
      </c>
      <c r="AD81" s="46">
        <f ca="1">IF(AND(Table1[[#This Row],[SubscriptionStart]]&lt;=Settings!$D$2,Table1[[#This Row],[EffectiveEndDate]]&gt;=Settings!$D$2),1,0)</f>
        <v>0</v>
      </c>
      <c r="AE81" s="46">
        <f ca="1">IF(AND(Table1[[#This Row],[SubscriptionStart]]&lt;=Settings!$E$2,Table1[[#This Row],[EffectiveEndDate]]&gt;=Settings!$E$2),1,0)</f>
        <v>0</v>
      </c>
      <c r="AF81"/>
      <c r="AG81"/>
      <c r="AH81"/>
      <c r="AI81"/>
      <c r="AJ81"/>
      <c r="AK81"/>
    </row>
    <row r="82" spans="1:37">
      <c r="A82" s="3" t="s">
        <v>673</v>
      </c>
      <c r="B82" s="3">
        <v>48</v>
      </c>
      <c r="C82" s="3" t="s">
        <v>37</v>
      </c>
      <c r="D82" s="5">
        <v>44648</v>
      </c>
      <c r="E82" s="5">
        <v>45008</v>
      </c>
      <c r="F82" s="3">
        <f ca="1">TODAY() - Table1[[#This Row],[SubscriptionStart]]</f>
        <v>1333</v>
      </c>
      <c r="G82" s="4">
        <v>12</v>
      </c>
      <c r="H82" s="3" t="s">
        <v>24</v>
      </c>
      <c r="I82" s="3" t="s">
        <v>30</v>
      </c>
      <c r="J82" s="7" cm="1">
        <f t="array" ref="J82">_xlfn.IFS(Table1[[#This Row],[Tier]]="Basic",10,Table1[[#This Row],[Tier]]="Standard",18,Table1[[#This Row],[Tier]]="Premium",25)</f>
        <v>10</v>
      </c>
      <c r="K82" s="7" cm="1">
        <f t="array" ref="K8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82" s="7" cm="1">
        <f t="array" ref="L8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82" s="3" t="str" cm="1">
        <f t="array" ref="M8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82" s="3" t="s">
        <v>31</v>
      </c>
      <c r="O82" s="3" t="s">
        <v>49</v>
      </c>
      <c r="P82" s="3" t="s">
        <v>35</v>
      </c>
      <c r="Q82" s="3" t="str" cm="1">
        <f t="array" ref="Q82">_xlfn.IFS(Table1[[#This Row],[TotalRevenue]]&lt;100,"Low",Table1[[#This Row],[TotalRevenue]]&lt;300,"Medium",Table1[[#This Row],[TotalRevenue]]&lt;600,"High",TRUE,"Very High")</f>
        <v>Low</v>
      </c>
      <c r="R82" s="3" t="str" cm="1">
        <f t="array" ref="R8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82" s="3" t="str">
        <f>IF(Table1[[#This Row],[NextBillingDate]]="","Cancelled",IF(Table1[[#This Row],[CancellationDate]]&lt;&gt;"","Cancelled","Active"))</f>
        <v>Cancelled</v>
      </c>
      <c r="T82" s="7" cm="1">
        <f t="array" ref="T8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82" s="5">
        <v>45008</v>
      </c>
      <c r="W82" s="5">
        <v>45008</v>
      </c>
      <c r="X82" s="3">
        <v>0</v>
      </c>
      <c r="Y82" s="5">
        <f ca="1">IF(Table1[[#This Row],[ChurnStatus]]="Cancelled",Table1[[#This Row],[CancellationDate]],TODAY())</f>
        <v>45008</v>
      </c>
      <c r="Z82" s="46">
        <f ca="1">IF(AND(Table1[[#This Row],[SubscriptionStart]] &lt;= TODAY(), Table1[[#This Row],[EffectiveEndDate]] &gt;= TODAY()),1,0)</f>
        <v>0</v>
      </c>
      <c r="AA82" s="46">
        <f ca="1">IF(AND(Table1[[#This Row],[SubscriptionStart]]&lt;=Settings!$A$2,Table1[[#This Row],[EffectiveEndDate]]&gt;=Settings!$A$2),1,0)</f>
        <v>0</v>
      </c>
      <c r="AB82" s="46">
        <f ca="1">IF(AND(Table1[[#This Row],[SubscriptionStart]]&lt;=Settings!$B$2,Table1[[#This Row],[EffectiveEndDate]]&gt;=Settings!$B$2),1,0)</f>
        <v>1</v>
      </c>
      <c r="AC82" s="46">
        <f ca="1">IF(AND(Table1[[#This Row],[SubscriptionStart]]&lt;=Settings!$C$2,Table1[[#This Row],[EffectiveEndDate]]&gt;=Settings!$C$2),1,0)</f>
        <v>1</v>
      </c>
      <c r="AD82" s="46">
        <f ca="1">IF(AND(Table1[[#This Row],[SubscriptionStart]]&lt;=Settings!$D$2,Table1[[#This Row],[EffectiveEndDate]]&gt;=Settings!$D$2),1,0)</f>
        <v>0</v>
      </c>
      <c r="AE82" s="46">
        <f ca="1">IF(AND(Table1[[#This Row],[SubscriptionStart]]&lt;=Settings!$E$2,Table1[[#This Row],[EffectiveEndDate]]&gt;=Settings!$E$2),1,0)</f>
        <v>0</v>
      </c>
      <c r="AF82"/>
      <c r="AG82"/>
      <c r="AH82"/>
      <c r="AI82"/>
      <c r="AJ82"/>
      <c r="AK82"/>
    </row>
    <row r="83" spans="1:37">
      <c r="A83" s="3" t="s">
        <v>299</v>
      </c>
      <c r="B83" s="3">
        <v>58</v>
      </c>
      <c r="C83" s="3" t="s">
        <v>23</v>
      </c>
      <c r="D83" s="5">
        <v>44649</v>
      </c>
      <c r="F83" s="3">
        <f ca="1">TODAY() - Table1[[#This Row],[SubscriptionStart]]</f>
        <v>1332</v>
      </c>
      <c r="G83" s="4">
        <v>48</v>
      </c>
      <c r="H83" s="3" t="s">
        <v>38</v>
      </c>
      <c r="I83" s="3" t="s">
        <v>30</v>
      </c>
      <c r="J83" s="7" cm="1">
        <f t="array" ref="J83">_xlfn.IFS(Table1[[#This Row],[Tier]]="Basic",10,Table1[[#This Row],[Tier]]="Standard",18,Table1[[#This Row],[Tier]]="Premium",25)</f>
        <v>10</v>
      </c>
      <c r="K83" s="7" cm="1">
        <f t="array" ref="K8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83" s="7" cm="1">
        <f t="array" ref="L8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351</v>
      </c>
      <c r="M83" s="3" t="str" cm="1">
        <f t="array" ref="M8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83" s="3" t="s">
        <v>52</v>
      </c>
      <c r="O83" s="3" t="s">
        <v>27</v>
      </c>
      <c r="Q83" s="3" t="str" cm="1">
        <f t="array" ref="Q83">_xlfn.IFS(Table1[[#This Row],[TotalRevenue]]&lt;100,"Low",Table1[[#This Row],[TotalRevenue]]&lt;300,"Medium",Table1[[#This Row],[TotalRevenue]]&lt;600,"High",TRUE,"Very High")</f>
        <v>High</v>
      </c>
      <c r="R83" s="3" t="str" cm="1">
        <f t="array" ref="R8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83" s="3" t="str">
        <f>IF(Table1[[#This Row],[NextBillingDate]]="","Cancelled",IF(Table1[[#This Row],[CancellationDate]]&lt;&gt;"","Cancelled","Active"))</f>
        <v>Active</v>
      </c>
      <c r="T83" s="7" cm="1">
        <f t="array" ref="T8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396</v>
      </c>
      <c r="V83" s="5">
        <v>46089</v>
      </c>
      <c r="W83" s="5">
        <v>46089</v>
      </c>
      <c r="X83" s="3">
        <v>7</v>
      </c>
      <c r="Y83" s="5">
        <f ca="1">IF(Table1[[#This Row],[ChurnStatus]]="Cancelled",Table1[[#This Row],[CancellationDate]],TODAY())</f>
        <v>45981</v>
      </c>
      <c r="Z83" s="46">
        <f ca="1">IF(AND(Table1[[#This Row],[SubscriptionStart]] &lt;= TODAY(), Table1[[#This Row],[EffectiveEndDate]] &gt;= TODAY()),1,0)</f>
        <v>1</v>
      </c>
      <c r="AA83" s="46">
        <f ca="1">IF(AND(Table1[[#This Row],[SubscriptionStart]]&lt;=Settings!$A$2,Table1[[#This Row],[EffectiveEndDate]]&gt;=Settings!$A$2),1,0)</f>
        <v>0</v>
      </c>
      <c r="AB83" s="46">
        <f ca="1">IF(AND(Table1[[#This Row],[SubscriptionStart]]&lt;=Settings!$B$2,Table1[[#This Row],[EffectiveEndDate]]&gt;=Settings!$B$2),1,0)</f>
        <v>1</v>
      </c>
      <c r="AC83" s="46">
        <f ca="1">IF(AND(Table1[[#This Row],[SubscriptionStart]]&lt;=Settings!$C$2,Table1[[#This Row],[EffectiveEndDate]]&gt;=Settings!$C$2),1,0)</f>
        <v>1</v>
      </c>
      <c r="AD83" s="46">
        <f ca="1">IF(AND(Table1[[#This Row],[SubscriptionStart]]&lt;=Settings!$D$2,Table1[[#This Row],[EffectiveEndDate]]&gt;=Settings!$D$2),1,0)</f>
        <v>1</v>
      </c>
      <c r="AE83" s="46">
        <f ca="1">IF(AND(Table1[[#This Row],[SubscriptionStart]]&lt;=Settings!$E$2,Table1[[#This Row],[EffectiveEndDate]]&gt;=Settings!$E$2),1,0)</f>
        <v>1</v>
      </c>
      <c r="AF83"/>
      <c r="AG83"/>
      <c r="AH83"/>
      <c r="AI83"/>
      <c r="AJ83"/>
      <c r="AK83"/>
    </row>
    <row r="84" spans="1:37">
      <c r="A84" s="3" t="s">
        <v>279</v>
      </c>
      <c r="B84" s="3">
        <v>32</v>
      </c>
      <c r="C84" s="3" t="s">
        <v>37</v>
      </c>
      <c r="D84" s="5">
        <v>44651</v>
      </c>
      <c r="E84" s="5">
        <v>44831</v>
      </c>
      <c r="F84" s="3">
        <f ca="1">TODAY() - Table1[[#This Row],[SubscriptionStart]]</f>
        <v>1330</v>
      </c>
      <c r="G84" s="4">
        <v>6</v>
      </c>
      <c r="H84" s="3" t="s">
        <v>38</v>
      </c>
      <c r="I84" s="3" t="s">
        <v>25</v>
      </c>
      <c r="J84" s="7" cm="1">
        <f t="array" ref="J84">_xlfn.IFS(Table1[[#This Row],[Tier]]="Basic",10,Table1[[#This Row],[Tier]]="Standard",18,Table1[[#This Row],[Tier]]="Premium",25)</f>
        <v>25</v>
      </c>
      <c r="K84" s="7" cm="1">
        <f t="array" ref="K8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84" s="7" cm="1">
        <f t="array" ref="L8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84" s="3" t="str" cm="1">
        <f t="array" ref="M8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84" s="3" t="s">
        <v>52</v>
      </c>
      <c r="O84" s="3" t="s">
        <v>32</v>
      </c>
      <c r="P84" s="3" t="s">
        <v>50</v>
      </c>
      <c r="Q84" s="3" t="str" cm="1">
        <f t="array" ref="Q84">_xlfn.IFS(Table1[[#This Row],[TotalRevenue]]&lt;100,"Low",Table1[[#This Row],[TotalRevenue]]&lt;300,"Medium",Table1[[#This Row],[TotalRevenue]]&lt;600,"High",TRUE,"Very High")</f>
        <v>Medium</v>
      </c>
      <c r="R84" s="3" t="str" cm="1">
        <f t="array" ref="R8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84" s="3" t="str">
        <f>IF(Table1[[#This Row],[NextBillingDate]]="","Cancelled",IF(Table1[[#This Row],[CancellationDate]]&lt;&gt;"","Cancelled","Active"))</f>
        <v>Cancelled</v>
      </c>
      <c r="T84" s="7" cm="1">
        <f t="array" ref="T8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84" s="5">
        <v>44831</v>
      </c>
      <c r="W84" s="5">
        <v>44831</v>
      </c>
      <c r="X84" s="3">
        <v>0</v>
      </c>
      <c r="Y84" s="5">
        <f ca="1">IF(Table1[[#This Row],[ChurnStatus]]="Cancelled",Table1[[#This Row],[CancellationDate]],TODAY())</f>
        <v>44831</v>
      </c>
      <c r="Z84" s="46">
        <f ca="1">IF(AND(Table1[[#This Row],[SubscriptionStart]] &lt;= TODAY(), Table1[[#This Row],[EffectiveEndDate]] &gt;= TODAY()),1,0)</f>
        <v>0</v>
      </c>
      <c r="AA84" s="46">
        <f ca="1">IF(AND(Table1[[#This Row],[SubscriptionStart]]&lt;=Settings!$A$2,Table1[[#This Row],[EffectiveEndDate]]&gt;=Settings!$A$2),1,0)</f>
        <v>0</v>
      </c>
      <c r="AB84" s="46">
        <f ca="1">IF(AND(Table1[[#This Row],[SubscriptionStart]]&lt;=Settings!$B$2,Table1[[#This Row],[EffectiveEndDate]]&gt;=Settings!$B$2),1,0)</f>
        <v>1</v>
      </c>
      <c r="AC84" s="46">
        <f ca="1">IF(AND(Table1[[#This Row],[SubscriptionStart]]&lt;=Settings!$C$2,Table1[[#This Row],[EffectiveEndDate]]&gt;=Settings!$C$2),1,0)</f>
        <v>0</v>
      </c>
      <c r="AD84" s="46">
        <f ca="1">IF(AND(Table1[[#This Row],[SubscriptionStart]]&lt;=Settings!$D$2,Table1[[#This Row],[EffectiveEndDate]]&gt;=Settings!$D$2),1,0)</f>
        <v>0</v>
      </c>
      <c r="AE84" s="46">
        <f ca="1">IF(AND(Table1[[#This Row],[SubscriptionStart]]&lt;=Settings!$E$2,Table1[[#This Row],[EffectiveEndDate]]&gt;=Settings!$E$2),1,0)</f>
        <v>0</v>
      </c>
      <c r="AF84"/>
      <c r="AG84"/>
      <c r="AH84"/>
      <c r="AI84"/>
      <c r="AJ84"/>
      <c r="AK84"/>
    </row>
    <row r="85" spans="1:37">
      <c r="A85" s="3" t="s">
        <v>161</v>
      </c>
      <c r="B85" s="3">
        <v>46</v>
      </c>
      <c r="C85" s="3" t="s">
        <v>37</v>
      </c>
      <c r="D85" s="5">
        <v>44652</v>
      </c>
      <c r="E85" s="5">
        <v>45012</v>
      </c>
      <c r="F85" s="3">
        <f ca="1">TODAY() - Table1[[#This Row],[SubscriptionStart]]</f>
        <v>1329</v>
      </c>
      <c r="G85" s="4">
        <v>12</v>
      </c>
      <c r="H85" s="3" t="s">
        <v>24</v>
      </c>
      <c r="I85" s="3" t="s">
        <v>39</v>
      </c>
      <c r="J85" s="7" cm="1">
        <f t="array" ref="J85">_xlfn.IFS(Table1[[#This Row],[Tier]]="Basic",10,Table1[[#This Row],[Tier]]="Standard",18,Table1[[#This Row],[Tier]]="Premium",25)</f>
        <v>18</v>
      </c>
      <c r="K85" s="7" cm="1">
        <f t="array" ref="K8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85" s="7" cm="1">
        <f t="array" ref="L8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85" s="3" t="str" cm="1">
        <f t="array" ref="M8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85" s="3" t="s">
        <v>34</v>
      </c>
      <c r="O85" s="3" t="s">
        <v>27</v>
      </c>
      <c r="P85" s="3" t="s">
        <v>44</v>
      </c>
      <c r="Q85" s="3" t="str" cm="1">
        <f t="array" ref="Q85">_xlfn.IFS(Table1[[#This Row],[TotalRevenue]]&lt;100,"Low",Table1[[#This Row],[TotalRevenue]]&lt;300,"Medium",Table1[[#This Row],[TotalRevenue]]&lt;600,"High",TRUE,"Very High")</f>
        <v>Medium</v>
      </c>
      <c r="R85" s="3" t="str" cm="1">
        <f t="array" ref="R8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85" s="3" t="str">
        <f>IF(Table1[[#This Row],[NextBillingDate]]="","Cancelled",IF(Table1[[#This Row],[CancellationDate]]&lt;&gt;"","Cancelled","Active"))</f>
        <v>Cancelled</v>
      </c>
      <c r="T85" s="7" cm="1">
        <f t="array" ref="T8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85" s="5">
        <v>45012</v>
      </c>
      <c r="W85" s="5">
        <v>45012</v>
      </c>
      <c r="X85" s="3">
        <v>0</v>
      </c>
      <c r="Y85" s="5">
        <f ca="1">IF(Table1[[#This Row],[ChurnStatus]]="Cancelled",Table1[[#This Row],[CancellationDate]],TODAY())</f>
        <v>45012</v>
      </c>
      <c r="Z85" s="46">
        <f ca="1">IF(AND(Table1[[#This Row],[SubscriptionStart]] &lt;= TODAY(), Table1[[#This Row],[EffectiveEndDate]] &gt;= TODAY()),1,0)</f>
        <v>0</v>
      </c>
      <c r="AA85" s="46">
        <f ca="1">IF(AND(Table1[[#This Row],[SubscriptionStart]]&lt;=Settings!$A$2,Table1[[#This Row],[EffectiveEndDate]]&gt;=Settings!$A$2),1,0)</f>
        <v>0</v>
      </c>
      <c r="AB85" s="46">
        <f ca="1">IF(AND(Table1[[#This Row],[SubscriptionStart]]&lt;=Settings!$B$2,Table1[[#This Row],[EffectiveEndDate]]&gt;=Settings!$B$2),1,0)</f>
        <v>1</v>
      </c>
      <c r="AC85" s="46">
        <f ca="1">IF(AND(Table1[[#This Row],[SubscriptionStart]]&lt;=Settings!$C$2,Table1[[#This Row],[EffectiveEndDate]]&gt;=Settings!$C$2),1,0)</f>
        <v>1</v>
      </c>
      <c r="AD85" s="46">
        <f ca="1">IF(AND(Table1[[#This Row],[SubscriptionStart]]&lt;=Settings!$D$2,Table1[[#This Row],[EffectiveEndDate]]&gt;=Settings!$D$2),1,0)</f>
        <v>0</v>
      </c>
      <c r="AE85" s="46">
        <f ca="1">IF(AND(Table1[[#This Row],[SubscriptionStart]]&lt;=Settings!$E$2,Table1[[#This Row],[EffectiveEndDate]]&gt;=Settings!$E$2),1,0)</f>
        <v>0</v>
      </c>
      <c r="AF85"/>
      <c r="AG85"/>
      <c r="AH85"/>
      <c r="AI85"/>
      <c r="AJ85"/>
      <c r="AK85"/>
    </row>
    <row r="86" spans="1:37">
      <c r="A86" s="3" t="s">
        <v>162</v>
      </c>
      <c r="B86" s="3">
        <v>56</v>
      </c>
      <c r="C86" s="3" t="s">
        <v>23</v>
      </c>
      <c r="D86" s="5">
        <v>44652</v>
      </c>
      <c r="E86" s="5">
        <v>45012</v>
      </c>
      <c r="F86" s="3">
        <f ca="1">TODAY() - Table1[[#This Row],[SubscriptionStart]]</f>
        <v>1329</v>
      </c>
      <c r="G86" s="4">
        <v>12</v>
      </c>
      <c r="H86" s="3" t="s">
        <v>24</v>
      </c>
      <c r="I86" s="3" t="s">
        <v>25</v>
      </c>
      <c r="J86" s="7" cm="1">
        <f t="array" ref="J86">_xlfn.IFS(Table1[[#This Row],[Tier]]="Basic",10,Table1[[#This Row],[Tier]]="Standard",18,Table1[[#This Row],[Tier]]="Premium",25)</f>
        <v>25</v>
      </c>
      <c r="K86" s="7" cm="1">
        <f t="array" ref="K8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86" s="7" cm="1">
        <f t="array" ref="L8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86" s="3" t="str" cm="1">
        <f t="array" ref="M86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86" s="3" t="s">
        <v>26</v>
      </c>
      <c r="O86" s="3" t="s">
        <v>49</v>
      </c>
      <c r="P86" s="3" t="s">
        <v>47</v>
      </c>
      <c r="Q86" s="3" t="str" cm="1">
        <f t="array" ref="Q86">_xlfn.IFS(Table1[[#This Row],[TotalRevenue]]&lt;100,"Low",Table1[[#This Row],[TotalRevenue]]&lt;300,"Medium",Table1[[#This Row],[TotalRevenue]]&lt;600,"High",TRUE,"Very High")</f>
        <v>Medium</v>
      </c>
      <c r="R86" s="3" t="str" cm="1">
        <f t="array" ref="R8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86" s="3" t="str">
        <f>IF(Table1[[#This Row],[NextBillingDate]]="","Cancelled",IF(Table1[[#This Row],[CancellationDate]]&lt;&gt;"","Cancelled","Active"))</f>
        <v>Cancelled</v>
      </c>
      <c r="T86" s="7" cm="1">
        <f t="array" ref="T8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86" s="5">
        <v>45012</v>
      </c>
      <c r="W86" s="5">
        <v>45012</v>
      </c>
      <c r="X86" s="3">
        <v>0</v>
      </c>
      <c r="Y86" s="5">
        <f ca="1">IF(Table1[[#This Row],[ChurnStatus]]="Cancelled",Table1[[#This Row],[CancellationDate]],TODAY())</f>
        <v>45012</v>
      </c>
      <c r="Z86" s="46">
        <f ca="1">IF(AND(Table1[[#This Row],[SubscriptionStart]] &lt;= TODAY(), Table1[[#This Row],[EffectiveEndDate]] &gt;= TODAY()),1,0)</f>
        <v>0</v>
      </c>
      <c r="AA86" s="46">
        <f ca="1">IF(AND(Table1[[#This Row],[SubscriptionStart]]&lt;=Settings!$A$2,Table1[[#This Row],[EffectiveEndDate]]&gt;=Settings!$A$2),1,0)</f>
        <v>0</v>
      </c>
      <c r="AB86" s="46">
        <f ca="1">IF(AND(Table1[[#This Row],[SubscriptionStart]]&lt;=Settings!$B$2,Table1[[#This Row],[EffectiveEndDate]]&gt;=Settings!$B$2),1,0)</f>
        <v>1</v>
      </c>
      <c r="AC86" s="46">
        <f ca="1">IF(AND(Table1[[#This Row],[SubscriptionStart]]&lt;=Settings!$C$2,Table1[[#This Row],[EffectiveEndDate]]&gt;=Settings!$C$2),1,0)</f>
        <v>1</v>
      </c>
      <c r="AD86" s="46">
        <f ca="1">IF(AND(Table1[[#This Row],[SubscriptionStart]]&lt;=Settings!$D$2,Table1[[#This Row],[EffectiveEndDate]]&gt;=Settings!$D$2),1,0)</f>
        <v>0</v>
      </c>
      <c r="AE86" s="46">
        <f ca="1">IF(AND(Table1[[#This Row],[SubscriptionStart]]&lt;=Settings!$E$2,Table1[[#This Row],[EffectiveEndDate]]&gt;=Settings!$E$2),1,0)</f>
        <v>0</v>
      </c>
      <c r="AF86"/>
      <c r="AG86"/>
      <c r="AH86"/>
      <c r="AI86"/>
      <c r="AJ86"/>
      <c r="AK86"/>
    </row>
    <row r="87" spans="1:37">
      <c r="A87" s="3" t="s">
        <v>572</v>
      </c>
      <c r="B87" s="3">
        <v>35</v>
      </c>
      <c r="C87" s="3" t="s">
        <v>37</v>
      </c>
      <c r="D87" s="5">
        <v>44653</v>
      </c>
      <c r="E87" s="5">
        <v>45013</v>
      </c>
      <c r="F87" s="3">
        <f ca="1">TODAY() - Table1[[#This Row],[SubscriptionStart]]</f>
        <v>1328</v>
      </c>
      <c r="G87" s="4">
        <v>12</v>
      </c>
      <c r="H87" s="3" t="s">
        <v>24</v>
      </c>
      <c r="I87" s="3" t="s">
        <v>25</v>
      </c>
      <c r="J87" s="7" cm="1">
        <f t="array" ref="J87">_xlfn.IFS(Table1[[#This Row],[Tier]]="Basic",10,Table1[[#This Row],[Tier]]="Standard",18,Table1[[#This Row],[Tier]]="Premium",25)</f>
        <v>25</v>
      </c>
      <c r="K87" s="7" cm="1">
        <f t="array" ref="K8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87" s="7" cm="1">
        <f t="array" ref="L8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87" s="3" t="str" cm="1">
        <f t="array" ref="M8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87" s="3" t="s">
        <v>26</v>
      </c>
      <c r="O87" s="3" t="s">
        <v>27</v>
      </c>
      <c r="P87" s="3" t="s">
        <v>50</v>
      </c>
      <c r="Q87" s="3" t="str" cm="1">
        <f t="array" ref="Q87">_xlfn.IFS(Table1[[#This Row],[TotalRevenue]]&lt;100,"Low",Table1[[#This Row],[TotalRevenue]]&lt;300,"Medium",Table1[[#This Row],[TotalRevenue]]&lt;600,"High",TRUE,"Very High")</f>
        <v>Medium</v>
      </c>
      <c r="R87" s="3" t="str" cm="1">
        <f t="array" ref="R8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87" s="3" t="str">
        <f>IF(Table1[[#This Row],[NextBillingDate]]="","Cancelled",IF(Table1[[#This Row],[CancellationDate]]&lt;&gt;"","Cancelled","Active"))</f>
        <v>Cancelled</v>
      </c>
      <c r="T87" s="7" cm="1">
        <f t="array" ref="T8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87" s="5">
        <v>45013</v>
      </c>
      <c r="W87" s="5">
        <v>45013</v>
      </c>
      <c r="X87" s="3">
        <v>0</v>
      </c>
      <c r="Y87" s="5">
        <f ca="1">IF(Table1[[#This Row],[ChurnStatus]]="Cancelled",Table1[[#This Row],[CancellationDate]],TODAY())</f>
        <v>45013</v>
      </c>
      <c r="Z87" s="46">
        <f ca="1">IF(AND(Table1[[#This Row],[SubscriptionStart]] &lt;= TODAY(), Table1[[#This Row],[EffectiveEndDate]] &gt;= TODAY()),1,0)</f>
        <v>0</v>
      </c>
      <c r="AA87" s="46">
        <f ca="1">IF(AND(Table1[[#This Row],[SubscriptionStart]]&lt;=Settings!$A$2,Table1[[#This Row],[EffectiveEndDate]]&gt;=Settings!$A$2),1,0)</f>
        <v>0</v>
      </c>
      <c r="AB87" s="46">
        <f ca="1">IF(AND(Table1[[#This Row],[SubscriptionStart]]&lt;=Settings!$B$2,Table1[[#This Row],[EffectiveEndDate]]&gt;=Settings!$B$2),1,0)</f>
        <v>1</v>
      </c>
      <c r="AC87" s="46">
        <f ca="1">IF(AND(Table1[[#This Row],[SubscriptionStart]]&lt;=Settings!$C$2,Table1[[#This Row],[EffectiveEndDate]]&gt;=Settings!$C$2),1,0)</f>
        <v>1</v>
      </c>
      <c r="AD87" s="46">
        <f ca="1">IF(AND(Table1[[#This Row],[SubscriptionStart]]&lt;=Settings!$D$2,Table1[[#This Row],[EffectiveEndDate]]&gt;=Settings!$D$2),1,0)</f>
        <v>0</v>
      </c>
      <c r="AE87" s="46">
        <f ca="1">IF(AND(Table1[[#This Row],[SubscriptionStart]]&lt;=Settings!$E$2,Table1[[#This Row],[EffectiveEndDate]]&gt;=Settings!$E$2),1,0)</f>
        <v>0</v>
      </c>
      <c r="AF87"/>
      <c r="AG87"/>
      <c r="AH87"/>
      <c r="AI87"/>
      <c r="AJ87"/>
      <c r="AK87"/>
    </row>
    <row r="88" spans="1:37">
      <c r="A88" s="3" t="s">
        <v>646</v>
      </c>
      <c r="B88" s="3">
        <v>28</v>
      </c>
      <c r="C88" s="3" t="s">
        <v>23</v>
      </c>
      <c r="D88" s="5">
        <v>44655</v>
      </c>
      <c r="E88" s="5">
        <v>44835</v>
      </c>
      <c r="F88" s="3">
        <f ca="1">TODAY() - Table1[[#This Row],[SubscriptionStart]]</f>
        <v>1326</v>
      </c>
      <c r="G88" s="4">
        <v>6</v>
      </c>
      <c r="H88" s="3" t="s">
        <v>38</v>
      </c>
      <c r="I88" s="3" t="s">
        <v>39</v>
      </c>
      <c r="J88" s="7" cm="1">
        <f t="array" ref="J88">_xlfn.IFS(Table1[[#This Row],[Tier]]="Basic",10,Table1[[#This Row],[Tier]]="Standard",18,Table1[[#This Row],[Tier]]="Premium",25)</f>
        <v>18</v>
      </c>
      <c r="K88" s="7" cm="1">
        <f t="array" ref="K8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88" s="7" cm="1">
        <f t="array" ref="L8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88" s="3" t="str" cm="1">
        <f t="array" ref="M8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88" s="3" t="s">
        <v>52</v>
      </c>
      <c r="O88" s="3" t="s">
        <v>32</v>
      </c>
      <c r="P88" s="3" t="s">
        <v>50</v>
      </c>
      <c r="Q88" s="3" t="str" cm="1">
        <f t="array" ref="Q88">_xlfn.IFS(Table1[[#This Row],[TotalRevenue]]&lt;100,"Low",Table1[[#This Row],[TotalRevenue]]&lt;300,"Medium",Table1[[#This Row],[TotalRevenue]]&lt;600,"High",TRUE,"Very High")</f>
        <v>Low</v>
      </c>
      <c r="R88" s="3" t="str" cm="1">
        <f t="array" ref="R8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88" s="3" t="str">
        <f>IF(Table1[[#This Row],[NextBillingDate]]="","Cancelled",IF(Table1[[#This Row],[CancellationDate]]&lt;&gt;"","Cancelled","Active"))</f>
        <v>Cancelled</v>
      </c>
      <c r="T88" s="7" cm="1">
        <f t="array" ref="T8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88" s="5">
        <v>44835</v>
      </c>
      <c r="W88" s="5">
        <v>44835</v>
      </c>
      <c r="X88" s="3">
        <v>0</v>
      </c>
      <c r="Y88" s="5">
        <f ca="1">IF(Table1[[#This Row],[ChurnStatus]]="Cancelled",Table1[[#This Row],[CancellationDate]],TODAY())</f>
        <v>44835</v>
      </c>
      <c r="Z88" s="46">
        <f ca="1">IF(AND(Table1[[#This Row],[SubscriptionStart]] &lt;= TODAY(), Table1[[#This Row],[EffectiveEndDate]] &gt;= TODAY()),1,0)</f>
        <v>0</v>
      </c>
      <c r="AA88" s="46">
        <f ca="1">IF(AND(Table1[[#This Row],[SubscriptionStart]]&lt;=Settings!$A$2,Table1[[#This Row],[EffectiveEndDate]]&gt;=Settings!$A$2),1,0)</f>
        <v>0</v>
      </c>
      <c r="AB88" s="46">
        <f ca="1">IF(AND(Table1[[#This Row],[SubscriptionStart]]&lt;=Settings!$B$2,Table1[[#This Row],[EffectiveEndDate]]&gt;=Settings!$B$2),1,0)</f>
        <v>1</v>
      </c>
      <c r="AC88" s="46">
        <f ca="1">IF(AND(Table1[[#This Row],[SubscriptionStart]]&lt;=Settings!$C$2,Table1[[#This Row],[EffectiveEndDate]]&gt;=Settings!$C$2),1,0)</f>
        <v>0</v>
      </c>
      <c r="AD88" s="46">
        <f ca="1">IF(AND(Table1[[#This Row],[SubscriptionStart]]&lt;=Settings!$D$2,Table1[[#This Row],[EffectiveEndDate]]&gt;=Settings!$D$2),1,0)</f>
        <v>0</v>
      </c>
      <c r="AE88" s="46">
        <f ca="1">IF(AND(Table1[[#This Row],[SubscriptionStart]]&lt;=Settings!$E$2,Table1[[#This Row],[EffectiveEndDate]]&gt;=Settings!$E$2),1,0)</f>
        <v>0</v>
      </c>
      <c r="AF88"/>
      <c r="AG88"/>
      <c r="AH88"/>
      <c r="AI88"/>
      <c r="AJ88"/>
      <c r="AK88"/>
    </row>
    <row r="89" spans="1:37">
      <c r="A89" s="3" t="s">
        <v>380</v>
      </c>
      <c r="B89" s="3">
        <v>43</v>
      </c>
      <c r="C89" s="3" t="s">
        <v>23</v>
      </c>
      <c r="D89" s="5">
        <v>44656</v>
      </c>
      <c r="E89" s="5">
        <v>45016</v>
      </c>
      <c r="F89" s="3">
        <f ca="1">TODAY() - Table1[[#This Row],[SubscriptionStart]]</f>
        <v>1325</v>
      </c>
      <c r="G89" s="4">
        <v>12</v>
      </c>
      <c r="H89" s="3" t="s">
        <v>24</v>
      </c>
      <c r="I89" s="3" t="s">
        <v>25</v>
      </c>
      <c r="J89" s="7" cm="1">
        <f t="array" ref="J89">_xlfn.IFS(Table1[[#This Row],[Tier]]="Basic",10,Table1[[#This Row],[Tier]]="Standard",18,Table1[[#This Row],[Tier]]="Premium",25)</f>
        <v>25</v>
      </c>
      <c r="K89" s="7" cm="1">
        <f t="array" ref="K8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89" s="7" cm="1">
        <f t="array" ref="L8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89" s="3" t="str" cm="1">
        <f t="array" ref="M8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89" s="3" t="s">
        <v>52</v>
      </c>
      <c r="O89" s="3" t="s">
        <v>43</v>
      </c>
      <c r="P89" s="3" t="s">
        <v>41</v>
      </c>
      <c r="Q89" s="3" t="str" cm="1">
        <f t="array" ref="Q89">_xlfn.IFS(Table1[[#This Row],[TotalRevenue]]&lt;100,"Low",Table1[[#This Row],[TotalRevenue]]&lt;300,"Medium",Table1[[#This Row],[TotalRevenue]]&lt;600,"High",TRUE,"Very High")</f>
        <v>Medium</v>
      </c>
      <c r="R89" s="3" t="str" cm="1">
        <f t="array" ref="R8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89" s="3" t="str">
        <f>IF(Table1[[#This Row],[NextBillingDate]]="","Cancelled",IF(Table1[[#This Row],[CancellationDate]]&lt;&gt;"","Cancelled","Active"))</f>
        <v>Cancelled</v>
      </c>
      <c r="T89" s="7" cm="1">
        <f t="array" ref="T8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89" s="5">
        <v>45016</v>
      </c>
      <c r="W89" s="5">
        <v>45016</v>
      </c>
      <c r="X89" s="3">
        <v>0</v>
      </c>
      <c r="Y89" s="5">
        <f ca="1">IF(Table1[[#This Row],[ChurnStatus]]="Cancelled",Table1[[#This Row],[CancellationDate]],TODAY())</f>
        <v>45016</v>
      </c>
      <c r="Z89" s="46">
        <f ca="1">IF(AND(Table1[[#This Row],[SubscriptionStart]] &lt;= TODAY(), Table1[[#This Row],[EffectiveEndDate]] &gt;= TODAY()),1,0)</f>
        <v>0</v>
      </c>
      <c r="AA89" s="46">
        <f ca="1">IF(AND(Table1[[#This Row],[SubscriptionStart]]&lt;=Settings!$A$2,Table1[[#This Row],[EffectiveEndDate]]&gt;=Settings!$A$2),1,0)</f>
        <v>0</v>
      </c>
      <c r="AB89" s="46">
        <f ca="1">IF(AND(Table1[[#This Row],[SubscriptionStart]]&lt;=Settings!$B$2,Table1[[#This Row],[EffectiveEndDate]]&gt;=Settings!$B$2),1,0)</f>
        <v>1</v>
      </c>
      <c r="AC89" s="46">
        <f ca="1">IF(AND(Table1[[#This Row],[SubscriptionStart]]&lt;=Settings!$C$2,Table1[[#This Row],[EffectiveEndDate]]&gt;=Settings!$C$2),1,0)</f>
        <v>1</v>
      </c>
      <c r="AD89" s="46">
        <f ca="1">IF(AND(Table1[[#This Row],[SubscriptionStart]]&lt;=Settings!$D$2,Table1[[#This Row],[EffectiveEndDate]]&gt;=Settings!$D$2),1,0)</f>
        <v>0</v>
      </c>
      <c r="AE89" s="46">
        <f ca="1">IF(AND(Table1[[#This Row],[SubscriptionStart]]&lt;=Settings!$E$2,Table1[[#This Row],[EffectiveEndDate]]&gt;=Settings!$E$2),1,0)</f>
        <v>0</v>
      </c>
      <c r="AF89"/>
      <c r="AG89"/>
      <c r="AH89"/>
      <c r="AI89"/>
      <c r="AJ89"/>
      <c r="AK89"/>
    </row>
    <row r="90" spans="1:37">
      <c r="A90" s="3" t="s">
        <v>137</v>
      </c>
      <c r="B90" s="3">
        <v>74</v>
      </c>
      <c r="C90" s="3" t="s">
        <v>37</v>
      </c>
      <c r="D90" s="5">
        <v>44657</v>
      </c>
      <c r="E90" s="5">
        <v>44687</v>
      </c>
      <c r="F90" s="3">
        <f ca="1">TODAY() - Table1[[#This Row],[SubscriptionStart]]</f>
        <v>1324</v>
      </c>
      <c r="G90" s="4">
        <v>1</v>
      </c>
      <c r="H90" s="3" t="s">
        <v>29</v>
      </c>
      <c r="I90" s="3" t="s">
        <v>39</v>
      </c>
      <c r="J90" s="7" cm="1">
        <f t="array" ref="J90">_xlfn.IFS(Table1[[#This Row],[Tier]]="Basic",10,Table1[[#This Row],[Tier]]="Standard",18,Table1[[#This Row],[Tier]]="Premium",25)</f>
        <v>18</v>
      </c>
      <c r="K90" s="7" cm="1">
        <f t="array" ref="K9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90" s="7" cm="1">
        <f t="array" ref="L9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90" s="3" t="str" cm="1">
        <f t="array" ref="M90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90" s="3" t="s">
        <v>34</v>
      </c>
      <c r="O90" s="3" t="s">
        <v>32</v>
      </c>
      <c r="P90" s="3" t="s">
        <v>47</v>
      </c>
      <c r="Q90" s="3" t="str" cm="1">
        <f t="array" ref="Q90">_xlfn.IFS(Table1[[#This Row],[TotalRevenue]]&lt;100,"Low",Table1[[#This Row],[TotalRevenue]]&lt;300,"Medium",Table1[[#This Row],[TotalRevenue]]&lt;600,"High",TRUE,"Very High")</f>
        <v>Low</v>
      </c>
      <c r="R90" s="3" t="str" cm="1">
        <f t="array" ref="R90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90" s="3" t="str">
        <f>IF(Table1[[#This Row],[NextBillingDate]]="","Cancelled",IF(Table1[[#This Row],[CancellationDate]]&lt;&gt;"","Cancelled","Active"))</f>
        <v>Cancelled</v>
      </c>
      <c r="T90" s="7" cm="1">
        <f t="array" ref="T9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90" s="5">
        <v>44687</v>
      </c>
      <c r="W90" s="5">
        <v>44687</v>
      </c>
      <c r="X90" s="3">
        <v>0</v>
      </c>
      <c r="Y90" s="5">
        <f ca="1">IF(Table1[[#This Row],[ChurnStatus]]="Cancelled",Table1[[#This Row],[CancellationDate]],TODAY())</f>
        <v>44687</v>
      </c>
      <c r="Z90" s="46">
        <f ca="1">IF(AND(Table1[[#This Row],[SubscriptionStart]] &lt;= TODAY(), Table1[[#This Row],[EffectiveEndDate]] &gt;= TODAY()),1,0)</f>
        <v>0</v>
      </c>
      <c r="AA90" s="46">
        <f ca="1">IF(AND(Table1[[#This Row],[SubscriptionStart]]&lt;=Settings!$A$2,Table1[[#This Row],[EffectiveEndDate]]&gt;=Settings!$A$2),1,0)</f>
        <v>0</v>
      </c>
      <c r="AB90" s="46">
        <f ca="1">IF(AND(Table1[[#This Row],[SubscriptionStart]]&lt;=Settings!$B$2,Table1[[#This Row],[EffectiveEndDate]]&gt;=Settings!$B$2),1,0)</f>
        <v>0</v>
      </c>
      <c r="AC90" s="46">
        <f ca="1">IF(AND(Table1[[#This Row],[SubscriptionStart]]&lt;=Settings!$C$2,Table1[[#This Row],[EffectiveEndDate]]&gt;=Settings!$C$2),1,0)</f>
        <v>0</v>
      </c>
      <c r="AD90" s="46">
        <f ca="1">IF(AND(Table1[[#This Row],[SubscriptionStart]]&lt;=Settings!$D$2,Table1[[#This Row],[EffectiveEndDate]]&gt;=Settings!$D$2),1,0)</f>
        <v>0</v>
      </c>
      <c r="AE90" s="46">
        <f ca="1">IF(AND(Table1[[#This Row],[SubscriptionStart]]&lt;=Settings!$E$2,Table1[[#This Row],[EffectiveEndDate]]&gt;=Settings!$E$2),1,0)</f>
        <v>0</v>
      </c>
      <c r="AF90"/>
      <c r="AG90"/>
      <c r="AH90"/>
      <c r="AI90"/>
      <c r="AJ90"/>
      <c r="AK90"/>
    </row>
    <row r="91" spans="1:37">
      <c r="A91" s="3" t="s">
        <v>111</v>
      </c>
      <c r="B91" s="3">
        <v>58</v>
      </c>
      <c r="C91" s="3" t="s">
        <v>23</v>
      </c>
      <c r="D91" s="5">
        <v>44658</v>
      </c>
      <c r="E91" s="5">
        <v>45018</v>
      </c>
      <c r="F91" s="3">
        <f ca="1">TODAY() - Table1[[#This Row],[SubscriptionStart]]</f>
        <v>1323</v>
      </c>
      <c r="G91" s="4">
        <v>12</v>
      </c>
      <c r="H91" s="3" t="s">
        <v>24</v>
      </c>
      <c r="I91" s="3" t="s">
        <v>25</v>
      </c>
      <c r="J91" s="7" cm="1">
        <f t="array" ref="J91">_xlfn.IFS(Table1[[#This Row],[Tier]]="Basic",10,Table1[[#This Row],[Tier]]="Standard",18,Table1[[#This Row],[Tier]]="Premium",25)</f>
        <v>25</v>
      </c>
      <c r="K91" s="7" cm="1">
        <f t="array" ref="K9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91" s="7" cm="1">
        <f t="array" ref="L9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91" s="3" t="str" cm="1">
        <f t="array" ref="M91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91" s="3" t="s">
        <v>52</v>
      </c>
      <c r="O91" s="3" t="s">
        <v>43</v>
      </c>
      <c r="P91" s="3" t="s">
        <v>41</v>
      </c>
      <c r="Q91" s="3" t="str" cm="1">
        <f t="array" ref="Q91">_xlfn.IFS(Table1[[#This Row],[TotalRevenue]]&lt;100,"Low",Table1[[#This Row],[TotalRevenue]]&lt;300,"Medium",Table1[[#This Row],[TotalRevenue]]&lt;600,"High",TRUE,"Very High")</f>
        <v>Medium</v>
      </c>
      <c r="R91" s="3" t="str" cm="1">
        <f t="array" ref="R9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91" s="3" t="str">
        <f>IF(Table1[[#This Row],[NextBillingDate]]="","Cancelled",IF(Table1[[#This Row],[CancellationDate]]&lt;&gt;"","Cancelled","Active"))</f>
        <v>Cancelled</v>
      </c>
      <c r="T91" s="7" cm="1">
        <f t="array" ref="T9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91" s="5">
        <v>45018</v>
      </c>
      <c r="W91" s="5">
        <v>45018</v>
      </c>
      <c r="X91" s="3">
        <v>0</v>
      </c>
      <c r="Y91" s="5">
        <f ca="1">IF(Table1[[#This Row],[ChurnStatus]]="Cancelled",Table1[[#This Row],[CancellationDate]],TODAY())</f>
        <v>45018</v>
      </c>
      <c r="Z91" s="46">
        <f ca="1">IF(AND(Table1[[#This Row],[SubscriptionStart]] &lt;= TODAY(), Table1[[#This Row],[EffectiveEndDate]] &gt;= TODAY()),1,0)</f>
        <v>0</v>
      </c>
      <c r="AA91" s="46">
        <f ca="1">IF(AND(Table1[[#This Row],[SubscriptionStart]]&lt;=Settings!$A$2,Table1[[#This Row],[EffectiveEndDate]]&gt;=Settings!$A$2),1,0)</f>
        <v>0</v>
      </c>
      <c r="AB91" s="46">
        <f ca="1">IF(AND(Table1[[#This Row],[SubscriptionStart]]&lt;=Settings!$B$2,Table1[[#This Row],[EffectiveEndDate]]&gt;=Settings!$B$2),1,0)</f>
        <v>1</v>
      </c>
      <c r="AC91" s="46">
        <f ca="1">IF(AND(Table1[[#This Row],[SubscriptionStart]]&lt;=Settings!$C$2,Table1[[#This Row],[EffectiveEndDate]]&gt;=Settings!$C$2),1,0)</f>
        <v>1</v>
      </c>
      <c r="AD91" s="46">
        <f ca="1">IF(AND(Table1[[#This Row],[SubscriptionStart]]&lt;=Settings!$D$2,Table1[[#This Row],[EffectiveEndDate]]&gt;=Settings!$D$2),1,0)</f>
        <v>0</v>
      </c>
      <c r="AE91" s="46">
        <f ca="1">IF(AND(Table1[[#This Row],[SubscriptionStart]]&lt;=Settings!$E$2,Table1[[#This Row],[EffectiveEndDate]]&gt;=Settings!$E$2),1,0)</f>
        <v>0</v>
      </c>
      <c r="AF91"/>
      <c r="AG91"/>
      <c r="AH91"/>
      <c r="AI91"/>
      <c r="AJ91"/>
      <c r="AK91"/>
    </row>
    <row r="92" spans="1:37">
      <c r="A92" s="3" t="s">
        <v>284</v>
      </c>
      <c r="B92" s="3">
        <v>20</v>
      </c>
      <c r="C92" s="3" t="s">
        <v>23</v>
      </c>
      <c r="D92" s="5">
        <v>44658</v>
      </c>
      <c r="F92" s="3">
        <f ca="1">TODAY() - Table1[[#This Row],[SubscriptionStart]]</f>
        <v>1323</v>
      </c>
      <c r="G92" s="4">
        <v>45</v>
      </c>
      <c r="H92" s="3" t="s">
        <v>29</v>
      </c>
      <c r="I92" s="3" t="s">
        <v>25</v>
      </c>
      <c r="J92" s="7" cm="1">
        <f t="array" ref="J92">_xlfn.IFS(Table1[[#This Row],[Tier]]="Basic",10,Table1[[#This Row],[Tier]]="Standard",18,Table1[[#This Row],[Tier]]="Premium",25)</f>
        <v>25</v>
      </c>
      <c r="K92" s="7" cm="1">
        <f t="array" ref="K9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92" s="7" cm="1">
        <f t="array" ref="L9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1072.5</v>
      </c>
      <c r="M92" s="3" t="str" cm="1">
        <f t="array" ref="M92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92" s="3" t="s">
        <v>26</v>
      </c>
      <c r="O92" s="3" t="s">
        <v>43</v>
      </c>
      <c r="Q92" s="3" t="str" cm="1">
        <f t="array" ref="Q92">_xlfn.IFS(Table1[[#This Row],[TotalRevenue]]&lt;100,"Low",Table1[[#This Row],[TotalRevenue]]&lt;300,"Medium",Table1[[#This Row],[TotalRevenue]]&lt;600,"High",TRUE,"Very High")</f>
        <v>Very High</v>
      </c>
      <c r="R92" s="3" t="str" cm="1">
        <f t="array" ref="R92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92" s="3" t="str">
        <f>IF(Table1[[#This Row],[NextBillingDate]]="","Cancelled",IF(Table1[[#This Row],[CancellationDate]]&lt;&gt;"","Cancelled","Active"))</f>
        <v>Active</v>
      </c>
      <c r="T92" s="7" cm="1">
        <f t="array" ref="T9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1097.5</v>
      </c>
      <c r="V92" s="5">
        <v>46008</v>
      </c>
      <c r="W92" s="5">
        <v>46008</v>
      </c>
      <c r="X92" s="3">
        <v>44</v>
      </c>
      <c r="Y92" s="5">
        <f ca="1">IF(Table1[[#This Row],[ChurnStatus]]="Cancelled",Table1[[#This Row],[CancellationDate]],TODAY())</f>
        <v>45981</v>
      </c>
      <c r="Z92" s="46">
        <f ca="1">IF(AND(Table1[[#This Row],[SubscriptionStart]] &lt;= TODAY(), Table1[[#This Row],[EffectiveEndDate]] &gt;= TODAY()),1,0)</f>
        <v>1</v>
      </c>
      <c r="AA92" s="46">
        <f ca="1">IF(AND(Table1[[#This Row],[SubscriptionStart]]&lt;=Settings!$A$2,Table1[[#This Row],[EffectiveEndDate]]&gt;=Settings!$A$2),1,0)</f>
        <v>0</v>
      </c>
      <c r="AB92" s="46">
        <f ca="1">IF(AND(Table1[[#This Row],[SubscriptionStart]]&lt;=Settings!$B$2,Table1[[#This Row],[EffectiveEndDate]]&gt;=Settings!$B$2),1,0)</f>
        <v>1</v>
      </c>
      <c r="AC92" s="46">
        <f ca="1">IF(AND(Table1[[#This Row],[SubscriptionStart]]&lt;=Settings!$C$2,Table1[[#This Row],[EffectiveEndDate]]&gt;=Settings!$C$2),1,0)</f>
        <v>1</v>
      </c>
      <c r="AD92" s="46">
        <f ca="1">IF(AND(Table1[[#This Row],[SubscriptionStart]]&lt;=Settings!$D$2,Table1[[#This Row],[EffectiveEndDate]]&gt;=Settings!$D$2),1,0)</f>
        <v>1</v>
      </c>
      <c r="AE92" s="46">
        <f ca="1">IF(AND(Table1[[#This Row],[SubscriptionStart]]&lt;=Settings!$E$2,Table1[[#This Row],[EffectiveEndDate]]&gt;=Settings!$E$2),1,0)</f>
        <v>1</v>
      </c>
      <c r="AF92"/>
      <c r="AG92"/>
      <c r="AH92"/>
      <c r="AI92"/>
      <c r="AJ92"/>
      <c r="AK92"/>
    </row>
    <row r="93" spans="1:37">
      <c r="A93" s="3" t="s">
        <v>585</v>
      </c>
      <c r="B93" s="3">
        <v>28</v>
      </c>
      <c r="C93" s="3" t="s">
        <v>37</v>
      </c>
      <c r="D93" s="5">
        <v>44659</v>
      </c>
      <c r="F93" s="3">
        <f ca="1">TODAY() - Table1[[#This Row],[SubscriptionStart]]</f>
        <v>1322</v>
      </c>
      <c r="G93" s="4">
        <v>48</v>
      </c>
      <c r="H93" s="3" t="s">
        <v>24</v>
      </c>
      <c r="I93" s="3" t="s">
        <v>25</v>
      </c>
      <c r="J93" s="7" cm="1">
        <f t="array" ref="J93">_xlfn.IFS(Table1[[#This Row],[Tier]]="Basic",10,Table1[[#This Row],[Tier]]="Standard",18,Table1[[#This Row],[Tier]]="Premium",25)</f>
        <v>25</v>
      </c>
      <c r="K93" s="7" cm="1">
        <f t="array" ref="K9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16.666666666666664</v>
      </c>
      <c r="L93" s="7" cm="1">
        <f t="array" ref="L9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780</v>
      </c>
      <c r="M93" s="3" t="str" cm="1">
        <f t="array" ref="M9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93" s="3" t="s">
        <v>52</v>
      </c>
      <c r="O93" s="3" t="s">
        <v>32</v>
      </c>
      <c r="Q93" s="3" t="str" cm="1">
        <f t="array" ref="Q93">_xlfn.IFS(Table1[[#This Row],[TotalRevenue]]&lt;100,"Low",Table1[[#This Row],[TotalRevenue]]&lt;300,"Medium",Table1[[#This Row],[TotalRevenue]]&lt;600,"High",TRUE,"Very High")</f>
        <v>Very High</v>
      </c>
      <c r="R93" s="3" t="str" cm="1">
        <f t="array" ref="R9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93" s="3" t="str">
        <f>IF(Table1[[#This Row],[NextBillingDate]]="","Cancelled",IF(Table1[[#This Row],[CancellationDate]]&lt;&gt;"","Cancelled","Active"))</f>
        <v>Active</v>
      </c>
      <c r="T93" s="7" cm="1">
        <f t="array" ref="T9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980</v>
      </c>
      <c r="V93" s="5">
        <v>46099</v>
      </c>
      <c r="W93" s="5">
        <v>46099</v>
      </c>
      <c r="X93" s="3">
        <v>3</v>
      </c>
      <c r="Y93" s="5">
        <f ca="1">IF(Table1[[#This Row],[ChurnStatus]]="Cancelled",Table1[[#This Row],[CancellationDate]],TODAY())</f>
        <v>45981</v>
      </c>
      <c r="Z93" s="46">
        <f ca="1">IF(AND(Table1[[#This Row],[SubscriptionStart]] &lt;= TODAY(), Table1[[#This Row],[EffectiveEndDate]] &gt;= TODAY()),1,0)</f>
        <v>1</v>
      </c>
      <c r="AA93" s="46">
        <f ca="1">IF(AND(Table1[[#This Row],[SubscriptionStart]]&lt;=Settings!$A$2,Table1[[#This Row],[EffectiveEndDate]]&gt;=Settings!$A$2),1,0)</f>
        <v>0</v>
      </c>
      <c r="AB93" s="46">
        <f ca="1">IF(AND(Table1[[#This Row],[SubscriptionStart]]&lt;=Settings!$B$2,Table1[[#This Row],[EffectiveEndDate]]&gt;=Settings!$B$2),1,0)</f>
        <v>1</v>
      </c>
      <c r="AC93" s="46">
        <f ca="1">IF(AND(Table1[[#This Row],[SubscriptionStart]]&lt;=Settings!$C$2,Table1[[#This Row],[EffectiveEndDate]]&gt;=Settings!$C$2),1,0)</f>
        <v>1</v>
      </c>
      <c r="AD93" s="46">
        <f ca="1">IF(AND(Table1[[#This Row],[SubscriptionStart]]&lt;=Settings!$D$2,Table1[[#This Row],[EffectiveEndDate]]&gt;=Settings!$D$2),1,0)</f>
        <v>1</v>
      </c>
      <c r="AE93" s="46">
        <f ca="1">IF(AND(Table1[[#This Row],[SubscriptionStart]]&lt;=Settings!$E$2,Table1[[#This Row],[EffectiveEndDate]]&gt;=Settings!$E$2),1,0)</f>
        <v>1</v>
      </c>
      <c r="AF93"/>
      <c r="AG93"/>
      <c r="AH93"/>
      <c r="AI93"/>
      <c r="AJ93"/>
      <c r="AK93"/>
    </row>
    <row r="94" spans="1:37">
      <c r="A94" s="3" t="s">
        <v>173</v>
      </c>
      <c r="B94" s="3">
        <v>24</v>
      </c>
      <c r="C94" s="3" t="s">
        <v>37</v>
      </c>
      <c r="D94" s="5">
        <v>44662</v>
      </c>
      <c r="E94" s="5">
        <v>45022</v>
      </c>
      <c r="F94" s="3">
        <f ca="1">TODAY() - Table1[[#This Row],[SubscriptionStart]]</f>
        <v>1319</v>
      </c>
      <c r="G94" s="4">
        <v>12</v>
      </c>
      <c r="H94" s="3" t="s">
        <v>24</v>
      </c>
      <c r="I94" s="3" t="s">
        <v>39</v>
      </c>
      <c r="J94" s="7" cm="1">
        <f t="array" ref="J94">_xlfn.IFS(Table1[[#This Row],[Tier]]="Basic",10,Table1[[#This Row],[Tier]]="Standard",18,Table1[[#This Row],[Tier]]="Premium",25)</f>
        <v>18</v>
      </c>
      <c r="K94" s="7" cm="1">
        <f t="array" ref="K9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94" s="7" cm="1">
        <f t="array" ref="L9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94" s="3" t="str" cm="1">
        <f t="array" ref="M94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94" s="3" t="s">
        <v>34</v>
      </c>
      <c r="O94" s="3" t="s">
        <v>49</v>
      </c>
      <c r="P94" s="3" t="s">
        <v>41</v>
      </c>
      <c r="Q94" s="3" t="str" cm="1">
        <f t="array" ref="Q94">_xlfn.IFS(Table1[[#This Row],[TotalRevenue]]&lt;100,"Low",Table1[[#This Row],[TotalRevenue]]&lt;300,"Medium",Table1[[#This Row],[TotalRevenue]]&lt;600,"High",TRUE,"Very High")</f>
        <v>Medium</v>
      </c>
      <c r="R94" s="3" t="str" cm="1">
        <f t="array" ref="R94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94" s="3" t="str">
        <f>IF(Table1[[#This Row],[NextBillingDate]]="","Cancelled",IF(Table1[[#This Row],[CancellationDate]]&lt;&gt;"","Cancelled","Active"))</f>
        <v>Cancelled</v>
      </c>
      <c r="T94" s="7" cm="1">
        <f t="array" ref="T9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94" s="5">
        <v>45022</v>
      </c>
      <c r="W94" s="5">
        <v>45022</v>
      </c>
      <c r="X94" s="3">
        <v>0</v>
      </c>
      <c r="Y94" s="5">
        <f ca="1">IF(Table1[[#This Row],[ChurnStatus]]="Cancelled",Table1[[#This Row],[CancellationDate]],TODAY())</f>
        <v>45022</v>
      </c>
      <c r="Z94" s="46">
        <f ca="1">IF(AND(Table1[[#This Row],[SubscriptionStart]] &lt;= TODAY(), Table1[[#This Row],[EffectiveEndDate]] &gt;= TODAY()),1,0)</f>
        <v>0</v>
      </c>
      <c r="AA94" s="46">
        <f ca="1">IF(AND(Table1[[#This Row],[SubscriptionStart]]&lt;=Settings!$A$2,Table1[[#This Row],[EffectiveEndDate]]&gt;=Settings!$A$2),1,0)</f>
        <v>0</v>
      </c>
      <c r="AB94" s="46">
        <f ca="1">IF(AND(Table1[[#This Row],[SubscriptionStart]]&lt;=Settings!$B$2,Table1[[#This Row],[EffectiveEndDate]]&gt;=Settings!$B$2),1,0)</f>
        <v>1</v>
      </c>
      <c r="AC94" s="46">
        <f ca="1">IF(AND(Table1[[#This Row],[SubscriptionStart]]&lt;=Settings!$C$2,Table1[[#This Row],[EffectiveEndDate]]&gt;=Settings!$C$2),1,0)</f>
        <v>1</v>
      </c>
      <c r="AD94" s="46">
        <f ca="1">IF(AND(Table1[[#This Row],[SubscriptionStart]]&lt;=Settings!$D$2,Table1[[#This Row],[EffectiveEndDate]]&gt;=Settings!$D$2),1,0)</f>
        <v>0</v>
      </c>
      <c r="AE94" s="46">
        <f ca="1">IF(AND(Table1[[#This Row],[SubscriptionStart]]&lt;=Settings!$E$2,Table1[[#This Row],[EffectiveEndDate]]&gt;=Settings!$E$2),1,0)</f>
        <v>0</v>
      </c>
      <c r="AF94"/>
      <c r="AG94"/>
      <c r="AH94"/>
      <c r="AI94"/>
      <c r="AJ94"/>
      <c r="AK94"/>
    </row>
    <row r="95" spans="1:37">
      <c r="A95" s="3" t="s">
        <v>263</v>
      </c>
      <c r="B95" s="3">
        <v>61</v>
      </c>
      <c r="C95" s="3" t="s">
        <v>23</v>
      </c>
      <c r="D95" s="5">
        <v>44665</v>
      </c>
      <c r="E95" s="5">
        <v>44845</v>
      </c>
      <c r="F95" s="3">
        <f ca="1">TODAY() - Table1[[#This Row],[SubscriptionStart]]</f>
        <v>1316</v>
      </c>
      <c r="G95" s="4">
        <v>6</v>
      </c>
      <c r="H95" s="3" t="s">
        <v>38</v>
      </c>
      <c r="I95" s="3" t="s">
        <v>30</v>
      </c>
      <c r="J95" s="7" cm="1">
        <f t="array" ref="J95">_xlfn.IFS(Table1[[#This Row],[Tier]]="Basic",10,Table1[[#This Row],[Tier]]="Standard",18,Table1[[#This Row],[Tier]]="Premium",25)</f>
        <v>10</v>
      </c>
      <c r="K95" s="7" cm="1">
        <f t="array" ref="K9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95" s="7" cm="1">
        <f t="array" ref="L9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95" s="3" t="str" cm="1">
        <f t="array" ref="M95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95" s="3" t="s">
        <v>52</v>
      </c>
      <c r="O95" s="3" t="s">
        <v>43</v>
      </c>
      <c r="P95" s="3" t="s">
        <v>35</v>
      </c>
      <c r="Q95" s="3" t="str" cm="1">
        <f t="array" ref="Q95">_xlfn.IFS(Table1[[#This Row],[TotalRevenue]]&lt;100,"Low",Table1[[#This Row],[TotalRevenue]]&lt;300,"Medium",Table1[[#This Row],[TotalRevenue]]&lt;600,"High",TRUE,"Very High")</f>
        <v>Low</v>
      </c>
      <c r="R95" s="3" t="str" cm="1">
        <f t="array" ref="R95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95" s="3" t="str">
        <f>IF(Table1[[#This Row],[NextBillingDate]]="","Cancelled",IF(Table1[[#This Row],[CancellationDate]]&lt;&gt;"","Cancelled","Active"))</f>
        <v>Cancelled</v>
      </c>
      <c r="T95" s="7" cm="1">
        <f t="array" ref="T9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95" s="5">
        <v>44845</v>
      </c>
      <c r="W95" s="5">
        <v>44845</v>
      </c>
      <c r="X95" s="3">
        <v>0</v>
      </c>
      <c r="Y95" s="5">
        <f ca="1">IF(Table1[[#This Row],[ChurnStatus]]="Cancelled",Table1[[#This Row],[CancellationDate]],TODAY())</f>
        <v>44845</v>
      </c>
      <c r="Z95" s="46">
        <f ca="1">IF(AND(Table1[[#This Row],[SubscriptionStart]] &lt;= TODAY(), Table1[[#This Row],[EffectiveEndDate]] &gt;= TODAY()),1,0)</f>
        <v>0</v>
      </c>
      <c r="AA95" s="46">
        <f ca="1">IF(AND(Table1[[#This Row],[SubscriptionStart]]&lt;=Settings!$A$2,Table1[[#This Row],[EffectiveEndDate]]&gt;=Settings!$A$2),1,0)</f>
        <v>0</v>
      </c>
      <c r="AB95" s="46">
        <f ca="1">IF(AND(Table1[[#This Row],[SubscriptionStart]]&lt;=Settings!$B$2,Table1[[#This Row],[EffectiveEndDate]]&gt;=Settings!$B$2),1,0)</f>
        <v>1</v>
      </c>
      <c r="AC95" s="46">
        <f ca="1">IF(AND(Table1[[#This Row],[SubscriptionStart]]&lt;=Settings!$C$2,Table1[[#This Row],[EffectiveEndDate]]&gt;=Settings!$C$2),1,0)</f>
        <v>0</v>
      </c>
      <c r="AD95" s="46">
        <f ca="1">IF(AND(Table1[[#This Row],[SubscriptionStart]]&lt;=Settings!$D$2,Table1[[#This Row],[EffectiveEndDate]]&gt;=Settings!$D$2),1,0)</f>
        <v>0</v>
      </c>
      <c r="AE95" s="46">
        <f ca="1">IF(AND(Table1[[#This Row],[SubscriptionStart]]&lt;=Settings!$E$2,Table1[[#This Row],[EffectiveEndDate]]&gt;=Settings!$E$2),1,0)</f>
        <v>0</v>
      </c>
      <c r="AF95"/>
      <c r="AG95"/>
      <c r="AH95"/>
      <c r="AI95"/>
      <c r="AJ95"/>
      <c r="AK95"/>
    </row>
    <row r="96" spans="1:37">
      <c r="A96" s="3" t="s">
        <v>48</v>
      </c>
      <c r="B96" s="3">
        <v>43</v>
      </c>
      <c r="C96" s="3" t="s">
        <v>23</v>
      </c>
      <c r="D96" s="5">
        <v>44669</v>
      </c>
      <c r="E96" s="5">
        <v>45029</v>
      </c>
      <c r="F96" s="3">
        <f ca="1">TODAY() - Table1[[#This Row],[SubscriptionStart]]</f>
        <v>1312</v>
      </c>
      <c r="G96" s="4">
        <v>12</v>
      </c>
      <c r="H96" s="3" t="s">
        <v>24</v>
      </c>
      <c r="I96" s="3" t="s">
        <v>39</v>
      </c>
      <c r="J96" s="7" cm="1">
        <f t="array" ref="J96">_xlfn.IFS(Table1[[#This Row],[Tier]]="Basic",10,Table1[[#This Row],[Tier]]="Standard",18,Table1[[#This Row],[Tier]]="Premium",25)</f>
        <v>18</v>
      </c>
      <c r="K96" s="7" cm="1">
        <f t="array" ref="K9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96" s="7" cm="1">
        <f t="array" ref="L9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96" s="3" t="str" cm="1">
        <f t="array" ref="M9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96" s="3" t="s">
        <v>34</v>
      </c>
      <c r="O96" s="3" t="s">
        <v>49</v>
      </c>
      <c r="P96" s="3" t="s">
        <v>50</v>
      </c>
      <c r="Q96" s="3" t="str" cm="1">
        <f t="array" ref="Q96">_xlfn.IFS(Table1[[#This Row],[TotalRevenue]]&lt;100,"Low",Table1[[#This Row],[TotalRevenue]]&lt;300,"Medium",Table1[[#This Row],[TotalRevenue]]&lt;600,"High",TRUE,"Very High")</f>
        <v>Medium</v>
      </c>
      <c r="R96" s="3" t="str" cm="1">
        <f t="array" ref="R9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96" s="3" t="str">
        <f>IF(Table1[[#This Row],[NextBillingDate]]="","Cancelled",IF(Table1[[#This Row],[CancellationDate]]&lt;&gt;"","Cancelled","Active"))</f>
        <v>Cancelled</v>
      </c>
      <c r="T96" s="7" cm="1">
        <f t="array" ref="T9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96" s="5">
        <v>45029</v>
      </c>
      <c r="W96" s="5">
        <v>45029</v>
      </c>
      <c r="X96" s="3">
        <v>0</v>
      </c>
      <c r="Y96" s="5">
        <f ca="1">IF(Table1[[#This Row],[ChurnStatus]]="Cancelled",Table1[[#This Row],[CancellationDate]],TODAY())</f>
        <v>45029</v>
      </c>
      <c r="Z96" s="46">
        <f ca="1">IF(AND(Table1[[#This Row],[SubscriptionStart]] &lt;= TODAY(), Table1[[#This Row],[EffectiveEndDate]] &gt;= TODAY()),1,0)</f>
        <v>0</v>
      </c>
      <c r="AA96" s="46">
        <f ca="1">IF(AND(Table1[[#This Row],[SubscriptionStart]]&lt;=Settings!$A$2,Table1[[#This Row],[EffectiveEndDate]]&gt;=Settings!$A$2),1,0)</f>
        <v>0</v>
      </c>
      <c r="AB96" s="46">
        <f ca="1">IF(AND(Table1[[#This Row],[SubscriptionStart]]&lt;=Settings!$B$2,Table1[[#This Row],[EffectiveEndDate]]&gt;=Settings!$B$2),1,0)</f>
        <v>1</v>
      </c>
      <c r="AC96" s="46">
        <f ca="1">IF(AND(Table1[[#This Row],[SubscriptionStart]]&lt;=Settings!$C$2,Table1[[#This Row],[EffectiveEndDate]]&gt;=Settings!$C$2),1,0)</f>
        <v>1</v>
      </c>
      <c r="AD96" s="46">
        <f ca="1">IF(AND(Table1[[#This Row],[SubscriptionStart]]&lt;=Settings!$D$2,Table1[[#This Row],[EffectiveEndDate]]&gt;=Settings!$D$2),1,0)</f>
        <v>0</v>
      </c>
      <c r="AE96" s="46">
        <f ca="1">IF(AND(Table1[[#This Row],[SubscriptionStart]]&lt;=Settings!$E$2,Table1[[#This Row],[EffectiveEndDate]]&gt;=Settings!$E$2),1,0)</f>
        <v>0</v>
      </c>
      <c r="AF96"/>
      <c r="AG96"/>
      <c r="AH96"/>
      <c r="AI96"/>
      <c r="AJ96"/>
      <c r="AK96"/>
    </row>
    <row r="97" spans="1:37">
      <c r="A97" s="3" t="s">
        <v>187</v>
      </c>
      <c r="B97" s="3">
        <v>28</v>
      </c>
      <c r="C97" s="3" t="s">
        <v>23</v>
      </c>
      <c r="D97" s="5">
        <v>44669</v>
      </c>
      <c r="F97" s="3">
        <f ca="1">TODAY() - Table1[[#This Row],[SubscriptionStart]]</f>
        <v>1312</v>
      </c>
      <c r="G97" s="4">
        <v>48</v>
      </c>
      <c r="H97" s="3" t="s">
        <v>24</v>
      </c>
      <c r="I97" s="3" t="s">
        <v>25</v>
      </c>
      <c r="J97" s="7" cm="1">
        <f t="array" ref="J97">_xlfn.IFS(Table1[[#This Row],[Tier]]="Basic",10,Table1[[#This Row],[Tier]]="Standard",18,Table1[[#This Row],[Tier]]="Premium",25)</f>
        <v>25</v>
      </c>
      <c r="K97" s="7" cm="1">
        <f t="array" ref="K9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16.666666666666664</v>
      </c>
      <c r="L97" s="7" cm="1">
        <f t="array" ref="L9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780</v>
      </c>
      <c r="M97" s="3" t="str" cm="1">
        <f t="array" ref="M9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97" s="3" t="s">
        <v>31</v>
      </c>
      <c r="O97" s="3" t="s">
        <v>43</v>
      </c>
      <c r="Q97" s="3" t="str" cm="1">
        <f t="array" ref="Q97">_xlfn.IFS(Table1[[#This Row],[TotalRevenue]]&lt;100,"Low",Table1[[#This Row],[TotalRevenue]]&lt;300,"Medium",Table1[[#This Row],[TotalRevenue]]&lt;600,"High",TRUE,"Very High")</f>
        <v>Very High</v>
      </c>
      <c r="R97" s="3" t="str" cm="1">
        <f t="array" ref="R9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97" s="3" t="str">
        <f>IF(Table1[[#This Row],[NextBillingDate]]="","Cancelled",IF(Table1[[#This Row],[CancellationDate]]&lt;&gt;"","Cancelled","Active"))</f>
        <v>Active</v>
      </c>
      <c r="T97" s="7" cm="1">
        <f t="array" ref="T9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980</v>
      </c>
      <c r="V97" s="5">
        <v>46109</v>
      </c>
      <c r="W97" s="5">
        <v>46109</v>
      </c>
      <c r="X97" s="3">
        <v>3</v>
      </c>
      <c r="Y97" s="5">
        <f ca="1">IF(Table1[[#This Row],[ChurnStatus]]="Cancelled",Table1[[#This Row],[CancellationDate]],TODAY())</f>
        <v>45981</v>
      </c>
      <c r="Z97" s="46">
        <f ca="1">IF(AND(Table1[[#This Row],[SubscriptionStart]] &lt;= TODAY(), Table1[[#This Row],[EffectiveEndDate]] &gt;= TODAY()),1,0)</f>
        <v>1</v>
      </c>
      <c r="AA97" s="46">
        <f ca="1">IF(AND(Table1[[#This Row],[SubscriptionStart]]&lt;=Settings!$A$2,Table1[[#This Row],[EffectiveEndDate]]&gt;=Settings!$A$2),1,0)</f>
        <v>0</v>
      </c>
      <c r="AB97" s="46">
        <f ca="1">IF(AND(Table1[[#This Row],[SubscriptionStart]]&lt;=Settings!$B$2,Table1[[#This Row],[EffectiveEndDate]]&gt;=Settings!$B$2),1,0)</f>
        <v>1</v>
      </c>
      <c r="AC97" s="46">
        <f ca="1">IF(AND(Table1[[#This Row],[SubscriptionStart]]&lt;=Settings!$C$2,Table1[[#This Row],[EffectiveEndDate]]&gt;=Settings!$C$2),1,0)</f>
        <v>1</v>
      </c>
      <c r="AD97" s="46">
        <f ca="1">IF(AND(Table1[[#This Row],[SubscriptionStart]]&lt;=Settings!$D$2,Table1[[#This Row],[EffectiveEndDate]]&gt;=Settings!$D$2),1,0)</f>
        <v>1</v>
      </c>
      <c r="AE97" s="46">
        <f ca="1">IF(AND(Table1[[#This Row],[SubscriptionStart]]&lt;=Settings!$E$2,Table1[[#This Row],[EffectiveEndDate]]&gt;=Settings!$E$2),1,0)</f>
        <v>1</v>
      </c>
      <c r="AF97"/>
      <c r="AG97"/>
      <c r="AH97"/>
      <c r="AI97"/>
      <c r="AJ97"/>
      <c r="AK97"/>
    </row>
    <row r="98" spans="1:37">
      <c r="A98" s="3" t="s">
        <v>367</v>
      </c>
      <c r="B98" s="3">
        <v>30</v>
      </c>
      <c r="C98" s="3" t="s">
        <v>37</v>
      </c>
      <c r="D98" s="5">
        <v>44670</v>
      </c>
      <c r="E98" s="5">
        <v>44700</v>
      </c>
      <c r="F98" s="3">
        <f ca="1">TODAY() - Table1[[#This Row],[SubscriptionStart]]</f>
        <v>1311</v>
      </c>
      <c r="G98" s="4">
        <v>1</v>
      </c>
      <c r="H98" s="3" t="s">
        <v>29</v>
      </c>
      <c r="I98" s="3" t="s">
        <v>30</v>
      </c>
      <c r="J98" s="7" cm="1">
        <f t="array" ref="J98">_xlfn.IFS(Table1[[#This Row],[Tier]]="Basic",10,Table1[[#This Row],[Tier]]="Standard",18,Table1[[#This Row],[Tier]]="Premium",25)</f>
        <v>10</v>
      </c>
      <c r="K98" s="7" cm="1">
        <f t="array" ref="K9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98" s="7" cm="1">
        <f t="array" ref="L9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98" s="3" t="str" cm="1">
        <f t="array" ref="M9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98" s="3" t="s">
        <v>26</v>
      </c>
      <c r="O98" s="3" t="s">
        <v>40</v>
      </c>
      <c r="P98" s="3" t="s">
        <v>41</v>
      </c>
      <c r="Q98" s="3" t="str" cm="1">
        <f t="array" ref="Q98">_xlfn.IFS(Table1[[#This Row],[TotalRevenue]]&lt;100,"Low",Table1[[#This Row],[TotalRevenue]]&lt;300,"Medium",Table1[[#This Row],[TotalRevenue]]&lt;600,"High",TRUE,"Very High")</f>
        <v>Low</v>
      </c>
      <c r="R98" s="3" t="str" cm="1">
        <f t="array" ref="R9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98" s="3" t="str">
        <f>IF(Table1[[#This Row],[NextBillingDate]]="","Cancelled",IF(Table1[[#This Row],[CancellationDate]]&lt;&gt;"","Cancelled","Active"))</f>
        <v>Cancelled</v>
      </c>
      <c r="T98" s="7" cm="1">
        <f t="array" ref="T9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98" s="5">
        <v>44700</v>
      </c>
      <c r="W98" s="5">
        <v>44700</v>
      </c>
      <c r="X98" s="3">
        <v>0</v>
      </c>
      <c r="Y98" s="5">
        <f ca="1">IF(Table1[[#This Row],[ChurnStatus]]="Cancelled",Table1[[#This Row],[CancellationDate]],TODAY())</f>
        <v>44700</v>
      </c>
      <c r="Z98" s="46">
        <f ca="1">IF(AND(Table1[[#This Row],[SubscriptionStart]] &lt;= TODAY(), Table1[[#This Row],[EffectiveEndDate]] &gt;= TODAY()),1,0)</f>
        <v>0</v>
      </c>
      <c r="AA98" s="46">
        <f ca="1">IF(AND(Table1[[#This Row],[SubscriptionStart]]&lt;=Settings!$A$2,Table1[[#This Row],[EffectiveEndDate]]&gt;=Settings!$A$2),1,0)</f>
        <v>0</v>
      </c>
      <c r="AB98" s="46">
        <f ca="1">IF(AND(Table1[[#This Row],[SubscriptionStart]]&lt;=Settings!$B$2,Table1[[#This Row],[EffectiveEndDate]]&gt;=Settings!$B$2),1,0)</f>
        <v>0</v>
      </c>
      <c r="AC98" s="46">
        <f ca="1">IF(AND(Table1[[#This Row],[SubscriptionStart]]&lt;=Settings!$C$2,Table1[[#This Row],[EffectiveEndDate]]&gt;=Settings!$C$2),1,0)</f>
        <v>0</v>
      </c>
      <c r="AD98" s="46">
        <f ca="1">IF(AND(Table1[[#This Row],[SubscriptionStart]]&lt;=Settings!$D$2,Table1[[#This Row],[EffectiveEndDate]]&gt;=Settings!$D$2),1,0)</f>
        <v>0</v>
      </c>
      <c r="AE98" s="46">
        <f ca="1">IF(AND(Table1[[#This Row],[SubscriptionStart]]&lt;=Settings!$E$2,Table1[[#This Row],[EffectiveEndDate]]&gt;=Settings!$E$2),1,0)</f>
        <v>0</v>
      </c>
      <c r="AF98"/>
      <c r="AG98"/>
      <c r="AH98"/>
      <c r="AI98"/>
      <c r="AJ98"/>
      <c r="AK98"/>
    </row>
    <row r="99" spans="1:37">
      <c r="A99" s="3" t="s">
        <v>464</v>
      </c>
      <c r="B99" s="3">
        <v>39</v>
      </c>
      <c r="C99" s="3" t="s">
        <v>37</v>
      </c>
      <c r="D99" s="5">
        <v>44672</v>
      </c>
      <c r="E99" s="5">
        <v>44852</v>
      </c>
      <c r="F99" s="3">
        <f ca="1">TODAY() - Table1[[#This Row],[SubscriptionStart]]</f>
        <v>1309</v>
      </c>
      <c r="G99" s="4">
        <v>6</v>
      </c>
      <c r="H99" s="3" t="s">
        <v>38</v>
      </c>
      <c r="I99" s="3" t="s">
        <v>25</v>
      </c>
      <c r="J99" s="7" cm="1">
        <f t="array" ref="J99">_xlfn.IFS(Table1[[#This Row],[Tier]]="Basic",10,Table1[[#This Row],[Tier]]="Standard",18,Table1[[#This Row],[Tier]]="Premium",25)</f>
        <v>25</v>
      </c>
      <c r="K99" s="7" cm="1">
        <f t="array" ref="K9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99" s="7" cm="1">
        <f t="array" ref="L9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99" s="3" t="str" cm="1">
        <f t="array" ref="M9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99" s="3" t="s">
        <v>34</v>
      </c>
      <c r="O99" s="3" t="s">
        <v>32</v>
      </c>
      <c r="P99" s="3" t="s">
        <v>44</v>
      </c>
      <c r="Q99" s="3" t="str" cm="1">
        <f t="array" ref="Q99">_xlfn.IFS(Table1[[#This Row],[TotalRevenue]]&lt;100,"Low",Table1[[#This Row],[TotalRevenue]]&lt;300,"Medium",Table1[[#This Row],[TotalRevenue]]&lt;600,"High",TRUE,"Very High")</f>
        <v>Medium</v>
      </c>
      <c r="R99" s="3" t="str" cm="1">
        <f t="array" ref="R9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99" s="3" t="str">
        <f>IF(Table1[[#This Row],[NextBillingDate]]="","Cancelled",IF(Table1[[#This Row],[CancellationDate]]&lt;&gt;"","Cancelled","Active"))</f>
        <v>Cancelled</v>
      </c>
      <c r="T99" s="7" cm="1">
        <f t="array" ref="T9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99" s="5">
        <v>44852</v>
      </c>
      <c r="W99" s="5">
        <v>44852</v>
      </c>
      <c r="X99" s="3">
        <v>0</v>
      </c>
      <c r="Y99" s="5">
        <f ca="1">IF(Table1[[#This Row],[ChurnStatus]]="Cancelled",Table1[[#This Row],[CancellationDate]],TODAY())</f>
        <v>44852</v>
      </c>
      <c r="Z99" s="46">
        <f ca="1">IF(AND(Table1[[#This Row],[SubscriptionStart]] &lt;= TODAY(), Table1[[#This Row],[EffectiveEndDate]] &gt;= TODAY()),1,0)</f>
        <v>0</v>
      </c>
      <c r="AA99" s="46">
        <f ca="1">IF(AND(Table1[[#This Row],[SubscriptionStart]]&lt;=Settings!$A$2,Table1[[#This Row],[EffectiveEndDate]]&gt;=Settings!$A$2),1,0)</f>
        <v>0</v>
      </c>
      <c r="AB99" s="46">
        <f ca="1">IF(AND(Table1[[#This Row],[SubscriptionStart]]&lt;=Settings!$B$2,Table1[[#This Row],[EffectiveEndDate]]&gt;=Settings!$B$2),1,0)</f>
        <v>1</v>
      </c>
      <c r="AC99" s="46">
        <f ca="1">IF(AND(Table1[[#This Row],[SubscriptionStart]]&lt;=Settings!$C$2,Table1[[#This Row],[EffectiveEndDate]]&gt;=Settings!$C$2),1,0)</f>
        <v>0</v>
      </c>
      <c r="AD99" s="46">
        <f ca="1">IF(AND(Table1[[#This Row],[SubscriptionStart]]&lt;=Settings!$D$2,Table1[[#This Row],[EffectiveEndDate]]&gt;=Settings!$D$2),1,0)</f>
        <v>0</v>
      </c>
      <c r="AE99" s="46">
        <f ca="1">IF(AND(Table1[[#This Row],[SubscriptionStart]]&lt;=Settings!$E$2,Table1[[#This Row],[EffectiveEndDate]]&gt;=Settings!$E$2),1,0)</f>
        <v>0</v>
      </c>
      <c r="AF99"/>
      <c r="AG99"/>
      <c r="AH99"/>
      <c r="AI99"/>
      <c r="AJ99"/>
      <c r="AK99"/>
    </row>
    <row r="100" spans="1:37">
      <c r="A100" s="3" t="s">
        <v>732</v>
      </c>
      <c r="B100" s="3">
        <v>34</v>
      </c>
      <c r="C100" s="3" t="s">
        <v>23</v>
      </c>
      <c r="D100" s="5">
        <v>44672</v>
      </c>
      <c r="F100" s="3">
        <f ca="1">TODAY() - Table1[[#This Row],[SubscriptionStart]]</f>
        <v>1309</v>
      </c>
      <c r="G100" s="4">
        <v>44</v>
      </c>
      <c r="H100" s="3" t="s">
        <v>29</v>
      </c>
      <c r="I100" s="3" t="s">
        <v>39</v>
      </c>
      <c r="J100" s="7" cm="1">
        <f t="array" ref="J100">_xlfn.IFS(Table1[[#This Row],[Tier]]="Basic",10,Table1[[#This Row],[Tier]]="Standard",18,Table1[[#This Row],[Tier]]="Premium",25)</f>
        <v>18</v>
      </c>
      <c r="K100" s="7" cm="1">
        <f t="array" ref="K10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100" s="7" cm="1">
        <f t="array" ref="L10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754.2</v>
      </c>
      <c r="M100" s="3" t="str" cm="1">
        <f t="array" ref="M10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00" s="3" t="s">
        <v>34</v>
      </c>
      <c r="O100" s="3" t="s">
        <v>32</v>
      </c>
      <c r="Q100" s="3" t="str" cm="1">
        <f t="array" ref="Q100">_xlfn.IFS(Table1[[#This Row],[TotalRevenue]]&lt;100,"Low",Table1[[#This Row],[TotalRevenue]]&lt;300,"Medium",Table1[[#This Row],[TotalRevenue]]&lt;600,"High",TRUE,"Very High")</f>
        <v>Very High</v>
      </c>
      <c r="R100" s="3" t="str" cm="1">
        <f t="array" ref="R10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00" s="3" t="str">
        <f>IF(Table1[[#This Row],[NextBillingDate]]="","Cancelled",IF(Table1[[#This Row],[CancellationDate]]&lt;&gt;"","Cancelled","Active"))</f>
        <v>Active</v>
      </c>
      <c r="T100" s="7" cm="1">
        <f t="array" ref="T10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772.2</v>
      </c>
      <c r="V100" s="5">
        <v>45992</v>
      </c>
      <c r="W100" s="5">
        <v>45992</v>
      </c>
      <c r="X100" s="3">
        <v>43</v>
      </c>
      <c r="Y100" s="5">
        <f ca="1">IF(Table1[[#This Row],[ChurnStatus]]="Cancelled",Table1[[#This Row],[CancellationDate]],TODAY())</f>
        <v>45981</v>
      </c>
      <c r="Z100" s="46">
        <f ca="1">IF(AND(Table1[[#This Row],[SubscriptionStart]] &lt;= TODAY(), Table1[[#This Row],[EffectiveEndDate]] &gt;= TODAY()),1,0)</f>
        <v>1</v>
      </c>
      <c r="AA100" s="46">
        <f ca="1">IF(AND(Table1[[#This Row],[SubscriptionStart]]&lt;=Settings!$A$2,Table1[[#This Row],[EffectiveEndDate]]&gt;=Settings!$A$2),1,0)</f>
        <v>0</v>
      </c>
      <c r="AB100" s="46">
        <f ca="1">IF(AND(Table1[[#This Row],[SubscriptionStart]]&lt;=Settings!$B$2,Table1[[#This Row],[EffectiveEndDate]]&gt;=Settings!$B$2),1,0)</f>
        <v>1</v>
      </c>
      <c r="AC100" s="46">
        <f ca="1">IF(AND(Table1[[#This Row],[SubscriptionStart]]&lt;=Settings!$C$2,Table1[[#This Row],[EffectiveEndDate]]&gt;=Settings!$C$2),1,0)</f>
        <v>1</v>
      </c>
      <c r="AD100" s="46">
        <f ca="1">IF(AND(Table1[[#This Row],[SubscriptionStart]]&lt;=Settings!$D$2,Table1[[#This Row],[EffectiveEndDate]]&gt;=Settings!$D$2),1,0)</f>
        <v>1</v>
      </c>
      <c r="AE100" s="46">
        <f ca="1">IF(AND(Table1[[#This Row],[SubscriptionStart]]&lt;=Settings!$E$2,Table1[[#This Row],[EffectiveEndDate]]&gt;=Settings!$E$2),1,0)</f>
        <v>1</v>
      </c>
      <c r="AF100"/>
      <c r="AG100"/>
      <c r="AH100"/>
      <c r="AI100"/>
      <c r="AJ100"/>
      <c r="AK100"/>
    </row>
    <row r="101" spans="1:37">
      <c r="A101" s="3" t="s">
        <v>287</v>
      </c>
      <c r="B101" s="3">
        <v>61</v>
      </c>
      <c r="C101" s="3" t="s">
        <v>23</v>
      </c>
      <c r="D101" s="5">
        <v>44673</v>
      </c>
      <c r="E101" s="5">
        <v>44703</v>
      </c>
      <c r="F101" s="3">
        <f ca="1">TODAY() - Table1[[#This Row],[SubscriptionStart]]</f>
        <v>1308</v>
      </c>
      <c r="G101" s="4">
        <v>1</v>
      </c>
      <c r="H101" s="3" t="s">
        <v>29</v>
      </c>
      <c r="I101" s="3" t="s">
        <v>30</v>
      </c>
      <c r="J101" s="7" cm="1">
        <f t="array" ref="J101">_xlfn.IFS(Table1[[#This Row],[Tier]]="Basic",10,Table1[[#This Row],[Tier]]="Standard",18,Table1[[#This Row],[Tier]]="Premium",25)</f>
        <v>10</v>
      </c>
      <c r="K101" s="7" cm="1">
        <f t="array" ref="K10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101" s="7" cm="1">
        <f t="array" ref="L10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01" s="3" t="str" cm="1">
        <f t="array" ref="M101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01" s="3" t="s">
        <v>34</v>
      </c>
      <c r="O101" s="3" t="s">
        <v>32</v>
      </c>
      <c r="P101" s="3" t="s">
        <v>50</v>
      </c>
      <c r="Q101" s="3" t="str" cm="1">
        <f t="array" ref="Q101">_xlfn.IFS(Table1[[#This Row],[TotalRevenue]]&lt;100,"Low",Table1[[#This Row],[TotalRevenue]]&lt;300,"Medium",Table1[[#This Row],[TotalRevenue]]&lt;600,"High",TRUE,"Very High")</f>
        <v>Low</v>
      </c>
      <c r="R101" s="3" t="str" cm="1">
        <f t="array" ref="R101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01" s="3" t="str">
        <f>IF(Table1[[#This Row],[NextBillingDate]]="","Cancelled",IF(Table1[[#This Row],[CancellationDate]]&lt;&gt;"","Cancelled","Active"))</f>
        <v>Cancelled</v>
      </c>
      <c r="T101" s="7" cm="1">
        <f t="array" ref="T10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01" s="5">
        <v>44703</v>
      </c>
      <c r="W101" s="5">
        <v>44703</v>
      </c>
      <c r="X101" s="3">
        <v>0</v>
      </c>
      <c r="Y101" s="5">
        <f ca="1">IF(Table1[[#This Row],[ChurnStatus]]="Cancelled",Table1[[#This Row],[CancellationDate]],TODAY())</f>
        <v>44703</v>
      </c>
      <c r="Z101" s="46">
        <f ca="1">IF(AND(Table1[[#This Row],[SubscriptionStart]] &lt;= TODAY(), Table1[[#This Row],[EffectiveEndDate]] &gt;= TODAY()),1,0)</f>
        <v>0</v>
      </c>
      <c r="AA101" s="46">
        <f ca="1">IF(AND(Table1[[#This Row],[SubscriptionStart]]&lt;=Settings!$A$2,Table1[[#This Row],[EffectiveEndDate]]&gt;=Settings!$A$2),1,0)</f>
        <v>0</v>
      </c>
      <c r="AB101" s="46">
        <f ca="1">IF(AND(Table1[[#This Row],[SubscriptionStart]]&lt;=Settings!$B$2,Table1[[#This Row],[EffectiveEndDate]]&gt;=Settings!$B$2),1,0)</f>
        <v>0</v>
      </c>
      <c r="AC101" s="46">
        <f ca="1">IF(AND(Table1[[#This Row],[SubscriptionStart]]&lt;=Settings!$C$2,Table1[[#This Row],[EffectiveEndDate]]&gt;=Settings!$C$2),1,0)</f>
        <v>0</v>
      </c>
      <c r="AD101" s="46">
        <f ca="1">IF(AND(Table1[[#This Row],[SubscriptionStart]]&lt;=Settings!$D$2,Table1[[#This Row],[EffectiveEndDate]]&gt;=Settings!$D$2),1,0)</f>
        <v>0</v>
      </c>
      <c r="AE101" s="46">
        <f ca="1">IF(AND(Table1[[#This Row],[SubscriptionStart]]&lt;=Settings!$E$2,Table1[[#This Row],[EffectiveEndDate]]&gt;=Settings!$E$2),1,0)</f>
        <v>0</v>
      </c>
      <c r="AF101"/>
      <c r="AG101"/>
      <c r="AH101"/>
      <c r="AI101"/>
      <c r="AJ101"/>
      <c r="AK101"/>
    </row>
    <row r="102" spans="1:37">
      <c r="A102" s="3" t="s">
        <v>355</v>
      </c>
      <c r="B102" s="3">
        <v>57</v>
      </c>
      <c r="C102" s="3" t="s">
        <v>23</v>
      </c>
      <c r="D102" s="5">
        <v>44674</v>
      </c>
      <c r="E102" s="5">
        <v>44854</v>
      </c>
      <c r="F102" s="3">
        <f ca="1">TODAY() - Table1[[#This Row],[SubscriptionStart]]</f>
        <v>1307</v>
      </c>
      <c r="G102" s="4">
        <v>6</v>
      </c>
      <c r="H102" s="3" t="s">
        <v>38</v>
      </c>
      <c r="I102" s="3" t="s">
        <v>39</v>
      </c>
      <c r="J102" s="7" cm="1">
        <f t="array" ref="J102">_xlfn.IFS(Table1[[#This Row],[Tier]]="Basic",10,Table1[[#This Row],[Tier]]="Standard",18,Table1[[#This Row],[Tier]]="Premium",25)</f>
        <v>18</v>
      </c>
      <c r="K102" s="7" cm="1">
        <f t="array" ref="K10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102" s="7" cm="1">
        <f t="array" ref="L10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102" s="3" t="str" cm="1">
        <f t="array" ref="M102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102" s="3" t="s">
        <v>52</v>
      </c>
      <c r="O102" s="3" t="s">
        <v>40</v>
      </c>
      <c r="P102" s="3" t="s">
        <v>50</v>
      </c>
      <c r="Q102" s="3" t="str" cm="1">
        <f t="array" ref="Q102">_xlfn.IFS(Table1[[#This Row],[TotalRevenue]]&lt;100,"Low",Table1[[#This Row],[TotalRevenue]]&lt;300,"Medium",Table1[[#This Row],[TotalRevenue]]&lt;600,"High",TRUE,"Very High")</f>
        <v>Low</v>
      </c>
      <c r="R102" s="3" t="str" cm="1">
        <f t="array" ref="R10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02" s="3" t="str">
        <f>IF(Table1[[#This Row],[NextBillingDate]]="","Cancelled",IF(Table1[[#This Row],[CancellationDate]]&lt;&gt;"","Cancelled","Active"))</f>
        <v>Cancelled</v>
      </c>
      <c r="T102" s="7" cm="1">
        <f t="array" ref="T10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102" s="5">
        <v>44854</v>
      </c>
      <c r="W102" s="5">
        <v>44854</v>
      </c>
      <c r="X102" s="3">
        <v>0</v>
      </c>
      <c r="Y102" s="5">
        <f ca="1">IF(Table1[[#This Row],[ChurnStatus]]="Cancelled",Table1[[#This Row],[CancellationDate]],TODAY())</f>
        <v>44854</v>
      </c>
      <c r="Z102" s="46">
        <f ca="1">IF(AND(Table1[[#This Row],[SubscriptionStart]] &lt;= TODAY(), Table1[[#This Row],[EffectiveEndDate]] &gt;= TODAY()),1,0)</f>
        <v>0</v>
      </c>
      <c r="AA102" s="46">
        <f ca="1">IF(AND(Table1[[#This Row],[SubscriptionStart]]&lt;=Settings!$A$2,Table1[[#This Row],[EffectiveEndDate]]&gt;=Settings!$A$2),1,0)</f>
        <v>0</v>
      </c>
      <c r="AB102" s="46">
        <f ca="1">IF(AND(Table1[[#This Row],[SubscriptionStart]]&lt;=Settings!$B$2,Table1[[#This Row],[EffectiveEndDate]]&gt;=Settings!$B$2),1,0)</f>
        <v>1</v>
      </c>
      <c r="AC102" s="46">
        <f ca="1">IF(AND(Table1[[#This Row],[SubscriptionStart]]&lt;=Settings!$C$2,Table1[[#This Row],[EffectiveEndDate]]&gt;=Settings!$C$2),1,0)</f>
        <v>0</v>
      </c>
      <c r="AD102" s="46">
        <f ca="1">IF(AND(Table1[[#This Row],[SubscriptionStart]]&lt;=Settings!$D$2,Table1[[#This Row],[EffectiveEndDate]]&gt;=Settings!$D$2),1,0)</f>
        <v>0</v>
      </c>
      <c r="AE102" s="46">
        <f ca="1">IF(AND(Table1[[#This Row],[SubscriptionStart]]&lt;=Settings!$E$2,Table1[[#This Row],[EffectiveEndDate]]&gt;=Settings!$E$2),1,0)</f>
        <v>0</v>
      </c>
      <c r="AF102"/>
      <c r="AG102"/>
      <c r="AH102"/>
      <c r="AI102"/>
      <c r="AJ102"/>
      <c r="AK102"/>
    </row>
    <row r="103" spans="1:37">
      <c r="A103" s="3" t="s">
        <v>703</v>
      </c>
      <c r="B103" s="3">
        <v>38</v>
      </c>
      <c r="C103" s="3" t="s">
        <v>37</v>
      </c>
      <c r="D103" s="5">
        <v>44675</v>
      </c>
      <c r="E103" s="5">
        <v>44705</v>
      </c>
      <c r="F103" s="3">
        <f ca="1">TODAY() - Table1[[#This Row],[SubscriptionStart]]</f>
        <v>1306</v>
      </c>
      <c r="G103" s="4">
        <v>1</v>
      </c>
      <c r="H103" s="3" t="s">
        <v>29</v>
      </c>
      <c r="I103" s="3" t="s">
        <v>39</v>
      </c>
      <c r="J103" s="7" cm="1">
        <f t="array" ref="J103">_xlfn.IFS(Table1[[#This Row],[Tier]]="Basic",10,Table1[[#This Row],[Tier]]="Standard",18,Table1[[#This Row],[Tier]]="Premium",25)</f>
        <v>18</v>
      </c>
      <c r="K103" s="7" cm="1">
        <f t="array" ref="K10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103" s="7" cm="1">
        <f t="array" ref="L10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03" s="3" t="str" cm="1">
        <f t="array" ref="M10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03" s="3" t="s">
        <v>34</v>
      </c>
      <c r="O103" s="3" t="s">
        <v>27</v>
      </c>
      <c r="P103" s="3" t="s">
        <v>35</v>
      </c>
      <c r="Q103" s="3" t="str" cm="1">
        <f t="array" ref="Q103">_xlfn.IFS(Table1[[#This Row],[TotalRevenue]]&lt;100,"Low",Table1[[#This Row],[TotalRevenue]]&lt;300,"Medium",Table1[[#This Row],[TotalRevenue]]&lt;600,"High",TRUE,"Very High")</f>
        <v>Low</v>
      </c>
      <c r="R103" s="3" t="str" cm="1">
        <f t="array" ref="R10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03" s="3" t="str">
        <f>IF(Table1[[#This Row],[NextBillingDate]]="","Cancelled",IF(Table1[[#This Row],[CancellationDate]]&lt;&gt;"","Cancelled","Active"))</f>
        <v>Cancelled</v>
      </c>
      <c r="T103" s="7" cm="1">
        <f t="array" ref="T10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03" s="5">
        <v>44705</v>
      </c>
      <c r="W103" s="5">
        <v>44705</v>
      </c>
      <c r="X103" s="3">
        <v>0</v>
      </c>
      <c r="Y103" s="5">
        <f ca="1">IF(Table1[[#This Row],[ChurnStatus]]="Cancelled",Table1[[#This Row],[CancellationDate]],TODAY())</f>
        <v>44705</v>
      </c>
      <c r="Z103" s="46">
        <f ca="1">IF(AND(Table1[[#This Row],[SubscriptionStart]] &lt;= TODAY(), Table1[[#This Row],[EffectiveEndDate]] &gt;= TODAY()),1,0)</f>
        <v>0</v>
      </c>
      <c r="AA103" s="46">
        <f ca="1">IF(AND(Table1[[#This Row],[SubscriptionStart]]&lt;=Settings!$A$2,Table1[[#This Row],[EffectiveEndDate]]&gt;=Settings!$A$2),1,0)</f>
        <v>0</v>
      </c>
      <c r="AB103" s="46">
        <f ca="1">IF(AND(Table1[[#This Row],[SubscriptionStart]]&lt;=Settings!$B$2,Table1[[#This Row],[EffectiveEndDate]]&gt;=Settings!$B$2),1,0)</f>
        <v>0</v>
      </c>
      <c r="AC103" s="46">
        <f ca="1">IF(AND(Table1[[#This Row],[SubscriptionStart]]&lt;=Settings!$C$2,Table1[[#This Row],[EffectiveEndDate]]&gt;=Settings!$C$2),1,0)</f>
        <v>0</v>
      </c>
      <c r="AD103" s="46">
        <f ca="1">IF(AND(Table1[[#This Row],[SubscriptionStart]]&lt;=Settings!$D$2,Table1[[#This Row],[EffectiveEndDate]]&gt;=Settings!$D$2),1,0)</f>
        <v>0</v>
      </c>
      <c r="AE103" s="46">
        <f ca="1">IF(AND(Table1[[#This Row],[SubscriptionStart]]&lt;=Settings!$E$2,Table1[[#This Row],[EffectiveEndDate]]&gt;=Settings!$E$2),1,0)</f>
        <v>0</v>
      </c>
      <c r="AF103"/>
      <c r="AG103"/>
      <c r="AH103"/>
      <c r="AI103"/>
      <c r="AJ103"/>
      <c r="AK103"/>
    </row>
    <row r="104" spans="1:37">
      <c r="A104" s="3" t="s">
        <v>567</v>
      </c>
      <c r="B104" s="3">
        <v>46</v>
      </c>
      <c r="C104" s="3" t="s">
        <v>23</v>
      </c>
      <c r="D104" s="5">
        <v>44675</v>
      </c>
      <c r="E104" s="5">
        <v>45035</v>
      </c>
      <c r="F104" s="3">
        <f ca="1">TODAY() - Table1[[#This Row],[SubscriptionStart]]</f>
        <v>1306</v>
      </c>
      <c r="G104" s="4">
        <v>12</v>
      </c>
      <c r="H104" s="3" t="s">
        <v>24</v>
      </c>
      <c r="I104" s="3" t="s">
        <v>30</v>
      </c>
      <c r="J104" s="7" cm="1">
        <f t="array" ref="J104">_xlfn.IFS(Table1[[#This Row],[Tier]]="Basic",10,Table1[[#This Row],[Tier]]="Standard",18,Table1[[#This Row],[Tier]]="Premium",25)</f>
        <v>10</v>
      </c>
      <c r="K104" s="7" cm="1">
        <f t="array" ref="K10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104" s="7" cm="1">
        <f t="array" ref="L10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104" s="3" t="str" cm="1">
        <f t="array" ref="M10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04" s="3" t="s">
        <v>34</v>
      </c>
      <c r="O104" s="3" t="s">
        <v>32</v>
      </c>
      <c r="P104" s="3" t="s">
        <v>50</v>
      </c>
      <c r="Q104" s="3" t="str" cm="1">
        <f t="array" ref="Q104">_xlfn.IFS(Table1[[#This Row],[TotalRevenue]]&lt;100,"Low",Table1[[#This Row],[TotalRevenue]]&lt;300,"Medium",Table1[[#This Row],[TotalRevenue]]&lt;600,"High",TRUE,"Very High")</f>
        <v>Low</v>
      </c>
      <c r="R104" s="3" t="str" cm="1">
        <f t="array" ref="R10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04" s="3" t="str">
        <f>IF(Table1[[#This Row],[NextBillingDate]]="","Cancelled",IF(Table1[[#This Row],[CancellationDate]]&lt;&gt;"","Cancelled","Active"))</f>
        <v>Cancelled</v>
      </c>
      <c r="T104" s="7" cm="1">
        <f t="array" ref="T10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104" s="5">
        <v>45035</v>
      </c>
      <c r="W104" s="5">
        <v>45035</v>
      </c>
      <c r="X104" s="3">
        <v>0</v>
      </c>
      <c r="Y104" s="5">
        <f ca="1">IF(Table1[[#This Row],[ChurnStatus]]="Cancelled",Table1[[#This Row],[CancellationDate]],TODAY())</f>
        <v>45035</v>
      </c>
      <c r="Z104" s="46">
        <f ca="1">IF(AND(Table1[[#This Row],[SubscriptionStart]] &lt;= TODAY(), Table1[[#This Row],[EffectiveEndDate]] &gt;= TODAY()),1,0)</f>
        <v>0</v>
      </c>
      <c r="AA104" s="46">
        <f ca="1">IF(AND(Table1[[#This Row],[SubscriptionStart]]&lt;=Settings!$A$2,Table1[[#This Row],[EffectiveEndDate]]&gt;=Settings!$A$2),1,0)</f>
        <v>0</v>
      </c>
      <c r="AB104" s="46">
        <f ca="1">IF(AND(Table1[[#This Row],[SubscriptionStart]]&lt;=Settings!$B$2,Table1[[#This Row],[EffectiveEndDate]]&gt;=Settings!$B$2),1,0)</f>
        <v>1</v>
      </c>
      <c r="AC104" s="46">
        <f ca="1">IF(AND(Table1[[#This Row],[SubscriptionStart]]&lt;=Settings!$C$2,Table1[[#This Row],[EffectiveEndDate]]&gt;=Settings!$C$2),1,0)</f>
        <v>1</v>
      </c>
      <c r="AD104" s="46">
        <f ca="1">IF(AND(Table1[[#This Row],[SubscriptionStart]]&lt;=Settings!$D$2,Table1[[#This Row],[EffectiveEndDate]]&gt;=Settings!$D$2),1,0)</f>
        <v>0</v>
      </c>
      <c r="AE104" s="46">
        <f ca="1">IF(AND(Table1[[#This Row],[SubscriptionStart]]&lt;=Settings!$E$2,Table1[[#This Row],[EffectiveEndDate]]&gt;=Settings!$E$2),1,0)</f>
        <v>0</v>
      </c>
      <c r="AF104"/>
      <c r="AG104"/>
      <c r="AH104"/>
      <c r="AI104"/>
      <c r="AJ104"/>
      <c r="AK104"/>
    </row>
    <row r="105" spans="1:37">
      <c r="A105" s="3" t="s">
        <v>667</v>
      </c>
      <c r="B105" s="3">
        <v>71</v>
      </c>
      <c r="C105" s="3" t="s">
        <v>37</v>
      </c>
      <c r="D105" s="5">
        <v>44677</v>
      </c>
      <c r="E105" s="5">
        <v>45037</v>
      </c>
      <c r="F105" s="3">
        <f ca="1">TODAY() - Table1[[#This Row],[SubscriptionStart]]</f>
        <v>1304</v>
      </c>
      <c r="G105" s="4">
        <v>12</v>
      </c>
      <c r="H105" s="3" t="s">
        <v>24</v>
      </c>
      <c r="I105" s="3" t="s">
        <v>25</v>
      </c>
      <c r="J105" s="7" cm="1">
        <f t="array" ref="J105">_xlfn.IFS(Table1[[#This Row],[Tier]]="Basic",10,Table1[[#This Row],[Tier]]="Standard",18,Table1[[#This Row],[Tier]]="Premium",25)</f>
        <v>25</v>
      </c>
      <c r="K105" s="7" cm="1">
        <f t="array" ref="K10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105" s="7" cm="1">
        <f t="array" ref="L10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105" s="3" t="str" cm="1">
        <f t="array" ref="M105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105" s="3" t="s">
        <v>34</v>
      </c>
      <c r="O105" s="3" t="s">
        <v>49</v>
      </c>
      <c r="P105" s="3" t="s">
        <v>44</v>
      </c>
      <c r="Q105" s="3" t="str" cm="1">
        <f t="array" ref="Q105">_xlfn.IFS(Table1[[#This Row],[TotalRevenue]]&lt;100,"Low",Table1[[#This Row],[TotalRevenue]]&lt;300,"Medium",Table1[[#This Row],[TotalRevenue]]&lt;600,"High",TRUE,"Very High")</f>
        <v>Medium</v>
      </c>
      <c r="R105" s="3" t="str" cm="1">
        <f t="array" ref="R105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105" s="3" t="str">
        <f>IF(Table1[[#This Row],[NextBillingDate]]="","Cancelled",IF(Table1[[#This Row],[CancellationDate]]&lt;&gt;"","Cancelled","Active"))</f>
        <v>Cancelled</v>
      </c>
      <c r="T105" s="7" cm="1">
        <f t="array" ref="T10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105" s="5">
        <v>45037</v>
      </c>
      <c r="W105" s="5">
        <v>45037</v>
      </c>
      <c r="X105" s="3">
        <v>0</v>
      </c>
      <c r="Y105" s="5">
        <f ca="1">IF(Table1[[#This Row],[ChurnStatus]]="Cancelled",Table1[[#This Row],[CancellationDate]],TODAY())</f>
        <v>45037</v>
      </c>
      <c r="Z105" s="46">
        <f ca="1">IF(AND(Table1[[#This Row],[SubscriptionStart]] &lt;= TODAY(), Table1[[#This Row],[EffectiveEndDate]] &gt;= TODAY()),1,0)</f>
        <v>0</v>
      </c>
      <c r="AA105" s="46">
        <f ca="1">IF(AND(Table1[[#This Row],[SubscriptionStart]]&lt;=Settings!$A$2,Table1[[#This Row],[EffectiveEndDate]]&gt;=Settings!$A$2),1,0)</f>
        <v>0</v>
      </c>
      <c r="AB105" s="46">
        <f ca="1">IF(AND(Table1[[#This Row],[SubscriptionStart]]&lt;=Settings!$B$2,Table1[[#This Row],[EffectiveEndDate]]&gt;=Settings!$B$2),1,0)</f>
        <v>1</v>
      </c>
      <c r="AC105" s="46">
        <f ca="1">IF(AND(Table1[[#This Row],[SubscriptionStart]]&lt;=Settings!$C$2,Table1[[#This Row],[EffectiveEndDate]]&gt;=Settings!$C$2),1,0)</f>
        <v>1</v>
      </c>
      <c r="AD105" s="46">
        <f ca="1">IF(AND(Table1[[#This Row],[SubscriptionStart]]&lt;=Settings!$D$2,Table1[[#This Row],[EffectiveEndDate]]&gt;=Settings!$D$2),1,0)</f>
        <v>0</v>
      </c>
      <c r="AE105" s="46">
        <f ca="1">IF(AND(Table1[[#This Row],[SubscriptionStart]]&lt;=Settings!$E$2,Table1[[#This Row],[EffectiveEndDate]]&gt;=Settings!$E$2),1,0)</f>
        <v>0</v>
      </c>
      <c r="AF105"/>
      <c r="AG105"/>
      <c r="AH105"/>
      <c r="AI105"/>
      <c r="AJ105"/>
      <c r="AK105"/>
    </row>
    <row r="106" spans="1:37">
      <c r="A106" s="3" t="s">
        <v>709</v>
      </c>
      <c r="B106" s="3">
        <v>28</v>
      </c>
      <c r="C106" s="3" t="s">
        <v>37</v>
      </c>
      <c r="D106" s="5">
        <v>44680</v>
      </c>
      <c r="E106" s="5">
        <v>45040</v>
      </c>
      <c r="F106" s="3">
        <f ca="1">TODAY() - Table1[[#This Row],[SubscriptionStart]]</f>
        <v>1301</v>
      </c>
      <c r="G106" s="4">
        <v>12</v>
      </c>
      <c r="H106" s="3" t="s">
        <v>24</v>
      </c>
      <c r="I106" s="3" t="s">
        <v>30</v>
      </c>
      <c r="J106" s="7" cm="1">
        <f t="array" ref="J106">_xlfn.IFS(Table1[[#This Row],[Tier]]="Basic",10,Table1[[#This Row],[Tier]]="Standard",18,Table1[[#This Row],[Tier]]="Premium",25)</f>
        <v>10</v>
      </c>
      <c r="K106" s="7" cm="1">
        <f t="array" ref="K10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106" s="7" cm="1">
        <f t="array" ref="L10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106" s="3" t="str" cm="1">
        <f t="array" ref="M10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06" s="3" t="s">
        <v>34</v>
      </c>
      <c r="O106" s="3" t="s">
        <v>40</v>
      </c>
      <c r="P106" s="3" t="s">
        <v>41</v>
      </c>
      <c r="Q106" s="3" t="str" cm="1">
        <f t="array" ref="Q106">_xlfn.IFS(Table1[[#This Row],[TotalRevenue]]&lt;100,"Low",Table1[[#This Row],[TotalRevenue]]&lt;300,"Medium",Table1[[#This Row],[TotalRevenue]]&lt;600,"High",TRUE,"Very High")</f>
        <v>Low</v>
      </c>
      <c r="R106" s="3" t="str" cm="1">
        <f t="array" ref="R10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06" s="3" t="str">
        <f>IF(Table1[[#This Row],[NextBillingDate]]="","Cancelled",IF(Table1[[#This Row],[CancellationDate]]&lt;&gt;"","Cancelled","Active"))</f>
        <v>Cancelled</v>
      </c>
      <c r="T106" s="7" cm="1">
        <f t="array" ref="T10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106" s="5">
        <v>45040</v>
      </c>
      <c r="W106" s="5">
        <v>45040</v>
      </c>
      <c r="X106" s="3">
        <v>0</v>
      </c>
      <c r="Y106" s="5">
        <f ca="1">IF(Table1[[#This Row],[ChurnStatus]]="Cancelled",Table1[[#This Row],[CancellationDate]],TODAY())</f>
        <v>45040</v>
      </c>
      <c r="Z106" s="46">
        <f ca="1">IF(AND(Table1[[#This Row],[SubscriptionStart]] &lt;= TODAY(), Table1[[#This Row],[EffectiveEndDate]] &gt;= TODAY()),1,0)</f>
        <v>0</v>
      </c>
      <c r="AA106" s="46">
        <f ca="1">IF(AND(Table1[[#This Row],[SubscriptionStart]]&lt;=Settings!$A$2,Table1[[#This Row],[EffectiveEndDate]]&gt;=Settings!$A$2),1,0)</f>
        <v>0</v>
      </c>
      <c r="AB106" s="46">
        <f ca="1">IF(AND(Table1[[#This Row],[SubscriptionStart]]&lt;=Settings!$B$2,Table1[[#This Row],[EffectiveEndDate]]&gt;=Settings!$B$2),1,0)</f>
        <v>1</v>
      </c>
      <c r="AC106" s="46">
        <f ca="1">IF(AND(Table1[[#This Row],[SubscriptionStart]]&lt;=Settings!$C$2,Table1[[#This Row],[EffectiveEndDate]]&gt;=Settings!$C$2),1,0)</f>
        <v>1</v>
      </c>
      <c r="AD106" s="46">
        <f ca="1">IF(AND(Table1[[#This Row],[SubscriptionStart]]&lt;=Settings!$D$2,Table1[[#This Row],[EffectiveEndDate]]&gt;=Settings!$D$2),1,0)</f>
        <v>0</v>
      </c>
      <c r="AE106" s="46">
        <f ca="1">IF(AND(Table1[[#This Row],[SubscriptionStart]]&lt;=Settings!$E$2,Table1[[#This Row],[EffectiveEndDate]]&gt;=Settings!$E$2),1,0)</f>
        <v>0</v>
      </c>
      <c r="AF106"/>
      <c r="AG106"/>
      <c r="AH106"/>
      <c r="AI106"/>
      <c r="AJ106"/>
      <c r="AK106"/>
    </row>
    <row r="107" spans="1:37">
      <c r="A107" s="3" t="s">
        <v>629</v>
      </c>
      <c r="B107" s="3">
        <v>36</v>
      </c>
      <c r="C107" s="3" t="s">
        <v>23</v>
      </c>
      <c r="D107" s="5">
        <v>44681</v>
      </c>
      <c r="E107" s="5">
        <v>45041</v>
      </c>
      <c r="F107" s="3">
        <f ca="1">TODAY() - Table1[[#This Row],[SubscriptionStart]]</f>
        <v>1300</v>
      </c>
      <c r="G107" s="4">
        <v>12</v>
      </c>
      <c r="H107" s="3" t="s">
        <v>24</v>
      </c>
      <c r="I107" s="3" t="s">
        <v>30</v>
      </c>
      <c r="J107" s="7" cm="1">
        <f t="array" ref="J107">_xlfn.IFS(Table1[[#This Row],[Tier]]="Basic",10,Table1[[#This Row],[Tier]]="Standard",18,Table1[[#This Row],[Tier]]="Premium",25)</f>
        <v>10</v>
      </c>
      <c r="K107" s="7" cm="1">
        <f t="array" ref="K10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107" s="7" cm="1">
        <f t="array" ref="L10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107" s="3" t="str" cm="1">
        <f t="array" ref="M10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07" s="3" t="s">
        <v>31</v>
      </c>
      <c r="O107" s="3" t="s">
        <v>49</v>
      </c>
      <c r="P107" s="3" t="s">
        <v>47</v>
      </c>
      <c r="Q107" s="3" t="str" cm="1">
        <f t="array" ref="Q107">_xlfn.IFS(Table1[[#This Row],[TotalRevenue]]&lt;100,"Low",Table1[[#This Row],[TotalRevenue]]&lt;300,"Medium",Table1[[#This Row],[TotalRevenue]]&lt;600,"High",TRUE,"Very High")</f>
        <v>Low</v>
      </c>
      <c r="R107" s="3" t="str" cm="1">
        <f t="array" ref="R10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07" s="3" t="str">
        <f>IF(Table1[[#This Row],[NextBillingDate]]="","Cancelled",IF(Table1[[#This Row],[CancellationDate]]&lt;&gt;"","Cancelled","Active"))</f>
        <v>Cancelled</v>
      </c>
      <c r="T107" s="7" cm="1">
        <f t="array" ref="T10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107" s="5">
        <v>45041</v>
      </c>
      <c r="W107" s="5">
        <v>45041</v>
      </c>
      <c r="X107" s="3">
        <v>0</v>
      </c>
      <c r="Y107" s="5">
        <f ca="1">IF(Table1[[#This Row],[ChurnStatus]]="Cancelled",Table1[[#This Row],[CancellationDate]],TODAY())</f>
        <v>45041</v>
      </c>
      <c r="Z107" s="46">
        <f ca="1">IF(AND(Table1[[#This Row],[SubscriptionStart]] &lt;= TODAY(), Table1[[#This Row],[EffectiveEndDate]] &gt;= TODAY()),1,0)</f>
        <v>0</v>
      </c>
      <c r="AA107" s="46">
        <f ca="1">IF(AND(Table1[[#This Row],[SubscriptionStart]]&lt;=Settings!$A$2,Table1[[#This Row],[EffectiveEndDate]]&gt;=Settings!$A$2),1,0)</f>
        <v>0</v>
      </c>
      <c r="AB107" s="46">
        <f ca="1">IF(AND(Table1[[#This Row],[SubscriptionStart]]&lt;=Settings!$B$2,Table1[[#This Row],[EffectiveEndDate]]&gt;=Settings!$B$2),1,0)</f>
        <v>1</v>
      </c>
      <c r="AC107" s="46">
        <f ca="1">IF(AND(Table1[[#This Row],[SubscriptionStart]]&lt;=Settings!$C$2,Table1[[#This Row],[EffectiveEndDate]]&gt;=Settings!$C$2),1,0)</f>
        <v>1</v>
      </c>
      <c r="AD107" s="46">
        <f ca="1">IF(AND(Table1[[#This Row],[SubscriptionStart]]&lt;=Settings!$D$2,Table1[[#This Row],[EffectiveEndDate]]&gt;=Settings!$D$2),1,0)</f>
        <v>0</v>
      </c>
      <c r="AE107" s="46">
        <f ca="1">IF(AND(Table1[[#This Row],[SubscriptionStart]]&lt;=Settings!$E$2,Table1[[#This Row],[EffectiveEndDate]]&gt;=Settings!$E$2),1,0)</f>
        <v>0</v>
      </c>
      <c r="AF107"/>
      <c r="AG107"/>
      <c r="AH107"/>
      <c r="AI107"/>
      <c r="AJ107"/>
      <c r="AK107"/>
    </row>
    <row r="108" spans="1:37">
      <c r="A108" s="3" t="s">
        <v>205</v>
      </c>
      <c r="B108" s="3">
        <v>55</v>
      </c>
      <c r="C108" s="3" t="s">
        <v>23</v>
      </c>
      <c r="D108" s="5">
        <v>44682</v>
      </c>
      <c r="E108" s="5">
        <v>45042</v>
      </c>
      <c r="F108" s="3">
        <f ca="1">TODAY() - Table1[[#This Row],[SubscriptionStart]]</f>
        <v>1299</v>
      </c>
      <c r="G108" s="4">
        <v>12</v>
      </c>
      <c r="H108" s="3" t="s">
        <v>24</v>
      </c>
      <c r="I108" s="3" t="s">
        <v>25</v>
      </c>
      <c r="J108" s="7" cm="1">
        <f t="array" ref="J108">_xlfn.IFS(Table1[[#This Row],[Tier]]="Basic",10,Table1[[#This Row],[Tier]]="Standard",18,Table1[[#This Row],[Tier]]="Premium",25)</f>
        <v>25</v>
      </c>
      <c r="K108" s="7" cm="1">
        <f t="array" ref="K10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108" s="7" cm="1">
        <f t="array" ref="L10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108" s="3" t="str" cm="1">
        <f t="array" ref="M10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108" s="3" t="s">
        <v>26</v>
      </c>
      <c r="O108" s="3" t="s">
        <v>40</v>
      </c>
      <c r="P108" s="3" t="s">
        <v>50</v>
      </c>
      <c r="Q108" s="3" t="str" cm="1">
        <f t="array" ref="Q108">_xlfn.IFS(Table1[[#This Row],[TotalRevenue]]&lt;100,"Low",Table1[[#This Row],[TotalRevenue]]&lt;300,"Medium",Table1[[#This Row],[TotalRevenue]]&lt;600,"High",TRUE,"Very High")</f>
        <v>Medium</v>
      </c>
      <c r="R108" s="3" t="str" cm="1">
        <f t="array" ref="R10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08" s="3" t="str">
        <f>IF(Table1[[#This Row],[NextBillingDate]]="","Cancelled",IF(Table1[[#This Row],[CancellationDate]]&lt;&gt;"","Cancelled","Active"))</f>
        <v>Cancelled</v>
      </c>
      <c r="T108" s="7" cm="1">
        <f t="array" ref="T10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108" s="5">
        <v>45042</v>
      </c>
      <c r="W108" s="5">
        <v>45042</v>
      </c>
      <c r="X108" s="3">
        <v>0</v>
      </c>
      <c r="Y108" s="5">
        <f ca="1">IF(Table1[[#This Row],[ChurnStatus]]="Cancelled",Table1[[#This Row],[CancellationDate]],TODAY())</f>
        <v>45042</v>
      </c>
      <c r="Z108" s="46">
        <f ca="1">IF(AND(Table1[[#This Row],[SubscriptionStart]] &lt;= TODAY(), Table1[[#This Row],[EffectiveEndDate]] &gt;= TODAY()),1,0)</f>
        <v>0</v>
      </c>
      <c r="AA108" s="46">
        <f ca="1">IF(AND(Table1[[#This Row],[SubscriptionStart]]&lt;=Settings!$A$2,Table1[[#This Row],[EffectiveEndDate]]&gt;=Settings!$A$2),1,0)</f>
        <v>0</v>
      </c>
      <c r="AB108" s="46">
        <f ca="1">IF(AND(Table1[[#This Row],[SubscriptionStart]]&lt;=Settings!$B$2,Table1[[#This Row],[EffectiveEndDate]]&gt;=Settings!$B$2),1,0)</f>
        <v>1</v>
      </c>
      <c r="AC108" s="46">
        <f ca="1">IF(AND(Table1[[#This Row],[SubscriptionStart]]&lt;=Settings!$C$2,Table1[[#This Row],[EffectiveEndDate]]&gt;=Settings!$C$2),1,0)</f>
        <v>1</v>
      </c>
      <c r="AD108" s="46">
        <f ca="1">IF(AND(Table1[[#This Row],[SubscriptionStart]]&lt;=Settings!$D$2,Table1[[#This Row],[EffectiveEndDate]]&gt;=Settings!$D$2),1,0)</f>
        <v>0</v>
      </c>
      <c r="AE108" s="46">
        <f ca="1">IF(AND(Table1[[#This Row],[SubscriptionStart]]&lt;=Settings!$E$2,Table1[[#This Row],[EffectiveEndDate]]&gt;=Settings!$E$2),1,0)</f>
        <v>0</v>
      </c>
      <c r="AF108"/>
      <c r="AG108"/>
      <c r="AH108"/>
      <c r="AI108"/>
      <c r="AJ108"/>
      <c r="AK108"/>
    </row>
    <row r="109" spans="1:37">
      <c r="A109" s="3" t="s">
        <v>619</v>
      </c>
      <c r="B109" s="3">
        <v>40</v>
      </c>
      <c r="C109" s="3" t="s">
        <v>37</v>
      </c>
      <c r="D109" s="5">
        <v>44683</v>
      </c>
      <c r="F109" s="3">
        <f ca="1">TODAY() - Table1[[#This Row],[SubscriptionStart]]</f>
        <v>1298</v>
      </c>
      <c r="G109" s="4">
        <v>44</v>
      </c>
      <c r="H109" s="3" t="s">
        <v>29</v>
      </c>
      <c r="I109" s="3" t="s">
        <v>25</v>
      </c>
      <c r="J109" s="7" cm="1">
        <f t="array" ref="J109">_xlfn.IFS(Table1[[#This Row],[Tier]]="Basic",10,Table1[[#This Row],[Tier]]="Standard",18,Table1[[#This Row],[Tier]]="Premium",25)</f>
        <v>25</v>
      </c>
      <c r="K109" s="7" cm="1">
        <f t="array" ref="K10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109" s="7" cm="1">
        <f t="array" ref="L10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1047.5</v>
      </c>
      <c r="M109" s="3" t="str" cm="1">
        <f t="array" ref="M10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09" s="3" t="s">
        <v>31</v>
      </c>
      <c r="O109" s="3" t="s">
        <v>32</v>
      </c>
      <c r="Q109" s="3" t="str" cm="1">
        <f t="array" ref="Q109">_xlfn.IFS(Table1[[#This Row],[TotalRevenue]]&lt;100,"Low",Table1[[#This Row],[TotalRevenue]]&lt;300,"Medium",Table1[[#This Row],[TotalRevenue]]&lt;600,"High",TRUE,"Very High")</f>
        <v>Very High</v>
      </c>
      <c r="R109" s="3" t="str" cm="1">
        <f t="array" ref="R10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09" s="3" t="str">
        <f>IF(Table1[[#This Row],[NextBillingDate]]="","Cancelled",IF(Table1[[#This Row],[CancellationDate]]&lt;&gt;"","Cancelled","Active"))</f>
        <v>Active</v>
      </c>
      <c r="T109" s="7" cm="1">
        <f t="array" ref="T10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1072.5</v>
      </c>
      <c r="V109" s="5">
        <v>46003</v>
      </c>
      <c r="W109" s="5">
        <v>46003</v>
      </c>
      <c r="X109" s="3">
        <v>43</v>
      </c>
      <c r="Y109" s="5">
        <f ca="1">IF(Table1[[#This Row],[ChurnStatus]]="Cancelled",Table1[[#This Row],[CancellationDate]],TODAY())</f>
        <v>45981</v>
      </c>
      <c r="Z109" s="46">
        <f ca="1">IF(AND(Table1[[#This Row],[SubscriptionStart]] &lt;= TODAY(), Table1[[#This Row],[EffectiveEndDate]] &gt;= TODAY()),1,0)</f>
        <v>1</v>
      </c>
      <c r="AA109" s="46">
        <f ca="1">IF(AND(Table1[[#This Row],[SubscriptionStart]]&lt;=Settings!$A$2,Table1[[#This Row],[EffectiveEndDate]]&gt;=Settings!$A$2),1,0)</f>
        <v>0</v>
      </c>
      <c r="AB109" s="46">
        <f ca="1">IF(AND(Table1[[#This Row],[SubscriptionStart]]&lt;=Settings!$B$2,Table1[[#This Row],[EffectiveEndDate]]&gt;=Settings!$B$2),1,0)</f>
        <v>1</v>
      </c>
      <c r="AC109" s="46">
        <f ca="1">IF(AND(Table1[[#This Row],[SubscriptionStart]]&lt;=Settings!$C$2,Table1[[#This Row],[EffectiveEndDate]]&gt;=Settings!$C$2),1,0)</f>
        <v>1</v>
      </c>
      <c r="AD109" s="46">
        <f ca="1">IF(AND(Table1[[#This Row],[SubscriptionStart]]&lt;=Settings!$D$2,Table1[[#This Row],[EffectiveEndDate]]&gt;=Settings!$D$2),1,0)</f>
        <v>1</v>
      </c>
      <c r="AE109" s="46">
        <f ca="1">IF(AND(Table1[[#This Row],[SubscriptionStart]]&lt;=Settings!$E$2,Table1[[#This Row],[EffectiveEndDate]]&gt;=Settings!$E$2),1,0)</f>
        <v>1</v>
      </c>
      <c r="AF109"/>
      <c r="AG109"/>
      <c r="AH109"/>
      <c r="AI109"/>
      <c r="AJ109"/>
      <c r="AK109"/>
    </row>
    <row r="110" spans="1:37">
      <c r="A110" s="3" t="s">
        <v>514</v>
      </c>
      <c r="B110" s="3">
        <v>66</v>
      </c>
      <c r="C110" s="3" t="s">
        <v>23</v>
      </c>
      <c r="D110" s="5">
        <v>44684</v>
      </c>
      <c r="E110" s="5">
        <v>44864</v>
      </c>
      <c r="F110" s="3">
        <f ca="1">TODAY() - Table1[[#This Row],[SubscriptionStart]]</f>
        <v>1297</v>
      </c>
      <c r="G110" s="4">
        <v>6</v>
      </c>
      <c r="H110" s="3" t="s">
        <v>38</v>
      </c>
      <c r="I110" s="3" t="s">
        <v>39</v>
      </c>
      <c r="J110" s="7" cm="1">
        <f t="array" ref="J110">_xlfn.IFS(Table1[[#This Row],[Tier]]="Basic",10,Table1[[#This Row],[Tier]]="Standard",18,Table1[[#This Row],[Tier]]="Premium",25)</f>
        <v>18</v>
      </c>
      <c r="K110" s="7" cm="1">
        <f t="array" ref="K11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110" s="7" cm="1">
        <f t="array" ref="L11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110" s="3" t="str" cm="1">
        <f t="array" ref="M110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10" s="3" t="s">
        <v>52</v>
      </c>
      <c r="O110" s="3" t="s">
        <v>32</v>
      </c>
      <c r="P110" s="3" t="s">
        <v>47</v>
      </c>
      <c r="Q110" s="3" t="str" cm="1">
        <f t="array" ref="Q110">_xlfn.IFS(Table1[[#This Row],[TotalRevenue]]&lt;100,"Low",Table1[[#This Row],[TotalRevenue]]&lt;300,"Medium",Table1[[#This Row],[TotalRevenue]]&lt;600,"High",TRUE,"Very High")</f>
        <v>Low</v>
      </c>
      <c r="R110" s="3" t="str" cm="1">
        <f t="array" ref="R110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10" s="3" t="str">
        <f>IF(Table1[[#This Row],[NextBillingDate]]="","Cancelled",IF(Table1[[#This Row],[CancellationDate]]&lt;&gt;"","Cancelled","Active"))</f>
        <v>Cancelled</v>
      </c>
      <c r="T110" s="7" cm="1">
        <f t="array" ref="T11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110" s="5">
        <v>44864</v>
      </c>
      <c r="W110" s="5">
        <v>44864</v>
      </c>
      <c r="X110" s="3">
        <v>0</v>
      </c>
      <c r="Y110" s="5">
        <f ca="1">IF(Table1[[#This Row],[ChurnStatus]]="Cancelled",Table1[[#This Row],[CancellationDate]],TODAY())</f>
        <v>44864</v>
      </c>
      <c r="Z110" s="46">
        <f ca="1">IF(AND(Table1[[#This Row],[SubscriptionStart]] &lt;= TODAY(), Table1[[#This Row],[EffectiveEndDate]] &gt;= TODAY()),1,0)</f>
        <v>0</v>
      </c>
      <c r="AA110" s="46">
        <f ca="1">IF(AND(Table1[[#This Row],[SubscriptionStart]]&lt;=Settings!$A$2,Table1[[#This Row],[EffectiveEndDate]]&gt;=Settings!$A$2),1,0)</f>
        <v>0</v>
      </c>
      <c r="AB110" s="46">
        <f ca="1">IF(AND(Table1[[#This Row],[SubscriptionStart]]&lt;=Settings!$B$2,Table1[[#This Row],[EffectiveEndDate]]&gt;=Settings!$B$2),1,0)</f>
        <v>1</v>
      </c>
      <c r="AC110" s="46">
        <f ca="1">IF(AND(Table1[[#This Row],[SubscriptionStart]]&lt;=Settings!$C$2,Table1[[#This Row],[EffectiveEndDate]]&gt;=Settings!$C$2),1,0)</f>
        <v>0</v>
      </c>
      <c r="AD110" s="46">
        <f ca="1">IF(AND(Table1[[#This Row],[SubscriptionStart]]&lt;=Settings!$D$2,Table1[[#This Row],[EffectiveEndDate]]&gt;=Settings!$D$2),1,0)</f>
        <v>0</v>
      </c>
      <c r="AE110" s="46">
        <f ca="1">IF(AND(Table1[[#This Row],[SubscriptionStart]]&lt;=Settings!$E$2,Table1[[#This Row],[EffectiveEndDate]]&gt;=Settings!$E$2),1,0)</f>
        <v>0</v>
      </c>
      <c r="AF110"/>
      <c r="AG110"/>
      <c r="AH110"/>
      <c r="AI110"/>
      <c r="AJ110"/>
      <c r="AK110"/>
    </row>
    <row r="111" spans="1:37">
      <c r="A111" s="3" t="s">
        <v>88</v>
      </c>
      <c r="B111" s="3">
        <v>39</v>
      </c>
      <c r="C111" s="3" t="s">
        <v>37</v>
      </c>
      <c r="D111" s="5">
        <v>44686</v>
      </c>
      <c r="F111" s="3">
        <f ca="1">TODAY() - Table1[[#This Row],[SubscriptionStart]]</f>
        <v>1295</v>
      </c>
      <c r="G111" s="4">
        <v>44</v>
      </c>
      <c r="H111" s="3" t="s">
        <v>29</v>
      </c>
      <c r="I111" s="3" t="s">
        <v>25</v>
      </c>
      <c r="J111" s="7" cm="1">
        <f t="array" ref="J111">_xlfn.IFS(Table1[[#This Row],[Tier]]="Basic",10,Table1[[#This Row],[Tier]]="Standard",18,Table1[[#This Row],[Tier]]="Premium",25)</f>
        <v>25</v>
      </c>
      <c r="K111" s="7" cm="1">
        <f t="array" ref="K11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111" s="7" cm="1">
        <f t="array" ref="L11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1047.5</v>
      </c>
      <c r="M111" s="3" t="str" cm="1">
        <f t="array" ref="M11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11" s="3" t="s">
        <v>26</v>
      </c>
      <c r="O111" s="3" t="s">
        <v>43</v>
      </c>
      <c r="Q111" s="3" t="str" cm="1">
        <f t="array" ref="Q111">_xlfn.IFS(Table1[[#This Row],[TotalRevenue]]&lt;100,"Low",Table1[[#This Row],[TotalRevenue]]&lt;300,"Medium",Table1[[#This Row],[TotalRevenue]]&lt;600,"High",TRUE,"Very High")</f>
        <v>Very High</v>
      </c>
      <c r="R111" s="3" t="str" cm="1">
        <f t="array" ref="R11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11" s="3" t="str">
        <f>IF(Table1[[#This Row],[NextBillingDate]]="","Cancelled",IF(Table1[[#This Row],[CancellationDate]]&lt;&gt;"","Cancelled","Active"))</f>
        <v>Active</v>
      </c>
      <c r="T111" s="7" cm="1">
        <f t="array" ref="T11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1072.5</v>
      </c>
      <c r="V111" s="5">
        <v>46006</v>
      </c>
      <c r="W111" s="5">
        <v>46006</v>
      </c>
      <c r="X111" s="3">
        <v>43</v>
      </c>
      <c r="Y111" s="5">
        <f ca="1">IF(Table1[[#This Row],[ChurnStatus]]="Cancelled",Table1[[#This Row],[CancellationDate]],TODAY())</f>
        <v>45981</v>
      </c>
      <c r="Z111" s="46">
        <f ca="1">IF(AND(Table1[[#This Row],[SubscriptionStart]] &lt;= TODAY(), Table1[[#This Row],[EffectiveEndDate]] &gt;= TODAY()),1,0)</f>
        <v>1</v>
      </c>
      <c r="AA111" s="46">
        <f ca="1">IF(AND(Table1[[#This Row],[SubscriptionStart]]&lt;=Settings!$A$2,Table1[[#This Row],[EffectiveEndDate]]&gt;=Settings!$A$2),1,0)</f>
        <v>0</v>
      </c>
      <c r="AB111" s="46">
        <f ca="1">IF(AND(Table1[[#This Row],[SubscriptionStart]]&lt;=Settings!$B$2,Table1[[#This Row],[EffectiveEndDate]]&gt;=Settings!$B$2),1,0)</f>
        <v>1</v>
      </c>
      <c r="AC111" s="46">
        <f ca="1">IF(AND(Table1[[#This Row],[SubscriptionStart]]&lt;=Settings!$C$2,Table1[[#This Row],[EffectiveEndDate]]&gt;=Settings!$C$2),1,0)</f>
        <v>1</v>
      </c>
      <c r="AD111" s="46">
        <f ca="1">IF(AND(Table1[[#This Row],[SubscriptionStart]]&lt;=Settings!$D$2,Table1[[#This Row],[EffectiveEndDate]]&gt;=Settings!$D$2),1,0)</f>
        <v>1</v>
      </c>
      <c r="AE111" s="46">
        <f ca="1">IF(AND(Table1[[#This Row],[SubscriptionStart]]&lt;=Settings!$E$2,Table1[[#This Row],[EffectiveEndDate]]&gt;=Settings!$E$2),1,0)</f>
        <v>1</v>
      </c>
      <c r="AF111"/>
      <c r="AG111"/>
      <c r="AH111"/>
      <c r="AI111"/>
      <c r="AJ111"/>
      <c r="AK111"/>
    </row>
    <row r="112" spans="1:37">
      <c r="A112" s="3" t="s">
        <v>97</v>
      </c>
      <c r="B112" s="3">
        <v>67</v>
      </c>
      <c r="C112" s="3" t="s">
        <v>23</v>
      </c>
      <c r="D112" s="5">
        <v>44687</v>
      </c>
      <c r="F112" s="3">
        <f ca="1">TODAY() - Table1[[#This Row],[SubscriptionStart]]</f>
        <v>1294</v>
      </c>
      <c r="G112" s="4">
        <v>48</v>
      </c>
      <c r="H112" s="3" t="s">
        <v>38</v>
      </c>
      <c r="I112" s="3" t="s">
        <v>30</v>
      </c>
      <c r="J112" s="7" cm="1">
        <f t="array" ref="J112">_xlfn.IFS(Table1[[#This Row],[Tier]]="Basic",10,Table1[[#This Row],[Tier]]="Standard",18,Table1[[#This Row],[Tier]]="Premium",25)</f>
        <v>10</v>
      </c>
      <c r="K112" s="7" cm="1">
        <f t="array" ref="K11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112" s="7" cm="1">
        <f t="array" ref="L11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351</v>
      </c>
      <c r="M112" s="3" t="str" cm="1">
        <f t="array" ref="M112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12" s="3" t="s">
        <v>34</v>
      </c>
      <c r="O112" s="3" t="s">
        <v>27</v>
      </c>
      <c r="Q112" s="3" t="str" cm="1">
        <f t="array" ref="Q112">_xlfn.IFS(Table1[[#This Row],[TotalRevenue]]&lt;100,"Low",Table1[[#This Row],[TotalRevenue]]&lt;300,"Medium",Table1[[#This Row],[TotalRevenue]]&lt;600,"High",TRUE,"Very High")</f>
        <v>High</v>
      </c>
      <c r="R112" s="3" t="str" cm="1">
        <f t="array" ref="R112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12" s="3" t="str">
        <f>IF(Table1[[#This Row],[NextBillingDate]]="","Cancelled",IF(Table1[[#This Row],[CancellationDate]]&lt;&gt;"","Cancelled","Active"))</f>
        <v>Active</v>
      </c>
      <c r="T112" s="7" cm="1">
        <f t="array" ref="T11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396</v>
      </c>
      <c r="V112" s="5">
        <v>46127</v>
      </c>
      <c r="W112" s="5">
        <v>46127</v>
      </c>
      <c r="X112" s="3">
        <v>7</v>
      </c>
      <c r="Y112" s="5">
        <f ca="1">IF(Table1[[#This Row],[ChurnStatus]]="Cancelled",Table1[[#This Row],[CancellationDate]],TODAY())</f>
        <v>45981</v>
      </c>
      <c r="Z112" s="46">
        <f ca="1">IF(AND(Table1[[#This Row],[SubscriptionStart]] &lt;= TODAY(), Table1[[#This Row],[EffectiveEndDate]] &gt;= TODAY()),1,0)</f>
        <v>1</v>
      </c>
      <c r="AA112" s="46">
        <f ca="1">IF(AND(Table1[[#This Row],[SubscriptionStart]]&lt;=Settings!$A$2,Table1[[#This Row],[EffectiveEndDate]]&gt;=Settings!$A$2),1,0)</f>
        <v>0</v>
      </c>
      <c r="AB112" s="46">
        <f ca="1">IF(AND(Table1[[#This Row],[SubscriptionStart]]&lt;=Settings!$B$2,Table1[[#This Row],[EffectiveEndDate]]&gt;=Settings!$B$2),1,0)</f>
        <v>1</v>
      </c>
      <c r="AC112" s="46">
        <f ca="1">IF(AND(Table1[[#This Row],[SubscriptionStart]]&lt;=Settings!$C$2,Table1[[#This Row],[EffectiveEndDate]]&gt;=Settings!$C$2),1,0)</f>
        <v>1</v>
      </c>
      <c r="AD112" s="46">
        <f ca="1">IF(AND(Table1[[#This Row],[SubscriptionStart]]&lt;=Settings!$D$2,Table1[[#This Row],[EffectiveEndDate]]&gt;=Settings!$D$2),1,0)</f>
        <v>1</v>
      </c>
      <c r="AE112" s="46">
        <f ca="1">IF(AND(Table1[[#This Row],[SubscriptionStart]]&lt;=Settings!$E$2,Table1[[#This Row],[EffectiveEndDate]]&gt;=Settings!$E$2),1,0)</f>
        <v>1</v>
      </c>
      <c r="AF112"/>
      <c r="AG112"/>
      <c r="AH112"/>
      <c r="AI112"/>
      <c r="AJ112"/>
      <c r="AK112"/>
    </row>
    <row r="113" spans="1:37">
      <c r="A113" s="3" t="s">
        <v>339</v>
      </c>
      <c r="B113" s="3">
        <v>36</v>
      </c>
      <c r="C113" s="3" t="s">
        <v>23</v>
      </c>
      <c r="D113" s="5">
        <v>44688</v>
      </c>
      <c r="E113" s="5">
        <v>45048</v>
      </c>
      <c r="F113" s="3">
        <f ca="1">TODAY() - Table1[[#This Row],[SubscriptionStart]]</f>
        <v>1293</v>
      </c>
      <c r="G113" s="4">
        <v>12</v>
      </c>
      <c r="H113" s="3" t="s">
        <v>24</v>
      </c>
      <c r="I113" s="3" t="s">
        <v>25</v>
      </c>
      <c r="J113" s="7" cm="1">
        <f t="array" ref="J113">_xlfn.IFS(Table1[[#This Row],[Tier]]="Basic",10,Table1[[#This Row],[Tier]]="Standard",18,Table1[[#This Row],[Tier]]="Premium",25)</f>
        <v>25</v>
      </c>
      <c r="K113" s="7" cm="1">
        <f t="array" ref="K11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113" s="7" cm="1">
        <f t="array" ref="L11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113" s="3" t="str" cm="1">
        <f t="array" ref="M11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13" s="3" t="s">
        <v>31</v>
      </c>
      <c r="O113" s="3" t="s">
        <v>43</v>
      </c>
      <c r="P113" s="3" t="s">
        <v>44</v>
      </c>
      <c r="Q113" s="3" t="str" cm="1">
        <f t="array" ref="Q113">_xlfn.IFS(Table1[[#This Row],[TotalRevenue]]&lt;100,"Low",Table1[[#This Row],[TotalRevenue]]&lt;300,"Medium",Table1[[#This Row],[TotalRevenue]]&lt;600,"High",TRUE,"Very High")</f>
        <v>Medium</v>
      </c>
      <c r="R113" s="3" t="str" cm="1">
        <f t="array" ref="R11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13" s="3" t="str">
        <f>IF(Table1[[#This Row],[NextBillingDate]]="","Cancelled",IF(Table1[[#This Row],[CancellationDate]]&lt;&gt;"","Cancelled","Active"))</f>
        <v>Cancelled</v>
      </c>
      <c r="T113" s="7" cm="1">
        <f t="array" ref="T11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113" s="5">
        <v>45048</v>
      </c>
      <c r="W113" s="5">
        <v>45048</v>
      </c>
      <c r="X113" s="3">
        <v>0</v>
      </c>
      <c r="Y113" s="5">
        <f ca="1">IF(Table1[[#This Row],[ChurnStatus]]="Cancelled",Table1[[#This Row],[CancellationDate]],TODAY())</f>
        <v>45048</v>
      </c>
      <c r="Z113" s="46">
        <f ca="1">IF(AND(Table1[[#This Row],[SubscriptionStart]] &lt;= TODAY(), Table1[[#This Row],[EffectiveEndDate]] &gt;= TODAY()),1,0)</f>
        <v>0</v>
      </c>
      <c r="AA113" s="46">
        <f ca="1">IF(AND(Table1[[#This Row],[SubscriptionStart]]&lt;=Settings!$A$2,Table1[[#This Row],[EffectiveEndDate]]&gt;=Settings!$A$2),1,0)</f>
        <v>0</v>
      </c>
      <c r="AB113" s="46">
        <f ca="1">IF(AND(Table1[[#This Row],[SubscriptionStart]]&lt;=Settings!$B$2,Table1[[#This Row],[EffectiveEndDate]]&gt;=Settings!$B$2),1,0)</f>
        <v>1</v>
      </c>
      <c r="AC113" s="46">
        <f ca="1">IF(AND(Table1[[#This Row],[SubscriptionStart]]&lt;=Settings!$C$2,Table1[[#This Row],[EffectiveEndDate]]&gt;=Settings!$C$2),1,0)</f>
        <v>1</v>
      </c>
      <c r="AD113" s="46">
        <f ca="1">IF(AND(Table1[[#This Row],[SubscriptionStart]]&lt;=Settings!$D$2,Table1[[#This Row],[EffectiveEndDate]]&gt;=Settings!$D$2),1,0)</f>
        <v>0</v>
      </c>
      <c r="AE113" s="46">
        <f ca="1">IF(AND(Table1[[#This Row],[SubscriptionStart]]&lt;=Settings!$E$2,Table1[[#This Row],[EffectiveEndDate]]&gt;=Settings!$E$2),1,0)</f>
        <v>0</v>
      </c>
      <c r="AF113"/>
      <c r="AG113"/>
      <c r="AH113"/>
      <c r="AI113"/>
      <c r="AJ113"/>
      <c r="AK113"/>
    </row>
    <row r="114" spans="1:37">
      <c r="A114" s="3" t="s">
        <v>344</v>
      </c>
      <c r="B114" s="3">
        <v>42</v>
      </c>
      <c r="C114" s="3" t="s">
        <v>23</v>
      </c>
      <c r="D114" s="5">
        <v>44688</v>
      </c>
      <c r="E114" s="5">
        <v>45048</v>
      </c>
      <c r="F114" s="3">
        <f ca="1">TODAY() - Table1[[#This Row],[SubscriptionStart]]</f>
        <v>1293</v>
      </c>
      <c r="G114" s="4">
        <v>12</v>
      </c>
      <c r="H114" s="3" t="s">
        <v>24</v>
      </c>
      <c r="I114" s="3" t="s">
        <v>30</v>
      </c>
      <c r="J114" s="7" cm="1">
        <f t="array" ref="J114">_xlfn.IFS(Table1[[#This Row],[Tier]]="Basic",10,Table1[[#This Row],[Tier]]="Standard",18,Table1[[#This Row],[Tier]]="Premium",25)</f>
        <v>10</v>
      </c>
      <c r="K114" s="7" cm="1">
        <f t="array" ref="K11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114" s="7" cm="1">
        <f t="array" ref="L11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114" s="3" t="str" cm="1">
        <f t="array" ref="M11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14" s="3" t="s">
        <v>31</v>
      </c>
      <c r="O114" s="3" t="s">
        <v>49</v>
      </c>
      <c r="P114" s="3" t="s">
        <v>47</v>
      </c>
      <c r="Q114" s="3" t="str" cm="1">
        <f t="array" ref="Q114">_xlfn.IFS(Table1[[#This Row],[TotalRevenue]]&lt;100,"Low",Table1[[#This Row],[TotalRevenue]]&lt;300,"Medium",Table1[[#This Row],[TotalRevenue]]&lt;600,"High",TRUE,"Very High")</f>
        <v>Low</v>
      </c>
      <c r="R114" s="3" t="str" cm="1">
        <f t="array" ref="R11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14" s="3" t="str">
        <f>IF(Table1[[#This Row],[NextBillingDate]]="","Cancelled",IF(Table1[[#This Row],[CancellationDate]]&lt;&gt;"","Cancelled","Active"))</f>
        <v>Cancelled</v>
      </c>
      <c r="T114" s="7" cm="1">
        <f t="array" ref="T11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114" s="5">
        <v>45048</v>
      </c>
      <c r="W114" s="5">
        <v>45048</v>
      </c>
      <c r="X114" s="3">
        <v>0</v>
      </c>
      <c r="Y114" s="5">
        <f ca="1">IF(Table1[[#This Row],[ChurnStatus]]="Cancelled",Table1[[#This Row],[CancellationDate]],TODAY())</f>
        <v>45048</v>
      </c>
      <c r="Z114" s="46">
        <f ca="1">IF(AND(Table1[[#This Row],[SubscriptionStart]] &lt;= TODAY(), Table1[[#This Row],[EffectiveEndDate]] &gt;= TODAY()),1,0)</f>
        <v>0</v>
      </c>
      <c r="AA114" s="46">
        <f ca="1">IF(AND(Table1[[#This Row],[SubscriptionStart]]&lt;=Settings!$A$2,Table1[[#This Row],[EffectiveEndDate]]&gt;=Settings!$A$2),1,0)</f>
        <v>0</v>
      </c>
      <c r="AB114" s="46">
        <f ca="1">IF(AND(Table1[[#This Row],[SubscriptionStart]]&lt;=Settings!$B$2,Table1[[#This Row],[EffectiveEndDate]]&gt;=Settings!$B$2),1,0)</f>
        <v>1</v>
      </c>
      <c r="AC114" s="46">
        <f ca="1">IF(AND(Table1[[#This Row],[SubscriptionStart]]&lt;=Settings!$C$2,Table1[[#This Row],[EffectiveEndDate]]&gt;=Settings!$C$2),1,0)</f>
        <v>1</v>
      </c>
      <c r="AD114" s="46">
        <f ca="1">IF(AND(Table1[[#This Row],[SubscriptionStart]]&lt;=Settings!$D$2,Table1[[#This Row],[EffectiveEndDate]]&gt;=Settings!$D$2),1,0)</f>
        <v>0</v>
      </c>
      <c r="AE114" s="46">
        <f ca="1">IF(AND(Table1[[#This Row],[SubscriptionStart]]&lt;=Settings!$E$2,Table1[[#This Row],[EffectiveEndDate]]&gt;=Settings!$E$2),1,0)</f>
        <v>0</v>
      </c>
      <c r="AF114"/>
      <c r="AG114"/>
      <c r="AH114"/>
      <c r="AI114"/>
      <c r="AJ114"/>
      <c r="AK114"/>
    </row>
    <row r="115" spans="1:37">
      <c r="A115" s="3" t="s">
        <v>479</v>
      </c>
      <c r="B115" s="3">
        <v>41</v>
      </c>
      <c r="C115" s="3" t="s">
        <v>23</v>
      </c>
      <c r="D115" s="5">
        <v>44689</v>
      </c>
      <c r="E115" s="5">
        <v>44869</v>
      </c>
      <c r="F115" s="3">
        <f ca="1">TODAY() - Table1[[#This Row],[SubscriptionStart]]</f>
        <v>1292</v>
      </c>
      <c r="G115" s="4">
        <v>6</v>
      </c>
      <c r="H115" s="3" t="s">
        <v>38</v>
      </c>
      <c r="I115" s="3" t="s">
        <v>39</v>
      </c>
      <c r="J115" s="7" cm="1">
        <f t="array" ref="J115">_xlfn.IFS(Table1[[#This Row],[Tier]]="Basic",10,Table1[[#This Row],[Tier]]="Standard",18,Table1[[#This Row],[Tier]]="Premium",25)</f>
        <v>18</v>
      </c>
      <c r="K115" s="7" cm="1">
        <f t="array" ref="K11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115" s="7" cm="1">
        <f t="array" ref="L11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115" s="3" t="str" cm="1">
        <f t="array" ref="M11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15" s="3" t="s">
        <v>31</v>
      </c>
      <c r="O115" s="3" t="s">
        <v>32</v>
      </c>
      <c r="P115" s="3" t="s">
        <v>41</v>
      </c>
      <c r="Q115" s="3" t="str" cm="1">
        <f t="array" ref="Q115">_xlfn.IFS(Table1[[#This Row],[TotalRevenue]]&lt;100,"Low",Table1[[#This Row],[TotalRevenue]]&lt;300,"Medium",Table1[[#This Row],[TotalRevenue]]&lt;600,"High",TRUE,"Very High")</f>
        <v>Low</v>
      </c>
      <c r="R115" s="3" t="str" cm="1">
        <f t="array" ref="R11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15" s="3" t="str">
        <f>IF(Table1[[#This Row],[NextBillingDate]]="","Cancelled",IF(Table1[[#This Row],[CancellationDate]]&lt;&gt;"","Cancelled","Active"))</f>
        <v>Cancelled</v>
      </c>
      <c r="T115" s="7" cm="1">
        <f t="array" ref="T11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115" s="5">
        <v>44869</v>
      </c>
      <c r="W115" s="5">
        <v>44869</v>
      </c>
      <c r="X115" s="3">
        <v>0</v>
      </c>
      <c r="Y115" s="5">
        <f ca="1">IF(Table1[[#This Row],[ChurnStatus]]="Cancelled",Table1[[#This Row],[CancellationDate]],TODAY())</f>
        <v>44869</v>
      </c>
      <c r="Z115" s="46">
        <f ca="1">IF(AND(Table1[[#This Row],[SubscriptionStart]] &lt;= TODAY(), Table1[[#This Row],[EffectiveEndDate]] &gt;= TODAY()),1,0)</f>
        <v>0</v>
      </c>
      <c r="AA115" s="46">
        <f ca="1">IF(AND(Table1[[#This Row],[SubscriptionStart]]&lt;=Settings!$A$2,Table1[[#This Row],[EffectiveEndDate]]&gt;=Settings!$A$2),1,0)</f>
        <v>0</v>
      </c>
      <c r="AB115" s="46">
        <f ca="1">IF(AND(Table1[[#This Row],[SubscriptionStart]]&lt;=Settings!$B$2,Table1[[#This Row],[EffectiveEndDate]]&gt;=Settings!$B$2),1,0)</f>
        <v>1</v>
      </c>
      <c r="AC115" s="46">
        <f ca="1">IF(AND(Table1[[#This Row],[SubscriptionStart]]&lt;=Settings!$C$2,Table1[[#This Row],[EffectiveEndDate]]&gt;=Settings!$C$2),1,0)</f>
        <v>0</v>
      </c>
      <c r="AD115" s="46">
        <f ca="1">IF(AND(Table1[[#This Row],[SubscriptionStart]]&lt;=Settings!$D$2,Table1[[#This Row],[EffectiveEndDate]]&gt;=Settings!$D$2),1,0)</f>
        <v>0</v>
      </c>
      <c r="AE115" s="46">
        <f ca="1">IF(AND(Table1[[#This Row],[SubscriptionStart]]&lt;=Settings!$E$2,Table1[[#This Row],[EffectiveEndDate]]&gt;=Settings!$E$2),1,0)</f>
        <v>0</v>
      </c>
      <c r="AF115"/>
      <c r="AG115"/>
      <c r="AH115"/>
      <c r="AI115"/>
      <c r="AJ115"/>
      <c r="AK115"/>
    </row>
    <row r="116" spans="1:37">
      <c r="A116" s="3" t="s">
        <v>110</v>
      </c>
      <c r="B116" s="3">
        <v>53</v>
      </c>
      <c r="C116" s="3" t="s">
        <v>37</v>
      </c>
      <c r="D116" s="5">
        <v>44689</v>
      </c>
      <c r="E116" s="5">
        <v>45049</v>
      </c>
      <c r="F116" s="3">
        <f ca="1">TODAY() - Table1[[#This Row],[SubscriptionStart]]</f>
        <v>1292</v>
      </c>
      <c r="G116" s="4">
        <v>12</v>
      </c>
      <c r="H116" s="3" t="s">
        <v>24</v>
      </c>
      <c r="I116" s="3" t="s">
        <v>39</v>
      </c>
      <c r="J116" s="7" cm="1">
        <f t="array" ref="J116">_xlfn.IFS(Table1[[#This Row],[Tier]]="Basic",10,Table1[[#This Row],[Tier]]="Standard",18,Table1[[#This Row],[Tier]]="Premium",25)</f>
        <v>18</v>
      </c>
      <c r="K116" s="7" cm="1">
        <f t="array" ref="K11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16" s="7" cm="1">
        <f t="array" ref="L11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16" s="3" t="str" cm="1">
        <f t="array" ref="M116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116" s="3" t="s">
        <v>34</v>
      </c>
      <c r="O116" s="3" t="s">
        <v>43</v>
      </c>
      <c r="P116" s="3" t="s">
        <v>41</v>
      </c>
      <c r="Q116" s="3" t="str" cm="1">
        <f t="array" ref="Q116">_xlfn.IFS(Table1[[#This Row],[TotalRevenue]]&lt;100,"Low",Table1[[#This Row],[TotalRevenue]]&lt;300,"Medium",Table1[[#This Row],[TotalRevenue]]&lt;600,"High",TRUE,"Very High")</f>
        <v>Medium</v>
      </c>
      <c r="R116" s="3" t="str" cm="1">
        <f t="array" ref="R11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16" s="3" t="str">
        <f>IF(Table1[[#This Row],[NextBillingDate]]="","Cancelled",IF(Table1[[#This Row],[CancellationDate]]&lt;&gt;"","Cancelled","Active"))</f>
        <v>Cancelled</v>
      </c>
      <c r="T116" s="7" cm="1">
        <f t="array" ref="T11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16" s="5">
        <v>45049</v>
      </c>
      <c r="W116" s="5">
        <v>45049</v>
      </c>
      <c r="X116" s="3">
        <v>0</v>
      </c>
      <c r="Y116" s="5">
        <f ca="1">IF(Table1[[#This Row],[ChurnStatus]]="Cancelled",Table1[[#This Row],[CancellationDate]],TODAY())</f>
        <v>45049</v>
      </c>
      <c r="Z116" s="46">
        <f ca="1">IF(AND(Table1[[#This Row],[SubscriptionStart]] &lt;= TODAY(), Table1[[#This Row],[EffectiveEndDate]] &gt;= TODAY()),1,0)</f>
        <v>0</v>
      </c>
      <c r="AA116" s="46">
        <f ca="1">IF(AND(Table1[[#This Row],[SubscriptionStart]]&lt;=Settings!$A$2,Table1[[#This Row],[EffectiveEndDate]]&gt;=Settings!$A$2),1,0)</f>
        <v>0</v>
      </c>
      <c r="AB116" s="46">
        <f ca="1">IF(AND(Table1[[#This Row],[SubscriptionStart]]&lt;=Settings!$B$2,Table1[[#This Row],[EffectiveEndDate]]&gt;=Settings!$B$2),1,0)</f>
        <v>1</v>
      </c>
      <c r="AC116" s="46">
        <f ca="1">IF(AND(Table1[[#This Row],[SubscriptionStart]]&lt;=Settings!$C$2,Table1[[#This Row],[EffectiveEndDate]]&gt;=Settings!$C$2),1,0)</f>
        <v>1</v>
      </c>
      <c r="AD116" s="46">
        <f ca="1">IF(AND(Table1[[#This Row],[SubscriptionStart]]&lt;=Settings!$D$2,Table1[[#This Row],[EffectiveEndDate]]&gt;=Settings!$D$2),1,0)</f>
        <v>0</v>
      </c>
      <c r="AE116" s="46">
        <f ca="1">IF(AND(Table1[[#This Row],[SubscriptionStart]]&lt;=Settings!$E$2,Table1[[#This Row],[EffectiveEndDate]]&gt;=Settings!$E$2),1,0)</f>
        <v>0</v>
      </c>
      <c r="AF116"/>
      <c r="AG116"/>
      <c r="AH116"/>
      <c r="AI116"/>
      <c r="AJ116"/>
      <c r="AK116"/>
    </row>
    <row r="117" spans="1:37">
      <c r="A117" s="3" t="s">
        <v>758</v>
      </c>
      <c r="B117" s="3">
        <v>59</v>
      </c>
      <c r="C117" s="3" t="s">
        <v>23</v>
      </c>
      <c r="D117" s="5">
        <v>44689</v>
      </c>
      <c r="E117" s="5">
        <v>45049</v>
      </c>
      <c r="F117" s="3">
        <f ca="1">TODAY() - Table1[[#This Row],[SubscriptionStart]]</f>
        <v>1292</v>
      </c>
      <c r="G117" s="4">
        <v>12</v>
      </c>
      <c r="H117" s="3" t="s">
        <v>24</v>
      </c>
      <c r="I117" s="3" t="s">
        <v>30</v>
      </c>
      <c r="J117" s="7" cm="1">
        <f t="array" ref="J117">_xlfn.IFS(Table1[[#This Row],[Tier]]="Basic",10,Table1[[#This Row],[Tier]]="Standard",18,Table1[[#This Row],[Tier]]="Premium",25)</f>
        <v>10</v>
      </c>
      <c r="K117" s="7" cm="1">
        <f t="array" ref="K11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117" s="7" cm="1">
        <f t="array" ref="L11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117" s="3" t="str" cm="1">
        <f t="array" ref="M11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117" s="3" t="s">
        <v>31</v>
      </c>
      <c r="O117" s="3" t="s">
        <v>32</v>
      </c>
      <c r="P117" s="3" t="s">
        <v>35</v>
      </c>
      <c r="Q117" s="3" t="str" cm="1">
        <f t="array" ref="Q117">_xlfn.IFS(Table1[[#This Row],[TotalRevenue]]&lt;100,"Low",Table1[[#This Row],[TotalRevenue]]&lt;300,"Medium",Table1[[#This Row],[TotalRevenue]]&lt;600,"High",TRUE,"Very High")</f>
        <v>Low</v>
      </c>
      <c r="R117" s="3" t="str" cm="1">
        <f t="array" ref="R11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17" s="3" t="str">
        <f>IF(Table1[[#This Row],[NextBillingDate]]="","Cancelled",IF(Table1[[#This Row],[CancellationDate]]&lt;&gt;"","Cancelled","Active"))</f>
        <v>Cancelled</v>
      </c>
      <c r="T117" s="7" cm="1">
        <f t="array" ref="T11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117" s="5">
        <v>45049</v>
      </c>
      <c r="W117" s="5">
        <v>45049</v>
      </c>
      <c r="X117" s="3">
        <v>0</v>
      </c>
      <c r="Y117" s="5">
        <f ca="1">IF(Table1[[#This Row],[ChurnStatus]]="Cancelled",Table1[[#This Row],[CancellationDate]],TODAY())</f>
        <v>45049</v>
      </c>
      <c r="Z117" s="46">
        <f ca="1">IF(AND(Table1[[#This Row],[SubscriptionStart]] &lt;= TODAY(), Table1[[#This Row],[EffectiveEndDate]] &gt;= TODAY()),1,0)</f>
        <v>0</v>
      </c>
      <c r="AA117" s="46">
        <f ca="1">IF(AND(Table1[[#This Row],[SubscriptionStart]]&lt;=Settings!$A$2,Table1[[#This Row],[EffectiveEndDate]]&gt;=Settings!$A$2),1,0)</f>
        <v>0</v>
      </c>
      <c r="AB117" s="46">
        <f ca="1">IF(AND(Table1[[#This Row],[SubscriptionStart]]&lt;=Settings!$B$2,Table1[[#This Row],[EffectiveEndDate]]&gt;=Settings!$B$2),1,0)</f>
        <v>1</v>
      </c>
      <c r="AC117" s="46">
        <f ca="1">IF(AND(Table1[[#This Row],[SubscriptionStart]]&lt;=Settings!$C$2,Table1[[#This Row],[EffectiveEndDate]]&gt;=Settings!$C$2),1,0)</f>
        <v>1</v>
      </c>
      <c r="AD117" s="46">
        <f ca="1">IF(AND(Table1[[#This Row],[SubscriptionStart]]&lt;=Settings!$D$2,Table1[[#This Row],[EffectiveEndDate]]&gt;=Settings!$D$2),1,0)</f>
        <v>0</v>
      </c>
      <c r="AE117" s="46">
        <f ca="1">IF(AND(Table1[[#This Row],[SubscriptionStart]]&lt;=Settings!$E$2,Table1[[#This Row],[EffectiveEndDate]]&gt;=Settings!$E$2),1,0)</f>
        <v>0</v>
      </c>
      <c r="AF117"/>
      <c r="AG117"/>
      <c r="AH117"/>
      <c r="AI117"/>
      <c r="AJ117"/>
      <c r="AK117"/>
    </row>
    <row r="118" spans="1:37">
      <c r="A118" s="3" t="s">
        <v>361</v>
      </c>
      <c r="B118" s="3">
        <v>27</v>
      </c>
      <c r="C118" s="3" t="s">
        <v>37</v>
      </c>
      <c r="D118" s="5">
        <v>44691</v>
      </c>
      <c r="E118" s="5">
        <v>45051</v>
      </c>
      <c r="F118" s="3">
        <f ca="1">TODAY() - Table1[[#This Row],[SubscriptionStart]]</f>
        <v>1290</v>
      </c>
      <c r="G118" s="4">
        <v>12</v>
      </c>
      <c r="H118" s="3" t="s">
        <v>24</v>
      </c>
      <c r="I118" s="3" t="s">
        <v>39</v>
      </c>
      <c r="J118" s="7" cm="1">
        <f t="array" ref="J118">_xlfn.IFS(Table1[[#This Row],[Tier]]="Basic",10,Table1[[#This Row],[Tier]]="Standard",18,Table1[[#This Row],[Tier]]="Premium",25)</f>
        <v>18</v>
      </c>
      <c r="K118" s="7" cm="1">
        <f t="array" ref="K11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18" s="7" cm="1">
        <f t="array" ref="L11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18" s="3" t="str" cm="1">
        <f t="array" ref="M11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18" s="3" t="s">
        <v>26</v>
      </c>
      <c r="O118" s="3" t="s">
        <v>49</v>
      </c>
      <c r="P118" s="3" t="s">
        <v>47</v>
      </c>
      <c r="Q118" s="3" t="str" cm="1">
        <f t="array" ref="Q118">_xlfn.IFS(Table1[[#This Row],[TotalRevenue]]&lt;100,"Low",Table1[[#This Row],[TotalRevenue]]&lt;300,"Medium",Table1[[#This Row],[TotalRevenue]]&lt;600,"High",TRUE,"Very High")</f>
        <v>Medium</v>
      </c>
      <c r="R118" s="3" t="str" cm="1">
        <f t="array" ref="R11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18" s="3" t="str">
        <f>IF(Table1[[#This Row],[NextBillingDate]]="","Cancelled",IF(Table1[[#This Row],[CancellationDate]]&lt;&gt;"","Cancelled","Active"))</f>
        <v>Cancelled</v>
      </c>
      <c r="T118" s="7" cm="1">
        <f t="array" ref="T11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18" s="5">
        <v>45051</v>
      </c>
      <c r="W118" s="5">
        <v>45051</v>
      </c>
      <c r="X118" s="3">
        <v>0</v>
      </c>
      <c r="Y118" s="5">
        <f ca="1">IF(Table1[[#This Row],[ChurnStatus]]="Cancelled",Table1[[#This Row],[CancellationDate]],TODAY())</f>
        <v>45051</v>
      </c>
      <c r="Z118" s="46">
        <f ca="1">IF(AND(Table1[[#This Row],[SubscriptionStart]] &lt;= TODAY(), Table1[[#This Row],[EffectiveEndDate]] &gt;= TODAY()),1,0)</f>
        <v>0</v>
      </c>
      <c r="AA118" s="46">
        <f ca="1">IF(AND(Table1[[#This Row],[SubscriptionStart]]&lt;=Settings!$A$2,Table1[[#This Row],[EffectiveEndDate]]&gt;=Settings!$A$2),1,0)</f>
        <v>0</v>
      </c>
      <c r="AB118" s="46">
        <f ca="1">IF(AND(Table1[[#This Row],[SubscriptionStart]]&lt;=Settings!$B$2,Table1[[#This Row],[EffectiveEndDate]]&gt;=Settings!$B$2),1,0)</f>
        <v>1</v>
      </c>
      <c r="AC118" s="46">
        <f ca="1">IF(AND(Table1[[#This Row],[SubscriptionStart]]&lt;=Settings!$C$2,Table1[[#This Row],[EffectiveEndDate]]&gt;=Settings!$C$2),1,0)</f>
        <v>1</v>
      </c>
      <c r="AD118" s="46">
        <f ca="1">IF(AND(Table1[[#This Row],[SubscriptionStart]]&lt;=Settings!$D$2,Table1[[#This Row],[EffectiveEndDate]]&gt;=Settings!$D$2),1,0)</f>
        <v>0</v>
      </c>
      <c r="AE118" s="46">
        <f ca="1">IF(AND(Table1[[#This Row],[SubscriptionStart]]&lt;=Settings!$E$2,Table1[[#This Row],[EffectiveEndDate]]&gt;=Settings!$E$2),1,0)</f>
        <v>0</v>
      </c>
      <c r="AF118"/>
      <c r="AG118"/>
      <c r="AH118"/>
      <c r="AI118"/>
      <c r="AJ118"/>
      <c r="AK118"/>
    </row>
    <row r="119" spans="1:37">
      <c r="A119" s="3" t="s">
        <v>537</v>
      </c>
      <c r="B119" s="3">
        <v>41</v>
      </c>
      <c r="C119" s="3" t="s">
        <v>37</v>
      </c>
      <c r="D119" s="5">
        <v>44692</v>
      </c>
      <c r="F119" s="3">
        <f ca="1">TODAY() - Table1[[#This Row],[SubscriptionStart]]</f>
        <v>1289</v>
      </c>
      <c r="G119" s="4">
        <v>48</v>
      </c>
      <c r="H119" s="3" t="s">
        <v>24</v>
      </c>
      <c r="I119" s="3" t="s">
        <v>30</v>
      </c>
      <c r="J119" s="7" cm="1">
        <f t="array" ref="J119">_xlfn.IFS(Table1[[#This Row],[Tier]]="Basic",10,Table1[[#This Row],[Tier]]="Standard",18,Table1[[#This Row],[Tier]]="Premium",25)</f>
        <v>10</v>
      </c>
      <c r="K119" s="7" cm="1">
        <f t="array" ref="K11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119" s="7" cm="1">
        <f t="array" ref="L11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312</v>
      </c>
      <c r="M119" s="3" t="str" cm="1">
        <f t="array" ref="M11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19" s="3" t="s">
        <v>34</v>
      </c>
      <c r="O119" s="3" t="s">
        <v>27</v>
      </c>
      <c r="Q119" s="3" t="str" cm="1">
        <f t="array" ref="Q119">_xlfn.IFS(Table1[[#This Row],[TotalRevenue]]&lt;100,"Low",Table1[[#This Row],[TotalRevenue]]&lt;300,"Medium",Table1[[#This Row],[TotalRevenue]]&lt;600,"High",TRUE,"Very High")</f>
        <v>High</v>
      </c>
      <c r="R119" s="3" t="str" cm="1">
        <f t="array" ref="R11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19" s="3" t="str">
        <f>IF(Table1[[#This Row],[NextBillingDate]]="","Cancelled",IF(Table1[[#This Row],[CancellationDate]]&lt;&gt;"","Cancelled","Active"))</f>
        <v>Active</v>
      </c>
      <c r="T119" s="7" cm="1">
        <f t="array" ref="T11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392</v>
      </c>
      <c r="V119" s="5">
        <v>46132</v>
      </c>
      <c r="W119" s="5">
        <v>46132</v>
      </c>
      <c r="X119" s="3">
        <v>3</v>
      </c>
      <c r="Y119" s="5">
        <f ca="1">IF(Table1[[#This Row],[ChurnStatus]]="Cancelled",Table1[[#This Row],[CancellationDate]],TODAY())</f>
        <v>45981</v>
      </c>
      <c r="Z119" s="46">
        <f ca="1">IF(AND(Table1[[#This Row],[SubscriptionStart]] &lt;= TODAY(), Table1[[#This Row],[EffectiveEndDate]] &gt;= TODAY()),1,0)</f>
        <v>1</v>
      </c>
      <c r="AA119" s="46">
        <f ca="1">IF(AND(Table1[[#This Row],[SubscriptionStart]]&lt;=Settings!$A$2,Table1[[#This Row],[EffectiveEndDate]]&gt;=Settings!$A$2),1,0)</f>
        <v>0</v>
      </c>
      <c r="AB119" s="46">
        <f ca="1">IF(AND(Table1[[#This Row],[SubscriptionStart]]&lt;=Settings!$B$2,Table1[[#This Row],[EffectiveEndDate]]&gt;=Settings!$B$2),1,0)</f>
        <v>1</v>
      </c>
      <c r="AC119" s="46">
        <f ca="1">IF(AND(Table1[[#This Row],[SubscriptionStart]]&lt;=Settings!$C$2,Table1[[#This Row],[EffectiveEndDate]]&gt;=Settings!$C$2),1,0)</f>
        <v>1</v>
      </c>
      <c r="AD119" s="46">
        <f ca="1">IF(AND(Table1[[#This Row],[SubscriptionStart]]&lt;=Settings!$D$2,Table1[[#This Row],[EffectiveEndDate]]&gt;=Settings!$D$2),1,0)</f>
        <v>1</v>
      </c>
      <c r="AE119" s="46">
        <f ca="1">IF(AND(Table1[[#This Row],[SubscriptionStart]]&lt;=Settings!$E$2,Table1[[#This Row],[EffectiveEndDate]]&gt;=Settings!$E$2),1,0)</f>
        <v>1</v>
      </c>
      <c r="AF119"/>
      <c r="AG119"/>
      <c r="AH119"/>
      <c r="AI119"/>
      <c r="AJ119"/>
      <c r="AK119"/>
    </row>
    <row r="120" spans="1:37">
      <c r="A120" s="3" t="s">
        <v>723</v>
      </c>
      <c r="B120" s="3">
        <v>73</v>
      </c>
      <c r="C120" s="3" t="s">
        <v>37</v>
      </c>
      <c r="D120" s="5">
        <v>44694</v>
      </c>
      <c r="E120" s="5">
        <v>44724</v>
      </c>
      <c r="F120" s="3">
        <f ca="1">TODAY() - Table1[[#This Row],[SubscriptionStart]]</f>
        <v>1287</v>
      </c>
      <c r="G120" s="4">
        <v>1</v>
      </c>
      <c r="H120" s="3" t="s">
        <v>29</v>
      </c>
      <c r="I120" s="3" t="s">
        <v>25</v>
      </c>
      <c r="J120" s="7" cm="1">
        <f t="array" ref="J120">_xlfn.IFS(Table1[[#This Row],[Tier]]="Basic",10,Table1[[#This Row],[Tier]]="Standard",18,Table1[[#This Row],[Tier]]="Premium",25)</f>
        <v>25</v>
      </c>
      <c r="K120" s="7" cm="1">
        <f t="array" ref="K12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120" s="7" cm="1">
        <f t="array" ref="L12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20" s="3" t="str" cm="1">
        <f t="array" ref="M120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120" s="3" t="s">
        <v>34</v>
      </c>
      <c r="O120" s="3" t="s">
        <v>49</v>
      </c>
      <c r="P120" s="3" t="s">
        <v>47</v>
      </c>
      <c r="Q120" s="3" t="str" cm="1">
        <f t="array" ref="Q120">_xlfn.IFS(Table1[[#This Row],[TotalRevenue]]&lt;100,"Low",Table1[[#This Row],[TotalRevenue]]&lt;300,"Medium",Table1[[#This Row],[TotalRevenue]]&lt;600,"High",TRUE,"Very High")</f>
        <v>Low</v>
      </c>
      <c r="R120" s="3" t="str" cm="1">
        <f t="array" ref="R120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120" s="3" t="str">
        <f>IF(Table1[[#This Row],[NextBillingDate]]="","Cancelled",IF(Table1[[#This Row],[CancellationDate]]&lt;&gt;"","Cancelled","Active"))</f>
        <v>Cancelled</v>
      </c>
      <c r="T120" s="7" cm="1">
        <f t="array" ref="T12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20" s="5">
        <v>44724</v>
      </c>
      <c r="W120" s="5">
        <v>44724</v>
      </c>
      <c r="X120" s="3">
        <v>0</v>
      </c>
      <c r="Y120" s="5">
        <f ca="1">IF(Table1[[#This Row],[ChurnStatus]]="Cancelled",Table1[[#This Row],[CancellationDate]],TODAY())</f>
        <v>44724</v>
      </c>
      <c r="Z120" s="46">
        <f ca="1">IF(AND(Table1[[#This Row],[SubscriptionStart]] &lt;= TODAY(), Table1[[#This Row],[EffectiveEndDate]] &gt;= TODAY()),1,0)</f>
        <v>0</v>
      </c>
      <c r="AA120" s="46">
        <f ca="1">IF(AND(Table1[[#This Row],[SubscriptionStart]]&lt;=Settings!$A$2,Table1[[#This Row],[EffectiveEndDate]]&gt;=Settings!$A$2),1,0)</f>
        <v>0</v>
      </c>
      <c r="AB120" s="46">
        <f ca="1">IF(AND(Table1[[#This Row],[SubscriptionStart]]&lt;=Settings!$B$2,Table1[[#This Row],[EffectiveEndDate]]&gt;=Settings!$B$2),1,0)</f>
        <v>1</v>
      </c>
      <c r="AC120" s="46">
        <f ca="1">IF(AND(Table1[[#This Row],[SubscriptionStart]]&lt;=Settings!$C$2,Table1[[#This Row],[EffectiveEndDate]]&gt;=Settings!$C$2),1,0)</f>
        <v>0</v>
      </c>
      <c r="AD120" s="46">
        <f ca="1">IF(AND(Table1[[#This Row],[SubscriptionStart]]&lt;=Settings!$D$2,Table1[[#This Row],[EffectiveEndDate]]&gt;=Settings!$D$2),1,0)</f>
        <v>0</v>
      </c>
      <c r="AE120" s="46">
        <f ca="1">IF(AND(Table1[[#This Row],[SubscriptionStart]]&lt;=Settings!$E$2,Table1[[#This Row],[EffectiveEndDate]]&gt;=Settings!$E$2),1,0)</f>
        <v>0</v>
      </c>
      <c r="AF120"/>
      <c r="AG120"/>
      <c r="AH120"/>
      <c r="AI120"/>
      <c r="AJ120"/>
      <c r="AK120"/>
    </row>
    <row r="121" spans="1:37">
      <c r="A121" s="3" t="s">
        <v>58</v>
      </c>
      <c r="B121" s="3">
        <v>41</v>
      </c>
      <c r="C121" s="3" t="s">
        <v>37</v>
      </c>
      <c r="D121" s="5">
        <v>44694</v>
      </c>
      <c r="F121" s="3">
        <f ca="1">TODAY() - Table1[[#This Row],[SubscriptionStart]]</f>
        <v>1287</v>
      </c>
      <c r="G121" s="4">
        <v>48</v>
      </c>
      <c r="H121" s="3" t="s">
        <v>24</v>
      </c>
      <c r="I121" s="3" t="s">
        <v>39</v>
      </c>
      <c r="J121" s="7" cm="1">
        <f t="array" ref="J121">_xlfn.IFS(Table1[[#This Row],[Tier]]="Basic",10,Table1[[#This Row],[Tier]]="Standard",18,Table1[[#This Row],[Tier]]="Premium",25)</f>
        <v>18</v>
      </c>
      <c r="K121" s="7" cm="1">
        <f t="array" ref="K12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121" s="7" cm="1">
        <f t="array" ref="L12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561.6</v>
      </c>
      <c r="M121" s="3" t="str" cm="1">
        <f t="array" ref="M12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21" s="3" t="s">
        <v>26</v>
      </c>
      <c r="O121" s="3" t="s">
        <v>49</v>
      </c>
      <c r="Q121" s="3" t="str" cm="1">
        <f t="array" ref="Q121">_xlfn.IFS(Table1[[#This Row],[TotalRevenue]]&lt;100,"Low",Table1[[#This Row],[TotalRevenue]]&lt;300,"Medium",Table1[[#This Row],[TotalRevenue]]&lt;600,"High",TRUE,"Very High")</f>
        <v>High</v>
      </c>
      <c r="R121" s="3" t="str" cm="1">
        <f t="array" ref="R12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21" s="3" t="str">
        <f>IF(Table1[[#This Row],[NextBillingDate]]="","Cancelled",IF(Table1[[#This Row],[CancellationDate]]&lt;&gt;"","Cancelled","Active"))</f>
        <v>Active</v>
      </c>
      <c r="T121" s="7" cm="1">
        <f t="array" ref="T12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705.6</v>
      </c>
      <c r="V121" s="5">
        <v>46134</v>
      </c>
      <c r="W121" s="5">
        <v>46134</v>
      </c>
      <c r="X121" s="3">
        <v>3</v>
      </c>
      <c r="Y121" s="5">
        <f ca="1">IF(Table1[[#This Row],[ChurnStatus]]="Cancelled",Table1[[#This Row],[CancellationDate]],TODAY())</f>
        <v>45981</v>
      </c>
      <c r="Z121" s="46">
        <f ca="1">IF(AND(Table1[[#This Row],[SubscriptionStart]] &lt;= TODAY(), Table1[[#This Row],[EffectiveEndDate]] &gt;= TODAY()),1,0)</f>
        <v>1</v>
      </c>
      <c r="AA121" s="46">
        <f ca="1">IF(AND(Table1[[#This Row],[SubscriptionStart]]&lt;=Settings!$A$2,Table1[[#This Row],[EffectiveEndDate]]&gt;=Settings!$A$2),1,0)</f>
        <v>0</v>
      </c>
      <c r="AB121" s="46">
        <f ca="1">IF(AND(Table1[[#This Row],[SubscriptionStart]]&lt;=Settings!$B$2,Table1[[#This Row],[EffectiveEndDate]]&gt;=Settings!$B$2),1,0)</f>
        <v>1</v>
      </c>
      <c r="AC121" s="46">
        <f ca="1">IF(AND(Table1[[#This Row],[SubscriptionStart]]&lt;=Settings!$C$2,Table1[[#This Row],[EffectiveEndDate]]&gt;=Settings!$C$2),1,0)</f>
        <v>1</v>
      </c>
      <c r="AD121" s="46">
        <f ca="1">IF(AND(Table1[[#This Row],[SubscriptionStart]]&lt;=Settings!$D$2,Table1[[#This Row],[EffectiveEndDate]]&gt;=Settings!$D$2),1,0)</f>
        <v>1</v>
      </c>
      <c r="AE121" s="46">
        <f ca="1">IF(AND(Table1[[#This Row],[SubscriptionStart]]&lt;=Settings!$E$2,Table1[[#This Row],[EffectiveEndDate]]&gt;=Settings!$E$2),1,0)</f>
        <v>1</v>
      </c>
      <c r="AF121"/>
      <c r="AG121"/>
      <c r="AH121"/>
      <c r="AI121"/>
      <c r="AJ121"/>
      <c r="AK121"/>
    </row>
    <row r="122" spans="1:37">
      <c r="A122" s="3" t="s">
        <v>323</v>
      </c>
      <c r="B122" s="3">
        <v>24</v>
      </c>
      <c r="C122" s="3" t="s">
        <v>23</v>
      </c>
      <c r="D122" s="5">
        <v>44697</v>
      </c>
      <c r="E122" s="5">
        <v>45057</v>
      </c>
      <c r="F122" s="3">
        <f ca="1">TODAY() - Table1[[#This Row],[SubscriptionStart]]</f>
        <v>1284</v>
      </c>
      <c r="G122" s="4">
        <v>12</v>
      </c>
      <c r="H122" s="3" t="s">
        <v>24</v>
      </c>
      <c r="I122" s="3" t="s">
        <v>25</v>
      </c>
      <c r="J122" s="7" cm="1">
        <f t="array" ref="J122">_xlfn.IFS(Table1[[#This Row],[Tier]]="Basic",10,Table1[[#This Row],[Tier]]="Standard",18,Table1[[#This Row],[Tier]]="Premium",25)</f>
        <v>25</v>
      </c>
      <c r="K122" s="7" cm="1">
        <f t="array" ref="K12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122" s="7" cm="1">
        <f t="array" ref="L12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122" s="3" t="str" cm="1">
        <f t="array" ref="M122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122" s="3" t="s">
        <v>52</v>
      </c>
      <c r="O122" s="3" t="s">
        <v>27</v>
      </c>
      <c r="P122" s="3" t="s">
        <v>50</v>
      </c>
      <c r="Q122" s="3" t="str" cm="1">
        <f t="array" ref="Q122">_xlfn.IFS(Table1[[#This Row],[TotalRevenue]]&lt;100,"Low",Table1[[#This Row],[TotalRevenue]]&lt;300,"Medium",Table1[[#This Row],[TotalRevenue]]&lt;600,"High",TRUE,"Very High")</f>
        <v>Medium</v>
      </c>
      <c r="R122" s="3" t="str" cm="1">
        <f t="array" ref="R122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122" s="3" t="str">
        <f>IF(Table1[[#This Row],[NextBillingDate]]="","Cancelled",IF(Table1[[#This Row],[CancellationDate]]&lt;&gt;"","Cancelled","Active"))</f>
        <v>Cancelled</v>
      </c>
      <c r="T122" s="7" cm="1">
        <f t="array" ref="T12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122" s="5">
        <v>45057</v>
      </c>
      <c r="W122" s="5">
        <v>45057</v>
      </c>
      <c r="X122" s="3">
        <v>0</v>
      </c>
      <c r="Y122" s="5">
        <f ca="1">IF(Table1[[#This Row],[ChurnStatus]]="Cancelled",Table1[[#This Row],[CancellationDate]],TODAY())</f>
        <v>45057</v>
      </c>
      <c r="Z122" s="46">
        <f ca="1">IF(AND(Table1[[#This Row],[SubscriptionStart]] &lt;= TODAY(), Table1[[#This Row],[EffectiveEndDate]] &gt;= TODAY()),1,0)</f>
        <v>0</v>
      </c>
      <c r="AA122" s="46">
        <f ca="1">IF(AND(Table1[[#This Row],[SubscriptionStart]]&lt;=Settings!$A$2,Table1[[#This Row],[EffectiveEndDate]]&gt;=Settings!$A$2),1,0)</f>
        <v>0</v>
      </c>
      <c r="AB122" s="46">
        <f ca="1">IF(AND(Table1[[#This Row],[SubscriptionStart]]&lt;=Settings!$B$2,Table1[[#This Row],[EffectiveEndDate]]&gt;=Settings!$B$2),1,0)</f>
        <v>1</v>
      </c>
      <c r="AC122" s="46">
        <f ca="1">IF(AND(Table1[[#This Row],[SubscriptionStart]]&lt;=Settings!$C$2,Table1[[#This Row],[EffectiveEndDate]]&gt;=Settings!$C$2),1,0)</f>
        <v>1</v>
      </c>
      <c r="AD122" s="46">
        <f ca="1">IF(AND(Table1[[#This Row],[SubscriptionStart]]&lt;=Settings!$D$2,Table1[[#This Row],[EffectiveEndDate]]&gt;=Settings!$D$2),1,0)</f>
        <v>0</v>
      </c>
      <c r="AE122" s="46">
        <f ca="1">IF(AND(Table1[[#This Row],[SubscriptionStart]]&lt;=Settings!$E$2,Table1[[#This Row],[EffectiveEndDate]]&gt;=Settings!$E$2),1,0)</f>
        <v>0</v>
      </c>
      <c r="AF122"/>
      <c r="AG122"/>
      <c r="AH122"/>
      <c r="AI122"/>
      <c r="AJ122"/>
      <c r="AK122"/>
    </row>
    <row r="123" spans="1:37">
      <c r="A123" s="3" t="s">
        <v>729</v>
      </c>
      <c r="B123" s="3">
        <v>59</v>
      </c>
      <c r="C123" s="3" t="s">
        <v>37</v>
      </c>
      <c r="D123" s="5">
        <v>44698</v>
      </c>
      <c r="E123" s="5">
        <v>45058</v>
      </c>
      <c r="F123" s="3">
        <f ca="1">TODAY() - Table1[[#This Row],[SubscriptionStart]]</f>
        <v>1283</v>
      </c>
      <c r="G123" s="4">
        <v>12</v>
      </c>
      <c r="H123" s="3" t="s">
        <v>24</v>
      </c>
      <c r="I123" s="3" t="s">
        <v>30</v>
      </c>
      <c r="J123" s="7" cm="1">
        <f t="array" ref="J123">_xlfn.IFS(Table1[[#This Row],[Tier]]="Basic",10,Table1[[#This Row],[Tier]]="Standard",18,Table1[[#This Row],[Tier]]="Premium",25)</f>
        <v>10</v>
      </c>
      <c r="K123" s="7" cm="1">
        <f t="array" ref="K12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123" s="7" cm="1">
        <f t="array" ref="L12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123" s="3" t="str" cm="1">
        <f t="array" ref="M12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123" s="3" t="s">
        <v>31</v>
      </c>
      <c r="O123" s="3" t="s">
        <v>40</v>
      </c>
      <c r="P123" s="3" t="s">
        <v>44</v>
      </c>
      <c r="Q123" s="3" t="str" cm="1">
        <f t="array" ref="Q123">_xlfn.IFS(Table1[[#This Row],[TotalRevenue]]&lt;100,"Low",Table1[[#This Row],[TotalRevenue]]&lt;300,"Medium",Table1[[#This Row],[TotalRevenue]]&lt;600,"High",TRUE,"Very High")</f>
        <v>Low</v>
      </c>
      <c r="R123" s="3" t="str" cm="1">
        <f t="array" ref="R12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23" s="3" t="str">
        <f>IF(Table1[[#This Row],[NextBillingDate]]="","Cancelled",IF(Table1[[#This Row],[CancellationDate]]&lt;&gt;"","Cancelled","Active"))</f>
        <v>Cancelled</v>
      </c>
      <c r="T123" s="7" cm="1">
        <f t="array" ref="T12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123" s="5">
        <v>45058</v>
      </c>
      <c r="W123" s="5">
        <v>45058</v>
      </c>
      <c r="X123" s="3">
        <v>0</v>
      </c>
      <c r="Y123" s="5">
        <f ca="1">IF(Table1[[#This Row],[ChurnStatus]]="Cancelled",Table1[[#This Row],[CancellationDate]],TODAY())</f>
        <v>45058</v>
      </c>
      <c r="Z123" s="46">
        <f ca="1">IF(AND(Table1[[#This Row],[SubscriptionStart]] &lt;= TODAY(), Table1[[#This Row],[EffectiveEndDate]] &gt;= TODAY()),1,0)</f>
        <v>0</v>
      </c>
      <c r="AA123" s="46">
        <f ca="1">IF(AND(Table1[[#This Row],[SubscriptionStart]]&lt;=Settings!$A$2,Table1[[#This Row],[EffectiveEndDate]]&gt;=Settings!$A$2),1,0)</f>
        <v>0</v>
      </c>
      <c r="AB123" s="46">
        <f ca="1">IF(AND(Table1[[#This Row],[SubscriptionStart]]&lt;=Settings!$B$2,Table1[[#This Row],[EffectiveEndDate]]&gt;=Settings!$B$2),1,0)</f>
        <v>1</v>
      </c>
      <c r="AC123" s="46">
        <f ca="1">IF(AND(Table1[[#This Row],[SubscriptionStart]]&lt;=Settings!$C$2,Table1[[#This Row],[EffectiveEndDate]]&gt;=Settings!$C$2),1,0)</f>
        <v>1</v>
      </c>
      <c r="AD123" s="46">
        <f ca="1">IF(AND(Table1[[#This Row],[SubscriptionStart]]&lt;=Settings!$D$2,Table1[[#This Row],[EffectiveEndDate]]&gt;=Settings!$D$2),1,0)</f>
        <v>0</v>
      </c>
      <c r="AE123" s="46">
        <f ca="1">IF(AND(Table1[[#This Row],[SubscriptionStart]]&lt;=Settings!$E$2,Table1[[#This Row],[EffectiveEndDate]]&gt;=Settings!$E$2),1,0)</f>
        <v>0</v>
      </c>
      <c r="AF123"/>
      <c r="AG123"/>
      <c r="AH123"/>
      <c r="AI123"/>
      <c r="AJ123"/>
      <c r="AK123"/>
    </row>
    <row r="124" spans="1:37">
      <c r="A124" s="3" t="s">
        <v>382</v>
      </c>
      <c r="B124" s="3">
        <v>62</v>
      </c>
      <c r="C124" s="3" t="s">
        <v>37</v>
      </c>
      <c r="D124" s="5">
        <v>44700</v>
      </c>
      <c r="E124" s="5">
        <v>45060</v>
      </c>
      <c r="F124" s="3">
        <f ca="1">TODAY() - Table1[[#This Row],[SubscriptionStart]]</f>
        <v>1281</v>
      </c>
      <c r="G124" s="4">
        <v>12</v>
      </c>
      <c r="H124" s="3" t="s">
        <v>24</v>
      </c>
      <c r="I124" s="3" t="s">
        <v>39</v>
      </c>
      <c r="J124" s="7" cm="1">
        <f t="array" ref="J124">_xlfn.IFS(Table1[[#This Row],[Tier]]="Basic",10,Table1[[#This Row],[Tier]]="Standard",18,Table1[[#This Row],[Tier]]="Premium",25)</f>
        <v>18</v>
      </c>
      <c r="K124" s="7" cm="1">
        <f t="array" ref="K12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24" s="7" cm="1">
        <f t="array" ref="L12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24" s="3" t="str" cm="1">
        <f t="array" ref="M12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24" s="3" t="s">
        <v>26</v>
      </c>
      <c r="O124" s="3" t="s">
        <v>32</v>
      </c>
      <c r="P124" s="3" t="s">
        <v>50</v>
      </c>
      <c r="Q124" s="3" t="str" cm="1">
        <f t="array" ref="Q124">_xlfn.IFS(Table1[[#This Row],[TotalRevenue]]&lt;100,"Low",Table1[[#This Row],[TotalRevenue]]&lt;300,"Medium",Table1[[#This Row],[TotalRevenue]]&lt;600,"High",TRUE,"Very High")</f>
        <v>Medium</v>
      </c>
      <c r="R124" s="3" t="str" cm="1">
        <f t="array" ref="R12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24" s="3" t="str">
        <f>IF(Table1[[#This Row],[NextBillingDate]]="","Cancelled",IF(Table1[[#This Row],[CancellationDate]]&lt;&gt;"","Cancelled","Active"))</f>
        <v>Cancelled</v>
      </c>
      <c r="T124" s="7" cm="1">
        <f t="array" ref="T12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24" s="5">
        <v>45060</v>
      </c>
      <c r="W124" s="5">
        <v>45060</v>
      </c>
      <c r="X124" s="3">
        <v>0</v>
      </c>
      <c r="Y124" s="5">
        <f ca="1">IF(Table1[[#This Row],[ChurnStatus]]="Cancelled",Table1[[#This Row],[CancellationDate]],TODAY())</f>
        <v>45060</v>
      </c>
      <c r="Z124" s="46">
        <f ca="1">IF(AND(Table1[[#This Row],[SubscriptionStart]] &lt;= TODAY(), Table1[[#This Row],[EffectiveEndDate]] &gt;= TODAY()),1,0)</f>
        <v>0</v>
      </c>
      <c r="AA124" s="46">
        <f ca="1">IF(AND(Table1[[#This Row],[SubscriptionStart]]&lt;=Settings!$A$2,Table1[[#This Row],[EffectiveEndDate]]&gt;=Settings!$A$2),1,0)</f>
        <v>0</v>
      </c>
      <c r="AB124" s="46">
        <f ca="1">IF(AND(Table1[[#This Row],[SubscriptionStart]]&lt;=Settings!$B$2,Table1[[#This Row],[EffectiveEndDate]]&gt;=Settings!$B$2),1,0)</f>
        <v>1</v>
      </c>
      <c r="AC124" s="46">
        <f ca="1">IF(AND(Table1[[#This Row],[SubscriptionStart]]&lt;=Settings!$C$2,Table1[[#This Row],[EffectiveEndDate]]&gt;=Settings!$C$2),1,0)</f>
        <v>1</v>
      </c>
      <c r="AD124" s="46">
        <f ca="1">IF(AND(Table1[[#This Row],[SubscriptionStart]]&lt;=Settings!$D$2,Table1[[#This Row],[EffectiveEndDate]]&gt;=Settings!$D$2),1,0)</f>
        <v>0</v>
      </c>
      <c r="AE124" s="46">
        <f ca="1">IF(AND(Table1[[#This Row],[SubscriptionStart]]&lt;=Settings!$E$2,Table1[[#This Row],[EffectiveEndDate]]&gt;=Settings!$E$2),1,0)</f>
        <v>0</v>
      </c>
      <c r="AF124"/>
      <c r="AG124"/>
      <c r="AH124"/>
      <c r="AI124"/>
      <c r="AJ124"/>
      <c r="AK124"/>
    </row>
    <row r="125" spans="1:37">
      <c r="A125" s="3" t="s">
        <v>650</v>
      </c>
      <c r="B125" s="3">
        <v>44</v>
      </c>
      <c r="C125" s="3" t="s">
        <v>23</v>
      </c>
      <c r="D125" s="5">
        <v>44700</v>
      </c>
      <c r="F125" s="3">
        <f ca="1">TODAY() - Table1[[#This Row],[SubscriptionStart]]</f>
        <v>1281</v>
      </c>
      <c r="G125" s="4">
        <v>43</v>
      </c>
      <c r="H125" s="3" t="s">
        <v>29</v>
      </c>
      <c r="I125" s="3" t="s">
        <v>39</v>
      </c>
      <c r="J125" s="7" cm="1">
        <f t="array" ref="J125">_xlfn.IFS(Table1[[#This Row],[Tier]]="Basic",10,Table1[[#This Row],[Tier]]="Standard",18,Table1[[#This Row],[Tier]]="Premium",25)</f>
        <v>18</v>
      </c>
      <c r="K125" s="7" cm="1">
        <f t="array" ref="K12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125" s="7" cm="1">
        <f t="array" ref="L12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736.2</v>
      </c>
      <c r="M125" s="3" t="str" cm="1">
        <f t="array" ref="M12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25" s="3" t="s">
        <v>34</v>
      </c>
      <c r="O125" s="3" t="s">
        <v>40</v>
      </c>
      <c r="Q125" s="3" t="str" cm="1">
        <f t="array" ref="Q125">_xlfn.IFS(Table1[[#This Row],[TotalRevenue]]&lt;100,"Low",Table1[[#This Row],[TotalRevenue]]&lt;300,"Medium",Table1[[#This Row],[TotalRevenue]]&lt;600,"High",TRUE,"Very High")</f>
        <v>Very High</v>
      </c>
      <c r="R125" s="3" t="str" cm="1">
        <f t="array" ref="R12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25" s="3" t="str">
        <f>IF(Table1[[#This Row],[NextBillingDate]]="","Cancelled",IF(Table1[[#This Row],[CancellationDate]]&lt;&gt;"","Cancelled","Active"))</f>
        <v>Active</v>
      </c>
      <c r="T125" s="7" cm="1">
        <f t="array" ref="T12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754.2</v>
      </c>
      <c r="V125" s="5">
        <v>45990</v>
      </c>
      <c r="W125" s="5">
        <v>45990</v>
      </c>
      <c r="X125" s="3">
        <v>42</v>
      </c>
      <c r="Y125" s="5">
        <f ca="1">IF(Table1[[#This Row],[ChurnStatus]]="Cancelled",Table1[[#This Row],[CancellationDate]],TODAY())</f>
        <v>45981</v>
      </c>
      <c r="Z125" s="46">
        <f ca="1">IF(AND(Table1[[#This Row],[SubscriptionStart]] &lt;= TODAY(), Table1[[#This Row],[EffectiveEndDate]] &gt;= TODAY()),1,0)</f>
        <v>1</v>
      </c>
      <c r="AA125" s="46">
        <f ca="1">IF(AND(Table1[[#This Row],[SubscriptionStart]]&lt;=Settings!$A$2,Table1[[#This Row],[EffectiveEndDate]]&gt;=Settings!$A$2),1,0)</f>
        <v>0</v>
      </c>
      <c r="AB125" s="46">
        <f ca="1">IF(AND(Table1[[#This Row],[SubscriptionStart]]&lt;=Settings!$B$2,Table1[[#This Row],[EffectiveEndDate]]&gt;=Settings!$B$2),1,0)</f>
        <v>1</v>
      </c>
      <c r="AC125" s="46">
        <f ca="1">IF(AND(Table1[[#This Row],[SubscriptionStart]]&lt;=Settings!$C$2,Table1[[#This Row],[EffectiveEndDate]]&gt;=Settings!$C$2),1,0)</f>
        <v>1</v>
      </c>
      <c r="AD125" s="46">
        <f ca="1">IF(AND(Table1[[#This Row],[SubscriptionStart]]&lt;=Settings!$D$2,Table1[[#This Row],[EffectiveEndDate]]&gt;=Settings!$D$2),1,0)</f>
        <v>1</v>
      </c>
      <c r="AE125" s="46">
        <f ca="1">IF(AND(Table1[[#This Row],[SubscriptionStart]]&lt;=Settings!$E$2,Table1[[#This Row],[EffectiveEndDate]]&gt;=Settings!$E$2),1,0)</f>
        <v>1</v>
      </c>
      <c r="AF125"/>
      <c r="AG125"/>
      <c r="AH125"/>
      <c r="AI125"/>
      <c r="AJ125"/>
      <c r="AK125"/>
    </row>
    <row r="126" spans="1:37">
      <c r="A126" s="3" t="s">
        <v>596</v>
      </c>
      <c r="B126" s="3">
        <v>42</v>
      </c>
      <c r="C126" s="3" t="s">
        <v>37</v>
      </c>
      <c r="D126" s="5">
        <v>44702</v>
      </c>
      <c r="E126" s="5">
        <v>45062</v>
      </c>
      <c r="F126" s="3">
        <f ca="1">TODAY() - Table1[[#This Row],[SubscriptionStart]]</f>
        <v>1279</v>
      </c>
      <c r="G126" s="4">
        <v>12</v>
      </c>
      <c r="H126" s="3" t="s">
        <v>24</v>
      </c>
      <c r="I126" s="3" t="s">
        <v>30</v>
      </c>
      <c r="J126" s="7" cm="1">
        <f t="array" ref="J126">_xlfn.IFS(Table1[[#This Row],[Tier]]="Basic",10,Table1[[#This Row],[Tier]]="Standard",18,Table1[[#This Row],[Tier]]="Premium",25)</f>
        <v>10</v>
      </c>
      <c r="K126" s="7" cm="1">
        <f t="array" ref="K12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126" s="7" cm="1">
        <f t="array" ref="L12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126" s="3" t="str" cm="1">
        <f t="array" ref="M12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26" s="3" t="s">
        <v>26</v>
      </c>
      <c r="O126" s="3" t="s">
        <v>40</v>
      </c>
      <c r="P126" s="3" t="s">
        <v>35</v>
      </c>
      <c r="Q126" s="3" t="str" cm="1">
        <f t="array" ref="Q126">_xlfn.IFS(Table1[[#This Row],[TotalRevenue]]&lt;100,"Low",Table1[[#This Row],[TotalRevenue]]&lt;300,"Medium",Table1[[#This Row],[TotalRevenue]]&lt;600,"High",TRUE,"Very High")</f>
        <v>Low</v>
      </c>
      <c r="R126" s="3" t="str" cm="1">
        <f t="array" ref="R12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26" s="3" t="str">
        <f>IF(Table1[[#This Row],[NextBillingDate]]="","Cancelled",IF(Table1[[#This Row],[CancellationDate]]&lt;&gt;"","Cancelled","Active"))</f>
        <v>Cancelled</v>
      </c>
      <c r="T126" s="7" cm="1">
        <f t="array" ref="T12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126" s="5">
        <v>45062</v>
      </c>
      <c r="W126" s="5">
        <v>45062</v>
      </c>
      <c r="X126" s="3">
        <v>0</v>
      </c>
      <c r="Y126" s="5">
        <f ca="1">IF(Table1[[#This Row],[ChurnStatus]]="Cancelled",Table1[[#This Row],[CancellationDate]],TODAY())</f>
        <v>45062</v>
      </c>
      <c r="Z126" s="46">
        <f ca="1">IF(AND(Table1[[#This Row],[SubscriptionStart]] &lt;= TODAY(), Table1[[#This Row],[EffectiveEndDate]] &gt;= TODAY()),1,0)</f>
        <v>0</v>
      </c>
      <c r="AA126" s="46">
        <f ca="1">IF(AND(Table1[[#This Row],[SubscriptionStart]]&lt;=Settings!$A$2,Table1[[#This Row],[EffectiveEndDate]]&gt;=Settings!$A$2),1,0)</f>
        <v>0</v>
      </c>
      <c r="AB126" s="46">
        <f ca="1">IF(AND(Table1[[#This Row],[SubscriptionStart]]&lt;=Settings!$B$2,Table1[[#This Row],[EffectiveEndDate]]&gt;=Settings!$B$2),1,0)</f>
        <v>1</v>
      </c>
      <c r="AC126" s="46">
        <f ca="1">IF(AND(Table1[[#This Row],[SubscriptionStart]]&lt;=Settings!$C$2,Table1[[#This Row],[EffectiveEndDate]]&gt;=Settings!$C$2),1,0)</f>
        <v>1</v>
      </c>
      <c r="AD126" s="46">
        <f ca="1">IF(AND(Table1[[#This Row],[SubscriptionStart]]&lt;=Settings!$D$2,Table1[[#This Row],[EffectiveEndDate]]&gt;=Settings!$D$2),1,0)</f>
        <v>0</v>
      </c>
      <c r="AE126" s="46">
        <f ca="1">IF(AND(Table1[[#This Row],[SubscriptionStart]]&lt;=Settings!$E$2,Table1[[#This Row],[EffectiveEndDate]]&gt;=Settings!$E$2),1,0)</f>
        <v>0</v>
      </c>
      <c r="AF126"/>
      <c r="AG126"/>
      <c r="AH126"/>
      <c r="AI126"/>
      <c r="AJ126"/>
      <c r="AK126"/>
    </row>
    <row r="127" spans="1:37">
      <c r="A127" s="3" t="s">
        <v>545</v>
      </c>
      <c r="B127" s="3">
        <v>62</v>
      </c>
      <c r="C127" s="3" t="s">
        <v>37</v>
      </c>
      <c r="D127" s="5">
        <v>44703</v>
      </c>
      <c r="E127" s="5">
        <v>45063</v>
      </c>
      <c r="F127" s="3">
        <f ca="1">TODAY() - Table1[[#This Row],[SubscriptionStart]]</f>
        <v>1278</v>
      </c>
      <c r="G127" s="4">
        <v>12</v>
      </c>
      <c r="H127" s="3" t="s">
        <v>24</v>
      </c>
      <c r="I127" s="3" t="s">
        <v>39</v>
      </c>
      <c r="J127" s="7" cm="1">
        <f t="array" ref="J127">_xlfn.IFS(Table1[[#This Row],[Tier]]="Basic",10,Table1[[#This Row],[Tier]]="Standard",18,Table1[[#This Row],[Tier]]="Premium",25)</f>
        <v>18</v>
      </c>
      <c r="K127" s="7" cm="1">
        <f t="array" ref="K12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27" s="7" cm="1">
        <f t="array" ref="L12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27" s="3" t="str" cm="1">
        <f t="array" ref="M127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27" s="3" t="s">
        <v>34</v>
      </c>
      <c r="O127" s="3" t="s">
        <v>49</v>
      </c>
      <c r="P127" s="3" t="s">
        <v>41</v>
      </c>
      <c r="Q127" s="3" t="str" cm="1">
        <f t="array" ref="Q127">_xlfn.IFS(Table1[[#This Row],[TotalRevenue]]&lt;100,"Low",Table1[[#This Row],[TotalRevenue]]&lt;300,"Medium",Table1[[#This Row],[TotalRevenue]]&lt;600,"High",TRUE,"Very High")</f>
        <v>Medium</v>
      </c>
      <c r="R127" s="3" t="str" cm="1">
        <f t="array" ref="R127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27" s="3" t="str">
        <f>IF(Table1[[#This Row],[NextBillingDate]]="","Cancelled",IF(Table1[[#This Row],[CancellationDate]]&lt;&gt;"","Cancelled","Active"))</f>
        <v>Cancelled</v>
      </c>
      <c r="T127" s="7" cm="1">
        <f t="array" ref="T12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27" s="5">
        <v>45063</v>
      </c>
      <c r="W127" s="5">
        <v>45063</v>
      </c>
      <c r="X127" s="3">
        <v>0</v>
      </c>
      <c r="Y127" s="5">
        <f ca="1">IF(Table1[[#This Row],[ChurnStatus]]="Cancelled",Table1[[#This Row],[CancellationDate]],TODAY())</f>
        <v>45063</v>
      </c>
      <c r="Z127" s="46">
        <f ca="1">IF(AND(Table1[[#This Row],[SubscriptionStart]] &lt;= TODAY(), Table1[[#This Row],[EffectiveEndDate]] &gt;= TODAY()),1,0)</f>
        <v>0</v>
      </c>
      <c r="AA127" s="46">
        <f ca="1">IF(AND(Table1[[#This Row],[SubscriptionStart]]&lt;=Settings!$A$2,Table1[[#This Row],[EffectiveEndDate]]&gt;=Settings!$A$2),1,0)</f>
        <v>0</v>
      </c>
      <c r="AB127" s="46">
        <f ca="1">IF(AND(Table1[[#This Row],[SubscriptionStart]]&lt;=Settings!$B$2,Table1[[#This Row],[EffectiveEndDate]]&gt;=Settings!$B$2),1,0)</f>
        <v>1</v>
      </c>
      <c r="AC127" s="46">
        <f ca="1">IF(AND(Table1[[#This Row],[SubscriptionStart]]&lt;=Settings!$C$2,Table1[[#This Row],[EffectiveEndDate]]&gt;=Settings!$C$2),1,0)</f>
        <v>1</v>
      </c>
      <c r="AD127" s="46">
        <f ca="1">IF(AND(Table1[[#This Row],[SubscriptionStart]]&lt;=Settings!$D$2,Table1[[#This Row],[EffectiveEndDate]]&gt;=Settings!$D$2),1,0)</f>
        <v>0</v>
      </c>
      <c r="AE127" s="46">
        <f ca="1">IF(AND(Table1[[#This Row],[SubscriptionStart]]&lt;=Settings!$E$2,Table1[[#This Row],[EffectiveEndDate]]&gt;=Settings!$E$2),1,0)</f>
        <v>0</v>
      </c>
      <c r="AF127"/>
      <c r="AG127"/>
      <c r="AH127"/>
      <c r="AI127"/>
      <c r="AJ127"/>
      <c r="AK127"/>
    </row>
    <row r="128" spans="1:37">
      <c r="A128" s="3" t="s">
        <v>582</v>
      </c>
      <c r="B128" s="3">
        <v>30</v>
      </c>
      <c r="C128" s="3" t="s">
        <v>37</v>
      </c>
      <c r="D128" s="5">
        <v>44703</v>
      </c>
      <c r="F128" s="3">
        <f ca="1">TODAY() - Table1[[#This Row],[SubscriptionStart]]</f>
        <v>1278</v>
      </c>
      <c r="G128" s="4">
        <v>48</v>
      </c>
      <c r="H128" s="3" t="s">
        <v>38</v>
      </c>
      <c r="I128" s="3" t="s">
        <v>39</v>
      </c>
      <c r="J128" s="7" cm="1">
        <f t="array" ref="J128">_xlfn.IFS(Table1[[#This Row],[Tier]]="Basic",10,Table1[[#This Row],[Tier]]="Standard",18,Table1[[#This Row],[Tier]]="Premium",25)</f>
        <v>18</v>
      </c>
      <c r="K128" s="7" cm="1">
        <f t="array" ref="K12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128" s="7" cm="1">
        <f t="array" ref="L12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631.79999999999995</v>
      </c>
      <c r="M128" s="3" t="str" cm="1">
        <f t="array" ref="M12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28" s="3" t="s">
        <v>26</v>
      </c>
      <c r="O128" s="3" t="s">
        <v>43</v>
      </c>
      <c r="Q128" s="3" t="str" cm="1">
        <f t="array" ref="Q128">_xlfn.IFS(Table1[[#This Row],[TotalRevenue]]&lt;100,"Low",Table1[[#This Row],[TotalRevenue]]&lt;300,"Medium",Table1[[#This Row],[TotalRevenue]]&lt;600,"High",TRUE,"Very High")</f>
        <v>Very High</v>
      </c>
      <c r="R128" s="3" t="str" cm="1">
        <f t="array" ref="R12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28" s="3" t="str">
        <f>IF(Table1[[#This Row],[NextBillingDate]]="","Cancelled",IF(Table1[[#This Row],[CancellationDate]]&lt;&gt;"","Cancelled","Active"))</f>
        <v>Active</v>
      </c>
      <c r="T128" s="7" cm="1">
        <f t="array" ref="T12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712.8</v>
      </c>
      <c r="V128" s="5">
        <v>46143</v>
      </c>
      <c r="W128" s="5">
        <v>46143</v>
      </c>
      <c r="X128" s="3">
        <v>7</v>
      </c>
      <c r="Y128" s="5">
        <f ca="1">IF(Table1[[#This Row],[ChurnStatus]]="Cancelled",Table1[[#This Row],[CancellationDate]],TODAY())</f>
        <v>45981</v>
      </c>
      <c r="Z128" s="46">
        <f ca="1">IF(AND(Table1[[#This Row],[SubscriptionStart]] &lt;= TODAY(), Table1[[#This Row],[EffectiveEndDate]] &gt;= TODAY()),1,0)</f>
        <v>1</v>
      </c>
      <c r="AA128" s="46">
        <f ca="1">IF(AND(Table1[[#This Row],[SubscriptionStart]]&lt;=Settings!$A$2,Table1[[#This Row],[EffectiveEndDate]]&gt;=Settings!$A$2),1,0)</f>
        <v>0</v>
      </c>
      <c r="AB128" s="46">
        <f ca="1">IF(AND(Table1[[#This Row],[SubscriptionStart]]&lt;=Settings!$B$2,Table1[[#This Row],[EffectiveEndDate]]&gt;=Settings!$B$2),1,0)</f>
        <v>1</v>
      </c>
      <c r="AC128" s="46">
        <f ca="1">IF(AND(Table1[[#This Row],[SubscriptionStart]]&lt;=Settings!$C$2,Table1[[#This Row],[EffectiveEndDate]]&gt;=Settings!$C$2),1,0)</f>
        <v>1</v>
      </c>
      <c r="AD128" s="46">
        <f ca="1">IF(AND(Table1[[#This Row],[SubscriptionStart]]&lt;=Settings!$D$2,Table1[[#This Row],[EffectiveEndDate]]&gt;=Settings!$D$2),1,0)</f>
        <v>1</v>
      </c>
      <c r="AE128" s="46">
        <f ca="1">IF(AND(Table1[[#This Row],[SubscriptionStart]]&lt;=Settings!$E$2,Table1[[#This Row],[EffectiveEndDate]]&gt;=Settings!$E$2),1,0)</f>
        <v>1</v>
      </c>
      <c r="AF128"/>
      <c r="AG128"/>
      <c r="AH128"/>
      <c r="AI128"/>
      <c r="AJ128"/>
      <c r="AK128"/>
    </row>
    <row r="129" spans="1:37">
      <c r="A129" s="3" t="s">
        <v>517</v>
      </c>
      <c r="B129" s="3">
        <v>69</v>
      </c>
      <c r="C129" s="3" t="s">
        <v>23</v>
      </c>
      <c r="D129" s="5">
        <v>44704</v>
      </c>
      <c r="E129" s="5">
        <v>44884</v>
      </c>
      <c r="F129" s="3">
        <f ca="1">TODAY() - Table1[[#This Row],[SubscriptionStart]]</f>
        <v>1277</v>
      </c>
      <c r="G129" s="4">
        <v>6</v>
      </c>
      <c r="H129" s="3" t="s">
        <v>38</v>
      </c>
      <c r="I129" s="3" t="s">
        <v>25</v>
      </c>
      <c r="J129" s="7" cm="1">
        <f t="array" ref="J129">_xlfn.IFS(Table1[[#This Row],[Tier]]="Basic",10,Table1[[#This Row],[Tier]]="Standard",18,Table1[[#This Row],[Tier]]="Premium",25)</f>
        <v>25</v>
      </c>
      <c r="K129" s="7" cm="1">
        <f t="array" ref="K12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129" s="7" cm="1">
        <f t="array" ref="L12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129" s="3" t="str" cm="1">
        <f t="array" ref="M12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29" s="3" t="s">
        <v>34</v>
      </c>
      <c r="O129" s="3" t="s">
        <v>40</v>
      </c>
      <c r="P129" s="3" t="s">
        <v>44</v>
      </c>
      <c r="Q129" s="3" t="str" cm="1">
        <f t="array" ref="Q129">_xlfn.IFS(Table1[[#This Row],[TotalRevenue]]&lt;100,"Low",Table1[[#This Row],[TotalRevenue]]&lt;300,"Medium",Table1[[#This Row],[TotalRevenue]]&lt;600,"High",TRUE,"Very High")</f>
        <v>Medium</v>
      </c>
      <c r="R129" s="3" t="str" cm="1">
        <f t="array" ref="R12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29" s="3" t="str">
        <f>IF(Table1[[#This Row],[NextBillingDate]]="","Cancelled",IF(Table1[[#This Row],[CancellationDate]]&lt;&gt;"","Cancelled","Active"))</f>
        <v>Cancelled</v>
      </c>
      <c r="T129" s="7" cm="1">
        <f t="array" ref="T12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129" s="5">
        <v>44884</v>
      </c>
      <c r="W129" s="5">
        <v>44884</v>
      </c>
      <c r="X129" s="3">
        <v>0</v>
      </c>
      <c r="Y129" s="5">
        <f ca="1">IF(Table1[[#This Row],[ChurnStatus]]="Cancelled",Table1[[#This Row],[CancellationDate]],TODAY())</f>
        <v>44884</v>
      </c>
      <c r="Z129" s="46">
        <f ca="1">IF(AND(Table1[[#This Row],[SubscriptionStart]] &lt;= TODAY(), Table1[[#This Row],[EffectiveEndDate]] &gt;= TODAY()),1,0)</f>
        <v>0</v>
      </c>
      <c r="AA129" s="46">
        <f ca="1">IF(AND(Table1[[#This Row],[SubscriptionStart]]&lt;=Settings!$A$2,Table1[[#This Row],[EffectiveEndDate]]&gt;=Settings!$A$2),1,0)</f>
        <v>0</v>
      </c>
      <c r="AB129" s="46">
        <f ca="1">IF(AND(Table1[[#This Row],[SubscriptionStart]]&lt;=Settings!$B$2,Table1[[#This Row],[EffectiveEndDate]]&gt;=Settings!$B$2),1,0)</f>
        <v>1</v>
      </c>
      <c r="AC129" s="46">
        <f ca="1">IF(AND(Table1[[#This Row],[SubscriptionStart]]&lt;=Settings!$C$2,Table1[[#This Row],[EffectiveEndDate]]&gt;=Settings!$C$2),1,0)</f>
        <v>0</v>
      </c>
      <c r="AD129" s="46">
        <f ca="1">IF(AND(Table1[[#This Row],[SubscriptionStart]]&lt;=Settings!$D$2,Table1[[#This Row],[EffectiveEndDate]]&gt;=Settings!$D$2),1,0)</f>
        <v>0</v>
      </c>
      <c r="AE129" s="46">
        <f ca="1">IF(AND(Table1[[#This Row],[SubscriptionStart]]&lt;=Settings!$E$2,Table1[[#This Row],[EffectiveEndDate]]&gt;=Settings!$E$2),1,0)</f>
        <v>0</v>
      </c>
      <c r="AF129"/>
      <c r="AG129"/>
      <c r="AH129"/>
      <c r="AI129"/>
      <c r="AJ129"/>
      <c r="AK129"/>
    </row>
    <row r="130" spans="1:37">
      <c r="A130" s="3" t="s">
        <v>822</v>
      </c>
      <c r="B130" s="3">
        <v>46</v>
      </c>
      <c r="C130" s="3" t="s">
        <v>23</v>
      </c>
      <c r="D130" s="5">
        <v>44704</v>
      </c>
      <c r="F130" s="3">
        <f ca="1">TODAY() - Table1[[#This Row],[SubscriptionStart]]</f>
        <v>1277</v>
      </c>
      <c r="G130" s="4">
        <v>43</v>
      </c>
      <c r="H130" s="3" t="s">
        <v>29</v>
      </c>
      <c r="I130" s="3" t="s">
        <v>39</v>
      </c>
      <c r="J130" s="7" cm="1">
        <f t="array" ref="J130">_xlfn.IFS(Table1[[#This Row],[Tier]]="Basic",10,Table1[[#This Row],[Tier]]="Standard",18,Table1[[#This Row],[Tier]]="Premium",25)</f>
        <v>18</v>
      </c>
      <c r="K130" s="7" cm="1">
        <f t="array" ref="K13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130" s="7" cm="1">
        <f t="array" ref="L13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736.2</v>
      </c>
      <c r="M130" s="3" t="str" cm="1">
        <f t="array" ref="M13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30" s="3" t="s">
        <v>34</v>
      </c>
      <c r="O130" s="3" t="s">
        <v>49</v>
      </c>
      <c r="Q130" s="3" t="str" cm="1">
        <f t="array" ref="Q130">_xlfn.IFS(Table1[[#This Row],[TotalRevenue]]&lt;100,"Low",Table1[[#This Row],[TotalRevenue]]&lt;300,"Medium",Table1[[#This Row],[TotalRevenue]]&lt;600,"High",TRUE,"Very High")</f>
        <v>Very High</v>
      </c>
      <c r="R130" s="3" t="str" cm="1">
        <f t="array" ref="R13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30" s="3" t="str">
        <f>IF(Table1[[#This Row],[NextBillingDate]]="","Cancelled",IF(Table1[[#This Row],[CancellationDate]]&lt;&gt;"","Cancelled","Active"))</f>
        <v>Active</v>
      </c>
      <c r="T130" s="7" cm="1">
        <f t="array" ref="T13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754.2</v>
      </c>
      <c r="V130" s="5">
        <v>45994</v>
      </c>
      <c r="W130" s="5">
        <v>45994</v>
      </c>
      <c r="X130" s="3">
        <v>42</v>
      </c>
      <c r="Y130" s="5">
        <f ca="1">IF(Table1[[#This Row],[ChurnStatus]]="Cancelled",Table1[[#This Row],[CancellationDate]],TODAY())</f>
        <v>45981</v>
      </c>
      <c r="Z130" s="46">
        <f ca="1">IF(AND(Table1[[#This Row],[SubscriptionStart]] &lt;= TODAY(), Table1[[#This Row],[EffectiveEndDate]] &gt;= TODAY()),1,0)</f>
        <v>1</v>
      </c>
      <c r="AA130" s="46">
        <f ca="1">IF(AND(Table1[[#This Row],[SubscriptionStart]]&lt;=Settings!$A$2,Table1[[#This Row],[EffectiveEndDate]]&gt;=Settings!$A$2),1,0)</f>
        <v>0</v>
      </c>
      <c r="AB130" s="46">
        <f ca="1">IF(AND(Table1[[#This Row],[SubscriptionStart]]&lt;=Settings!$B$2,Table1[[#This Row],[EffectiveEndDate]]&gt;=Settings!$B$2),1,0)</f>
        <v>1</v>
      </c>
      <c r="AC130" s="46">
        <f ca="1">IF(AND(Table1[[#This Row],[SubscriptionStart]]&lt;=Settings!$C$2,Table1[[#This Row],[EffectiveEndDate]]&gt;=Settings!$C$2),1,0)</f>
        <v>1</v>
      </c>
      <c r="AD130" s="46">
        <f ca="1">IF(AND(Table1[[#This Row],[SubscriptionStart]]&lt;=Settings!$D$2,Table1[[#This Row],[EffectiveEndDate]]&gt;=Settings!$D$2),1,0)</f>
        <v>1</v>
      </c>
      <c r="AE130" s="46">
        <f ca="1">IF(AND(Table1[[#This Row],[SubscriptionStart]]&lt;=Settings!$E$2,Table1[[#This Row],[EffectiveEndDate]]&gt;=Settings!$E$2),1,0)</f>
        <v>1</v>
      </c>
      <c r="AF130"/>
      <c r="AG130"/>
      <c r="AH130"/>
      <c r="AI130"/>
      <c r="AJ130"/>
      <c r="AK130"/>
    </row>
    <row r="131" spans="1:37">
      <c r="A131" s="3" t="s">
        <v>55</v>
      </c>
      <c r="B131" s="3">
        <v>61</v>
      </c>
      <c r="C131" s="3" t="s">
        <v>37</v>
      </c>
      <c r="D131" s="5">
        <v>44705</v>
      </c>
      <c r="E131" s="5">
        <v>44885</v>
      </c>
      <c r="F131" s="3">
        <f ca="1">TODAY() - Table1[[#This Row],[SubscriptionStart]]</f>
        <v>1276</v>
      </c>
      <c r="G131" s="4">
        <v>6</v>
      </c>
      <c r="H131" s="3" t="s">
        <v>38</v>
      </c>
      <c r="I131" s="3" t="s">
        <v>39</v>
      </c>
      <c r="J131" s="7" cm="1">
        <f t="array" ref="J131">_xlfn.IFS(Table1[[#This Row],[Tier]]="Basic",10,Table1[[#This Row],[Tier]]="Standard",18,Table1[[#This Row],[Tier]]="Premium",25)</f>
        <v>18</v>
      </c>
      <c r="K131" s="7" cm="1">
        <f t="array" ref="K13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131" s="7" cm="1">
        <f t="array" ref="L13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131" s="3" t="str" cm="1">
        <f t="array" ref="M131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31" s="3" t="s">
        <v>34</v>
      </c>
      <c r="O131" s="3" t="s">
        <v>40</v>
      </c>
      <c r="P131" s="3" t="s">
        <v>47</v>
      </c>
      <c r="Q131" s="3" t="str" cm="1">
        <f t="array" ref="Q131">_xlfn.IFS(Table1[[#This Row],[TotalRevenue]]&lt;100,"Low",Table1[[#This Row],[TotalRevenue]]&lt;300,"Medium",Table1[[#This Row],[TotalRevenue]]&lt;600,"High",TRUE,"Very High")</f>
        <v>Low</v>
      </c>
      <c r="R131" s="3" t="str" cm="1">
        <f t="array" ref="R131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31" s="3" t="str">
        <f>IF(Table1[[#This Row],[NextBillingDate]]="","Cancelled",IF(Table1[[#This Row],[CancellationDate]]&lt;&gt;"","Cancelled","Active"))</f>
        <v>Cancelled</v>
      </c>
      <c r="T131" s="7" cm="1">
        <f t="array" ref="T13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131" s="5">
        <v>44885</v>
      </c>
      <c r="W131" s="5">
        <v>44885</v>
      </c>
      <c r="X131" s="3">
        <v>0</v>
      </c>
      <c r="Y131" s="5">
        <f ca="1">IF(Table1[[#This Row],[ChurnStatus]]="Cancelled",Table1[[#This Row],[CancellationDate]],TODAY())</f>
        <v>44885</v>
      </c>
      <c r="Z131" s="46">
        <f ca="1">IF(AND(Table1[[#This Row],[SubscriptionStart]] &lt;= TODAY(), Table1[[#This Row],[EffectiveEndDate]] &gt;= TODAY()),1,0)</f>
        <v>0</v>
      </c>
      <c r="AA131" s="46">
        <f ca="1">IF(AND(Table1[[#This Row],[SubscriptionStart]]&lt;=Settings!$A$2,Table1[[#This Row],[EffectiveEndDate]]&gt;=Settings!$A$2),1,0)</f>
        <v>0</v>
      </c>
      <c r="AB131" s="46">
        <f ca="1">IF(AND(Table1[[#This Row],[SubscriptionStart]]&lt;=Settings!$B$2,Table1[[#This Row],[EffectiveEndDate]]&gt;=Settings!$B$2),1,0)</f>
        <v>1</v>
      </c>
      <c r="AC131" s="46">
        <f ca="1">IF(AND(Table1[[#This Row],[SubscriptionStart]]&lt;=Settings!$C$2,Table1[[#This Row],[EffectiveEndDate]]&gt;=Settings!$C$2),1,0)</f>
        <v>0</v>
      </c>
      <c r="AD131" s="46">
        <f ca="1">IF(AND(Table1[[#This Row],[SubscriptionStart]]&lt;=Settings!$D$2,Table1[[#This Row],[EffectiveEndDate]]&gt;=Settings!$D$2),1,0)</f>
        <v>0</v>
      </c>
      <c r="AE131" s="46">
        <f ca="1">IF(AND(Table1[[#This Row],[SubscriptionStart]]&lt;=Settings!$E$2,Table1[[#This Row],[EffectiveEndDate]]&gt;=Settings!$E$2),1,0)</f>
        <v>0</v>
      </c>
      <c r="AF131"/>
      <c r="AG131"/>
      <c r="AH131"/>
      <c r="AI131"/>
      <c r="AJ131"/>
      <c r="AK131"/>
    </row>
    <row r="132" spans="1:37">
      <c r="A132" s="3" t="s">
        <v>237</v>
      </c>
      <c r="B132" s="3">
        <v>27</v>
      </c>
      <c r="C132" s="3" t="s">
        <v>37</v>
      </c>
      <c r="D132" s="5">
        <v>44705</v>
      </c>
      <c r="E132" s="5">
        <v>44885</v>
      </c>
      <c r="F132" s="3">
        <f ca="1">TODAY() - Table1[[#This Row],[SubscriptionStart]]</f>
        <v>1276</v>
      </c>
      <c r="G132" s="4">
        <v>6</v>
      </c>
      <c r="H132" s="3" t="s">
        <v>38</v>
      </c>
      <c r="I132" s="3" t="s">
        <v>25</v>
      </c>
      <c r="J132" s="7" cm="1">
        <f t="array" ref="J132">_xlfn.IFS(Table1[[#This Row],[Tier]]="Basic",10,Table1[[#This Row],[Tier]]="Standard",18,Table1[[#This Row],[Tier]]="Premium",25)</f>
        <v>25</v>
      </c>
      <c r="K132" s="7" cm="1">
        <f t="array" ref="K13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132" s="7" cm="1">
        <f t="array" ref="L13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132" s="3" t="str" cm="1">
        <f t="array" ref="M13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32" s="3" t="s">
        <v>34</v>
      </c>
      <c r="O132" s="3" t="s">
        <v>49</v>
      </c>
      <c r="P132" s="3" t="s">
        <v>35</v>
      </c>
      <c r="Q132" s="3" t="str" cm="1">
        <f t="array" ref="Q132">_xlfn.IFS(Table1[[#This Row],[TotalRevenue]]&lt;100,"Low",Table1[[#This Row],[TotalRevenue]]&lt;300,"Medium",Table1[[#This Row],[TotalRevenue]]&lt;600,"High",TRUE,"Very High")</f>
        <v>Medium</v>
      </c>
      <c r="R132" s="3" t="str" cm="1">
        <f t="array" ref="R13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32" s="3" t="str">
        <f>IF(Table1[[#This Row],[NextBillingDate]]="","Cancelled",IF(Table1[[#This Row],[CancellationDate]]&lt;&gt;"","Cancelled","Active"))</f>
        <v>Cancelled</v>
      </c>
      <c r="T132" s="7" cm="1">
        <f t="array" ref="T13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132" s="5">
        <v>44885</v>
      </c>
      <c r="W132" s="5">
        <v>44885</v>
      </c>
      <c r="X132" s="3">
        <v>0</v>
      </c>
      <c r="Y132" s="5">
        <f ca="1">IF(Table1[[#This Row],[ChurnStatus]]="Cancelled",Table1[[#This Row],[CancellationDate]],TODAY())</f>
        <v>44885</v>
      </c>
      <c r="Z132" s="46">
        <f ca="1">IF(AND(Table1[[#This Row],[SubscriptionStart]] &lt;= TODAY(), Table1[[#This Row],[EffectiveEndDate]] &gt;= TODAY()),1,0)</f>
        <v>0</v>
      </c>
      <c r="AA132" s="46">
        <f ca="1">IF(AND(Table1[[#This Row],[SubscriptionStart]]&lt;=Settings!$A$2,Table1[[#This Row],[EffectiveEndDate]]&gt;=Settings!$A$2),1,0)</f>
        <v>0</v>
      </c>
      <c r="AB132" s="46">
        <f ca="1">IF(AND(Table1[[#This Row],[SubscriptionStart]]&lt;=Settings!$B$2,Table1[[#This Row],[EffectiveEndDate]]&gt;=Settings!$B$2),1,0)</f>
        <v>1</v>
      </c>
      <c r="AC132" s="46">
        <f ca="1">IF(AND(Table1[[#This Row],[SubscriptionStart]]&lt;=Settings!$C$2,Table1[[#This Row],[EffectiveEndDate]]&gt;=Settings!$C$2),1,0)</f>
        <v>0</v>
      </c>
      <c r="AD132" s="46">
        <f ca="1">IF(AND(Table1[[#This Row],[SubscriptionStart]]&lt;=Settings!$D$2,Table1[[#This Row],[EffectiveEndDate]]&gt;=Settings!$D$2),1,0)</f>
        <v>0</v>
      </c>
      <c r="AE132" s="46">
        <f ca="1">IF(AND(Table1[[#This Row],[SubscriptionStart]]&lt;=Settings!$E$2,Table1[[#This Row],[EffectiveEndDate]]&gt;=Settings!$E$2),1,0)</f>
        <v>0</v>
      </c>
      <c r="AF132"/>
      <c r="AG132"/>
      <c r="AH132"/>
      <c r="AI132"/>
      <c r="AJ132"/>
      <c r="AK132"/>
    </row>
    <row r="133" spans="1:37">
      <c r="A133" s="3" t="s">
        <v>719</v>
      </c>
      <c r="B133" s="3">
        <v>54</v>
      </c>
      <c r="C133" s="3" t="s">
        <v>37</v>
      </c>
      <c r="D133" s="5">
        <v>44706</v>
      </c>
      <c r="E133" s="5">
        <v>44736</v>
      </c>
      <c r="F133" s="3">
        <f ca="1">TODAY() - Table1[[#This Row],[SubscriptionStart]]</f>
        <v>1275</v>
      </c>
      <c r="G133" s="4">
        <v>1</v>
      </c>
      <c r="H133" s="3" t="s">
        <v>29</v>
      </c>
      <c r="I133" s="3" t="s">
        <v>30</v>
      </c>
      <c r="J133" s="7" cm="1">
        <f t="array" ref="J133">_xlfn.IFS(Table1[[#This Row],[Tier]]="Basic",10,Table1[[#This Row],[Tier]]="Standard",18,Table1[[#This Row],[Tier]]="Premium",25)</f>
        <v>10</v>
      </c>
      <c r="K133" s="7" cm="1">
        <f t="array" ref="K13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133" s="7" cm="1">
        <f t="array" ref="L13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33" s="3" t="str" cm="1">
        <f t="array" ref="M13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133" s="3" t="s">
        <v>26</v>
      </c>
      <c r="O133" s="3" t="s">
        <v>27</v>
      </c>
      <c r="P133" s="3" t="s">
        <v>50</v>
      </c>
      <c r="Q133" s="3" t="str" cm="1">
        <f t="array" ref="Q133">_xlfn.IFS(Table1[[#This Row],[TotalRevenue]]&lt;100,"Low",Table1[[#This Row],[TotalRevenue]]&lt;300,"Medium",Table1[[#This Row],[TotalRevenue]]&lt;600,"High",TRUE,"Very High")</f>
        <v>Low</v>
      </c>
      <c r="R133" s="3" t="str" cm="1">
        <f t="array" ref="R13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33" s="3" t="str">
        <f>IF(Table1[[#This Row],[NextBillingDate]]="","Cancelled",IF(Table1[[#This Row],[CancellationDate]]&lt;&gt;"","Cancelled","Active"))</f>
        <v>Cancelled</v>
      </c>
      <c r="T133" s="7" cm="1">
        <f t="array" ref="T13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33" s="5">
        <v>44736</v>
      </c>
      <c r="W133" s="5">
        <v>44736</v>
      </c>
      <c r="X133" s="3">
        <v>0</v>
      </c>
      <c r="Y133" s="5">
        <f ca="1">IF(Table1[[#This Row],[ChurnStatus]]="Cancelled",Table1[[#This Row],[CancellationDate]],TODAY())</f>
        <v>44736</v>
      </c>
      <c r="Z133" s="46">
        <f ca="1">IF(AND(Table1[[#This Row],[SubscriptionStart]] &lt;= TODAY(), Table1[[#This Row],[EffectiveEndDate]] &gt;= TODAY()),1,0)</f>
        <v>0</v>
      </c>
      <c r="AA133" s="46">
        <f ca="1">IF(AND(Table1[[#This Row],[SubscriptionStart]]&lt;=Settings!$A$2,Table1[[#This Row],[EffectiveEndDate]]&gt;=Settings!$A$2),1,0)</f>
        <v>0</v>
      </c>
      <c r="AB133" s="46">
        <f ca="1">IF(AND(Table1[[#This Row],[SubscriptionStart]]&lt;=Settings!$B$2,Table1[[#This Row],[EffectiveEndDate]]&gt;=Settings!$B$2),1,0)</f>
        <v>1</v>
      </c>
      <c r="AC133" s="46">
        <f ca="1">IF(AND(Table1[[#This Row],[SubscriptionStart]]&lt;=Settings!$C$2,Table1[[#This Row],[EffectiveEndDate]]&gt;=Settings!$C$2),1,0)</f>
        <v>0</v>
      </c>
      <c r="AD133" s="46">
        <f ca="1">IF(AND(Table1[[#This Row],[SubscriptionStart]]&lt;=Settings!$D$2,Table1[[#This Row],[EffectiveEndDate]]&gt;=Settings!$D$2),1,0)</f>
        <v>0</v>
      </c>
      <c r="AE133" s="46">
        <f ca="1">IF(AND(Table1[[#This Row],[SubscriptionStart]]&lt;=Settings!$E$2,Table1[[#This Row],[EffectiveEndDate]]&gt;=Settings!$E$2),1,0)</f>
        <v>0</v>
      </c>
      <c r="AF133"/>
      <c r="AG133"/>
      <c r="AH133"/>
      <c r="AI133"/>
      <c r="AJ133"/>
      <c r="AK133"/>
    </row>
    <row r="134" spans="1:37">
      <c r="A134" s="3" t="s">
        <v>387</v>
      </c>
      <c r="B134" s="3">
        <v>43</v>
      </c>
      <c r="C134" s="3" t="s">
        <v>37</v>
      </c>
      <c r="D134" s="5">
        <v>44708</v>
      </c>
      <c r="E134" s="5">
        <v>45068</v>
      </c>
      <c r="F134" s="3">
        <f ca="1">TODAY() - Table1[[#This Row],[SubscriptionStart]]</f>
        <v>1273</v>
      </c>
      <c r="G134" s="4">
        <v>12</v>
      </c>
      <c r="H134" s="3" t="s">
        <v>24</v>
      </c>
      <c r="I134" s="3" t="s">
        <v>25</v>
      </c>
      <c r="J134" s="7" cm="1">
        <f t="array" ref="J134">_xlfn.IFS(Table1[[#This Row],[Tier]]="Basic",10,Table1[[#This Row],[Tier]]="Standard",18,Table1[[#This Row],[Tier]]="Premium",25)</f>
        <v>25</v>
      </c>
      <c r="K134" s="7" cm="1">
        <f t="array" ref="K13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134" s="7" cm="1">
        <f t="array" ref="L13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134" s="3" t="str" cm="1">
        <f t="array" ref="M13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34" s="3" t="s">
        <v>34</v>
      </c>
      <c r="O134" s="3" t="s">
        <v>40</v>
      </c>
      <c r="P134" s="3" t="s">
        <v>44</v>
      </c>
      <c r="Q134" s="3" t="str" cm="1">
        <f t="array" ref="Q134">_xlfn.IFS(Table1[[#This Row],[TotalRevenue]]&lt;100,"Low",Table1[[#This Row],[TotalRevenue]]&lt;300,"Medium",Table1[[#This Row],[TotalRevenue]]&lt;600,"High",TRUE,"Very High")</f>
        <v>Medium</v>
      </c>
      <c r="R134" s="3" t="str" cm="1">
        <f t="array" ref="R13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34" s="3" t="str">
        <f>IF(Table1[[#This Row],[NextBillingDate]]="","Cancelled",IF(Table1[[#This Row],[CancellationDate]]&lt;&gt;"","Cancelled","Active"))</f>
        <v>Cancelled</v>
      </c>
      <c r="T134" s="7" cm="1">
        <f t="array" ref="T13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134" s="5">
        <v>45068</v>
      </c>
      <c r="W134" s="5">
        <v>45068</v>
      </c>
      <c r="X134" s="3">
        <v>0</v>
      </c>
      <c r="Y134" s="5">
        <f ca="1">IF(Table1[[#This Row],[ChurnStatus]]="Cancelled",Table1[[#This Row],[CancellationDate]],TODAY())</f>
        <v>45068</v>
      </c>
      <c r="Z134" s="46">
        <f ca="1">IF(AND(Table1[[#This Row],[SubscriptionStart]] &lt;= TODAY(), Table1[[#This Row],[EffectiveEndDate]] &gt;= TODAY()),1,0)</f>
        <v>0</v>
      </c>
      <c r="AA134" s="46">
        <f ca="1">IF(AND(Table1[[#This Row],[SubscriptionStart]]&lt;=Settings!$A$2,Table1[[#This Row],[EffectiveEndDate]]&gt;=Settings!$A$2),1,0)</f>
        <v>0</v>
      </c>
      <c r="AB134" s="46">
        <f ca="1">IF(AND(Table1[[#This Row],[SubscriptionStart]]&lt;=Settings!$B$2,Table1[[#This Row],[EffectiveEndDate]]&gt;=Settings!$B$2),1,0)</f>
        <v>1</v>
      </c>
      <c r="AC134" s="46">
        <f ca="1">IF(AND(Table1[[#This Row],[SubscriptionStart]]&lt;=Settings!$C$2,Table1[[#This Row],[EffectiveEndDate]]&gt;=Settings!$C$2),1,0)</f>
        <v>1</v>
      </c>
      <c r="AD134" s="46">
        <f ca="1">IF(AND(Table1[[#This Row],[SubscriptionStart]]&lt;=Settings!$D$2,Table1[[#This Row],[EffectiveEndDate]]&gt;=Settings!$D$2),1,0)</f>
        <v>0</v>
      </c>
      <c r="AE134" s="46">
        <f ca="1">IF(AND(Table1[[#This Row],[SubscriptionStart]]&lt;=Settings!$E$2,Table1[[#This Row],[EffectiveEndDate]]&gt;=Settings!$E$2),1,0)</f>
        <v>0</v>
      </c>
      <c r="AF134"/>
      <c r="AG134"/>
      <c r="AH134"/>
      <c r="AI134"/>
      <c r="AJ134"/>
      <c r="AK134"/>
    </row>
    <row r="135" spans="1:37">
      <c r="A135" s="3" t="s">
        <v>777</v>
      </c>
      <c r="B135" s="3">
        <v>33</v>
      </c>
      <c r="C135" s="3" t="s">
        <v>37</v>
      </c>
      <c r="D135" s="5">
        <v>44709</v>
      </c>
      <c r="E135" s="5">
        <v>44889</v>
      </c>
      <c r="F135" s="3">
        <f ca="1">TODAY() - Table1[[#This Row],[SubscriptionStart]]</f>
        <v>1272</v>
      </c>
      <c r="G135" s="4">
        <v>6</v>
      </c>
      <c r="H135" s="3" t="s">
        <v>38</v>
      </c>
      <c r="I135" s="3" t="s">
        <v>25</v>
      </c>
      <c r="J135" s="7" cm="1">
        <f t="array" ref="J135">_xlfn.IFS(Table1[[#This Row],[Tier]]="Basic",10,Table1[[#This Row],[Tier]]="Standard",18,Table1[[#This Row],[Tier]]="Premium",25)</f>
        <v>25</v>
      </c>
      <c r="K135" s="7" cm="1">
        <f t="array" ref="K13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135" s="7" cm="1">
        <f t="array" ref="L13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135" s="3" t="str" cm="1">
        <f t="array" ref="M13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35" s="3" t="s">
        <v>34</v>
      </c>
      <c r="O135" s="3" t="s">
        <v>40</v>
      </c>
      <c r="P135" s="3" t="s">
        <v>35</v>
      </c>
      <c r="Q135" s="3" t="str" cm="1">
        <f t="array" ref="Q135">_xlfn.IFS(Table1[[#This Row],[TotalRevenue]]&lt;100,"Low",Table1[[#This Row],[TotalRevenue]]&lt;300,"Medium",Table1[[#This Row],[TotalRevenue]]&lt;600,"High",TRUE,"Very High")</f>
        <v>Medium</v>
      </c>
      <c r="R135" s="3" t="str" cm="1">
        <f t="array" ref="R13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35" s="3" t="str">
        <f>IF(Table1[[#This Row],[NextBillingDate]]="","Cancelled",IF(Table1[[#This Row],[CancellationDate]]&lt;&gt;"","Cancelled","Active"))</f>
        <v>Cancelled</v>
      </c>
      <c r="T135" s="7" cm="1">
        <f t="array" ref="T13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135" s="5">
        <v>44889</v>
      </c>
      <c r="W135" s="5">
        <v>44889</v>
      </c>
      <c r="X135" s="3">
        <v>0</v>
      </c>
      <c r="Y135" s="5">
        <f ca="1">IF(Table1[[#This Row],[ChurnStatus]]="Cancelled",Table1[[#This Row],[CancellationDate]],TODAY())</f>
        <v>44889</v>
      </c>
      <c r="Z135" s="46">
        <f ca="1">IF(AND(Table1[[#This Row],[SubscriptionStart]] &lt;= TODAY(), Table1[[#This Row],[EffectiveEndDate]] &gt;= TODAY()),1,0)</f>
        <v>0</v>
      </c>
      <c r="AA135" s="46">
        <f ca="1">IF(AND(Table1[[#This Row],[SubscriptionStart]]&lt;=Settings!$A$2,Table1[[#This Row],[EffectiveEndDate]]&gt;=Settings!$A$2),1,0)</f>
        <v>0</v>
      </c>
      <c r="AB135" s="46">
        <f ca="1">IF(AND(Table1[[#This Row],[SubscriptionStart]]&lt;=Settings!$B$2,Table1[[#This Row],[EffectiveEndDate]]&gt;=Settings!$B$2),1,0)</f>
        <v>1</v>
      </c>
      <c r="AC135" s="46">
        <f ca="1">IF(AND(Table1[[#This Row],[SubscriptionStart]]&lt;=Settings!$C$2,Table1[[#This Row],[EffectiveEndDate]]&gt;=Settings!$C$2),1,0)</f>
        <v>0</v>
      </c>
      <c r="AD135" s="46">
        <f ca="1">IF(AND(Table1[[#This Row],[SubscriptionStart]]&lt;=Settings!$D$2,Table1[[#This Row],[EffectiveEndDate]]&gt;=Settings!$D$2),1,0)</f>
        <v>0</v>
      </c>
      <c r="AE135" s="46">
        <f ca="1">IF(AND(Table1[[#This Row],[SubscriptionStart]]&lt;=Settings!$E$2,Table1[[#This Row],[EffectiveEndDate]]&gt;=Settings!$E$2),1,0)</f>
        <v>0</v>
      </c>
      <c r="AF135"/>
      <c r="AG135"/>
      <c r="AH135"/>
      <c r="AI135"/>
      <c r="AJ135"/>
      <c r="AK135"/>
    </row>
    <row r="136" spans="1:37">
      <c r="A136" s="3" t="s">
        <v>812</v>
      </c>
      <c r="B136" s="3">
        <v>26</v>
      </c>
      <c r="C136" s="3" t="s">
        <v>23</v>
      </c>
      <c r="D136" s="5">
        <v>44711</v>
      </c>
      <c r="F136" s="3">
        <f ca="1">TODAY() - Table1[[#This Row],[SubscriptionStart]]</f>
        <v>1270</v>
      </c>
      <c r="G136" s="4">
        <v>43</v>
      </c>
      <c r="H136" s="3" t="s">
        <v>29</v>
      </c>
      <c r="I136" s="3" t="s">
        <v>30</v>
      </c>
      <c r="J136" s="7" cm="1">
        <f t="array" ref="J136">_xlfn.IFS(Table1[[#This Row],[Tier]]="Basic",10,Table1[[#This Row],[Tier]]="Standard",18,Table1[[#This Row],[Tier]]="Premium",25)</f>
        <v>10</v>
      </c>
      <c r="K136" s="7" cm="1">
        <f t="array" ref="K13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136" s="7" cm="1">
        <f t="array" ref="L13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409</v>
      </c>
      <c r="M136" s="3" t="str" cm="1">
        <f t="array" ref="M13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36" s="3" t="s">
        <v>26</v>
      </c>
      <c r="O136" s="3" t="s">
        <v>43</v>
      </c>
      <c r="Q136" s="3" t="str" cm="1">
        <f t="array" ref="Q136">_xlfn.IFS(Table1[[#This Row],[TotalRevenue]]&lt;100,"Low",Table1[[#This Row],[TotalRevenue]]&lt;300,"Medium",Table1[[#This Row],[TotalRevenue]]&lt;600,"High",TRUE,"Very High")</f>
        <v>High</v>
      </c>
      <c r="R136" s="3" t="str" cm="1">
        <f t="array" ref="R13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36" s="3" t="str">
        <f>IF(Table1[[#This Row],[NextBillingDate]]="","Cancelled",IF(Table1[[#This Row],[CancellationDate]]&lt;&gt;"","Cancelled","Active"))</f>
        <v>Active</v>
      </c>
      <c r="T136" s="7" cm="1">
        <f t="array" ref="T13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419</v>
      </c>
      <c r="V136" s="5">
        <v>46001</v>
      </c>
      <c r="W136" s="5">
        <v>46001</v>
      </c>
      <c r="X136" s="3">
        <v>42</v>
      </c>
      <c r="Y136" s="5">
        <f ca="1">IF(Table1[[#This Row],[ChurnStatus]]="Cancelled",Table1[[#This Row],[CancellationDate]],TODAY())</f>
        <v>45981</v>
      </c>
      <c r="Z136" s="46">
        <f ca="1">IF(AND(Table1[[#This Row],[SubscriptionStart]] &lt;= TODAY(), Table1[[#This Row],[EffectiveEndDate]] &gt;= TODAY()),1,0)</f>
        <v>1</v>
      </c>
      <c r="AA136" s="46">
        <f ca="1">IF(AND(Table1[[#This Row],[SubscriptionStart]]&lt;=Settings!$A$2,Table1[[#This Row],[EffectiveEndDate]]&gt;=Settings!$A$2),1,0)</f>
        <v>0</v>
      </c>
      <c r="AB136" s="46">
        <f ca="1">IF(AND(Table1[[#This Row],[SubscriptionStart]]&lt;=Settings!$B$2,Table1[[#This Row],[EffectiveEndDate]]&gt;=Settings!$B$2),1,0)</f>
        <v>1</v>
      </c>
      <c r="AC136" s="46">
        <f ca="1">IF(AND(Table1[[#This Row],[SubscriptionStart]]&lt;=Settings!$C$2,Table1[[#This Row],[EffectiveEndDate]]&gt;=Settings!$C$2),1,0)</f>
        <v>1</v>
      </c>
      <c r="AD136" s="46">
        <f ca="1">IF(AND(Table1[[#This Row],[SubscriptionStart]]&lt;=Settings!$D$2,Table1[[#This Row],[EffectiveEndDate]]&gt;=Settings!$D$2),1,0)</f>
        <v>1</v>
      </c>
      <c r="AE136" s="46">
        <f ca="1">IF(AND(Table1[[#This Row],[SubscriptionStart]]&lt;=Settings!$E$2,Table1[[#This Row],[EffectiveEndDate]]&gt;=Settings!$E$2),1,0)</f>
        <v>1</v>
      </c>
      <c r="AF136"/>
      <c r="AG136"/>
      <c r="AH136"/>
      <c r="AI136"/>
      <c r="AJ136"/>
      <c r="AK136"/>
    </row>
    <row r="137" spans="1:37">
      <c r="A137" s="3" t="s">
        <v>85</v>
      </c>
      <c r="B137" s="3">
        <v>27</v>
      </c>
      <c r="C137" s="3" t="s">
        <v>23</v>
      </c>
      <c r="D137" s="5">
        <v>44712</v>
      </c>
      <c r="E137" s="5">
        <v>44742</v>
      </c>
      <c r="F137" s="3">
        <f ca="1">TODAY() - Table1[[#This Row],[SubscriptionStart]]</f>
        <v>1269</v>
      </c>
      <c r="G137" s="4">
        <v>1</v>
      </c>
      <c r="H137" s="3" t="s">
        <v>29</v>
      </c>
      <c r="I137" s="3" t="s">
        <v>25</v>
      </c>
      <c r="J137" s="7" cm="1">
        <f t="array" ref="J137">_xlfn.IFS(Table1[[#This Row],[Tier]]="Basic",10,Table1[[#This Row],[Tier]]="Standard",18,Table1[[#This Row],[Tier]]="Premium",25)</f>
        <v>25</v>
      </c>
      <c r="K137" s="7" cm="1">
        <f t="array" ref="K13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137" s="7" cm="1">
        <f t="array" ref="L13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37" s="3" t="str" cm="1">
        <f t="array" ref="M13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37" s="3" t="s">
        <v>31</v>
      </c>
      <c r="O137" s="3" t="s">
        <v>43</v>
      </c>
      <c r="P137" s="3" t="s">
        <v>47</v>
      </c>
      <c r="Q137" s="3" t="str" cm="1">
        <f t="array" ref="Q137">_xlfn.IFS(Table1[[#This Row],[TotalRevenue]]&lt;100,"Low",Table1[[#This Row],[TotalRevenue]]&lt;300,"Medium",Table1[[#This Row],[TotalRevenue]]&lt;600,"High",TRUE,"Very High")</f>
        <v>Low</v>
      </c>
      <c r="R137" s="3" t="str" cm="1">
        <f t="array" ref="R13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37" s="3" t="str">
        <f>IF(Table1[[#This Row],[NextBillingDate]]="","Cancelled",IF(Table1[[#This Row],[CancellationDate]]&lt;&gt;"","Cancelled","Active"))</f>
        <v>Cancelled</v>
      </c>
      <c r="T137" s="7" cm="1">
        <f t="array" ref="T13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37" s="5">
        <v>44742</v>
      </c>
      <c r="W137" s="5">
        <v>44742</v>
      </c>
      <c r="X137" s="3">
        <v>0</v>
      </c>
      <c r="Y137" s="5">
        <f ca="1">IF(Table1[[#This Row],[ChurnStatus]]="Cancelled",Table1[[#This Row],[CancellationDate]],TODAY())</f>
        <v>44742</v>
      </c>
      <c r="Z137" s="46">
        <f ca="1">IF(AND(Table1[[#This Row],[SubscriptionStart]] &lt;= TODAY(), Table1[[#This Row],[EffectiveEndDate]] &gt;= TODAY()),1,0)</f>
        <v>0</v>
      </c>
      <c r="AA137" s="46">
        <f ca="1">IF(AND(Table1[[#This Row],[SubscriptionStart]]&lt;=Settings!$A$2,Table1[[#This Row],[EffectiveEndDate]]&gt;=Settings!$A$2),1,0)</f>
        <v>0</v>
      </c>
      <c r="AB137" s="46">
        <f ca="1">IF(AND(Table1[[#This Row],[SubscriptionStart]]&lt;=Settings!$B$2,Table1[[#This Row],[EffectiveEndDate]]&gt;=Settings!$B$2),1,0)</f>
        <v>1</v>
      </c>
      <c r="AC137" s="46">
        <f ca="1">IF(AND(Table1[[#This Row],[SubscriptionStart]]&lt;=Settings!$C$2,Table1[[#This Row],[EffectiveEndDate]]&gt;=Settings!$C$2),1,0)</f>
        <v>0</v>
      </c>
      <c r="AD137" s="46">
        <f ca="1">IF(AND(Table1[[#This Row],[SubscriptionStart]]&lt;=Settings!$D$2,Table1[[#This Row],[EffectiveEndDate]]&gt;=Settings!$D$2),1,0)</f>
        <v>0</v>
      </c>
      <c r="AE137" s="46">
        <f ca="1">IF(AND(Table1[[#This Row],[SubscriptionStart]]&lt;=Settings!$E$2,Table1[[#This Row],[EffectiveEndDate]]&gt;=Settings!$E$2),1,0)</f>
        <v>0</v>
      </c>
      <c r="AF137"/>
      <c r="AG137"/>
      <c r="AH137"/>
      <c r="AI137"/>
      <c r="AJ137"/>
      <c r="AK137"/>
    </row>
    <row r="138" spans="1:37">
      <c r="A138" s="3" t="s">
        <v>185</v>
      </c>
      <c r="B138" s="3">
        <v>74</v>
      </c>
      <c r="C138" s="3" t="s">
        <v>23</v>
      </c>
      <c r="D138" s="5">
        <v>44712</v>
      </c>
      <c r="E138" s="5">
        <v>45072</v>
      </c>
      <c r="F138" s="3">
        <f ca="1">TODAY() - Table1[[#This Row],[SubscriptionStart]]</f>
        <v>1269</v>
      </c>
      <c r="G138" s="4">
        <v>12</v>
      </c>
      <c r="H138" s="3" t="s">
        <v>24</v>
      </c>
      <c r="I138" s="3" t="s">
        <v>39</v>
      </c>
      <c r="J138" s="7" cm="1">
        <f t="array" ref="J138">_xlfn.IFS(Table1[[#This Row],[Tier]]="Basic",10,Table1[[#This Row],[Tier]]="Standard",18,Table1[[#This Row],[Tier]]="Premium",25)</f>
        <v>18</v>
      </c>
      <c r="K138" s="7" cm="1">
        <f t="array" ref="K13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38" s="7" cm="1">
        <f t="array" ref="L13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38" s="3" t="str" cm="1">
        <f t="array" ref="M138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138" s="3" t="s">
        <v>31</v>
      </c>
      <c r="O138" s="3" t="s">
        <v>49</v>
      </c>
      <c r="P138" s="3" t="s">
        <v>44</v>
      </c>
      <c r="Q138" s="3" t="str" cm="1">
        <f t="array" ref="Q138">_xlfn.IFS(Table1[[#This Row],[TotalRevenue]]&lt;100,"Low",Table1[[#This Row],[TotalRevenue]]&lt;300,"Medium",Table1[[#This Row],[TotalRevenue]]&lt;600,"High",TRUE,"Very High")</f>
        <v>Medium</v>
      </c>
      <c r="R138" s="3" t="str" cm="1">
        <f t="array" ref="R138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138" s="3" t="str">
        <f>IF(Table1[[#This Row],[NextBillingDate]]="","Cancelled",IF(Table1[[#This Row],[CancellationDate]]&lt;&gt;"","Cancelled","Active"))</f>
        <v>Cancelled</v>
      </c>
      <c r="T138" s="7" cm="1">
        <f t="array" ref="T13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38" s="5">
        <v>45072</v>
      </c>
      <c r="W138" s="5">
        <v>45072</v>
      </c>
      <c r="X138" s="3">
        <v>0</v>
      </c>
      <c r="Y138" s="5">
        <f ca="1">IF(Table1[[#This Row],[ChurnStatus]]="Cancelled",Table1[[#This Row],[CancellationDate]],TODAY())</f>
        <v>45072</v>
      </c>
      <c r="Z138" s="46">
        <f ca="1">IF(AND(Table1[[#This Row],[SubscriptionStart]] &lt;= TODAY(), Table1[[#This Row],[EffectiveEndDate]] &gt;= TODAY()),1,0)</f>
        <v>0</v>
      </c>
      <c r="AA138" s="46">
        <f ca="1">IF(AND(Table1[[#This Row],[SubscriptionStart]]&lt;=Settings!$A$2,Table1[[#This Row],[EffectiveEndDate]]&gt;=Settings!$A$2),1,0)</f>
        <v>0</v>
      </c>
      <c r="AB138" s="46">
        <f ca="1">IF(AND(Table1[[#This Row],[SubscriptionStart]]&lt;=Settings!$B$2,Table1[[#This Row],[EffectiveEndDate]]&gt;=Settings!$B$2),1,0)</f>
        <v>1</v>
      </c>
      <c r="AC138" s="46">
        <f ca="1">IF(AND(Table1[[#This Row],[SubscriptionStart]]&lt;=Settings!$C$2,Table1[[#This Row],[EffectiveEndDate]]&gt;=Settings!$C$2),1,0)</f>
        <v>1</v>
      </c>
      <c r="AD138" s="46">
        <f ca="1">IF(AND(Table1[[#This Row],[SubscriptionStart]]&lt;=Settings!$D$2,Table1[[#This Row],[EffectiveEndDate]]&gt;=Settings!$D$2),1,0)</f>
        <v>0</v>
      </c>
      <c r="AE138" s="46">
        <f ca="1">IF(AND(Table1[[#This Row],[SubscriptionStart]]&lt;=Settings!$E$2,Table1[[#This Row],[EffectiveEndDate]]&gt;=Settings!$E$2),1,0)</f>
        <v>0</v>
      </c>
      <c r="AF138"/>
      <c r="AG138"/>
      <c r="AH138"/>
      <c r="AI138"/>
      <c r="AJ138"/>
      <c r="AK138"/>
    </row>
    <row r="139" spans="1:37">
      <c r="A139" s="3" t="s">
        <v>294</v>
      </c>
      <c r="B139" s="3">
        <v>23</v>
      </c>
      <c r="C139" s="3" t="s">
        <v>37</v>
      </c>
      <c r="D139" s="5">
        <v>44713</v>
      </c>
      <c r="E139" s="5">
        <v>45073</v>
      </c>
      <c r="F139" s="3">
        <f ca="1">TODAY() - Table1[[#This Row],[SubscriptionStart]]</f>
        <v>1268</v>
      </c>
      <c r="G139" s="4">
        <v>12</v>
      </c>
      <c r="H139" s="3" t="s">
        <v>24</v>
      </c>
      <c r="I139" s="3" t="s">
        <v>25</v>
      </c>
      <c r="J139" s="7" cm="1">
        <f t="array" ref="J139">_xlfn.IFS(Table1[[#This Row],[Tier]]="Basic",10,Table1[[#This Row],[Tier]]="Standard",18,Table1[[#This Row],[Tier]]="Premium",25)</f>
        <v>25</v>
      </c>
      <c r="K139" s="7" cm="1">
        <f t="array" ref="K13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139" s="7" cm="1">
        <f t="array" ref="L13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139" s="3" t="str" cm="1">
        <f t="array" ref="M139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139" s="3" t="s">
        <v>52</v>
      </c>
      <c r="O139" s="3" t="s">
        <v>49</v>
      </c>
      <c r="P139" s="3" t="s">
        <v>50</v>
      </c>
      <c r="Q139" s="3" t="str" cm="1">
        <f t="array" ref="Q139">_xlfn.IFS(Table1[[#This Row],[TotalRevenue]]&lt;100,"Low",Table1[[#This Row],[TotalRevenue]]&lt;300,"Medium",Table1[[#This Row],[TotalRevenue]]&lt;600,"High",TRUE,"Very High")</f>
        <v>Medium</v>
      </c>
      <c r="R139" s="3" t="str" cm="1">
        <f t="array" ref="R139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139" s="3" t="str">
        <f>IF(Table1[[#This Row],[NextBillingDate]]="","Cancelled",IF(Table1[[#This Row],[CancellationDate]]&lt;&gt;"","Cancelled","Active"))</f>
        <v>Cancelled</v>
      </c>
      <c r="T139" s="7" cm="1">
        <f t="array" ref="T13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139" s="5">
        <v>45073</v>
      </c>
      <c r="W139" s="5">
        <v>45073</v>
      </c>
      <c r="X139" s="3">
        <v>0</v>
      </c>
      <c r="Y139" s="5">
        <f ca="1">IF(Table1[[#This Row],[ChurnStatus]]="Cancelled",Table1[[#This Row],[CancellationDate]],TODAY())</f>
        <v>45073</v>
      </c>
      <c r="Z139" s="46">
        <f ca="1">IF(AND(Table1[[#This Row],[SubscriptionStart]] &lt;= TODAY(), Table1[[#This Row],[EffectiveEndDate]] &gt;= TODAY()),1,0)</f>
        <v>0</v>
      </c>
      <c r="AA139" s="46">
        <f ca="1">IF(AND(Table1[[#This Row],[SubscriptionStart]]&lt;=Settings!$A$2,Table1[[#This Row],[EffectiveEndDate]]&gt;=Settings!$A$2),1,0)</f>
        <v>0</v>
      </c>
      <c r="AB139" s="46">
        <f ca="1">IF(AND(Table1[[#This Row],[SubscriptionStart]]&lt;=Settings!$B$2,Table1[[#This Row],[EffectiveEndDate]]&gt;=Settings!$B$2),1,0)</f>
        <v>1</v>
      </c>
      <c r="AC139" s="46">
        <f ca="1">IF(AND(Table1[[#This Row],[SubscriptionStart]]&lt;=Settings!$C$2,Table1[[#This Row],[EffectiveEndDate]]&gt;=Settings!$C$2),1,0)</f>
        <v>1</v>
      </c>
      <c r="AD139" s="46">
        <f ca="1">IF(AND(Table1[[#This Row],[SubscriptionStart]]&lt;=Settings!$D$2,Table1[[#This Row],[EffectiveEndDate]]&gt;=Settings!$D$2),1,0)</f>
        <v>0</v>
      </c>
      <c r="AE139" s="46">
        <f ca="1">IF(AND(Table1[[#This Row],[SubscriptionStart]]&lt;=Settings!$E$2,Table1[[#This Row],[EffectiveEndDate]]&gt;=Settings!$E$2),1,0)</f>
        <v>0</v>
      </c>
      <c r="AF139"/>
      <c r="AG139"/>
      <c r="AH139"/>
      <c r="AI139"/>
      <c r="AJ139"/>
      <c r="AK139"/>
    </row>
    <row r="140" spans="1:37">
      <c r="A140" s="3" t="s">
        <v>543</v>
      </c>
      <c r="B140" s="3">
        <v>18</v>
      </c>
      <c r="C140" s="3" t="s">
        <v>23</v>
      </c>
      <c r="D140" s="5">
        <v>44713</v>
      </c>
      <c r="E140" s="5">
        <v>45073</v>
      </c>
      <c r="F140" s="3">
        <f ca="1">TODAY() - Table1[[#This Row],[SubscriptionStart]]</f>
        <v>1268</v>
      </c>
      <c r="G140" s="4">
        <v>12</v>
      </c>
      <c r="H140" s="3" t="s">
        <v>24</v>
      </c>
      <c r="I140" s="3" t="s">
        <v>39</v>
      </c>
      <c r="J140" s="7" cm="1">
        <f t="array" ref="J140">_xlfn.IFS(Table1[[#This Row],[Tier]]="Basic",10,Table1[[#This Row],[Tier]]="Standard",18,Table1[[#This Row],[Tier]]="Premium",25)</f>
        <v>18</v>
      </c>
      <c r="K140" s="7" cm="1">
        <f t="array" ref="K14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40" s="7" cm="1">
        <f t="array" ref="L14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40" s="3" t="str" cm="1">
        <f t="array" ref="M140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140" s="3" t="s">
        <v>26</v>
      </c>
      <c r="O140" s="3" t="s">
        <v>40</v>
      </c>
      <c r="P140" s="3" t="s">
        <v>44</v>
      </c>
      <c r="Q140" s="3" t="str" cm="1">
        <f t="array" ref="Q140">_xlfn.IFS(Table1[[#This Row],[TotalRevenue]]&lt;100,"Low",Table1[[#This Row],[TotalRevenue]]&lt;300,"Medium",Table1[[#This Row],[TotalRevenue]]&lt;600,"High",TRUE,"Very High")</f>
        <v>Medium</v>
      </c>
      <c r="R140" s="3" t="str" cm="1">
        <f t="array" ref="R140">_xlfn.IFS(Table1[[#This Row],[Age]]&gt;69,"Elderly",Table1[[#This Row],[Age]]&gt;59,"Mature Adult",Table1[[#This Row],[Age]]&gt;25,"Adult",Table1[[#This Row],[Age]]&gt;18,"Young Adult",Table1[[#This Row],[Age]]&gt;=12,"Teenager")</f>
        <v>Teenager</v>
      </c>
      <c r="S140" s="3" t="str">
        <f>IF(Table1[[#This Row],[NextBillingDate]]="","Cancelled",IF(Table1[[#This Row],[CancellationDate]]&lt;&gt;"","Cancelled","Active"))</f>
        <v>Cancelled</v>
      </c>
      <c r="T140" s="7" cm="1">
        <f t="array" ref="T14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40" s="5">
        <v>45073</v>
      </c>
      <c r="W140" s="5">
        <v>45073</v>
      </c>
      <c r="X140" s="3">
        <v>0</v>
      </c>
      <c r="Y140" s="5">
        <f ca="1">IF(Table1[[#This Row],[ChurnStatus]]="Cancelled",Table1[[#This Row],[CancellationDate]],TODAY())</f>
        <v>45073</v>
      </c>
      <c r="Z140" s="46">
        <f ca="1">IF(AND(Table1[[#This Row],[SubscriptionStart]] &lt;= TODAY(), Table1[[#This Row],[EffectiveEndDate]] &gt;= TODAY()),1,0)</f>
        <v>0</v>
      </c>
      <c r="AA140" s="46">
        <f ca="1">IF(AND(Table1[[#This Row],[SubscriptionStart]]&lt;=Settings!$A$2,Table1[[#This Row],[EffectiveEndDate]]&gt;=Settings!$A$2),1,0)</f>
        <v>0</v>
      </c>
      <c r="AB140" s="46">
        <f ca="1">IF(AND(Table1[[#This Row],[SubscriptionStart]]&lt;=Settings!$B$2,Table1[[#This Row],[EffectiveEndDate]]&gt;=Settings!$B$2),1,0)</f>
        <v>1</v>
      </c>
      <c r="AC140" s="46">
        <f ca="1">IF(AND(Table1[[#This Row],[SubscriptionStart]]&lt;=Settings!$C$2,Table1[[#This Row],[EffectiveEndDate]]&gt;=Settings!$C$2),1,0)</f>
        <v>1</v>
      </c>
      <c r="AD140" s="46">
        <f ca="1">IF(AND(Table1[[#This Row],[SubscriptionStart]]&lt;=Settings!$D$2,Table1[[#This Row],[EffectiveEndDate]]&gt;=Settings!$D$2),1,0)</f>
        <v>0</v>
      </c>
      <c r="AE140" s="46">
        <f ca="1">IF(AND(Table1[[#This Row],[SubscriptionStart]]&lt;=Settings!$E$2,Table1[[#This Row],[EffectiveEndDate]]&gt;=Settings!$E$2),1,0)</f>
        <v>0</v>
      </c>
      <c r="AF140"/>
      <c r="AG140"/>
      <c r="AH140"/>
      <c r="AI140"/>
      <c r="AJ140"/>
      <c r="AK140"/>
    </row>
    <row r="141" spans="1:37">
      <c r="A141" s="3" t="s">
        <v>100</v>
      </c>
      <c r="B141" s="3">
        <v>38</v>
      </c>
      <c r="C141" s="3" t="s">
        <v>37</v>
      </c>
      <c r="D141" s="5">
        <v>44714</v>
      </c>
      <c r="E141" s="5">
        <v>44744</v>
      </c>
      <c r="F141" s="3">
        <f ca="1">TODAY() - Table1[[#This Row],[SubscriptionStart]]</f>
        <v>1267</v>
      </c>
      <c r="G141" s="4">
        <v>1</v>
      </c>
      <c r="H141" s="3" t="s">
        <v>29</v>
      </c>
      <c r="I141" s="3" t="s">
        <v>25</v>
      </c>
      <c r="J141" s="7" cm="1">
        <f t="array" ref="J141">_xlfn.IFS(Table1[[#This Row],[Tier]]="Basic",10,Table1[[#This Row],[Tier]]="Standard",18,Table1[[#This Row],[Tier]]="Premium",25)</f>
        <v>25</v>
      </c>
      <c r="K141" s="7" cm="1">
        <f t="array" ref="K14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141" s="7" cm="1">
        <f t="array" ref="L14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41" s="3" t="str" cm="1">
        <f t="array" ref="M14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41" s="3" t="s">
        <v>52</v>
      </c>
      <c r="O141" s="3" t="s">
        <v>43</v>
      </c>
      <c r="P141" s="3" t="s">
        <v>50</v>
      </c>
      <c r="Q141" s="3" t="str" cm="1">
        <f t="array" ref="Q141">_xlfn.IFS(Table1[[#This Row],[TotalRevenue]]&lt;100,"Low",Table1[[#This Row],[TotalRevenue]]&lt;300,"Medium",Table1[[#This Row],[TotalRevenue]]&lt;600,"High",TRUE,"Very High")</f>
        <v>Low</v>
      </c>
      <c r="R141" s="3" t="str" cm="1">
        <f t="array" ref="R14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41" s="3" t="str">
        <f>IF(Table1[[#This Row],[NextBillingDate]]="","Cancelled",IF(Table1[[#This Row],[CancellationDate]]&lt;&gt;"","Cancelled","Active"))</f>
        <v>Cancelled</v>
      </c>
      <c r="T141" s="7" cm="1">
        <f t="array" ref="T14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41" s="5">
        <v>44744</v>
      </c>
      <c r="W141" s="5">
        <v>44744</v>
      </c>
      <c r="X141" s="3">
        <v>0</v>
      </c>
      <c r="Y141" s="5">
        <f ca="1">IF(Table1[[#This Row],[ChurnStatus]]="Cancelled",Table1[[#This Row],[CancellationDate]],TODAY())</f>
        <v>44744</v>
      </c>
      <c r="Z141" s="46">
        <f ca="1">IF(AND(Table1[[#This Row],[SubscriptionStart]] &lt;= TODAY(), Table1[[#This Row],[EffectiveEndDate]] &gt;= TODAY()),1,0)</f>
        <v>0</v>
      </c>
      <c r="AA141" s="46">
        <f ca="1">IF(AND(Table1[[#This Row],[SubscriptionStart]]&lt;=Settings!$A$2,Table1[[#This Row],[EffectiveEndDate]]&gt;=Settings!$A$2),1,0)</f>
        <v>0</v>
      </c>
      <c r="AB141" s="46">
        <f ca="1">IF(AND(Table1[[#This Row],[SubscriptionStart]]&lt;=Settings!$B$2,Table1[[#This Row],[EffectiveEndDate]]&gt;=Settings!$B$2),1,0)</f>
        <v>0</v>
      </c>
      <c r="AC141" s="46">
        <f ca="1">IF(AND(Table1[[#This Row],[SubscriptionStart]]&lt;=Settings!$C$2,Table1[[#This Row],[EffectiveEndDate]]&gt;=Settings!$C$2),1,0)</f>
        <v>0</v>
      </c>
      <c r="AD141" s="46">
        <f ca="1">IF(AND(Table1[[#This Row],[SubscriptionStart]]&lt;=Settings!$D$2,Table1[[#This Row],[EffectiveEndDate]]&gt;=Settings!$D$2),1,0)</f>
        <v>0</v>
      </c>
      <c r="AE141" s="46">
        <f ca="1">IF(AND(Table1[[#This Row],[SubscriptionStart]]&lt;=Settings!$E$2,Table1[[#This Row],[EffectiveEndDate]]&gt;=Settings!$E$2),1,0)</f>
        <v>0</v>
      </c>
      <c r="AF141"/>
      <c r="AG141"/>
      <c r="AH141"/>
      <c r="AI141"/>
      <c r="AJ141"/>
      <c r="AK141"/>
    </row>
    <row r="142" spans="1:37">
      <c r="A142" s="3" t="s">
        <v>432</v>
      </c>
      <c r="B142" s="3">
        <v>41</v>
      </c>
      <c r="C142" s="3" t="s">
        <v>23</v>
      </c>
      <c r="D142" s="5">
        <v>44716</v>
      </c>
      <c r="E142" s="5">
        <v>45076</v>
      </c>
      <c r="F142" s="3">
        <f ca="1">TODAY() - Table1[[#This Row],[SubscriptionStart]]</f>
        <v>1265</v>
      </c>
      <c r="G142" s="4">
        <v>12</v>
      </c>
      <c r="H142" s="3" t="s">
        <v>24</v>
      </c>
      <c r="I142" s="3" t="s">
        <v>30</v>
      </c>
      <c r="J142" s="7" cm="1">
        <f t="array" ref="J142">_xlfn.IFS(Table1[[#This Row],[Tier]]="Basic",10,Table1[[#This Row],[Tier]]="Standard",18,Table1[[#This Row],[Tier]]="Premium",25)</f>
        <v>10</v>
      </c>
      <c r="K142" s="7" cm="1">
        <f t="array" ref="K14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142" s="7" cm="1">
        <f t="array" ref="L14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142" s="3" t="str" cm="1">
        <f t="array" ref="M14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42" s="3" t="s">
        <v>34</v>
      </c>
      <c r="O142" s="3" t="s">
        <v>32</v>
      </c>
      <c r="P142" s="3" t="s">
        <v>44</v>
      </c>
      <c r="Q142" s="3" t="str" cm="1">
        <f t="array" ref="Q142">_xlfn.IFS(Table1[[#This Row],[TotalRevenue]]&lt;100,"Low",Table1[[#This Row],[TotalRevenue]]&lt;300,"Medium",Table1[[#This Row],[TotalRevenue]]&lt;600,"High",TRUE,"Very High")</f>
        <v>Low</v>
      </c>
      <c r="R142" s="3" t="str" cm="1">
        <f t="array" ref="R14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42" s="3" t="str">
        <f>IF(Table1[[#This Row],[NextBillingDate]]="","Cancelled",IF(Table1[[#This Row],[CancellationDate]]&lt;&gt;"","Cancelled","Active"))</f>
        <v>Cancelled</v>
      </c>
      <c r="T142" s="7" cm="1">
        <f t="array" ref="T14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142" s="5">
        <v>45076</v>
      </c>
      <c r="W142" s="5">
        <v>45076</v>
      </c>
      <c r="X142" s="3">
        <v>0</v>
      </c>
      <c r="Y142" s="5">
        <f ca="1">IF(Table1[[#This Row],[ChurnStatus]]="Cancelled",Table1[[#This Row],[CancellationDate]],TODAY())</f>
        <v>45076</v>
      </c>
      <c r="Z142" s="46">
        <f ca="1">IF(AND(Table1[[#This Row],[SubscriptionStart]] &lt;= TODAY(), Table1[[#This Row],[EffectiveEndDate]] &gt;= TODAY()),1,0)</f>
        <v>0</v>
      </c>
      <c r="AA142" s="46">
        <f ca="1">IF(AND(Table1[[#This Row],[SubscriptionStart]]&lt;=Settings!$A$2,Table1[[#This Row],[EffectiveEndDate]]&gt;=Settings!$A$2),1,0)</f>
        <v>0</v>
      </c>
      <c r="AB142" s="46">
        <f ca="1">IF(AND(Table1[[#This Row],[SubscriptionStart]]&lt;=Settings!$B$2,Table1[[#This Row],[EffectiveEndDate]]&gt;=Settings!$B$2),1,0)</f>
        <v>0</v>
      </c>
      <c r="AC142" s="46">
        <f ca="1">IF(AND(Table1[[#This Row],[SubscriptionStart]]&lt;=Settings!$C$2,Table1[[#This Row],[EffectiveEndDate]]&gt;=Settings!$C$2),1,0)</f>
        <v>1</v>
      </c>
      <c r="AD142" s="46">
        <f ca="1">IF(AND(Table1[[#This Row],[SubscriptionStart]]&lt;=Settings!$D$2,Table1[[#This Row],[EffectiveEndDate]]&gt;=Settings!$D$2),1,0)</f>
        <v>0</v>
      </c>
      <c r="AE142" s="46">
        <f ca="1">IF(AND(Table1[[#This Row],[SubscriptionStart]]&lt;=Settings!$E$2,Table1[[#This Row],[EffectiveEndDate]]&gt;=Settings!$E$2),1,0)</f>
        <v>0</v>
      </c>
      <c r="AF142"/>
      <c r="AG142"/>
      <c r="AH142"/>
      <c r="AI142"/>
      <c r="AJ142"/>
      <c r="AK142"/>
    </row>
    <row r="143" spans="1:37">
      <c r="A143" s="3" t="s">
        <v>105</v>
      </c>
      <c r="B143" s="3">
        <v>23</v>
      </c>
      <c r="C143" s="3" t="s">
        <v>37</v>
      </c>
      <c r="D143" s="5">
        <v>44717</v>
      </c>
      <c r="E143" s="5">
        <v>44747</v>
      </c>
      <c r="F143" s="3">
        <f ca="1">TODAY() - Table1[[#This Row],[SubscriptionStart]]</f>
        <v>1264</v>
      </c>
      <c r="G143" s="4">
        <v>1</v>
      </c>
      <c r="H143" s="3" t="s">
        <v>29</v>
      </c>
      <c r="I143" s="3" t="s">
        <v>25</v>
      </c>
      <c r="J143" s="7" cm="1">
        <f t="array" ref="J143">_xlfn.IFS(Table1[[#This Row],[Tier]]="Basic",10,Table1[[#This Row],[Tier]]="Standard",18,Table1[[#This Row],[Tier]]="Premium",25)</f>
        <v>25</v>
      </c>
      <c r="K143" s="7" cm="1">
        <f t="array" ref="K14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143" s="7" cm="1">
        <f t="array" ref="L14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43" s="3" t="str" cm="1">
        <f t="array" ref="M143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143" s="3" t="s">
        <v>26</v>
      </c>
      <c r="O143" s="3" t="s">
        <v>27</v>
      </c>
      <c r="P143" s="3" t="s">
        <v>50</v>
      </c>
      <c r="Q143" s="3" t="str" cm="1">
        <f t="array" ref="Q143">_xlfn.IFS(Table1[[#This Row],[TotalRevenue]]&lt;100,"Low",Table1[[#This Row],[TotalRevenue]]&lt;300,"Medium",Table1[[#This Row],[TotalRevenue]]&lt;600,"High",TRUE,"Very High")</f>
        <v>Low</v>
      </c>
      <c r="R143" s="3" t="str" cm="1">
        <f t="array" ref="R143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143" s="3" t="str">
        <f>IF(Table1[[#This Row],[NextBillingDate]]="","Cancelled",IF(Table1[[#This Row],[CancellationDate]]&lt;&gt;"","Cancelled","Active"))</f>
        <v>Cancelled</v>
      </c>
      <c r="T143" s="7" cm="1">
        <f t="array" ref="T14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43" s="5">
        <v>44747</v>
      </c>
      <c r="W143" s="5">
        <v>44747</v>
      </c>
      <c r="X143" s="3">
        <v>0</v>
      </c>
      <c r="Y143" s="5">
        <f ca="1">IF(Table1[[#This Row],[ChurnStatus]]="Cancelled",Table1[[#This Row],[CancellationDate]],TODAY())</f>
        <v>44747</v>
      </c>
      <c r="Z143" s="46">
        <f ca="1">IF(AND(Table1[[#This Row],[SubscriptionStart]] &lt;= TODAY(), Table1[[#This Row],[EffectiveEndDate]] &gt;= TODAY()),1,0)</f>
        <v>0</v>
      </c>
      <c r="AA143" s="46">
        <f ca="1">IF(AND(Table1[[#This Row],[SubscriptionStart]]&lt;=Settings!$A$2,Table1[[#This Row],[EffectiveEndDate]]&gt;=Settings!$A$2),1,0)</f>
        <v>0</v>
      </c>
      <c r="AB143" s="46">
        <f ca="1">IF(AND(Table1[[#This Row],[SubscriptionStart]]&lt;=Settings!$B$2,Table1[[#This Row],[EffectiveEndDate]]&gt;=Settings!$B$2),1,0)</f>
        <v>0</v>
      </c>
      <c r="AC143" s="46">
        <f ca="1">IF(AND(Table1[[#This Row],[SubscriptionStart]]&lt;=Settings!$C$2,Table1[[#This Row],[EffectiveEndDate]]&gt;=Settings!$C$2),1,0)</f>
        <v>0</v>
      </c>
      <c r="AD143" s="46">
        <f ca="1">IF(AND(Table1[[#This Row],[SubscriptionStart]]&lt;=Settings!$D$2,Table1[[#This Row],[EffectiveEndDate]]&gt;=Settings!$D$2),1,0)</f>
        <v>0</v>
      </c>
      <c r="AE143" s="46">
        <f ca="1">IF(AND(Table1[[#This Row],[SubscriptionStart]]&lt;=Settings!$E$2,Table1[[#This Row],[EffectiveEndDate]]&gt;=Settings!$E$2),1,0)</f>
        <v>0</v>
      </c>
      <c r="AF143"/>
      <c r="AG143"/>
      <c r="AH143"/>
      <c r="AI143"/>
      <c r="AJ143"/>
      <c r="AK143"/>
    </row>
    <row r="144" spans="1:37">
      <c r="A144" s="3" t="s">
        <v>203</v>
      </c>
      <c r="B144" s="3">
        <v>54</v>
      </c>
      <c r="C144" s="3" t="s">
        <v>23</v>
      </c>
      <c r="D144" s="5">
        <v>44717</v>
      </c>
      <c r="E144" s="5">
        <v>44747</v>
      </c>
      <c r="F144" s="3">
        <f ca="1">TODAY() - Table1[[#This Row],[SubscriptionStart]]</f>
        <v>1264</v>
      </c>
      <c r="G144" s="4">
        <v>1</v>
      </c>
      <c r="H144" s="3" t="s">
        <v>29</v>
      </c>
      <c r="I144" s="3" t="s">
        <v>25</v>
      </c>
      <c r="J144" s="7" cm="1">
        <f t="array" ref="J144">_xlfn.IFS(Table1[[#This Row],[Tier]]="Basic",10,Table1[[#This Row],[Tier]]="Standard",18,Table1[[#This Row],[Tier]]="Premium",25)</f>
        <v>25</v>
      </c>
      <c r="K144" s="7" cm="1">
        <f t="array" ref="K14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144" s="7" cm="1">
        <f t="array" ref="L14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44" s="3" t="str" cm="1">
        <f t="array" ref="M144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144" s="3" t="s">
        <v>52</v>
      </c>
      <c r="O144" s="3" t="s">
        <v>49</v>
      </c>
      <c r="P144" s="3" t="s">
        <v>41</v>
      </c>
      <c r="Q144" s="3" t="str" cm="1">
        <f t="array" ref="Q144">_xlfn.IFS(Table1[[#This Row],[TotalRevenue]]&lt;100,"Low",Table1[[#This Row],[TotalRevenue]]&lt;300,"Medium",Table1[[#This Row],[TotalRevenue]]&lt;600,"High",TRUE,"Very High")</f>
        <v>Low</v>
      </c>
      <c r="R144" s="3" t="str" cm="1">
        <f t="array" ref="R14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44" s="3" t="str">
        <f>IF(Table1[[#This Row],[NextBillingDate]]="","Cancelled",IF(Table1[[#This Row],[CancellationDate]]&lt;&gt;"","Cancelled","Active"))</f>
        <v>Cancelled</v>
      </c>
      <c r="T144" s="7" cm="1">
        <f t="array" ref="T14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44" s="5">
        <v>44747</v>
      </c>
      <c r="W144" s="5">
        <v>44747</v>
      </c>
      <c r="X144" s="3">
        <v>0</v>
      </c>
      <c r="Y144" s="5">
        <f ca="1">IF(Table1[[#This Row],[ChurnStatus]]="Cancelled",Table1[[#This Row],[CancellationDate]],TODAY())</f>
        <v>44747</v>
      </c>
      <c r="Z144" s="46">
        <f ca="1">IF(AND(Table1[[#This Row],[SubscriptionStart]] &lt;= TODAY(), Table1[[#This Row],[EffectiveEndDate]] &gt;= TODAY()),1,0)</f>
        <v>0</v>
      </c>
      <c r="AA144" s="46">
        <f ca="1">IF(AND(Table1[[#This Row],[SubscriptionStart]]&lt;=Settings!$A$2,Table1[[#This Row],[EffectiveEndDate]]&gt;=Settings!$A$2),1,0)</f>
        <v>0</v>
      </c>
      <c r="AB144" s="46">
        <f ca="1">IF(AND(Table1[[#This Row],[SubscriptionStart]]&lt;=Settings!$B$2,Table1[[#This Row],[EffectiveEndDate]]&gt;=Settings!$B$2),1,0)</f>
        <v>0</v>
      </c>
      <c r="AC144" s="46">
        <f ca="1">IF(AND(Table1[[#This Row],[SubscriptionStart]]&lt;=Settings!$C$2,Table1[[#This Row],[EffectiveEndDate]]&gt;=Settings!$C$2),1,0)</f>
        <v>0</v>
      </c>
      <c r="AD144" s="46">
        <f ca="1">IF(AND(Table1[[#This Row],[SubscriptionStart]]&lt;=Settings!$D$2,Table1[[#This Row],[EffectiveEndDate]]&gt;=Settings!$D$2),1,0)</f>
        <v>0</v>
      </c>
      <c r="AE144" s="46">
        <f ca="1">IF(AND(Table1[[#This Row],[SubscriptionStart]]&lt;=Settings!$E$2,Table1[[#This Row],[EffectiveEndDate]]&gt;=Settings!$E$2),1,0)</f>
        <v>0</v>
      </c>
      <c r="AF144"/>
      <c r="AG144"/>
      <c r="AH144"/>
      <c r="AI144"/>
      <c r="AJ144"/>
      <c r="AK144"/>
    </row>
    <row r="145" spans="1:37">
      <c r="A145" s="3" t="s">
        <v>207</v>
      </c>
      <c r="B145" s="3">
        <v>30</v>
      </c>
      <c r="C145" s="3" t="s">
        <v>23</v>
      </c>
      <c r="D145" s="5">
        <v>44718</v>
      </c>
      <c r="E145" s="5">
        <v>44898</v>
      </c>
      <c r="F145" s="3">
        <f ca="1">TODAY() - Table1[[#This Row],[SubscriptionStart]]</f>
        <v>1263</v>
      </c>
      <c r="G145" s="4">
        <v>6</v>
      </c>
      <c r="H145" s="3" t="s">
        <v>38</v>
      </c>
      <c r="I145" s="3" t="s">
        <v>30</v>
      </c>
      <c r="J145" s="7" cm="1">
        <f t="array" ref="J145">_xlfn.IFS(Table1[[#This Row],[Tier]]="Basic",10,Table1[[#This Row],[Tier]]="Standard",18,Table1[[#This Row],[Tier]]="Premium",25)</f>
        <v>10</v>
      </c>
      <c r="K145" s="7" cm="1">
        <f t="array" ref="K14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145" s="7" cm="1">
        <f t="array" ref="L14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145" s="3" t="str" cm="1">
        <f t="array" ref="M14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45" s="3" t="s">
        <v>26</v>
      </c>
      <c r="O145" s="3" t="s">
        <v>49</v>
      </c>
      <c r="P145" s="3" t="s">
        <v>41</v>
      </c>
      <c r="Q145" s="3" t="str" cm="1">
        <f t="array" ref="Q145">_xlfn.IFS(Table1[[#This Row],[TotalRevenue]]&lt;100,"Low",Table1[[#This Row],[TotalRevenue]]&lt;300,"Medium",Table1[[#This Row],[TotalRevenue]]&lt;600,"High",TRUE,"Very High")</f>
        <v>Low</v>
      </c>
      <c r="R145" s="3" t="str" cm="1">
        <f t="array" ref="R14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45" s="3" t="str">
        <f>IF(Table1[[#This Row],[NextBillingDate]]="","Cancelled",IF(Table1[[#This Row],[CancellationDate]]&lt;&gt;"","Cancelled","Active"))</f>
        <v>Cancelled</v>
      </c>
      <c r="T145" s="7" cm="1">
        <f t="array" ref="T14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145" s="5">
        <v>44898</v>
      </c>
      <c r="W145" s="5">
        <v>44898</v>
      </c>
      <c r="X145" s="3">
        <v>0</v>
      </c>
      <c r="Y145" s="5">
        <f ca="1">IF(Table1[[#This Row],[ChurnStatus]]="Cancelled",Table1[[#This Row],[CancellationDate]],TODAY())</f>
        <v>44898</v>
      </c>
      <c r="Z145" s="46">
        <f ca="1">IF(AND(Table1[[#This Row],[SubscriptionStart]] &lt;= TODAY(), Table1[[#This Row],[EffectiveEndDate]] &gt;= TODAY()),1,0)</f>
        <v>0</v>
      </c>
      <c r="AA145" s="46">
        <f ca="1">IF(AND(Table1[[#This Row],[SubscriptionStart]]&lt;=Settings!$A$2,Table1[[#This Row],[EffectiveEndDate]]&gt;=Settings!$A$2),1,0)</f>
        <v>0</v>
      </c>
      <c r="AB145" s="46">
        <f ca="1">IF(AND(Table1[[#This Row],[SubscriptionStart]]&lt;=Settings!$B$2,Table1[[#This Row],[EffectiveEndDate]]&gt;=Settings!$B$2),1,0)</f>
        <v>0</v>
      </c>
      <c r="AC145" s="46">
        <f ca="1">IF(AND(Table1[[#This Row],[SubscriptionStart]]&lt;=Settings!$C$2,Table1[[#This Row],[EffectiveEndDate]]&gt;=Settings!$C$2),1,0)</f>
        <v>0</v>
      </c>
      <c r="AD145" s="46">
        <f ca="1">IF(AND(Table1[[#This Row],[SubscriptionStart]]&lt;=Settings!$D$2,Table1[[#This Row],[EffectiveEndDate]]&gt;=Settings!$D$2),1,0)</f>
        <v>0</v>
      </c>
      <c r="AE145" s="46">
        <f ca="1">IF(AND(Table1[[#This Row],[SubscriptionStart]]&lt;=Settings!$E$2,Table1[[#This Row],[EffectiveEndDate]]&gt;=Settings!$E$2),1,0)</f>
        <v>0</v>
      </c>
      <c r="AF145"/>
      <c r="AG145"/>
      <c r="AH145"/>
      <c r="AI145"/>
      <c r="AJ145"/>
      <c r="AK145"/>
    </row>
    <row r="146" spans="1:37">
      <c r="A146" s="3" t="s">
        <v>422</v>
      </c>
      <c r="B146" s="3">
        <v>62</v>
      </c>
      <c r="C146" s="3" t="s">
        <v>37</v>
      </c>
      <c r="D146" s="5">
        <v>44718</v>
      </c>
      <c r="E146" s="5">
        <v>44898</v>
      </c>
      <c r="F146" s="3">
        <f ca="1">TODAY() - Table1[[#This Row],[SubscriptionStart]]</f>
        <v>1263</v>
      </c>
      <c r="G146" s="4">
        <v>6</v>
      </c>
      <c r="H146" s="3" t="s">
        <v>38</v>
      </c>
      <c r="I146" s="3" t="s">
        <v>39</v>
      </c>
      <c r="J146" s="7" cm="1">
        <f t="array" ref="J146">_xlfn.IFS(Table1[[#This Row],[Tier]]="Basic",10,Table1[[#This Row],[Tier]]="Standard",18,Table1[[#This Row],[Tier]]="Premium",25)</f>
        <v>18</v>
      </c>
      <c r="K146" s="7" cm="1">
        <f t="array" ref="K14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146" s="7" cm="1">
        <f t="array" ref="L14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146" s="3" t="str" cm="1">
        <f t="array" ref="M146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46" s="3" t="s">
        <v>31</v>
      </c>
      <c r="O146" s="3" t="s">
        <v>32</v>
      </c>
      <c r="P146" s="3" t="s">
        <v>47</v>
      </c>
      <c r="Q146" s="3" t="str" cm="1">
        <f t="array" ref="Q146">_xlfn.IFS(Table1[[#This Row],[TotalRevenue]]&lt;100,"Low",Table1[[#This Row],[TotalRevenue]]&lt;300,"Medium",Table1[[#This Row],[TotalRevenue]]&lt;600,"High",TRUE,"Very High")</f>
        <v>Low</v>
      </c>
      <c r="R146" s="3" t="str" cm="1">
        <f t="array" ref="R146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46" s="3" t="str">
        <f>IF(Table1[[#This Row],[NextBillingDate]]="","Cancelled",IF(Table1[[#This Row],[CancellationDate]]&lt;&gt;"","Cancelled","Active"))</f>
        <v>Cancelled</v>
      </c>
      <c r="T146" s="7" cm="1">
        <f t="array" ref="T14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146" s="5">
        <v>44898</v>
      </c>
      <c r="W146" s="5">
        <v>44898</v>
      </c>
      <c r="X146" s="3">
        <v>0</v>
      </c>
      <c r="Y146" s="5">
        <f ca="1">IF(Table1[[#This Row],[ChurnStatus]]="Cancelled",Table1[[#This Row],[CancellationDate]],TODAY())</f>
        <v>44898</v>
      </c>
      <c r="Z146" s="46">
        <f ca="1">IF(AND(Table1[[#This Row],[SubscriptionStart]] &lt;= TODAY(), Table1[[#This Row],[EffectiveEndDate]] &gt;= TODAY()),1,0)</f>
        <v>0</v>
      </c>
      <c r="AA146" s="46">
        <f ca="1">IF(AND(Table1[[#This Row],[SubscriptionStart]]&lt;=Settings!$A$2,Table1[[#This Row],[EffectiveEndDate]]&gt;=Settings!$A$2),1,0)</f>
        <v>0</v>
      </c>
      <c r="AB146" s="46">
        <f ca="1">IF(AND(Table1[[#This Row],[SubscriptionStart]]&lt;=Settings!$B$2,Table1[[#This Row],[EffectiveEndDate]]&gt;=Settings!$B$2),1,0)</f>
        <v>0</v>
      </c>
      <c r="AC146" s="46">
        <f ca="1">IF(AND(Table1[[#This Row],[SubscriptionStart]]&lt;=Settings!$C$2,Table1[[#This Row],[EffectiveEndDate]]&gt;=Settings!$C$2),1,0)</f>
        <v>0</v>
      </c>
      <c r="AD146" s="46">
        <f ca="1">IF(AND(Table1[[#This Row],[SubscriptionStart]]&lt;=Settings!$D$2,Table1[[#This Row],[EffectiveEndDate]]&gt;=Settings!$D$2),1,0)</f>
        <v>0</v>
      </c>
      <c r="AE146" s="46">
        <f ca="1">IF(AND(Table1[[#This Row],[SubscriptionStart]]&lt;=Settings!$E$2,Table1[[#This Row],[EffectiveEndDate]]&gt;=Settings!$E$2),1,0)</f>
        <v>0</v>
      </c>
      <c r="AF146"/>
      <c r="AG146"/>
      <c r="AH146"/>
      <c r="AI146"/>
      <c r="AJ146"/>
      <c r="AK146"/>
    </row>
    <row r="147" spans="1:37">
      <c r="A147" s="3" t="s">
        <v>258</v>
      </c>
      <c r="B147" s="3">
        <v>45</v>
      </c>
      <c r="C147" s="3" t="s">
        <v>37</v>
      </c>
      <c r="D147" s="5">
        <v>44720</v>
      </c>
      <c r="E147" s="5">
        <v>45080</v>
      </c>
      <c r="F147" s="3">
        <f ca="1">TODAY() - Table1[[#This Row],[SubscriptionStart]]</f>
        <v>1261</v>
      </c>
      <c r="G147" s="4">
        <v>12</v>
      </c>
      <c r="H147" s="3" t="s">
        <v>24</v>
      </c>
      <c r="I147" s="3" t="s">
        <v>30</v>
      </c>
      <c r="J147" s="7" cm="1">
        <f t="array" ref="J147">_xlfn.IFS(Table1[[#This Row],[Tier]]="Basic",10,Table1[[#This Row],[Tier]]="Standard",18,Table1[[#This Row],[Tier]]="Premium",25)</f>
        <v>10</v>
      </c>
      <c r="K147" s="7" cm="1">
        <f t="array" ref="K14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147" s="7" cm="1">
        <f t="array" ref="L14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147" s="3" t="str" cm="1">
        <f t="array" ref="M14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47" s="3" t="s">
        <v>31</v>
      </c>
      <c r="O147" s="3" t="s">
        <v>32</v>
      </c>
      <c r="P147" s="3" t="s">
        <v>47</v>
      </c>
      <c r="Q147" s="3" t="str" cm="1">
        <f t="array" ref="Q147">_xlfn.IFS(Table1[[#This Row],[TotalRevenue]]&lt;100,"Low",Table1[[#This Row],[TotalRevenue]]&lt;300,"Medium",Table1[[#This Row],[TotalRevenue]]&lt;600,"High",TRUE,"Very High")</f>
        <v>Low</v>
      </c>
      <c r="R147" s="3" t="str" cm="1">
        <f t="array" ref="R14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47" s="3" t="str">
        <f>IF(Table1[[#This Row],[NextBillingDate]]="","Cancelled",IF(Table1[[#This Row],[CancellationDate]]&lt;&gt;"","Cancelled","Active"))</f>
        <v>Cancelled</v>
      </c>
      <c r="T147" s="7" cm="1">
        <f t="array" ref="T14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147" s="5">
        <v>45080</v>
      </c>
      <c r="W147" s="5">
        <v>45080</v>
      </c>
      <c r="X147" s="3">
        <v>0</v>
      </c>
      <c r="Y147" s="5">
        <f ca="1">IF(Table1[[#This Row],[ChurnStatus]]="Cancelled",Table1[[#This Row],[CancellationDate]],TODAY())</f>
        <v>45080</v>
      </c>
      <c r="Z147" s="46">
        <f ca="1">IF(AND(Table1[[#This Row],[SubscriptionStart]] &lt;= TODAY(), Table1[[#This Row],[EffectiveEndDate]] &gt;= TODAY()),1,0)</f>
        <v>0</v>
      </c>
      <c r="AA147" s="46">
        <f ca="1">IF(AND(Table1[[#This Row],[SubscriptionStart]]&lt;=Settings!$A$2,Table1[[#This Row],[EffectiveEndDate]]&gt;=Settings!$A$2),1,0)</f>
        <v>0</v>
      </c>
      <c r="AB147" s="46">
        <f ca="1">IF(AND(Table1[[#This Row],[SubscriptionStart]]&lt;=Settings!$B$2,Table1[[#This Row],[EffectiveEndDate]]&gt;=Settings!$B$2),1,0)</f>
        <v>0</v>
      </c>
      <c r="AC147" s="46">
        <f ca="1">IF(AND(Table1[[#This Row],[SubscriptionStart]]&lt;=Settings!$C$2,Table1[[#This Row],[EffectiveEndDate]]&gt;=Settings!$C$2),1,0)</f>
        <v>1</v>
      </c>
      <c r="AD147" s="46">
        <f ca="1">IF(AND(Table1[[#This Row],[SubscriptionStart]]&lt;=Settings!$D$2,Table1[[#This Row],[EffectiveEndDate]]&gt;=Settings!$D$2),1,0)</f>
        <v>1</v>
      </c>
      <c r="AE147" s="46">
        <f ca="1">IF(AND(Table1[[#This Row],[SubscriptionStart]]&lt;=Settings!$E$2,Table1[[#This Row],[EffectiveEndDate]]&gt;=Settings!$E$2),1,0)</f>
        <v>0</v>
      </c>
      <c r="AF147"/>
      <c r="AG147"/>
      <c r="AH147"/>
      <c r="AI147"/>
      <c r="AJ147"/>
      <c r="AK147"/>
    </row>
    <row r="148" spans="1:37">
      <c r="A148" s="3" t="s">
        <v>228</v>
      </c>
      <c r="B148" s="3">
        <v>73</v>
      </c>
      <c r="C148" s="3" t="s">
        <v>23</v>
      </c>
      <c r="D148" s="5">
        <v>44722</v>
      </c>
      <c r="E148" s="5">
        <v>44902</v>
      </c>
      <c r="F148" s="3">
        <f ca="1">TODAY() - Table1[[#This Row],[SubscriptionStart]]</f>
        <v>1259</v>
      </c>
      <c r="G148" s="4">
        <v>6</v>
      </c>
      <c r="H148" s="3" t="s">
        <v>38</v>
      </c>
      <c r="I148" s="3" t="s">
        <v>25</v>
      </c>
      <c r="J148" s="7" cm="1">
        <f t="array" ref="J148">_xlfn.IFS(Table1[[#This Row],[Tier]]="Basic",10,Table1[[#This Row],[Tier]]="Standard",18,Table1[[#This Row],[Tier]]="Premium",25)</f>
        <v>25</v>
      </c>
      <c r="K148" s="7" cm="1">
        <f t="array" ref="K14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148" s="7" cm="1">
        <f t="array" ref="L14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148" s="3" t="str" cm="1">
        <f t="array" ref="M148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148" s="3" t="s">
        <v>34</v>
      </c>
      <c r="O148" s="3" t="s">
        <v>32</v>
      </c>
      <c r="P148" s="3" t="s">
        <v>47</v>
      </c>
      <c r="Q148" s="3" t="str" cm="1">
        <f t="array" ref="Q148">_xlfn.IFS(Table1[[#This Row],[TotalRevenue]]&lt;100,"Low",Table1[[#This Row],[TotalRevenue]]&lt;300,"Medium",Table1[[#This Row],[TotalRevenue]]&lt;600,"High",TRUE,"Very High")</f>
        <v>Medium</v>
      </c>
      <c r="R148" s="3" t="str" cm="1">
        <f t="array" ref="R148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148" s="3" t="str">
        <f>IF(Table1[[#This Row],[NextBillingDate]]="","Cancelled",IF(Table1[[#This Row],[CancellationDate]]&lt;&gt;"","Cancelled","Active"))</f>
        <v>Cancelled</v>
      </c>
      <c r="T148" s="7" cm="1">
        <f t="array" ref="T14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148" s="5">
        <v>44902</v>
      </c>
      <c r="W148" s="5">
        <v>44902</v>
      </c>
      <c r="X148" s="3">
        <v>0</v>
      </c>
      <c r="Y148" s="5">
        <f ca="1">IF(Table1[[#This Row],[ChurnStatus]]="Cancelled",Table1[[#This Row],[CancellationDate]],TODAY())</f>
        <v>44902</v>
      </c>
      <c r="Z148" s="46">
        <f ca="1">IF(AND(Table1[[#This Row],[SubscriptionStart]] &lt;= TODAY(), Table1[[#This Row],[EffectiveEndDate]] &gt;= TODAY()),1,0)</f>
        <v>0</v>
      </c>
      <c r="AA148" s="46">
        <f ca="1">IF(AND(Table1[[#This Row],[SubscriptionStart]]&lt;=Settings!$A$2,Table1[[#This Row],[EffectiveEndDate]]&gt;=Settings!$A$2),1,0)</f>
        <v>0</v>
      </c>
      <c r="AB148" s="46">
        <f ca="1">IF(AND(Table1[[#This Row],[SubscriptionStart]]&lt;=Settings!$B$2,Table1[[#This Row],[EffectiveEndDate]]&gt;=Settings!$B$2),1,0)</f>
        <v>0</v>
      </c>
      <c r="AC148" s="46">
        <f ca="1">IF(AND(Table1[[#This Row],[SubscriptionStart]]&lt;=Settings!$C$2,Table1[[#This Row],[EffectiveEndDate]]&gt;=Settings!$C$2),1,0)</f>
        <v>0</v>
      </c>
      <c r="AD148" s="46">
        <f ca="1">IF(AND(Table1[[#This Row],[SubscriptionStart]]&lt;=Settings!$D$2,Table1[[#This Row],[EffectiveEndDate]]&gt;=Settings!$D$2),1,0)</f>
        <v>0</v>
      </c>
      <c r="AE148" s="46">
        <f ca="1">IF(AND(Table1[[#This Row],[SubscriptionStart]]&lt;=Settings!$E$2,Table1[[#This Row],[EffectiveEndDate]]&gt;=Settings!$E$2),1,0)</f>
        <v>0</v>
      </c>
      <c r="AF148"/>
      <c r="AG148"/>
      <c r="AH148"/>
      <c r="AI148"/>
      <c r="AJ148"/>
      <c r="AK148"/>
    </row>
    <row r="149" spans="1:37">
      <c r="A149" s="3" t="s">
        <v>136</v>
      </c>
      <c r="B149" s="3">
        <v>75</v>
      </c>
      <c r="C149" s="3" t="s">
        <v>37</v>
      </c>
      <c r="D149" s="5">
        <v>44722</v>
      </c>
      <c r="E149" s="5">
        <v>45082</v>
      </c>
      <c r="F149" s="3">
        <f ca="1">TODAY() - Table1[[#This Row],[SubscriptionStart]]</f>
        <v>1259</v>
      </c>
      <c r="G149" s="4">
        <v>12</v>
      </c>
      <c r="H149" s="3" t="s">
        <v>24</v>
      </c>
      <c r="I149" s="3" t="s">
        <v>30</v>
      </c>
      <c r="J149" s="7" cm="1">
        <f t="array" ref="J149">_xlfn.IFS(Table1[[#This Row],[Tier]]="Basic",10,Table1[[#This Row],[Tier]]="Standard",18,Table1[[#This Row],[Tier]]="Premium",25)</f>
        <v>10</v>
      </c>
      <c r="K149" s="7" cm="1">
        <f t="array" ref="K14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149" s="7" cm="1">
        <f t="array" ref="L14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149" s="3" t="str" cm="1">
        <f t="array" ref="M149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149" s="3" t="s">
        <v>34</v>
      </c>
      <c r="O149" s="3" t="s">
        <v>43</v>
      </c>
      <c r="P149" s="3" t="s">
        <v>41</v>
      </c>
      <c r="Q149" s="3" t="str" cm="1">
        <f t="array" ref="Q149">_xlfn.IFS(Table1[[#This Row],[TotalRevenue]]&lt;100,"Low",Table1[[#This Row],[TotalRevenue]]&lt;300,"Medium",Table1[[#This Row],[TotalRevenue]]&lt;600,"High",TRUE,"Very High")</f>
        <v>Low</v>
      </c>
      <c r="R149" s="3" t="str" cm="1">
        <f t="array" ref="R149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149" s="3" t="str">
        <f>IF(Table1[[#This Row],[NextBillingDate]]="","Cancelled",IF(Table1[[#This Row],[CancellationDate]]&lt;&gt;"","Cancelled","Active"))</f>
        <v>Cancelled</v>
      </c>
      <c r="T149" s="7" cm="1">
        <f t="array" ref="T14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149" s="5">
        <v>45082</v>
      </c>
      <c r="W149" s="5">
        <v>45082</v>
      </c>
      <c r="X149" s="3">
        <v>0</v>
      </c>
      <c r="Y149" s="5">
        <f ca="1">IF(Table1[[#This Row],[ChurnStatus]]="Cancelled",Table1[[#This Row],[CancellationDate]],TODAY())</f>
        <v>45082</v>
      </c>
      <c r="Z149" s="46">
        <f ca="1">IF(AND(Table1[[#This Row],[SubscriptionStart]] &lt;= TODAY(), Table1[[#This Row],[EffectiveEndDate]] &gt;= TODAY()),1,0)</f>
        <v>0</v>
      </c>
      <c r="AA149" s="46">
        <f ca="1">IF(AND(Table1[[#This Row],[SubscriptionStart]]&lt;=Settings!$A$2,Table1[[#This Row],[EffectiveEndDate]]&gt;=Settings!$A$2),1,0)</f>
        <v>0</v>
      </c>
      <c r="AB149" s="46">
        <f ca="1">IF(AND(Table1[[#This Row],[SubscriptionStart]]&lt;=Settings!$B$2,Table1[[#This Row],[EffectiveEndDate]]&gt;=Settings!$B$2),1,0)</f>
        <v>0</v>
      </c>
      <c r="AC149" s="46">
        <f ca="1">IF(AND(Table1[[#This Row],[SubscriptionStart]]&lt;=Settings!$C$2,Table1[[#This Row],[EffectiveEndDate]]&gt;=Settings!$C$2),1,0)</f>
        <v>1</v>
      </c>
      <c r="AD149" s="46">
        <f ca="1">IF(AND(Table1[[#This Row],[SubscriptionStart]]&lt;=Settings!$D$2,Table1[[#This Row],[EffectiveEndDate]]&gt;=Settings!$D$2),1,0)</f>
        <v>1</v>
      </c>
      <c r="AE149" s="46">
        <f ca="1">IF(AND(Table1[[#This Row],[SubscriptionStart]]&lt;=Settings!$E$2,Table1[[#This Row],[EffectiveEndDate]]&gt;=Settings!$E$2),1,0)</f>
        <v>0</v>
      </c>
      <c r="AF149"/>
      <c r="AG149"/>
      <c r="AH149"/>
      <c r="AI149"/>
      <c r="AJ149"/>
      <c r="AK149"/>
    </row>
    <row r="150" spans="1:37">
      <c r="A150" s="3" t="s">
        <v>132</v>
      </c>
      <c r="B150" s="3">
        <v>50</v>
      </c>
      <c r="C150" s="3" t="s">
        <v>23</v>
      </c>
      <c r="D150" s="5">
        <v>44722</v>
      </c>
      <c r="F150" s="3">
        <f ca="1">TODAY() - Table1[[#This Row],[SubscriptionStart]]</f>
        <v>1259</v>
      </c>
      <c r="G150" s="4">
        <v>42</v>
      </c>
      <c r="H150" s="3" t="s">
        <v>29</v>
      </c>
      <c r="I150" s="3" t="s">
        <v>39</v>
      </c>
      <c r="J150" s="7" cm="1">
        <f t="array" ref="J150">_xlfn.IFS(Table1[[#This Row],[Tier]]="Basic",10,Table1[[#This Row],[Tier]]="Standard",18,Table1[[#This Row],[Tier]]="Premium",25)</f>
        <v>18</v>
      </c>
      <c r="K150" s="7" cm="1">
        <f t="array" ref="K15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150" s="7" cm="1">
        <f t="array" ref="L15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718.2</v>
      </c>
      <c r="M150" s="3" t="str" cm="1">
        <f t="array" ref="M15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150" s="3" t="s">
        <v>52</v>
      </c>
      <c r="O150" s="3" t="s">
        <v>32</v>
      </c>
      <c r="Q150" s="3" t="str" cm="1">
        <f t="array" ref="Q150">_xlfn.IFS(Table1[[#This Row],[TotalRevenue]]&lt;100,"Low",Table1[[#This Row],[TotalRevenue]]&lt;300,"Medium",Table1[[#This Row],[TotalRevenue]]&lt;600,"High",TRUE,"Very High")</f>
        <v>Very High</v>
      </c>
      <c r="R150" s="3" t="str" cm="1">
        <f t="array" ref="R15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50" s="3" t="str">
        <f>IF(Table1[[#This Row],[NextBillingDate]]="","Cancelled",IF(Table1[[#This Row],[CancellationDate]]&lt;&gt;"","Cancelled","Active"))</f>
        <v>Active</v>
      </c>
      <c r="T150" s="7" cm="1">
        <f t="array" ref="T15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736.2</v>
      </c>
      <c r="V150" s="5">
        <v>45982</v>
      </c>
      <c r="W150" s="5">
        <v>45982</v>
      </c>
      <c r="X150" s="3">
        <v>41</v>
      </c>
      <c r="Y150" s="5">
        <f ca="1">IF(Table1[[#This Row],[ChurnStatus]]="Cancelled",Table1[[#This Row],[CancellationDate]],TODAY())</f>
        <v>45981</v>
      </c>
      <c r="Z150" s="46">
        <f ca="1">IF(AND(Table1[[#This Row],[SubscriptionStart]] &lt;= TODAY(), Table1[[#This Row],[EffectiveEndDate]] &gt;= TODAY()),1,0)</f>
        <v>1</v>
      </c>
      <c r="AA150" s="46">
        <f ca="1">IF(AND(Table1[[#This Row],[SubscriptionStart]]&lt;=Settings!$A$2,Table1[[#This Row],[EffectiveEndDate]]&gt;=Settings!$A$2),1,0)</f>
        <v>0</v>
      </c>
      <c r="AB150" s="46">
        <f ca="1">IF(AND(Table1[[#This Row],[SubscriptionStart]]&lt;=Settings!$B$2,Table1[[#This Row],[EffectiveEndDate]]&gt;=Settings!$B$2),1,0)</f>
        <v>0</v>
      </c>
      <c r="AC150" s="46">
        <f ca="1">IF(AND(Table1[[#This Row],[SubscriptionStart]]&lt;=Settings!$C$2,Table1[[#This Row],[EffectiveEndDate]]&gt;=Settings!$C$2),1,0)</f>
        <v>1</v>
      </c>
      <c r="AD150" s="46">
        <f ca="1">IF(AND(Table1[[#This Row],[SubscriptionStart]]&lt;=Settings!$D$2,Table1[[#This Row],[EffectiveEndDate]]&gt;=Settings!$D$2),1,0)</f>
        <v>1</v>
      </c>
      <c r="AE150" s="46">
        <f ca="1">IF(AND(Table1[[#This Row],[SubscriptionStart]]&lt;=Settings!$E$2,Table1[[#This Row],[EffectiveEndDate]]&gt;=Settings!$E$2),1,0)</f>
        <v>1</v>
      </c>
      <c r="AF150"/>
      <c r="AG150"/>
      <c r="AH150"/>
      <c r="AI150"/>
      <c r="AJ150"/>
      <c r="AK150"/>
    </row>
    <row r="151" spans="1:37">
      <c r="A151" s="3" t="s">
        <v>524</v>
      </c>
      <c r="B151" s="3">
        <v>21</v>
      </c>
      <c r="C151" s="3" t="s">
        <v>23</v>
      </c>
      <c r="D151" s="5">
        <v>44724</v>
      </c>
      <c r="E151" s="5">
        <v>45084</v>
      </c>
      <c r="F151" s="3">
        <f ca="1">TODAY() - Table1[[#This Row],[SubscriptionStart]]</f>
        <v>1257</v>
      </c>
      <c r="G151" s="4">
        <v>12</v>
      </c>
      <c r="H151" s="3" t="s">
        <v>24</v>
      </c>
      <c r="I151" s="3" t="s">
        <v>30</v>
      </c>
      <c r="J151" s="7" cm="1">
        <f t="array" ref="J151">_xlfn.IFS(Table1[[#This Row],[Tier]]="Basic",10,Table1[[#This Row],[Tier]]="Standard",18,Table1[[#This Row],[Tier]]="Premium",25)</f>
        <v>10</v>
      </c>
      <c r="K151" s="7" cm="1">
        <f t="array" ref="K15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151" s="7" cm="1">
        <f t="array" ref="L15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151" s="3" t="str" cm="1">
        <f t="array" ref="M151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151" s="3" t="s">
        <v>52</v>
      </c>
      <c r="O151" s="3" t="s">
        <v>49</v>
      </c>
      <c r="P151" s="3" t="s">
        <v>44</v>
      </c>
      <c r="Q151" s="3" t="str" cm="1">
        <f t="array" ref="Q151">_xlfn.IFS(Table1[[#This Row],[TotalRevenue]]&lt;100,"Low",Table1[[#This Row],[TotalRevenue]]&lt;300,"Medium",Table1[[#This Row],[TotalRevenue]]&lt;600,"High",TRUE,"Very High")</f>
        <v>Low</v>
      </c>
      <c r="R151" s="3" t="str" cm="1">
        <f t="array" ref="R151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151" s="3" t="str">
        <f>IF(Table1[[#This Row],[NextBillingDate]]="","Cancelled",IF(Table1[[#This Row],[CancellationDate]]&lt;&gt;"","Cancelled","Active"))</f>
        <v>Cancelled</v>
      </c>
      <c r="T151" s="7" cm="1">
        <f t="array" ref="T15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151" s="5">
        <v>45084</v>
      </c>
      <c r="W151" s="5">
        <v>45084</v>
      </c>
      <c r="X151" s="3">
        <v>0</v>
      </c>
      <c r="Y151" s="5">
        <f ca="1">IF(Table1[[#This Row],[ChurnStatus]]="Cancelled",Table1[[#This Row],[CancellationDate]],TODAY())</f>
        <v>45084</v>
      </c>
      <c r="Z151" s="46">
        <f ca="1">IF(AND(Table1[[#This Row],[SubscriptionStart]] &lt;= TODAY(), Table1[[#This Row],[EffectiveEndDate]] &gt;= TODAY()),1,0)</f>
        <v>0</v>
      </c>
      <c r="AA151" s="46">
        <f ca="1">IF(AND(Table1[[#This Row],[SubscriptionStart]]&lt;=Settings!$A$2,Table1[[#This Row],[EffectiveEndDate]]&gt;=Settings!$A$2),1,0)</f>
        <v>0</v>
      </c>
      <c r="AB151" s="46">
        <f ca="1">IF(AND(Table1[[#This Row],[SubscriptionStart]]&lt;=Settings!$B$2,Table1[[#This Row],[EffectiveEndDate]]&gt;=Settings!$B$2),1,0)</f>
        <v>0</v>
      </c>
      <c r="AC151" s="46">
        <f ca="1">IF(AND(Table1[[#This Row],[SubscriptionStart]]&lt;=Settings!$C$2,Table1[[#This Row],[EffectiveEndDate]]&gt;=Settings!$C$2),1,0)</f>
        <v>1</v>
      </c>
      <c r="AD151" s="46">
        <f ca="1">IF(AND(Table1[[#This Row],[SubscriptionStart]]&lt;=Settings!$D$2,Table1[[#This Row],[EffectiveEndDate]]&gt;=Settings!$D$2),1,0)</f>
        <v>1</v>
      </c>
      <c r="AE151" s="46">
        <f ca="1">IF(AND(Table1[[#This Row],[SubscriptionStart]]&lt;=Settings!$E$2,Table1[[#This Row],[EffectiveEndDate]]&gt;=Settings!$E$2),1,0)</f>
        <v>0</v>
      </c>
      <c r="AF151"/>
      <c r="AG151"/>
      <c r="AH151"/>
      <c r="AI151"/>
      <c r="AJ151"/>
      <c r="AK151"/>
    </row>
    <row r="152" spans="1:37">
      <c r="A152" s="3" t="s">
        <v>718</v>
      </c>
      <c r="B152" s="3">
        <v>18</v>
      </c>
      <c r="C152" s="3" t="s">
        <v>37</v>
      </c>
      <c r="D152" s="5">
        <v>44727</v>
      </c>
      <c r="E152" s="5">
        <v>44907</v>
      </c>
      <c r="F152" s="3">
        <f ca="1">TODAY() - Table1[[#This Row],[SubscriptionStart]]</f>
        <v>1254</v>
      </c>
      <c r="G152" s="4">
        <v>6</v>
      </c>
      <c r="H152" s="3" t="s">
        <v>38</v>
      </c>
      <c r="I152" s="3" t="s">
        <v>25</v>
      </c>
      <c r="J152" s="7" cm="1">
        <f t="array" ref="J152">_xlfn.IFS(Table1[[#This Row],[Tier]]="Basic",10,Table1[[#This Row],[Tier]]="Standard",18,Table1[[#This Row],[Tier]]="Premium",25)</f>
        <v>25</v>
      </c>
      <c r="K152" s="7" cm="1">
        <f t="array" ref="K15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152" s="7" cm="1">
        <f t="array" ref="L15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152" s="3" t="str" cm="1">
        <f t="array" ref="M152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152" s="3" t="s">
        <v>26</v>
      </c>
      <c r="O152" s="3" t="s">
        <v>32</v>
      </c>
      <c r="P152" s="3" t="s">
        <v>50</v>
      </c>
      <c r="Q152" s="3" t="str" cm="1">
        <f t="array" ref="Q152">_xlfn.IFS(Table1[[#This Row],[TotalRevenue]]&lt;100,"Low",Table1[[#This Row],[TotalRevenue]]&lt;300,"Medium",Table1[[#This Row],[TotalRevenue]]&lt;600,"High",TRUE,"Very High")</f>
        <v>Medium</v>
      </c>
      <c r="R152" s="3" t="str" cm="1">
        <f t="array" ref="R152">_xlfn.IFS(Table1[[#This Row],[Age]]&gt;69,"Elderly",Table1[[#This Row],[Age]]&gt;59,"Mature Adult",Table1[[#This Row],[Age]]&gt;25,"Adult",Table1[[#This Row],[Age]]&gt;18,"Young Adult",Table1[[#This Row],[Age]]&gt;=12,"Teenager")</f>
        <v>Teenager</v>
      </c>
      <c r="S152" s="3" t="str">
        <f>IF(Table1[[#This Row],[NextBillingDate]]="","Cancelled",IF(Table1[[#This Row],[CancellationDate]]&lt;&gt;"","Cancelled","Active"))</f>
        <v>Cancelled</v>
      </c>
      <c r="T152" s="7" cm="1">
        <f t="array" ref="T15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152" s="5">
        <v>44907</v>
      </c>
      <c r="W152" s="5">
        <v>44907</v>
      </c>
      <c r="X152" s="3">
        <v>0</v>
      </c>
      <c r="Y152" s="5">
        <f ca="1">IF(Table1[[#This Row],[ChurnStatus]]="Cancelled",Table1[[#This Row],[CancellationDate]],TODAY())</f>
        <v>44907</v>
      </c>
      <c r="Z152" s="46">
        <f ca="1">IF(AND(Table1[[#This Row],[SubscriptionStart]] &lt;= TODAY(), Table1[[#This Row],[EffectiveEndDate]] &gt;= TODAY()),1,0)</f>
        <v>0</v>
      </c>
      <c r="AA152" s="46">
        <f ca="1">IF(AND(Table1[[#This Row],[SubscriptionStart]]&lt;=Settings!$A$2,Table1[[#This Row],[EffectiveEndDate]]&gt;=Settings!$A$2),1,0)</f>
        <v>0</v>
      </c>
      <c r="AB152" s="46">
        <f ca="1">IF(AND(Table1[[#This Row],[SubscriptionStart]]&lt;=Settings!$B$2,Table1[[#This Row],[EffectiveEndDate]]&gt;=Settings!$B$2),1,0)</f>
        <v>0</v>
      </c>
      <c r="AC152" s="46">
        <f ca="1">IF(AND(Table1[[#This Row],[SubscriptionStart]]&lt;=Settings!$C$2,Table1[[#This Row],[EffectiveEndDate]]&gt;=Settings!$C$2),1,0)</f>
        <v>0</v>
      </c>
      <c r="AD152" s="46">
        <f ca="1">IF(AND(Table1[[#This Row],[SubscriptionStart]]&lt;=Settings!$D$2,Table1[[#This Row],[EffectiveEndDate]]&gt;=Settings!$D$2),1,0)</f>
        <v>0</v>
      </c>
      <c r="AE152" s="46">
        <f ca="1">IF(AND(Table1[[#This Row],[SubscriptionStart]]&lt;=Settings!$E$2,Table1[[#This Row],[EffectiveEndDate]]&gt;=Settings!$E$2),1,0)</f>
        <v>0</v>
      </c>
      <c r="AF152"/>
      <c r="AG152"/>
      <c r="AH152"/>
      <c r="AI152"/>
      <c r="AJ152"/>
      <c r="AK152"/>
    </row>
    <row r="153" spans="1:37">
      <c r="A153" s="3" t="s">
        <v>128</v>
      </c>
      <c r="B153" s="3">
        <v>53</v>
      </c>
      <c r="C153" s="3" t="s">
        <v>23</v>
      </c>
      <c r="D153" s="5">
        <v>44728</v>
      </c>
      <c r="E153" s="5">
        <v>44758</v>
      </c>
      <c r="F153" s="3">
        <f ca="1">TODAY() - Table1[[#This Row],[SubscriptionStart]]</f>
        <v>1253</v>
      </c>
      <c r="G153" s="4">
        <v>1</v>
      </c>
      <c r="H153" s="3" t="s">
        <v>29</v>
      </c>
      <c r="I153" s="3" t="s">
        <v>25</v>
      </c>
      <c r="J153" s="7" cm="1">
        <f t="array" ref="J153">_xlfn.IFS(Table1[[#This Row],[Tier]]="Basic",10,Table1[[#This Row],[Tier]]="Standard",18,Table1[[#This Row],[Tier]]="Premium",25)</f>
        <v>25</v>
      </c>
      <c r="K153" s="7" cm="1">
        <f t="array" ref="K15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153" s="7" cm="1">
        <f t="array" ref="L15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53" s="3" t="str" cm="1">
        <f t="array" ref="M15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153" s="3" t="s">
        <v>34</v>
      </c>
      <c r="O153" s="3" t="s">
        <v>49</v>
      </c>
      <c r="P153" s="3" t="s">
        <v>44</v>
      </c>
      <c r="Q153" s="3" t="str" cm="1">
        <f t="array" ref="Q153">_xlfn.IFS(Table1[[#This Row],[TotalRevenue]]&lt;100,"Low",Table1[[#This Row],[TotalRevenue]]&lt;300,"Medium",Table1[[#This Row],[TotalRevenue]]&lt;600,"High",TRUE,"Very High")</f>
        <v>Low</v>
      </c>
      <c r="R153" s="3" t="str" cm="1">
        <f t="array" ref="R15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53" s="3" t="str">
        <f>IF(Table1[[#This Row],[NextBillingDate]]="","Cancelled",IF(Table1[[#This Row],[CancellationDate]]&lt;&gt;"","Cancelled","Active"))</f>
        <v>Cancelled</v>
      </c>
      <c r="T153" s="7" cm="1">
        <f t="array" ref="T15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53" s="5">
        <v>44758</v>
      </c>
      <c r="W153" s="5">
        <v>44758</v>
      </c>
      <c r="X153" s="3">
        <v>0</v>
      </c>
      <c r="Y153" s="5">
        <f ca="1">IF(Table1[[#This Row],[ChurnStatus]]="Cancelled",Table1[[#This Row],[CancellationDate]],TODAY())</f>
        <v>44758</v>
      </c>
      <c r="Z153" s="46">
        <f ca="1">IF(AND(Table1[[#This Row],[SubscriptionStart]] &lt;= TODAY(), Table1[[#This Row],[EffectiveEndDate]] &gt;= TODAY()),1,0)</f>
        <v>0</v>
      </c>
      <c r="AA153" s="46">
        <f ca="1">IF(AND(Table1[[#This Row],[SubscriptionStart]]&lt;=Settings!$A$2,Table1[[#This Row],[EffectiveEndDate]]&gt;=Settings!$A$2),1,0)</f>
        <v>0</v>
      </c>
      <c r="AB153" s="46">
        <f ca="1">IF(AND(Table1[[#This Row],[SubscriptionStart]]&lt;=Settings!$B$2,Table1[[#This Row],[EffectiveEndDate]]&gt;=Settings!$B$2),1,0)</f>
        <v>0</v>
      </c>
      <c r="AC153" s="46">
        <f ca="1">IF(AND(Table1[[#This Row],[SubscriptionStart]]&lt;=Settings!$C$2,Table1[[#This Row],[EffectiveEndDate]]&gt;=Settings!$C$2),1,0)</f>
        <v>0</v>
      </c>
      <c r="AD153" s="46">
        <f ca="1">IF(AND(Table1[[#This Row],[SubscriptionStart]]&lt;=Settings!$D$2,Table1[[#This Row],[EffectiveEndDate]]&gt;=Settings!$D$2),1,0)</f>
        <v>0</v>
      </c>
      <c r="AE153" s="46">
        <f ca="1">IF(AND(Table1[[#This Row],[SubscriptionStart]]&lt;=Settings!$E$2,Table1[[#This Row],[EffectiveEndDate]]&gt;=Settings!$E$2),1,0)</f>
        <v>0</v>
      </c>
      <c r="AF153"/>
      <c r="AG153"/>
      <c r="AH153"/>
      <c r="AI153"/>
      <c r="AJ153"/>
      <c r="AK153"/>
    </row>
    <row r="154" spans="1:37">
      <c r="A154" s="3" t="s">
        <v>407</v>
      </c>
      <c r="B154" s="3">
        <v>61</v>
      </c>
      <c r="C154" s="3" t="s">
        <v>23</v>
      </c>
      <c r="D154" s="5">
        <v>44728</v>
      </c>
      <c r="E154" s="5">
        <v>45088</v>
      </c>
      <c r="F154" s="3">
        <f ca="1">TODAY() - Table1[[#This Row],[SubscriptionStart]]</f>
        <v>1253</v>
      </c>
      <c r="G154" s="4">
        <v>12</v>
      </c>
      <c r="H154" s="3" t="s">
        <v>24</v>
      </c>
      <c r="I154" s="3" t="s">
        <v>39</v>
      </c>
      <c r="J154" s="7" cm="1">
        <f t="array" ref="J154">_xlfn.IFS(Table1[[#This Row],[Tier]]="Basic",10,Table1[[#This Row],[Tier]]="Standard",18,Table1[[#This Row],[Tier]]="Premium",25)</f>
        <v>18</v>
      </c>
      <c r="K154" s="7" cm="1">
        <f t="array" ref="K15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54" s="7" cm="1">
        <f t="array" ref="L15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54" s="3" t="str" cm="1">
        <f t="array" ref="M15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54" s="3" t="s">
        <v>31</v>
      </c>
      <c r="O154" s="3" t="s">
        <v>43</v>
      </c>
      <c r="P154" s="3" t="s">
        <v>47</v>
      </c>
      <c r="Q154" s="3" t="str" cm="1">
        <f t="array" ref="Q154">_xlfn.IFS(Table1[[#This Row],[TotalRevenue]]&lt;100,"Low",Table1[[#This Row],[TotalRevenue]]&lt;300,"Medium",Table1[[#This Row],[TotalRevenue]]&lt;600,"High",TRUE,"Very High")</f>
        <v>Medium</v>
      </c>
      <c r="R154" s="3" t="str" cm="1">
        <f t="array" ref="R15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54" s="3" t="str">
        <f>IF(Table1[[#This Row],[NextBillingDate]]="","Cancelled",IF(Table1[[#This Row],[CancellationDate]]&lt;&gt;"","Cancelled","Active"))</f>
        <v>Cancelled</v>
      </c>
      <c r="T154" s="7" cm="1">
        <f t="array" ref="T15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54" s="5">
        <v>45088</v>
      </c>
      <c r="W154" s="5">
        <v>45088</v>
      </c>
      <c r="X154" s="3">
        <v>0</v>
      </c>
      <c r="Y154" s="5">
        <f ca="1">IF(Table1[[#This Row],[ChurnStatus]]="Cancelled",Table1[[#This Row],[CancellationDate]],TODAY())</f>
        <v>45088</v>
      </c>
      <c r="Z154" s="46">
        <f ca="1">IF(AND(Table1[[#This Row],[SubscriptionStart]] &lt;= TODAY(), Table1[[#This Row],[EffectiveEndDate]] &gt;= TODAY()),1,0)</f>
        <v>0</v>
      </c>
      <c r="AA154" s="46">
        <f ca="1">IF(AND(Table1[[#This Row],[SubscriptionStart]]&lt;=Settings!$A$2,Table1[[#This Row],[EffectiveEndDate]]&gt;=Settings!$A$2),1,0)</f>
        <v>0</v>
      </c>
      <c r="AB154" s="46">
        <f ca="1">IF(AND(Table1[[#This Row],[SubscriptionStart]]&lt;=Settings!$B$2,Table1[[#This Row],[EffectiveEndDate]]&gt;=Settings!$B$2),1,0)</f>
        <v>0</v>
      </c>
      <c r="AC154" s="46">
        <f ca="1">IF(AND(Table1[[#This Row],[SubscriptionStart]]&lt;=Settings!$C$2,Table1[[#This Row],[EffectiveEndDate]]&gt;=Settings!$C$2),1,0)</f>
        <v>1</v>
      </c>
      <c r="AD154" s="46">
        <f ca="1">IF(AND(Table1[[#This Row],[SubscriptionStart]]&lt;=Settings!$D$2,Table1[[#This Row],[EffectiveEndDate]]&gt;=Settings!$D$2),1,0)</f>
        <v>1</v>
      </c>
      <c r="AE154" s="46">
        <f ca="1">IF(AND(Table1[[#This Row],[SubscriptionStart]]&lt;=Settings!$E$2,Table1[[#This Row],[EffectiveEndDate]]&gt;=Settings!$E$2),1,0)</f>
        <v>0</v>
      </c>
      <c r="AF154"/>
      <c r="AG154"/>
      <c r="AH154"/>
      <c r="AI154"/>
      <c r="AJ154"/>
      <c r="AK154"/>
    </row>
    <row r="155" spans="1:37">
      <c r="A155" s="3" t="s">
        <v>171</v>
      </c>
      <c r="B155" s="3">
        <v>73</v>
      </c>
      <c r="C155" s="3" t="s">
        <v>23</v>
      </c>
      <c r="D155" s="5">
        <v>44729</v>
      </c>
      <c r="E155" s="5">
        <v>44909</v>
      </c>
      <c r="F155" s="3">
        <f ca="1">TODAY() - Table1[[#This Row],[SubscriptionStart]]</f>
        <v>1252</v>
      </c>
      <c r="G155" s="4">
        <v>6</v>
      </c>
      <c r="H155" s="3" t="s">
        <v>38</v>
      </c>
      <c r="I155" s="3" t="s">
        <v>30</v>
      </c>
      <c r="J155" s="7" cm="1">
        <f t="array" ref="J155">_xlfn.IFS(Table1[[#This Row],[Tier]]="Basic",10,Table1[[#This Row],[Tier]]="Standard",18,Table1[[#This Row],[Tier]]="Premium",25)</f>
        <v>10</v>
      </c>
      <c r="K155" s="7" cm="1">
        <f t="array" ref="K15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155" s="7" cm="1">
        <f t="array" ref="L15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155" s="3" t="str" cm="1">
        <f t="array" ref="M155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155" s="3" t="s">
        <v>34</v>
      </c>
      <c r="O155" s="3" t="s">
        <v>32</v>
      </c>
      <c r="P155" s="3" t="s">
        <v>41</v>
      </c>
      <c r="Q155" s="3" t="str" cm="1">
        <f t="array" ref="Q155">_xlfn.IFS(Table1[[#This Row],[TotalRevenue]]&lt;100,"Low",Table1[[#This Row],[TotalRevenue]]&lt;300,"Medium",Table1[[#This Row],[TotalRevenue]]&lt;600,"High",TRUE,"Very High")</f>
        <v>Low</v>
      </c>
      <c r="R155" s="3" t="str" cm="1">
        <f t="array" ref="R155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155" s="3" t="str">
        <f>IF(Table1[[#This Row],[NextBillingDate]]="","Cancelled",IF(Table1[[#This Row],[CancellationDate]]&lt;&gt;"","Cancelled","Active"))</f>
        <v>Cancelled</v>
      </c>
      <c r="T155" s="7" cm="1">
        <f t="array" ref="T15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155" s="5">
        <v>44909</v>
      </c>
      <c r="W155" s="5">
        <v>44909</v>
      </c>
      <c r="X155" s="3">
        <v>0</v>
      </c>
      <c r="Y155" s="5">
        <f ca="1">IF(Table1[[#This Row],[ChurnStatus]]="Cancelled",Table1[[#This Row],[CancellationDate]],TODAY())</f>
        <v>44909</v>
      </c>
      <c r="Z155" s="46">
        <f ca="1">IF(AND(Table1[[#This Row],[SubscriptionStart]] &lt;= TODAY(), Table1[[#This Row],[EffectiveEndDate]] &gt;= TODAY()),1,0)</f>
        <v>0</v>
      </c>
      <c r="AA155" s="46">
        <f ca="1">IF(AND(Table1[[#This Row],[SubscriptionStart]]&lt;=Settings!$A$2,Table1[[#This Row],[EffectiveEndDate]]&gt;=Settings!$A$2),1,0)</f>
        <v>0</v>
      </c>
      <c r="AB155" s="46">
        <f ca="1">IF(AND(Table1[[#This Row],[SubscriptionStart]]&lt;=Settings!$B$2,Table1[[#This Row],[EffectiveEndDate]]&gt;=Settings!$B$2),1,0)</f>
        <v>0</v>
      </c>
      <c r="AC155" s="46">
        <f ca="1">IF(AND(Table1[[#This Row],[SubscriptionStart]]&lt;=Settings!$C$2,Table1[[#This Row],[EffectiveEndDate]]&gt;=Settings!$C$2),1,0)</f>
        <v>0</v>
      </c>
      <c r="AD155" s="46">
        <f ca="1">IF(AND(Table1[[#This Row],[SubscriptionStart]]&lt;=Settings!$D$2,Table1[[#This Row],[EffectiveEndDate]]&gt;=Settings!$D$2),1,0)</f>
        <v>0</v>
      </c>
      <c r="AE155" s="46">
        <f ca="1">IF(AND(Table1[[#This Row],[SubscriptionStart]]&lt;=Settings!$E$2,Table1[[#This Row],[EffectiveEndDate]]&gt;=Settings!$E$2),1,0)</f>
        <v>0</v>
      </c>
      <c r="AF155"/>
      <c r="AG155"/>
      <c r="AH155"/>
      <c r="AI155"/>
      <c r="AJ155"/>
      <c r="AK155"/>
    </row>
    <row r="156" spans="1:37">
      <c r="A156" s="3" t="s">
        <v>529</v>
      </c>
      <c r="B156" s="3">
        <v>69</v>
      </c>
      <c r="C156" s="3" t="s">
        <v>37</v>
      </c>
      <c r="D156" s="5">
        <v>44729</v>
      </c>
      <c r="E156" s="5">
        <v>45089</v>
      </c>
      <c r="F156" s="3">
        <f ca="1">TODAY() - Table1[[#This Row],[SubscriptionStart]]</f>
        <v>1252</v>
      </c>
      <c r="G156" s="4">
        <v>12</v>
      </c>
      <c r="H156" s="3" t="s">
        <v>24</v>
      </c>
      <c r="I156" s="3" t="s">
        <v>25</v>
      </c>
      <c r="J156" s="7" cm="1">
        <f t="array" ref="J156">_xlfn.IFS(Table1[[#This Row],[Tier]]="Basic",10,Table1[[#This Row],[Tier]]="Standard",18,Table1[[#This Row],[Tier]]="Premium",25)</f>
        <v>25</v>
      </c>
      <c r="K156" s="7" cm="1">
        <f t="array" ref="K15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156" s="7" cm="1">
        <f t="array" ref="L15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156" s="3" t="str" cm="1">
        <f t="array" ref="M156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56" s="3" t="s">
        <v>31</v>
      </c>
      <c r="O156" s="3" t="s">
        <v>43</v>
      </c>
      <c r="P156" s="3" t="s">
        <v>47</v>
      </c>
      <c r="Q156" s="3" t="str" cm="1">
        <f t="array" ref="Q156">_xlfn.IFS(Table1[[#This Row],[TotalRevenue]]&lt;100,"Low",Table1[[#This Row],[TotalRevenue]]&lt;300,"Medium",Table1[[#This Row],[TotalRevenue]]&lt;600,"High",TRUE,"Very High")</f>
        <v>Medium</v>
      </c>
      <c r="R156" s="3" t="str" cm="1">
        <f t="array" ref="R156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56" s="3" t="str">
        <f>IF(Table1[[#This Row],[NextBillingDate]]="","Cancelled",IF(Table1[[#This Row],[CancellationDate]]&lt;&gt;"","Cancelled","Active"))</f>
        <v>Cancelled</v>
      </c>
      <c r="T156" s="7" cm="1">
        <f t="array" ref="T15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156" s="5">
        <v>45089</v>
      </c>
      <c r="W156" s="5">
        <v>45089</v>
      </c>
      <c r="X156" s="3">
        <v>0</v>
      </c>
      <c r="Y156" s="5">
        <f ca="1">IF(Table1[[#This Row],[ChurnStatus]]="Cancelled",Table1[[#This Row],[CancellationDate]],TODAY())</f>
        <v>45089</v>
      </c>
      <c r="Z156" s="46">
        <f ca="1">IF(AND(Table1[[#This Row],[SubscriptionStart]] &lt;= TODAY(), Table1[[#This Row],[EffectiveEndDate]] &gt;= TODAY()),1,0)</f>
        <v>0</v>
      </c>
      <c r="AA156" s="46">
        <f ca="1">IF(AND(Table1[[#This Row],[SubscriptionStart]]&lt;=Settings!$A$2,Table1[[#This Row],[EffectiveEndDate]]&gt;=Settings!$A$2),1,0)</f>
        <v>0</v>
      </c>
      <c r="AB156" s="46">
        <f ca="1">IF(AND(Table1[[#This Row],[SubscriptionStart]]&lt;=Settings!$B$2,Table1[[#This Row],[EffectiveEndDate]]&gt;=Settings!$B$2),1,0)</f>
        <v>0</v>
      </c>
      <c r="AC156" s="46">
        <f ca="1">IF(AND(Table1[[#This Row],[SubscriptionStart]]&lt;=Settings!$C$2,Table1[[#This Row],[EffectiveEndDate]]&gt;=Settings!$C$2),1,0)</f>
        <v>1</v>
      </c>
      <c r="AD156" s="46">
        <f ca="1">IF(AND(Table1[[#This Row],[SubscriptionStart]]&lt;=Settings!$D$2,Table1[[#This Row],[EffectiveEndDate]]&gt;=Settings!$D$2),1,0)</f>
        <v>1</v>
      </c>
      <c r="AE156" s="46">
        <f ca="1">IF(AND(Table1[[#This Row],[SubscriptionStart]]&lt;=Settings!$E$2,Table1[[#This Row],[EffectiveEndDate]]&gt;=Settings!$E$2),1,0)</f>
        <v>0</v>
      </c>
      <c r="AF156"/>
      <c r="AG156"/>
      <c r="AH156"/>
      <c r="AI156"/>
      <c r="AJ156"/>
      <c r="AK156"/>
    </row>
    <row r="157" spans="1:37">
      <c r="A157" s="3" t="s">
        <v>87</v>
      </c>
      <c r="B157" s="3">
        <v>30</v>
      </c>
      <c r="C157" s="3" t="s">
        <v>23</v>
      </c>
      <c r="D157" s="5">
        <v>44731</v>
      </c>
      <c r="E157" s="5">
        <v>44761</v>
      </c>
      <c r="F157" s="3">
        <f ca="1">TODAY() - Table1[[#This Row],[SubscriptionStart]]</f>
        <v>1250</v>
      </c>
      <c r="G157" s="4">
        <v>1</v>
      </c>
      <c r="H157" s="3" t="s">
        <v>29</v>
      </c>
      <c r="I157" s="3" t="s">
        <v>25</v>
      </c>
      <c r="J157" s="7" cm="1">
        <f t="array" ref="J157">_xlfn.IFS(Table1[[#This Row],[Tier]]="Basic",10,Table1[[#This Row],[Tier]]="Standard",18,Table1[[#This Row],[Tier]]="Premium",25)</f>
        <v>25</v>
      </c>
      <c r="K157" s="7" cm="1">
        <f t="array" ref="K15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157" s="7" cm="1">
        <f t="array" ref="L15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57" s="3" t="str" cm="1">
        <f t="array" ref="M15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57" s="3" t="s">
        <v>52</v>
      </c>
      <c r="O157" s="3" t="s">
        <v>43</v>
      </c>
      <c r="P157" s="3" t="s">
        <v>50</v>
      </c>
      <c r="Q157" s="3" t="str" cm="1">
        <f t="array" ref="Q157">_xlfn.IFS(Table1[[#This Row],[TotalRevenue]]&lt;100,"Low",Table1[[#This Row],[TotalRevenue]]&lt;300,"Medium",Table1[[#This Row],[TotalRevenue]]&lt;600,"High",TRUE,"Very High")</f>
        <v>Low</v>
      </c>
      <c r="R157" s="3" t="str" cm="1">
        <f t="array" ref="R15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57" s="3" t="str">
        <f>IF(Table1[[#This Row],[NextBillingDate]]="","Cancelled",IF(Table1[[#This Row],[CancellationDate]]&lt;&gt;"","Cancelled","Active"))</f>
        <v>Cancelled</v>
      </c>
      <c r="T157" s="7" cm="1">
        <f t="array" ref="T15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57" s="5">
        <v>44761</v>
      </c>
      <c r="W157" s="5">
        <v>44761</v>
      </c>
      <c r="X157" s="3">
        <v>0</v>
      </c>
      <c r="Y157" s="5">
        <f ca="1">IF(Table1[[#This Row],[ChurnStatus]]="Cancelled",Table1[[#This Row],[CancellationDate]],TODAY())</f>
        <v>44761</v>
      </c>
      <c r="Z157" s="46">
        <f ca="1">IF(AND(Table1[[#This Row],[SubscriptionStart]] &lt;= TODAY(), Table1[[#This Row],[EffectiveEndDate]] &gt;= TODAY()),1,0)</f>
        <v>0</v>
      </c>
      <c r="AA157" s="46">
        <f ca="1">IF(AND(Table1[[#This Row],[SubscriptionStart]]&lt;=Settings!$A$2,Table1[[#This Row],[EffectiveEndDate]]&gt;=Settings!$A$2),1,0)</f>
        <v>0</v>
      </c>
      <c r="AB157" s="46">
        <f ca="1">IF(AND(Table1[[#This Row],[SubscriptionStart]]&lt;=Settings!$B$2,Table1[[#This Row],[EffectiveEndDate]]&gt;=Settings!$B$2),1,0)</f>
        <v>0</v>
      </c>
      <c r="AC157" s="46">
        <f ca="1">IF(AND(Table1[[#This Row],[SubscriptionStart]]&lt;=Settings!$C$2,Table1[[#This Row],[EffectiveEndDate]]&gt;=Settings!$C$2),1,0)</f>
        <v>0</v>
      </c>
      <c r="AD157" s="46">
        <f ca="1">IF(AND(Table1[[#This Row],[SubscriptionStart]]&lt;=Settings!$D$2,Table1[[#This Row],[EffectiveEndDate]]&gt;=Settings!$D$2),1,0)</f>
        <v>0</v>
      </c>
      <c r="AE157" s="46">
        <f ca="1">IF(AND(Table1[[#This Row],[SubscriptionStart]]&lt;=Settings!$E$2,Table1[[#This Row],[EffectiveEndDate]]&gt;=Settings!$E$2),1,0)</f>
        <v>0</v>
      </c>
      <c r="AF157"/>
      <c r="AG157"/>
      <c r="AH157"/>
      <c r="AI157"/>
      <c r="AJ157"/>
      <c r="AK157"/>
    </row>
    <row r="158" spans="1:37">
      <c r="A158" s="3" t="s">
        <v>441</v>
      </c>
      <c r="B158" s="3">
        <v>67</v>
      </c>
      <c r="C158" s="3" t="s">
        <v>37</v>
      </c>
      <c r="D158" s="5">
        <v>44731</v>
      </c>
      <c r="E158" s="5">
        <v>45091</v>
      </c>
      <c r="F158" s="3">
        <f ca="1">TODAY() - Table1[[#This Row],[SubscriptionStart]]</f>
        <v>1250</v>
      </c>
      <c r="G158" s="4">
        <v>12</v>
      </c>
      <c r="H158" s="3" t="s">
        <v>24</v>
      </c>
      <c r="I158" s="3" t="s">
        <v>25</v>
      </c>
      <c r="J158" s="7" cm="1">
        <f t="array" ref="J158">_xlfn.IFS(Table1[[#This Row],[Tier]]="Basic",10,Table1[[#This Row],[Tier]]="Standard",18,Table1[[#This Row],[Tier]]="Premium",25)</f>
        <v>25</v>
      </c>
      <c r="K158" s="7" cm="1">
        <f t="array" ref="K15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158" s="7" cm="1">
        <f t="array" ref="L15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158" s="3" t="str" cm="1">
        <f t="array" ref="M158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58" s="3" t="s">
        <v>31</v>
      </c>
      <c r="O158" s="3" t="s">
        <v>40</v>
      </c>
      <c r="P158" s="3" t="s">
        <v>35</v>
      </c>
      <c r="Q158" s="3" t="str" cm="1">
        <f t="array" ref="Q158">_xlfn.IFS(Table1[[#This Row],[TotalRevenue]]&lt;100,"Low",Table1[[#This Row],[TotalRevenue]]&lt;300,"Medium",Table1[[#This Row],[TotalRevenue]]&lt;600,"High",TRUE,"Very High")</f>
        <v>Medium</v>
      </c>
      <c r="R158" s="3" t="str" cm="1">
        <f t="array" ref="R158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58" s="3" t="str">
        <f>IF(Table1[[#This Row],[NextBillingDate]]="","Cancelled",IF(Table1[[#This Row],[CancellationDate]]&lt;&gt;"","Cancelled","Active"))</f>
        <v>Cancelled</v>
      </c>
      <c r="T158" s="7" cm="1">
        <f t="array" ref="T15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158" s="5">
        <v>45091</v>
      </c>
      <c r="W158" s="5">
        <v>45091</v>
      </c>
      <c r="X158" s="3">
        <v>0</v>
      </c>
      <c r="Y158" s="5">
        <f ca="1">IF(Table1[[#This Row],[ChurnStatus]]="Cancelled",Table1[[#This Row],[CancellationDate]],TODAY())</f>
        <v>45091</v>
      </c>
      <c r="Z158" s="46">
        <f ca="1">IF(AND(Table1[[#This Row],[SubscriptionStart]] &lt;= TODAY(), Table1[[#This Row],[EffectiveEndDate]] &gt;= TODAY()),1,0)</f>
        <v>0</v>
      </c>
      <c r="AA158" s="46">
        <f ca="1">IF(AND(Table1[[#This Row],[SubscriptionStart]]&lt;=Settings!$A$2,Table1[[#This Row],[EffectiveEndDate]]&gt;=Settings!$A$2),1,0)</f>
        <v>0</v>
      </c>
      <c r="AB158" s="46">
        <f ca="1">IF(AND(Table1[[#This Row],[SubscriptionStart]]&lt;=Settings!$B$2,Table1[[#This Row],[EffectiveEndDate]]&gt;=Settings!$B$2),1,0)</f>
        <v>0</v>
      </c>
      <c r="AC158" s="46">
        <f ca="1">IF(AND(Table1[[#This Row],[SubscriptionStart]]&lt;=Settings!$C$2,Table1[[#This Row],[EffectiveEndDate]]&gt;=Settings!$C$2),1,0)</f>
        <v>1</v>
      </c>
      <c r="AD158" s="46">
        <f ca="1">IF(AND(Table1[[#This Row],[SubscriptionStart]]&lt;=Settings!$D$2,Table1[[#This Row],[EffectiveEndDate]]&gt;=Settings!$D$2),1,0)</f>
        <v>1</v>
      </c>
      <c r="AE158" s="46">
        <f ca="1">IF(AND(Table1[[#This Row],[SubscriptionStart]]&lt;=Settings!$E$2,Table1[[#This Row],[EffectiveEndDate]]&gt;=Settings!$E$2),1,0)</f>
        <v>0</v>
      </c>
      <c r="AF158"/>
      <c r="AG158"/>
      <c r="AH158"/>
      <c r="AI158"/>
      <c r="AJ158"/>
      <c r="AK158"/>
    </row>
    <row r="159" spans="1:37">
      <c r="A159" s="3" t="s">
        <v>316</v>
      </c>
      <c r="B159" s="3">
        <v>60</v>
      </c>
      <c r="C159" s="3" t="s">
        <v>37</v>
      </c>
      <c r="D159" s="5">
        <v>44733</v>
      </c>
      <c r="E159" s="5">
        <v>44763</v>
      </c>
      <c r="F159" s="3">
        <f ca="1">TODAY() - Table1[[#This Row],[SubscriptionStart]]</f>
        <v>1248</v>
      </c>
      <c r="G159" s="4">
        <v>1</v>
      </c>
      <c r="H159" s="3" t="s">
        <v>29</v>
      </c>
      <c r="I159" s="3" t="s">
        <v>30</v>
      </c>
      <c r="J159" s="7" cm="1">
        <f t="array" ref="J159">_xlfn.IFS(Table1[[#This Row],[Tier]]="Basic",10,Table1[[#This Row],[Tier]]="Standard",18,Table1[[#This Row],[Tier]]="Premium",25)</f>
        <v>10</v>
      </c>
      <c r="K159" s="7" cm="1">
        <f t="array" ref="K15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159" s="7" cm="1">
        <f t="array" ref="L15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59" s="3" t="str" cm="1">
        <f t="array" ref="M15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59" s="3" t="s">
        <v>31</v>
      </c>
      <c r="O159" s="3" t="s">
        <v>49</v>
      </c>
      <c r="P159" s="3" t="s">
        <v>50</v>
      </c>
      <c r="Q159" s="3" t="str" cm="1">
        <f t="array" ref="Q159">_xlfn.IFS(Table1[[#This Row],[TotalRevenue]]&lt;100,"Low",Table1[[#This Row],[TotalRevenue]]&lt;300,"Medium",Table1[[#This Row],[TotalRevenue]]&lt;600,"High",TRUE,"Very High")</f>
        <v>Low</v>
      </c>
      <c r="R159" s="3" t="str" cm="1">
        <f t="array" ref="R15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59" s="3" t="str">
        <f>IF(Table1[[#This Row],[NextBillingDate]]="","Cancelled",IF(Table1[[#This Row],[CancellationDate]]&lt;&gt;"","Cancelled","Active"))</f>
        <v>Cancelled</v>
      </c>
      <c r="T159" s="7" cm="1">
        <f t="array" ref="T15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59" s="5">
        <v>44763</v>
      </c>
      <c r="W159" s="5">
        <v>44763</v>
      </c>
      <c r="X159" s="3">
        <v>0</v>
      </c>
      <c r="Y159" s="5">
        <f ca="1">IF(Table1[[#This Row],[ChurnStatus]]="Cancelled",Table1[[#This Row],[CancellationDate]],TODAY())</f>
        <v>44763</v>
      </c>
      <c r="Z159" s="46">
        <f ca="1">IF(AND(Table1[[#This Row],[SubscriptionStart]] &lt;= TODAY(), Table1[[#This Row],[EffectiveEndDate]] &gt;= TODAY()),1,0)</f>
        <v>0</v>
      </c>
      <c r="AA159" s="46">
        <f ca="1">IF(AND(Table1[[#This Row],[SubscriptionStart]]&lt;=Settings!$A$2,Table1[[#This Row],[EffectiveEndDate]]&gt;=Settings!$A$2),1,0)</f>
        <v>0</v>
      </c>
      <c r="AB159" s="46">
        <f ca="1">IF(AND(Table1[[#This Row],[SubscriptionStart]]&lt;=Settings!$B$2,Table1[[#This Row],[EffectiveEndDate]]&gt;=Settings!$B$2),1,0)</f>
        <v>0</v>
      </c>
      <c r="AC159" s="46">
        <f ca="1">IF(AND(Table1[[#This Row],[SubscriptionStart]]&lt;=Settings!$C$2,Table1[[#This Row],[EffectiveEndDate]]&gt;=Settings!$C$2),1,0)</f>
        <v>0</v>
      </c>
      <c r="AD159" s="46">
        <f ca="1">IF(AND(Table1[[#This Row],[SubscriptionStart]]&lt;=Settings!$D$2,Table1[[#This Row],[EffectiveEndDate]]&gt;=Settings!$D$2),1,0)</f>
        <v>0</v>
      </c>
      <c r="AE159" s="46">
        <f ca="1">IF(AND(Table1[[#This Row],[SubscriptionStart]]&lt;=Settings!$E$2,Table1[[#This Row],[EffectiveEndDate]]&gt;=Settings!$E$2),1,0)</f>
        <v>0</v>
      </c>
      <c r="AF159"/>
      <c r="AG159"/>
      <c r="AH159"/>
      <c r="AI159"/>
      <c r="AJ159"/>
      <c r="AK159"/>
    </row>
    <row r="160" spans="1:37">
      <c r="A160" s="3" t="s">
        <v>556</v>
      </c>
      <c r="B160" s="3">
        <v>41</v>
      </c>
      <c r="C160" s="3" t="s">
        <v>23</v>
      </c>
      <c r="D160" s="5">
        <v>44739</v>
      </c>
      <c r="E160" s="5">
        <v>45099</v>
      </c>
      <c r="F160" s="3">
        <f ca="1">TODAY() - Table1[[#This Row],[SubscriptionStart]]</f>
        <v>1242</v>
      </c>
      <c r="G160" s="4">
        <v>12</v>
      </c>
      <c r="H160" s="3" t="s">
        <v>24</v>
      </c>
      <c r="I160" s="3" t="s">
        <v>39</v>
      </c>
      <c r="J160" s="7" cm="1">
        <f t="array" ref="J160">_xlfn.IFS(Table1[[#This Row],[Tier]]="Basic",10,Table1[[#This Row],[Tier]]="Standard",18,Table1[[#This Row],[Tier]]="Premium",25)</f>
        <v>18</v>
      </c>
      <c r="K160" s="7" cm="1">
        <f t="array" ref="K16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60" s="7" cm="1">
        <f t="array" ref="L16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60" s="3" t="str" cm="1">
        <f t="array" ref="M16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60" s="3" t="s">
        <v>31</v>
      </c>
      <c r="O160" s="3" t="s">
        <v>32</v>
      </c>
      <c r="P160" s="3" t="s">
        <v>44</v>
      </c>
      <c r="Q160" s="3" t="str" cm="1">
        <f t="array" ref="Q160">_xlfn.IFS(Table1[[#This Row],[TotalRevenue]]&lt;100,"Low",Table1[[#This Row],[TotalRevenue]]&lt;300,"Medium",Table1[[#This Row],[TotalRevenue]]&lt;600,"High",TRUE,"Very High")</f>
        <v>Medium</v>
      </c>
      <c r="R160" s="3" t="str" cm="1">
        <f t="array" ref="R16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60" s="3" t="str">
        <f>IF(Table1[[#This Row],[NextBillingDate]]="","Cancelled",IF(Table1[[#This Row],[CancellationDate]]&lt;&gt;"","Cancelled","Active"))</f>
        <v>Cancelled</v>
      </c>
      <c r="T160" s="7" cm="1">
        <f t="array" ref="T16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60" s="5">
        <v>45099</v>
      </c>
      <c r="W160" s="5">
        <v>45099</v>
      </c>
      <c r="X160" s="3">
        <v>0</v>
      </c>
      <c r="Y160" s="5">
        <f ca="1">IF(Table1[[#This Row],[ChurnStatus]]="Cancelled",Table1[[#This Row],[CancellationDate]],TODAY())</f>
        <v>45099</v>
      </c>
      <c r="Z160" s="46">
        <f ca="1">IF(AND(Table1[[#This Row],[SubscriptionStart]] &lt;= TODAY(), Table1[[#This Row],[EffectiveEndDate]] &gt;= TODAY()),1,0)</f>
        <v>0</v>
      </c>
      <c r="AA160" s="46">
        <f ca="1">IF(AND(Table1[[#This Row],[SubscriptionStart]]&lt;=Settings!$A$2,Table1[[#This Row],[EffectiveEndDate]]&gt;=Settings!$A$2),1,0)</f>
        <v>0</v>
      </c>
      <c r="AB160" s="46">
        <f ca="1">IF(AND(Table1[[#This Row],[SubscriptionStart]]&lt;=Settings!$B$2,Table1[[#This Row],[EffectiveEndDate]]&gt;=Settings!$B$2),1,0)</f>
        <v>0</v>
      </c>
      <c r="AC160" s="46">
        <f ca="1">IF(AND(Table1[[#This Row],[SubscriptionStart]]&lt;=Settings!$C$2,Table1[[#This Row],[EffectiveEndDate]]&gt;=Settings!$C$2),1,0)</f>
        <v>1</v>
      </c>
      <c r="AD160" s="46">
        <f ca="1">IF(AND(Table1[[#This Row],[SubscriptionStart]]&lt;=Settings!$D$2,Table1[[#This Row],[EffectiveEndDate]]&gt;=Settings!$D$2),1,0)</f>
        <v>1</v>
      </c>
      <c r="AE160" s="46">
        <f ca="1">IF(AND(Table1[[#This Row],[SubscriptionStart]]&lt;=Settings!$E$2,Table1[[#This Row],[EffectiveEndDate]]&gt;=Settings!$E$2),1,0)</f>
        <v>0</v>
      </c>
      <c r="AF160"/>
      <c r="AG160"/>
      <c r="AH160"/>
      <c r="AI160"/>
      <c r="AJ160"/>
      <c r="AK160"/>
    </row>
    <row r="161" spans="1:37">
      <c r="A161" s="3" t="s">
        <v>820</v>
      </c>
      <c r="B161" s="3">
        <v>51</v>
      </c>
      <c r="C161" s="3" t="s">
        <v>37</v>
      </c>
      <c r="D161" s="5">
        <v>44740</v>
      </c>
      <c r="F161" s="3">
        <f ca="1">TODAY() - Table1[[#This Row],[SubscriptionStart]]</f>
        <v>1241</v>
      </c>
      <c r="G161" s="4">
        <v>42</v>
      </c>
      <c r="H161" s="3" t="s">
        <v>29</v>
      </c>
      <c r="I161" s="3" t="s">
        <v>39</v>
      </c>
      <c r="J161" s="7" cm="1">
        <f t="array" ref="J161">_xlfn.IFS(Table1[[#This Row],[Tier]]="Basic",10,Table1[[#This Row],[Tier]]="Standard",18,Table1[[#This Row],[Tier]]="Premium",25)</f>
        <v>18</v>
      </c>
      <c r="K161" s="7" cm="1">
        <f t="array" ref="K16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161" s="7" cm="1">
        <f t="array" ref="L16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718.2</v>
      </c>
      <c r="M161" s="3" t="str" cm="1">
        <f t="array" ref="M161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161" s="3" t="s">
        <v>26</v>
      </c>
      <c r="O161" s="3" t="s">
        <v>27</v>
      </c>
      <c r="Q161" s="3" t="str" cm="1">
        <f t="array" ref="Q161">_xlfn.IFS(Table1[[#This Row],[TotalRevenue]]&lt;100,"Low",Table1[[#This Row],[TotalRevenue]]&lt;300,"Medium",Table1[[#This Row],[TotalRevenue]]&lt;600,"High",TRUE,"Very High")</f>
        <v>Very High</v>
      </c>
      <c r="R161" s="3" t="str" cm="1">
        <f t="array" ref="R16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61" s="3" t="str">
        <f>IF(Table1[[#This Row],[NextBillingDate]]="","Cancelled",IF(Table1[[#This Row],[CancellationDate]]&lt;&gt;"","Cancelled","Active"))</f>
        <v>Active</v>
      </c>
      <c r="T161" s="7" cm="1">
        <f t="array" ref="T16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736.2</v>
      </c>
      <c r="V161" s="5">
        <v>46000</v>
      </c>
      <c r="W161" s="5">
        <v>46000</v>
      </c>
      <c r="X161" s="3">
        <v>41</v>
      </c>
      <c r="Y161" s="5">
        <f ca="1">IF(Table1[[#This Row],[ChurnStatus]]="Cancelled",Table1[[#This Row],[CancellationDate]],TODAY())</f>
        <v>45981</v>
      </c>
      <c r="Z161" s="46">
        <f ca="1">IF(AND(Table1[[#This Row],[SubscriptionStart]] &lt;= TODAY(), Table1[[#This Row],[EffectiveEndDate]] &gt;= TODAY()),1,0)</f>
        <v>1</v>
      </c>
      <c r="AA161" s="46">
        <f ca="1">IF(AND(Table1[[#This Row],[SubscriptionStart]]&lt;=Settings!$A$2,Table1[[#This Row],[EffectiveEndDate]]&gt;=Settings!$A$2),1,0)</f>
        <v>0</v>
      </c>
      <c r="AB161" s="46">
        <f ca="1">IF(AND(Table1[[#This Row],[SubscriptionStart]]&lt;=Settings!$B$2,Table1[[#This Row],[EffectiveEndDate]]&gt;=Settings!$B$2),1,0)</f>
        <v>0</v>
      </c>
      <c r="AC161" s="46">
        <f ca="1">IF(AND(Table1[[#This Row],[SubscriptionStart]]&lt;=Settings!$C$2,Table1[[#This Row],[EffectiveEndDate]]&gt;=Settings!$C$2),1,0)</f>
        <v>1</v>
      </c>
      <c r="AD161" s="46">
        <f ca="1">IF(AND(Table1[[#This Row],[SubscriptionStart]]&lt;=Settings!$D$2,Table1[[#This Row],[EffectiveEndDate]]&gt;=Settings!$D$2),1,0)</f>
        <v>1</v>
      </c>
      <c r="AE161" s="46">
        <f ca="1">IF(AND(Table1[[#This Row],[SubscriptionStart]]&lt;=Settings!$E$2,Table1[[#This Row],[EffectiveEndDate]]&gt;=Settings!$E$2),1,0)</f>
        <v>1</v>
      </c>
      <c r="AF161"/>
      <c r="AG161"/>
      <c r="AH161"/>
      <c r="AI161"/>
      <c r="AJ161"/>
      <c r="AK161"/>
    </row>
    <row r="162" spans="1:37">
      <c r="A162" s="3" t="s">
        <v>295</v>
      </c>
      <c r="B162" s="3">
        <v>25</v>
      </c>
      <c r="C162" s="3" t="s">
        <v>37</v>
      </c>
      <c r="D162" s="5">
        <v>44741</v>
      </c>
      <c r="E162" s="5">
        <v>45101</v>
      </c>
      <c r="F162" s="3">
        <f ca="1">TODAY() - Table1[[#This Row],[SubscriptionStart]]</f>
        <v>1240</v>
      </c>
      <c r="G162" s="4">
        <v>12</v>
      </c>
      <c r="H162" s="3" t="s">
        <v>24</v>
      </c>
      <c r="I162" s="3" t="s">
        <v>39</v>
      </c>
      <c r="J162" s="7" cm="1">
        <f t="array" ref="J162">_xlfn.IFS(Table1[[#This Row],[Tier]]="Basic",10,Table1[[#This Row],[Tier]]="Standard",18,Table1[[#This Row],[Tier]]="Premium",25)</f>
        <v>18</v>
      </c>
      <c r="K162" s="7" cm="1">
        <f t="array" ref="K16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62" s="7" cm="1">
        <f t="array" ref="L16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62" s="3" t="str" cm="1">
        <f t="array" ref="M162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162" s="3" t="s">
        <v>34</v>
      </c>
      <c r="O162" s="3" t="s">
        <v>43</v>
      </c>
      <c r="P162" s="3" t="s">
        <v>44</v>
      </c>
      <c r="Q162" s="3" t="str" cm="1">
        <f t="array" ref="Q162">_xlfn.IFS(Table1[[#This Row],[TotalRevenue]]&lt;100,"Low",Table1[[#This Row],[TotalRevenue]]&lt;300,"Medium",Table1[[#This Row],[TotalRevenue]]&lt;600,"High",TRUE,"Very High")</f>
        <v>Medium</v>
      </c>
      <c r="R162" s="3" t="str" cm="1">
        <f t="array" ref="R162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162" s="3" t="str">
        <f>IF(Table1[[#This Row],[NextBillingDate]]="","Cancelled",IF(Table1[[#This Row],[CancellationDate]]&lt;&gt;"","Cancelled","Active"))</f>
        <v>Cancelled</v>
      </c>
      <c r="T162" s="7" cm="1">
        <f t="array" ref="T16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62" s="5">
        <v>45101</v>
      </c>
      <c r="W162" s="5">
        <v>45101</v>
      </c>
      <c r="X162" s="3">
        <v>0</v>
      </c>
      <c r="Y162" s="5">
        <f ca="1">IF(Table1[[#This Row],[ChurnStatus]]="Cancelled",Table1[[#This Row],[CancellationDate]],TODAY())</f>
        <v>45101</v>
      </c>
      <c r="Z162" s="46">
        <f ca="1">IF(AND(Table1[[#This Row],[SubscriptionStart]] &lt;= TODAY(), Table1[[#This Row],[EffectiveEndDate]] &gt;= TODAY()),1,0)</f>
        <v>0</v>
      </c>
      <c r="AA162" s="46">
        <f ca="1">IF(AND(Table1[[#This Row],[SubscriptionStart]]&lt;=Settings!$A$2,Table1[[#This Row],[EffectiveEndDate]]&gt;=Settings!$A$2),1,0)</f>
        <v>0</v>
      </c>
      <c r="AB162" s="46">
        <f ca="1">IF(AND(Table1[[#This Row],[SubscriptionStart]]&lt;=Settings!$B$2,Table1[[#This Row],[EffectiveEndDate]]&gt;=Settings!$B$2),1,0)</f>
        <v>0</v>
      </c>
      <c r="AC162" s="46">
        <f ca="1">IF(AND(Table1[[#This Row],[SubscriptionStart]]&lt;=Settings!$C$2,Table1[[#This Row],[EffectiveEndDate]]&gt;=Settings!$C$2),1,0)</f>
        <v>1</v>
      </c>
      <c r="AD162" s="46">
        <f ca="1">IF(AND(Table1[[#This Row],[SubscriptionStart]]&lt;=Settings!$D$2,Table1[[#This Row],[EffectiveEndDate]]&gt;=Settings!$D$2),1,0)</f>
        <v>1</v>
      </c>
      <c r="AE162" s="46">
        <f ca="1">IF(AND(Table1[[#This Row],[SubscriptionStart]]&lt;=Settings!$E$2,Table1[[#This Row],[EffectiveEndDate]]&gt;=Settings!$E$2),1,0)</f>
        <v>0</v>
      </c>
      <c r="AF162"/>
      <c r="AG162"/>
      <c r="AH162"/>
      <c r="AI162"/>
      <c r="AJ162"/>
      <c r="AK162"/>
    </row>
    <row r="163" spans="1:37">
      <c r="A163" s="3" t="s">
        <v>665</v>
      </c>
      <c r="B163" s="3">
        <v>23</v>
      </c>
      <c r="C163" s="3" t="s">
        <v>23</v>
      </c>
      <c r="D163" s="5">
        <v>44741</v>
      </c>
      <c r="F163" s="3">
        <f ca="1">TODAY() - Table1[[#This Row],[SubscriptionStart]]</f>
        <v>1240</v>
      </c>
      <c r="G163" s="4">
        <v>48</v>
      </c>
      <c r="H163" s="3" t="s">
        <v>24</v>
      </c>
      <c r="I163" s="3" t="s">
        <v>30</v>
      </c>
      <c r="J163" s="7" cm="1">
        <f t="array" ref="J163">_xlfn.IFS(Table1[[#This Row],[Tier]]="Basic",10,Table1[[#This Row],[Tier]]="Standard",18,Table1[[#This Row],[Tier]]="Premium",25)</f>
        <v>10</v>
      </c>
      <c r="K163" s="7" cm="1">
        <f t="array" ref="K16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163" s="7" cm="1">
        <f t="array" ref="L16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312</v>
      </c>
      <c r="M163" s="3" t="str" cm="1">
        <f t="array" ref="M163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163" s="3" t="s">
        <v>52</v>
      </c>
      <c r="O163" s="3" t="s">
        <v>43</v>
      </c>
      <c r="Q163" s="3" t="str" cm="1">
        <f t="array" ref="Q163">_xlfn.IFS(Table1[[#This Row],[TotalRevenue]]&lt;100,"Low",Table1[[#This Row],[TotalRevenue]]&lt;300,"Medium",Table1[[#This Row],[TotalRevenue]]&lt;600,"High",TRUE,"Very High")</f>
        <v>High</v>
      </c>
      <c r="R163" s="3" t="str" cm="1">
        <f t="array" ref="R163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163" s="3" t="str">
        <f>IF(Table1[[#This Row],[NextBillingDate]]="","Cancelled",IF(Table1[[#This Row],[CancellationDate]]&lt;&gt;"","Cancelled","Active"))</f>
        <v>Active</v>
      </c>
      <c r="T163" s="7" cm="1">
        <f t="array" ref="T16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392</v>
      </c>
      <c r="V163" s="5">
        <v>46181</v>
      </c>
      <c r="W163" s="5">
        <v>46181</v>
      </c>
      <c r="X163" s="3">
        <v>3</v>
      </c>
      <c r="Y163" s="5">
        <f ca="1">IF(Table1[[#This Row],[ChurnStatus]]="Cancelled",Table1[[#This Row],[CancellationDate]],TODAY())</f>
        <v>45981</v>
      </c>
      <c r="Z163" s="46">
        <f ca="1">IF(AND(Table1[[#This Row],[SubscriptionStart]] &lt;= TODAY(), Table1[[#This Row],[EffectiveEndDate]] &gt;= TODAY()),1,0)</f>
        <v>1</v>
      </c>
      <c r="AA163" s="46">
        <f ca="1">IF(AND(Table1[[#This Row],[SubscriptionStart]]&lt;=Settings!$A$2,Table1[[#This Row],[EffectiveEndDate]]&gt;=Settings!$A$2),1,0)</f>
        <v>0</v>
      </c>
      <c r="AB163" s="46">
        <f ca="1">IF(AND(Table1[[#This Row],[SubscriptionStart]]&lt;=Settings!$B$2,Table1[[#This Row],[EffectiveEndDate]]&gt;=Settings!$B$2),1,0)</f>
        <v>0</v>
      </c>
      <c r="AC163" s="46">
        <f ca="1">IF(AND(Table1[[#This Row],[SubscriptionStart]]&lt;=Settings!$C$2,Table1[[#This Row],[EffectiveEndDate]]&gt;=Settings!$C$2),1,0)</f>
        <v>1</v>
      </c>
      <c r="AD163" s="46">
        <f ca="1">IF(AND(Table1[[#This Row],[SubscriptionStart]]&lt;=Settings!$D$2,Table1[[#This Row],[EffectiveEndDate]]&gt;=Settings!$D$2),1,0)</f>
        <v>1</v>
      </c>
      <c r="AE163" s="46">
        <f ca="1">IF(AND(Table1[[#This Row],[SubscriptionStart]]&lt;=Settings!$E$2,Table1[[#This Row],[EffectiveEndDate]]&gt;=Settings!$E$2),1,0)</f>
        <v>1</v>
      </c>
      <c r="AF163"/>
      <c r="AG163"/>
      <c r="AH163"/>
      <c r="AI163"/>
      <c r="AJ163"/>
      <c r="AK163"/>
    </row>
    <row r="164" spans="1:37">
      <c r="A164" s="3" t="s">
        <v>486</v>
      </c>
      <c r="B164" s="3">
        <v>35</v>
      </c>
      <c r="C164" s="3" t="s">
        <v>23</v>
      </c>
      <c r="D164" s="5">
        <v>44741</v>
      </c>
      <c r="F164" s="3">
        <f ca="1">TODAY() - Table1[[#This Row],[SubscriptionStart]]</f>
        <v>1240</v>
      </c>
      <c r="G164" s="4">
        <v>42</v>
      </c>
      <c r="H164" s="3" t="s">
        <v>29</v>
      </c>
      <c r="I164" s="3" t="s">
        <v>30</v>
      </c>
      <c r="J164" s="7" cm="1">
        <f t="array" ref="J164">_xlfn.IFS(Table1[[#This Row],[Tier]]="Basic",10,Table1[[#This Row],[Tier]]="Standard",18,Table1[[#This Row],[Tier]]="Premium",25)</f>
        <v>10</v>
      </c>
      <c r="K164" s="7" cm="1">
        <f t="array" ref="K16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164" s="7" cm="1">
        <f t="array" ref="L16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399</v>
      </c>
      <c r="M164" s="3" t="str" cm="1">
        <f t="array" ref="M16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64" s="3" t="s">
        <v>34</v>
      </c>
      <c r="O164" s="3" t="s">
        <v>40</v>
      </c>
      <c r="Q164" s="3" t="str" cm="1">
        <f t="array" ref="Q164">_xlfn.IFS(Table1[[#This Row],[TotalRevenue]]&lt;100,"Low",Table1[[#This Row],[TotalRevenue]]&lt;300,"Medium",Table1[[#This Row],[TotalRevenue]]&lt;600,"High",TRUE,"Very High")</f>
        <v>High</v>
      </c>
      <c r="R164" s="3" t="str" cm="1">
        <f t="array" ref="R16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64" s="3" t="str">
        <f>IF(Table1[[#This Row],[NextBillingDate]]="","Cancelled",IF(Table1[[#This Row],[CancellationDate]]&lt;&gt;"","Cancelled","Active"))</f>
        <v>Active</v>
      </c>
      <c r="T164" s="7" cm="1">
        <f t="array" ref="T16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409</v>
      </c>
      <c r="V164" s="5">
        <v>46001</v>
      </c>
      <c r="W164" s="5">
        <v>46001</v>
      </c>
      <c r="X164" s="3">
        <v>41</v>
      </c>
      <c r="Y164" s="5">
        <f ca="1">IF(Table1[[#This Row],[ChurnStatus]]="Cancelled",Table1[[#This Row],[CancellationDate]],TODAY())</f>
        <v>45981</v>
      </c>
      <c r="Z164" s="46">
        <f ca="1">IF(AND(Table1[[#This Row],[SubscriptionStart]] &lt;= TODAY(), Table1[[#This Row],[EffectiveEndDate]] &gt;= TODAY()),1,0)</f>
        <v>1</v>
      </c>
      <c r="AA164" s="46">
        <f ca="1">IF(AND(Table1[[#This Row],[SubscriptionStart]]&lt;=Settings!$A$2,Table1[[#This Row],[EffectiveEndDate]]&gt;=Settings!$A$2),1,0)</f>
        <v>0</v>
      </c>
      <c r="AB164" s="46">
        <f ca="1">IF(AND(Table1[[#This Row],[SubscriptionStart]]&lt;=Settings!$B$2,Table1[[#This Row],[EffectiveEndDate]]&gt;=Settings!$B$2),1,0)</f>
        <v>0</v>
      </c>
      <c r="AC164" s="46">
        <f ca="1">IF(AND(Table1[[#This Row],[SubscriptionStart]]&lt;=Settings!$C$2,Table1[[#This Row],[EffectiveEndDate]]&gt;=Settings!$C$2),1,0)</f>
        <v>1</v>
      </c>
      <c r="AD164" s="46">
        <f ca="1">IF(AND(Table1[[#This Row],[SubscriptionStart]]&lt;=Settings!$D$2,Table1[[#This Row],[EffectiveEndDate]]&gt;=Settings!$D$2),1,0)</f>
        <v>1</v>
      </c>
      <c r="AE164" s="46">
        <f ca="1">IF(AND(Table1[[#This Row],[SubscriptionStart]]&lt;=Settings!$E$2,Table1[[#This Row],[EffectiveEndDate]]&gt;=Settings!$E$2),1,0)</f>
        <v>1</v>
      </c>
      <c r="AF164"/>
      <c r="AG164"/>
      <c r="AH164"/>
      <c r="AI164"/>
      <c r="AJ164"/>
      <c r="AK164"/>
    </row>
    <row r="165" spans="1:37">
      <c r="A165" s="3" t="s">
        <v>636</v>
      </c>
      <c r="B165" s="3">
        <v>67</v>
      </c>
      <c r="C165" s="3" t="s">
        <v>23</v>
      </c>
      <c r="D165" s="5">
        <v>44743</v>
      </c>
      <c r="E165" s="5">
        <v>44773</v>
      </c>
      <c r="F165" s="3">
        <f ca="1">TODAY() - Table1[[#This Row],[SubscriptionStart]]</f>
        <v>1238</v>
      </c>
      <c r="G165" s="4">
        <v>1</v>
      </c>
      <c r="H165" s="3" t="s">
        <v>29</v>
      </c>
      <c r="I165" s="3" t="s">
        <v>39</v>
      </c>
      <c r="J165" s="7" cm="1">
        <f t="array" ref="J165">_xlfn.IFS(Table1[[#This Row],[Tier]]="Basic",10,Table1[[#This Row],[Tier]]="Standard",18,Table1[[#This Row],[Tier]]="Premium",25)</f>
        <v>18</v>
      </c>
      <c r="K165" s="7" cm="1">
        <f t="array" ref="K16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165" s="7" cm="1">
        <f t="array" ref="L16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65" s="3" t="str" cm="1">
        <f t="array" ref="M165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65" s="3" t="s">
        <v>31</v>
      </c>
      <c r="O165" s="3" t="s">
        <v>43</v>
      </c>
      <c r="P165" s="3" t="s">
        <v>50</v>
      </c>
      <c r="Q165" s="3" t="str" cm="1">
        <f t="array" ref="Q165">_xlfn.IFS(Table1[[#This Row],[TotalRevenue]]&lt;100,"Low",Table1[[#This Row],[TotalRevenue]]&lt;300,"Medium",Table1[[#This Row],[TotalRevenue]]&lt;600,"High",TRUE,"Very High")</f>
        <v>Low</v>
      </c>
      <c r="R165" s="3" t="str" cm="1">
        <f t="array" ref="R165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65" s="3" t="str">
        <f>IF(Table1[[#This Row],[NextBillingDate]]="","Cancelled",IF(Table1[[#This Row],[CancellationDate]]&lt;&gt;"","Cancelled","Active"))</f>
        <v>Cancelled</v>
      </c>
      <c r="T165" s="7" cm="1">
        <f t="array" ref="T16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65" s="5">
        <v>44773</v>
      </c>
      <c r="W165" s="5">
        <v>44773</v>
      </c>
      <c r="X165" s="3">
        <v>0</v>
      </c>
      <c r="Y165" s="5">
        <f ca="1">IF(Table1[[#This Row],[ChurnStatus]]="Cancelled",Table1[[#This Row],[CancellationDate]],TODAY())</f>
        <v>44773</v>
      </c>
      <c r="Z165" s="46">
        <f ca="1">IF(AND(Table1[[#This Row],[SubscriptionStart]] &lt;= TODAY(), Table1[[#This Row],[EffectiveEndDate]] &gt;= TODAY()),1,0)</f>
        <v>0</v>
      </c>
      <c r="AA165" s="46">
        <f ca="1">IF(AND(Table1[[#This Row],[SubscriptionStart]]&lt;=Settings!$A$2,Table1[[#This Row],[EffectiveEndDate]]&gt;=Settings!$A$2),1,0)</f>
        <v>0</v>
      </c>
      <c r="AB165" s="46">
        <f ca="1">IF(AND(Table1[[#This Row],[SubscriptionStart]]&lt;=Settings!$B$2,Table1[[#This Row],[EffectiveEndDate]]&gt;=Settings!$B$2),1,0)</f>
        <v>0</v>
      </c>
      <c r="AC165" s="46">
        <f ca="1">IF(AND(Table1[[#This Row],[SubscriptionStart]]&lt;=Settings!$C$2,Table1[[#This Row],[EffectiveEndDate]]&gt;=Settings!$C$2),1,0)</f>
        <v>0</v>
      </c>
      <c r="AD165" s="46">
        <f ca="1">IF(AND(Table1[[#This Row],[SubscriptionStart]]&lt;=Settings!$D$2,Table1[[#This Row],[EffectiveEndDate]]&gt;=Settings!$D$2),1,0)</f>
        <v>0</v>
      </c>
      <c r="AE165" s="46">
        <f ca="1">IF(AND(Table1[[#This Row],[SubscriptionStart]]&lt;=Settings!$E$2,Table1[[#This Row],[EffectiveEndDate]]&gt;=Settings!$E$2),1,0)</f>
        <v>0</v>
      </c>
      <c r="AF165"/>
      <c r="AG165"/>
      <c r="AH165"/>
      <c r="AI165"/>
      <c r="AJ165"/>
      <c r="AK165"/>
    </row>
    <row r="166" spans="1:37">
      <c r="A166" s="3" t="s">
        <v>311</v>
      </c>
      <c r="B166" s="3">
        <v>58</v>
      </c>
      <c r="C166" s="3" t="s">
        <v>37</v>
      </c>
      <c r="D166" s="5">
        <v>44743</v>
      </c>
      <c r="E166" s="5">
        <v>45103</v>
      </c>
      <c r="F166" s="3">
        <f ca="1">TODAY() - Table1[[#This Row],[SubscriptionStart]]</f>
        <v>1238</v>
      </c>
      <c r="G166" s="4">
        <v>12</v>
      </c>
      <c r="H166" s="3" t="s">
        <v>24</v>
      </c>
      <c r="I166" s="3" t="s">
        <v>25</v>
      </c>
      <c r="J166" s="7" cm="1">
        <f t="array" ref="J166">_xlfn.IFS(Table1[[#This Row],[Tier]]="Basic",10,Table1[[#This Row],[Tier]]="Standard",18,Table1[[#This Row],[Tier]]="Premium",25)</f>
        <v>25</v>
      </c>
      <c r="K166" s="7" cm="1">
        <f t="array" ref="K16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166" s="7" cm="1">
        <f t="array" ref="L16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166" s="3" t="str" cm="1">
        <f t="array" ref="M166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166" s="3" t="s">
        <v>34</v>
      </c>
      <c r="O166" s="3" t="s">
        <v>32</v>
      </c>
      <c r="P166" s="3" t="s">
        <v>35</v>
      </c>
      <c r="Q166" s="3" t="str" cm="1">
        <f t="array" ref="Q166">_xlfn.IFS(Table1[[#This Row],[TotalRevenue]]&lt;100,"Low",Table1[[#This Row],[TotalRevenue]]&lt;300,"Medium",Table1[[#This Row],[TotalRevenue]]&lt;600,"High",TRUE,"Very High")</f>
        <v>Medium</v>
      </c>
      <c r="R166" s="3" t="str" cm="1">
        <f t="array" ref="R16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66" s="3" t="str">
        <f>IF(Table1[[#This Row],[NextBillingDate]]="","Cancelled",IF(Table1[[#This Row],[CancellationDate]]&lt;&gt;"","Cancelled","Active"))</f>
        <v>Cancelled</v>
      </c>
      <c r="T166" s="7" cm="1">
        <f t="array" ref="T16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166" s="5">
        <v>45103</v>
      </c>
      <c r="W166" s="5">
        <v>45103</v>
      </c>
      <c r="X166" s="3">
        <v>0</v>
      </c>
      <c r="Y166" s="5">
        <f ca="1">IF(Table1[[#This Row],[ChurnStatus]]="Cancelled",Table1[[#This Row],[CancellationDate]],TODAY())</f>
        <v>45103</v>
      </c>
      <c r="Z166" s="46">
        <f ca="1">IF(AND(Table1[[#This Row],[SubscriptionStart]] &lt;= TODAY(), Table1[[#This Row],[EffectiveEndDate]] &gt;= TODAY()),1,0)</f>
        <v>0</v>
      </c>
      <c r="AA166" s="46">
        <f ca="1">IF(AND(Table1[[#This Row],[SubscriptionStart]]&lt;=Settings!$A$2,Table1[[#This Row],[EffectiveEndDate]]&gt;=Settings!$A$2),1,0)</f>
        <v>0</v>
      </c>
      <c r="AB166" s="46">
        <f ca="1">IF(AND(Table1[[#This Row],[SubscriptionStart]]&lt;=Settings!$B$2,Table1[[#This Row],[EffectiveEndDate]]&gt;=Settings!$B$2),1,0)</f>
        <v>0</v>
      </c>
      <c r="AC166" s="46">
        <f ca="1">IF(AND(Table1[[#This Row],[SubscriptionStart]]&lt;=Settings!$C$2,Table1[[#This Row],[EffectiveEndDate]]&gt;=Settings!$C$2),1,0)</f>
        <v>1</v>
      </c>
      <c r="AD166" s="46">
        <f ca="1">IF(AND(Table1[[#This Row],[SubscriptionStart]]&lt;=Settings!$D$2,Table1[[#This Row],[EffectiveEndDate]]&gt;=Settings!$D$2),1,0)</f>
        <v>1</v>
      </c>
      <c r="AE166" s="46">
        <f ca="1">IF(AND(Table1[[#This Row],[SubscriptionStart]]&lt;=Settings!$E$2,Table1[[#This Row],[EffectiveEndDate]]&gt;=Settings!$E$2),1,0)</f>
        <v>0</v>
      </c>
      <c r="AF166"/>
      <c r="AG166"/>
      <c r="AH166"/>
      <c r="AI166"/>
      <c r="AJ166"/>
      <c r="AK166"/>
    </row>
    <row r="167" spans="1:37">
      <c r="A167" s="3" t="s">
        <v>300</v>
      </c>
      <c r="B167" s="3">
        <v>41</v>
      </c>
      <c r="C167" s="3" t="s">
        <v>37</v>
      </c>
      <c r="D167" s="5">
        <v>44744</v>
      </c>
      <c r="E167" s="5">
        <v>44774</v>
      </c>
      <c r="F167" s="3">
        <f ca="1">TODAY() - Table1[[#This Row],[SubscriptionStart]]</f>
        <v>1237</v>
      </c>
      <c r="G167" s="4">
        <v>1</v>
      </c>
      <c r="H167" s="3" t="s">
        <v>29</v>
      </c>
      <c r="I167" s="3" t="s">
        <v>30</v>
      </c>
      <c r="J167" s="7" cm="1">
        <f t="array" ref="J167">_xlfn.IFS(Table1[[#This Row],[Tier]]="Basic",10,Table1[[#This Row],[Tier]]="Standard",18,Table1[[#This Row],[Tier]]="Premium",25)</f>
        <v>10</v>
      </c>
      <c r="K167" s="7" cm="1">
        <f t="array" ref="K16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167" s="7" cm="1">
        <f t="array" ref="L16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67" s="3" t="str" cm="1">
        <f t="array" ref="M16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67" s="3" t="s">
        <v>26</v>
      </c>
      <c r="O167" s="3" t="s">
        <v>40</v>
      </c>
      <c r="P167" s="3" t="s">
        <v>47</v>
      </c>
      <c r="Q167" s="3" t="str" cm="1">
        <f t="array" ref="Q167">_xlfn.IFS(Table1[[#This Row],[TotalRevenue]]&lt;100,"Low",Table1[[#This Row],[TotalRevenue]]&lt;300,"Medium",Table1[[#This Row],[TotalRevenue]]&lt;600,"High",TRUE,"Very High")</f>
        <v>Low</v>
      </c>
      <c r="R167" s="3" t="str" cm="1">
        <f t="array" ref="R16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67" s="3" t="str">
        <f>IF(Table1[[#This Row],[NextBillingDate]]="","Cancelled",IF(Table1[[#This Row],[CancellationDate]]&lt;&gt;"","Cancelled","Active"))</f>
        <v>Cancelled</v>
      </c>
      <c r="T167" s="7" cm="1">
        <f t="array" ref="T16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67" s="5">
        <v>44774</v>
      </c>
      <c r="W167" s="5">
        <v>44774</v>
      </c>
      <c r="X167" s="3">
        <v>0</v>
      </c>
      <c r="Y167" s="5">
        <f ca="1">IF(Table1[[#This Row],[ChurnStatus]]="Cancelled",Table1[[#This Row],[CancellationDate]],TODAY())</f>
        <v>44774</v>
      </c>
      <c r="Z167" s="46">
        <f ca="1">IF(AND(Table1[[#This Row],[SubscriptionStart]] &lt;= TODAY(), Table1[[#This Row],[EffectiveEndDate]] &gt;= TODAY()),1,0)</f>
        <v>0</v>
      </c>
      <c r="AA167" s="46">
        <f ca="1">IF(AND(Table1[[#This Row],[SubscriptionStart]]&lt;=Settings!$A$2,Table1[[#This Row],[EffectiveEndDate]]&gt;=Settings!$A$2),1,0)</f>
        <v>0</v>
      </c>
      <c r="AB167" s="46">
        <f ca="1">IF(AND(Table1[[#This Row],[SubscriptionStart]]&lt;=Settings!$B$2,Table1[[#This Row],[EffectiveEndDate]]&gt;=Settings!$B$2),1,0)</f>
        <v>0</v>
      </c>
      <c r="AC167" s="46">
        <f ca="1">IF(AND(Table1[[#This Row],[SubscriptionStart]]&lt;=Settings!$C$2,Table1[[#This Row],[EffectiveEndDate]]&gt;=Settings!$C$2),1,0)</f>
        <v>0</v>
      </c>
      <c r="AD167" s="46">
        <f ca="1">IF(AND(Table1[[#This Row],[SubscriptionStart]]&lt;=Settings!$D$2,Table1[[#This Row],[EffectiveEndDate]]&gt;=Settings!$D$2),1,0)</f>
        <v>0</v>
      </c>
      <c r="AE167" s="46">
        <f ca="1">IF(AND(Table1[[#This Row],[SubscriptionStart]]&lt;=Settings!$E$2,Table1[[#This Row],[EffectiveEndDate]]&gt;=Settings!$E$2),1,0)</f>
        <v>0</v>
      </c>
      <c r="AF167"/>
      <c r="AG167"/>
      <c r="AH167"/>
      <c r="AI167"/>
      <c r="AJ167"/>
      <c r="AK167"/>
    </row>
    <row r="168" spans="1:37">
      <c r="A168" s="3" t="s">
        <v>836</v>
      </c>
      <c r="B168" s="3">
        <v>32</v>
      </c>
      <c r="C168" s="3" t="s">
        <v>23</v>
      </c>
      <c r="D168" s="5">
        <v>44746</v>
      </c>
      <c r="E168" s="5">
        <v>44926</v>
      </c>
      <c r="F168" s="3">
        <f ca="1">TODAY() - Table1[[#This Row],[SubscriptionStart]]</f>
        <v>1235</v>
      </c>
      <c r="G168" s="4">
        <v>6</v>
      </c>
      <c r="H168" s="3" t="s">
        <v>38</v>
      </c>
      <c r="I168" s="3" t="s">
        <v>30</v>
      </c>
      <c r="J168" s="7" cm="1">
        <f t="array" ref="J168">_xlfn.IFS(Table1[[#This Row],[Tier]]="Basic",10,Table1[[#This Row],[Tier]]="Standard",18,Table1[[#This Row],[Tier]]="Premium",25)</f>
        <v>10</v>
      </c>
      <c r="K168" s="7" cm="1">
        <f t="array" ref="K16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168" s="7" cm="1">
        <f t="array" ref="L16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168" s="3" t="str" cm="1">
        <f t="array" ref="M16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68" s="3" t="s">
        <v>31</v>
      </c>
      <c r="O168" s="3" t="s">
        <v>32</v>
      </c>
      <c r="P168" s="3" t="s">
        <v>35</v>
      </c>
      <c r="Q168" s="3" t="str" cm="1">
        <f t="array" ref="Q168">_xlfn.IFS(Table1[[#This Row],[TotalRevenue]]&lt;100,"Low",Table1[[#This Row],[TotalRevenue]]&lt;300,"Medium",Table1[[#This Row],[TotalRevenue]]&lt;600,"High",TRUE,"Very High")</f>
        <v>Low</v>
      </c>
      <c r="R168" s="3" t="str" cm="1">
        <f t="array" ref="R16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68" s="3" t="str">
        <f>IF(Table1[[#This Row],[NextBillingDate]]="","Cancelled",IF(Table1[[#This Row],[CancellationDate]]&lt;&gt;"","Cancelled","Active"))</f>
        <v>Cancelled</v>
      </c>
      <c r="T168" s="7" cm="1">
        <f t="array" ref="T16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168" s="5">
        <v>44926</v>
      </c>
      <c r="W168" s="5">
        <v>44926</v>
      </c>
      <c r="X168" s="3">
        <v>0</v>
      </c>
      <c r="Y168" s="5">
        <f ca="1">IF(Table1[[#This Row],[ChurnStatus]]="Cancelled",Table1[[#This Row],[CancellationDate]],TODAY())</f>
        <v>44926</v>
      </c>
      <c r="Z168" s="46">
        <f ca="1">IF(AND(Table1[[#This Row],[SubscriptionStart]] &lt;= TODAY(), Table1[[#This Row],[EffectiveEndDate]] &gt;= TODAY()),1,0)</f>
        <v>0</v>
      </c>
      <c r="AA168" s="46">
        <f ca="1">IF(AND(Table1[[#This Row],[SubscriptionStart]]&lt;=Settings!$A$2,Table1[[#This Row],[EffectiveEndDate]]&gt;=Settings!$A$2),1,0)</f>
        <v>0</v>
      </c>
      <c r="AB168" s="46">
        <f ca="1">IF(AND(Table1[[#This Row],[SubscriptionStart]]&lt;=Settings!$B$2,Table1[[#This Row],[EffectiveEndDate]]&gt;=Settings!$B$2),1,0)</f>
        <v>0</v>
      </c>
      <c r="AC168" s="46">
        <f ca="1">IF(AND(Table1[[#This Row],[SubscriptionStart]]&lt;=Settings!$C$2,Table1[[#This Row],[EffectiveEndDate]]&gt;=Settings!$C$2),1,0)</f>
        <v>0</v>
      </c>
      <c r="AD168" s="46">
        <f ca="1">IF(AND(Table1[[#This Row],[SubscriptionStart]]&lt;=Settings!$D$2,Table1[[#This Row],[EffectiveEndDate]]&gt;=Settings!$D$2),1,0)</f>
        <v>0</v>
      </c>
      <c r="AE168" s="46">
        <f ca="1">IF(AND(Table1[[#This Row],[SubscriptionStart]]&lt;=Settings!$E$2,Table1[[#This Row],[EffectiveEndDate]]&gt;=Settings!$E$2),1,0)</f>
        <v>0</v>
      </c>
      <c r="AF168"/>
      <c r="AG168"/>
      <c r="AH168"/>
      <c r="AI168"/>
      <c r="AJ168"/>
      <c r="AK168"/>
    </row>
    <row r="169" spans="1:37">
      <c r="A169" s="3" t="s">
        <v>675</v>
      </c>
      <c r="B169" s="3">
        <v>53</v>
      </c>
      <c r="C169" s="3" t="s">
        <v>23</v>
      </c>
      <c r="D169" s="5">
        <v>44747</v>
      </c>
      <c r="E169" s="5">
        <v>44927</v>
      </c>
      <c r="F169" s="3">
        <f ca="1">TODAY() - Table1[[#This Row],[SubscriptionStart]]</f>
        <v>1234</v>
      </c>
      <c r="G169" s="4">
        <v>6</v>
      </c>
      <c r="H169" s="3" t="s">
        <v>38</v>
      </c>
      <c r="I169" s="3" t="s">
        <v>39</v>
      </c>
      <c r="J169" s="7" cm="1">
        <f t="array" ref="J169">_xlfn.IFS(Table1[[#This Row],[Tier]]="Basic",10,Table1[[#This Row],[Tier]]="Standard",18,Table1[[#This Row],[Tier]]="Premium",25)</f>
        <v>18</v>
      </c>
      <c r="K169" s="7" cm="1">
        <f t="array" ref="K16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169" s="7" cm="1">
        <f t="array" ref="L16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169" s="3" t="str" cm="1">
        <f t="array" ref="M169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169" s="3" t="s">
        <v>52</v>
      </c>
      <c r="O169" s="3" t="s">
        <v>32</v>
      </c>
      <c r="P169" s="3" t="s">
        <v>50</v>
      </c>
      <c r="Q169" s="3" t="str" cm="1">
        <f t="array" ref="Q169">_xlfn.IFS(Table1[[#This Row],[TotalRevenue]]&lt;100,"Low",Table1[[#This Row],[TotalRevenue]]&lt;300,"Medium",Table1[[#This Row],[TotalRevenue]]&lt;600,"High",TRUE,"Very High")</f>
        <v>Low</v>
      </c>
      <c r="R169" s="3" t="str" cm="1">
        <f t="array" ref="R16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69" s="3" t="str">
        <f>IF(Table1[[#This Row],[NextBillingDate]]="","Cancelled",IF(Table1[[#This Row],[CancellationDate]]&lt;&gt;"","Cancelled","Active"))</f>
        <v>Cancelled</v>
      </c>
      <c r="T169" s="7" cm="1">
        <f t="array" ref="T16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169" s="5">
        <v>44927</v>
      </c>
      <c r="W169" s="5">
        <v>44927</v>
      </c>
      <c r="X169" s="3">
        <v>0</v>
      </c>
      <c r="Y169" s="5">
        <f ca="1">IF(Table1[[#This Row],[ChurnStatus]]="Cancelled",Table1[[#This Row],[CancellationDate]],TODAY())</f>
        <v>44927</v>
      </c>
      <c r="Z169" s="46">
        <f ca="1">IF(AND(Table1[[#This Row],[SubscriptionStart]] &lt;= TODAY(), Table1[[#This Row],[EffectiveEndDate]] &gt;= TODAY()),1,0)</f>
        <v>0</v>
      </c>
      <c r="AA169" s="46">
        <f ca="1">IF(AND(Table1[[#This Row],[SubscriptionStart]]&lt;=Settings!$A$2,Table1[[#This Row],[EffectiveEndDate]]&gt;=Settings!$A$2),1,0)</f>
        <v>0</v>
      </c>
      <c r="AB169" s="46">
        <f ca="1">IF(AND(Table1[[#This Row],[SubscriptionStart]]&lt;=Settings!$B$2,Table1[[#This Row],[EffectiveEndDate]]&gt;=Settings!$B$2),1,0)</f>
        <v>0</v>
      </c>
      <c r="AC169" s="46">
        <f ca="1">IF(AND(Table1[[#This Row],[SubscriptionStart]]&lt;=Settings!$C$2,Table1[[#This Row],[EffectiveEndDate]]&gt;=Settings!$C$2),1,0)</f>
        <v>1</v>
      </c>
      <c r="AD169" s="46">
        <f ca="1">IF(AND(Table1[[#This Row],[SubscriptionStart]]&lt;=Settings!$D$2,Table1[[#This Row],[EffectiveEndDate]]&gt;=Settings!$D$2),1,0)</f>
        <v>0</v>
      </c>
      <c r="AE169" s="46">
        <f ca="1">IF(AND(Table1[[#This Row],[SubscriptionStart]]&lt;=Settings!$E$2,Table1[[#This Row],[EffectiveEndDate]]&gt;=Settings!$E$2),1,0)</f>
        <v>0</v>
      </c>
      <c r="AF169"/>
      <c r="AG169"/>
      <c r="AH169"/>
      <c r="AI169"/>
      <c r="AJ169"/>
      <c r="AK169"/>
    </row>
    <row r="170" spans="1:37">
      <c r="A170" s="3" t="s">
        <v>364</v>
      </c>
      <c r="B170" s="3">
        <v>40</v>
      </c>
      <c r="C170" s="3" t="s">
        <v>23</v>
      </c>
      <c r="D170" s="5">
        <v>44748</v>
      </c>
      <c r="E170" s="5">
        <v>44778</v>
      </c>
      <c r="F170" s="3">
        <f ca="1">TODAY() - Table1[[#This Row],[SubscriptionStart]]</f>
        <v>1233</v>
      </c>
      <c r="G170" s="4">
        <v>1</v>
      </c>
      <c r="H170" s="3" t="s">
        <v>29</v>
      </c>
      <c r="I170" s="3" t="s">
        <v>39</v>
      </c>
      <c r="J170" s="7" cm="1">
        <f t="array" ref="J170">_xlfn.IFS(Table1[[#This Row],[Tier]]="Basic",10,Table1[[#This Row],[Tier]]="Standard",18,Table1[[#This Row],[Tier]]="Premium",25)</f>
        <v>18</v>
      </c>
      <c r="K170" s="7" cm="1">
        <f t="array" ref="K17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170" s="7" cm="1">
        <f t="array" ref="L17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70" s="3" t="str" cm="1">
        <f t="array" ref="M17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70" s="3" t="s">
        <v>52</v>
      </c>
      <c r="O170" s="3" t="s">
        <v>40</v>
      </c>
      <c r="P170" s="3" t="s">
        <v>41</v>
      </c>
      <c r="Q170" s="3" t="str" cm="1">
        <f t="array" ref="Q170">_xlfn.IFS(Table1[[#This Row],[TotalRevenue]]&lt;100,"Low",Table1[[#This Row],[TotalRevenue]]&lt;300,"Medium",Table1[[#This Row],[TotalRevenue]]&lt;600,"High",TRUE,"Very High")</f>
        <v>Low</v>
      </c>
      <c r="R170" s="3" t="str" cm="1">
        <f t="array" ref="R17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70" s="3" t="str">
        <f>IF(Table1[[#This Row],[NextBillingDate]]="","Cancelled",IF(Table1[[#This Row],[CancellationDate]]&lt;&gt;"","Cancelled","Active"))</f>
        <v>Cancelled</v>
      </c>
      <c r="T170" s="7" cm="1">
        <f t="array" ref="T17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70" s="5">
        <v>44778</v>
      </c>
      <c r="W170" s="5">
        <v>44778</v>
      </c>
      <c r="X170" s="3">
        <v>0</v>
      </c>
      <c r="Y170" s="5">
        <f ca="1">IF(Table1[[#This Row],[ChurnStatus]]="Cancelled",Table1[[#This Row],[CancellationDate]],TODAY())</f>
        <v>44778</v>
      </c>
      <c r="Z170" s="46">
        <f ca="1">IF(AND(Table1[[#This Row],[SubscriptionStart]] &lt;= TODAY(), Table1[[#This Row],[EffectiveEndDate]] &gt;= TODAY()),1,0)</f>
        <v>0</v>
      </c>
      <c r="AA170" s="46">
        <f ca="1">IF(AND(Table1[[#This Row],[SubscriptionStart]]&lt;=Settings!$A$2,Table1[[#This Row],[EffectiveEndDate]]&gt;=Settings!$A$2),1,0)</f>
        <v>0</v>
      </c>
      <c r="AB170" s="46">
        <f ca="1">IF(AND(Table1[[#This Row],[SubscriptionStart]]&lt;=Settings!$B$2,Table1[[#This Row],[EffectiveEndDate]]&gt;=Settings!$B$2),1,0)</f>
        <v>0</v>
      </c>
      <c r="AC170" s="46">
        <f ca="1">IF(AND(Table1[[#This Row],[SubscriptionStart]]&lt;=Settings!$C$2,Table1[[#This Row],[EffectiveEndDate]]&gt;=Settings!$C$2),1,0)</f>
        <v>0</v>
      </c>
      <c r="AD170" s="46">
        <f ca="1">IF(AND(Table1[[#This Row],[SubscriptionStart]]&lt;=Settings!$D$2,Table1[[#This Row],[EffectiveEndDate]]&gt;=Settings!$D$2),1,0)</f>
        <v>0</v>
      </c>
      <c r="AE170" s="46">
        <f ca="1">IF(AND(Table1[[#This Row],[SubscriptionStart]]&lt;=Settings!$E$2,Table1[[#This Row],[EffectiveEndDate]]&gt;=Settings!$E$2),1,0)</f>
        <v>0</v>
      </c>
      <c r="AF170"/>
      <c r="AG170"/>
      <c r="AH170"/>
      <c r="AI170"/>
      <c r="AJ170"/>
      <c r="AK170"/>
    </row>
    <row r="171" spans="1:37">
      <c r="A171" s="3" t="s">
        <v>89</v>
      </c>
      <c r="B171" s="3">
        <v>40</v>
      </c>
      <c r="C171" s="3" t="s">
        <v>23</v>
      </c>
      <c r="D171" s="5">
        <v>44748</v>
      </c>
      <c r="E171" s="5">
        <v>44928</v>
      </c>
      <c r="F171" s="3">
        <f ca="1">TODAY() - Table1[[#This Row],[SubscriptionStart]]</f>
        <v>1233</v>
      </c>
      <c r="G171" s="4">
        <v>6</v>
      </c>
      <c r="H171" s="3" t="s">
        <v>38</v>
      </c>
      <c r="I171" s="3" t="s">
        <v>39</v>
      </c>
      <c r="J171" s="7" cm="1">
        <f t="array" ref="J171">_xlfn.IFS(Table1[[#This Row],[Tier]]="Basic",10,Table1[[#This Row],[Tier]]="Standard",18,Table1[[#This Row],[Tier]]="Premium",25)</f>
        <v>18</v>
      </c>
      <c r="K171" s="7" cm="1">
        <f t="array" ref="K17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171" s="7" cm="1">
        <f t="array" ref="L17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171" s="3" t="str" cm="1">
        <f t="array" ref="M17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71" s="3" t="s">
        <v>31</v>
      </c>
      <c r="O171" s="3" t="s">
        <v>40</v>
      </c>
      <c r="P171" s="3" t="s">
        <v>47</v>
      </c>
      <c r="Q171" s="3" t="str" cm="1">
        <f t="array" ref="Q171">_xlfn.IFS(Table1[[#This Row],[TotalRevenue]]&lt;100,"Low",Table1[[#This Row],[TotalRevenue]]&lt;300,"Medium",Table1[[#This Row],[TotalRevenue]]&lt;600,"High",TRUE,"Very High")</f>
        <v>Low</v>
      </c>
      <c r="R171" s="3" t="str" cm="1">
        <f t="array" ref="R17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71" s="3" t="str">
        <f>IF(Table1[[#This Row],[NextBillingDate]]="","Cancelled",IF(Table1[[#This Row],[CancellationDate]]&lt;&gt;"","Cancelled","Active"))</f>
        <v>Cancelled</v>
      </c>
      <c r="T171" s="7" cm="1">
        <f t="array" ref="T17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171" s="5">
        <v>44928</v>
      </c>
      <c r="W171" s="5">
        <v>44928</v>
      </c>
      <c r="X171" s="3">
        <v>0</v>
      </c>
      <c r="Y171" s="5">
        <f ca="1">IF(Table1[[#This Row],[ChurnStatus]]="Cancelled",Table1[[#This Row],[CancellationDate]],TODAY())</f>
        <v>44928</v>
      </c>
      <c r="Z171" s="46">
        <f ca="1">IF(AND(Table1[[#This Row],[SubscriptionStart]] &lt;= TODAY(), Table1[[#This Row],[EffectiveEndDate]] &gt;= TODAY()),1,0)</f>
        <v>0</v>
      </c>
      <c r="AA171" s="46">
        <f ca="1">IF(AND(Table1[[#This Row],[SubscriptionStart]]&lt;=Settings!$A$2,Table1[[#This Row],[EffectiveEndDate]]&gt;=Settings!$A$2),1,0)</f>
        <v>0</v>
      </c>
      <c r="AB171" s="46">
        <f ca="1">IF(AND(Table1[[#This Row],[SubscriptionStart]]&lt;=Settings!$B$2,Table1[[#This Row],[EffectiveEndDate]]&gt;=Settings!$B$2),1,0)</f>
        <v>0</v>
      </c>
      <c r="AC171" s="46">
        <f ca="1">IF(AND(Table1[[#This Row],[SubscriptionStart]]&lt;=Settings!$C$2,Table1[[#This Row],[EffectiveEndDate]]&gt;=Settings!$C$2),1,0)</f>
        <v>1</v>
      </c>
      <c r="AD171" s="46">
        <f ca="1">IF(AND(Table1[[#This Row],[SubscriptionStart]]&lt;=Settings!$D$2,Table1[[#This Row],[EffectiveEndDate]]&gt;=Settings!$D$2),1,0)</f>
        <v>0</v>
      </c>
      <c r="AE171" s="46">
        <f ca="1">IF(AND(Table1[[#This Row],[SubscriptionStart]]&lt;=Settings!$E$2,Table1[[#This Row],[EffectiveEndDate]]&gt;=Settings!$E$2),1,0)</f>
        <v>0</v>
      </c>
      <c r="AF171"/>
      <c r="AG171"/>
      <c r="AH171"/>
      <c r="AI171"/>
      <c r="AJ171"/>
      <c r="AK171"/>
    </row>
    <row r="172" spans="1:37">
      <c r="A172" s="3" t="s">
        <v>711</v>
      </c>
      <c r="B172" s="3">
        <v>62</v>
      </c>
      <c r="C172" s="3" t="s">
        <v>23</v>
      </c>
      <c r="D172" s="5">
        <v>44749</v>
      </c>
      <c r="E172" s="5">
        <v>44929</v>
      </c>
      <c r="F172" s="3">
        <f ca="1">TODAY() - Table1[[#This Row],[SubscriptionStart]]</f>
        <v>1232</v>
      </c>
      <c r="G172" s="4">
        <v>6</v>
      </c>
      <c r="H172" s="3" t="s">
        <v>38</v>
      </c>
      <c r="I172" s="3" t="s">
        <v>25</v>
      </c>
      <c r="J172" s="7" cm="1">
        <f t="array" ref="J172">_xlfn.IFS(Table1[[#This Row],[Tier]]="Basic",10,Table1[[#This Row],[Tier]]="Standard",18,Table1[[#This Row],[Tier]]="Premium",25)</f>
        <v>25</v>
      </c>
      <c r="K172" s="7" cm="1">
        <f t="array" ref="K17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172" s="7" cm="1">
        <f t="array" ref="L17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172" s="3" t="str" cm="1">
        <f t="array" ref="M172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72" s="3" t="s">
        <v>31</v>
      </c>
      <c r="O172" s="3" t="s">
        <v>40</v>
      </c>
      <c r="P172" s="3" t="s">
        <v>50</v>
      </c>
      <c r="Q172" s="3" t="str" cm="1">
        <f t="array" ref="Q172">_xlfn.IFS(Table1[[#This Row],[TotalRevenue]]&lt;100,"Low",Table1[[#This Row],[TotalRevenue]]&lt;300,"Medium",Table1[[#This Row],[TotalRevenue]]&lt;600,"High",TRUE,"Very High")</f>
        <v>Medium</v>
      </c>
      <c r="R172" s="3" t="str" cm="1">
        <f t="array" ref="R172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72" s="3" t="str">
        <f>IF(Table1[[#This Row],[NextBillingDate]]="","Cancelled",IF(Table1[[#This Row],[CancellationDate]]&lt;&gt;"","Cancelled","Active"))</f>
        <v>Cancelled</v>
      </c>
      <c r="T172" s="7" cm="1">
        <f t="array" ref="T17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172" s="5">
        <v>44929</v>
      </c>
      <c r="W172" s="5">
        <v>44929</v>
      </c>
      <c r="X172" s="3">
        <v>0</v>
      </c>
      <c r="Y172" s="5">
        <f ca="1">IF(Table1[[#This Row],[ChurnStatus]]="Cancelled",Table1[[#This Row],[CancellationDate]],TODAY())</f>
        <v>44929</v>
      </c>
      <c r="Z172" s="46">
        <f ca="1">IF(AND(Table1[[#This Row],[SubscriptionStart]] &lt;= TODAY(), Table1[[#This Row],[EffectiveEndDate]] &gt;= TODAY()),1,0)</f>
        <v>0</v>
      </c>
      <c r="AA172" s="46">
        <f ca="1">IF(AND(Table1[[#This Row],[SubscriptionStart]]&lt;=Settings!$A$2,Table1[[#This Row],[EffectiveEndDate]]&gt;=Settings!$A$2),1,0)</f>
        <v>0</v>
      </c>
      <c r="AB172" s="46">
        <f ca="1">IF(AND(Table1[[#This Row],[SubscriptionStart]]&lt;=Settings!$B$2,Table1[[#This Row],[EffectiveEndDate]]&gt;=Settings!$B$2),1,0)</f>
        <v>0</v>
      </c>
      <c r="AC172" s="46">
        <f ca="1">IF(AND(Table1[[#This Row],[SubscriptionStart]]&lt;=Settings!$C$2,Table1[[#This Row],[EffectiveEndDate]]&gt;=Settings!$C$2),1,0)</f>
        <v>1</v>
      </c>
      <c r="AD172" s="46">
        <f ca="1">IF(AND(Table1[[#This Row],[SubscriptionStart]]&lt;=Settings!$D$2,Table1[[#This Row],[EffectiveEndDate]]&gt;=Settings!$D$2),1,0)</f>
        <v>0</v>
      </c>
      <c r="AE172" s="46">
        <f ca="1">IF(AND(Table1[[#This Row],[SubscriptionStart]]&lt;=Settings!$E$2,Table1[[#This Row],[EffectiveEndDate]]&gt;=Settings!$E$2),1,0)</f>
        <v>0</v>
      </c>
      <c r="AF172"/>
      <c r="AG172"/>
      <c r="AH172"/>
      <c r="AI172"/>
      <c r="AJ172"/>
      <c r="AK172"/>
    </row>
    <row r="173" spans="1:37">
      <c r="A173" s="3" t="s">
        <v>269</v>
      </c>
      <c r="B173" s="3">
        <v>44</v>
      </c>
      <c r="C173" s="3" t="s">
        <v>37</v>
      </c>
      <c r="D173" s="5">
        <v>44749</v>
      </c>
      <c r="E173" s="5">
        <v>45109</v>
      </c>
      <c r="F173" s="3">
        <f ca="1">TODAY() - Table1[[#This Row],[SubscriptionStart]]</f>
        <v>1232</v>
      </c>
      <c r="G173" s="4">
        <v>12</v>
      </c>
      <c r="H173" s="3" t="s">
        <v>24</v>
      </c>
      <c r="I173" s="3" t="s">
        <v>39</v>
      </c>
      <c r="J173" s="7" cm="1">
        <f t="array" ref="J173">_xlfn.IFS(Table1[[#This Row],[Tier]]="Basic",10,Table1[[#This Row],[Tier]]="Standard",18,Table1[[#This Row],[Tier]]="Premium",25)</f>
        <v>18</v>
      </c>
      <c r="K173" s="7" cm="1">
        <f t="array" ref="K17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73" s="7" cm="1">
        <f t="array" ref="L17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73" s="3" t="str" cm="1">
        <f t="array" ref="M17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73" s="3" t="s">
        <v>52</v>
      </c>
      <c r="O173" s="3" t="s">
        <v>27</v>
      </c>
      <c r="P173" s="3" t="s">
        <v>41</v>
      </c>
      <c r="Q173" s="3" t="str" cm="1">
        <f t="array" ref="Q173">_xlfn.IFS(Table1[[#This Row],[TotalRevenue]]&lt;100,"Low",Table1[[#This Row],[TotalRevenue]]&lt;300,"Medium",Table1[[#This Row],[TotalRevenue]]&lt;600,"High",TRUE,"Very High")</f>
        <v>Medium</v>
      </c>
      <c r="R173" s="3" t="str" cm="1">
        <f t="array" ref="R17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73" s="3" t="str">
        <f>IF(Table1[[#This Row],[NextBillingDate]]="","Cancelled",IF(Table1[[#This Row],[CancellationDate]]&lt;&gt;"","Cancelled","Active"))</f>
        <v>Cancelled</v>
      </c>
      <c r="T173" s="7" cm="1">
        <f t="array" ref="T17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73" s="5">
        <v>45109</v>
      </c>
      <c r="W173" s="5">
        <v>45109</v>
      </c>
      <c r="X173" s="3">
        <v>0</v>
      </c>
      <c r="Y173" s="5">
        <f ca="1">IF(Table1[[#This Row],[ChurnStatus]]="Cancelled",Table1[[#This Row],[CancellationDate]],TODAY())</f>
        <v>45109</v>
      </c>
      <c r="Z173" s="46">
        <f ca="1">IF(AND(Table1[[#This Row],[SubscriptionStart]] &lt;= TODAY(), Table1[[#This Row],[EffectiveEndDate]] &gt;= TODAY()),1,0)</f>
        <v>0</v>
      </c>
      <c r="AA173" s="46">
        <f ca="1">IF(AND(Table1[[#This Row],[SubscriptionStart]]&lt;=Settings!$A$2,Table1[[#This Row],[EffectiveEndDate]]&gt;=Settings!$A$2),1,0)</f>
        <v>0</v>
      </c>
      <c r="AB173" s="46">
        <f ca="1">IF(AND(Table1[[#This Row],[SubscriptionStart]]&lt;=Settings!$B$2,Table1[[#This Row],[EffectiveEndDate]]&gt;=Settings!$B$2),1,0)</f>
        <v>0</v>
      </c>
      <c r="AC173" s="46">
        <f ca="1">IF(AND(Table1[[#This Row],[SubscriptionStart]]&lt;=Settings!$C$2,Table1[[#This Row],[EffectiveEndDate]]&gt;=Settings!$C$2),1,0)</f>
        <v>1</v>
      </c>
      <c r="AD173" s="46">
        <f ca="1">IF(AND(Table1[[#This Row],[SubscriptionStart]]&lt;=Settings!$D$2,Table1[[#This Row],[EffectiveEndDate]]&gt;=Settings!$D$2),1,0)</f>
        <v>1</v>
      </c>
      <c r="AE173" s="46">
        <f ca="1">IF(AND(Table1[[#This Row],[SubscriptionStart]]&lt;=Settings!$E$2,Table1[[#This Row],[EffectiveEndDate]]&gt;=Settings!$E$2),1,0)</f>
        <v>0</v>
      </c>
      <c r="AF173"/>
      <c r="AG173"/>
      <c r="AH173"/>
      <c r="AI173"/>
      <c r="AJ173"/>
      <c r="AK173"/>
    </row>
    <row r="174" spans="1:37">
      <c r="A174" s="3" t="s">
        <v>70</v>
      </c>
      <c r="B174" s="3">
        <v>60</v>
      </c>
      <c r="C174" s="3" t="s">
        <v>23</v>
      </c>
      <c r="D174" s="5">
        <v>44750</v>
      </c>
      <c r="E174" s="5">
        <v>45110</v>
      </c>
      <c r="F174" s="3">
        <f ca="1">TODAY() - Table1[[#This Row],[SubscriptionStart]]</f>
        <v>1231</v>
      </c>
      <c r="G174" s="4">
        <v>12</v>
      </c>
      <c r="H174" s="3" t="s">
        <v>24</v>
      </c>
      <c r="I174" s="3" t="s">
        <v>39</v>
      </c>
      <c r="J174" s="7" cm="1">
        <f t="array" ref="J174">_xlfn.IFS(Table1[[#This Row],[Tier]]="Basic",10,Table1[[#This Row],[Tier]]="Standard",18,Table1[[#This Row],[Tier]]="Premium",25)</f>
        <v>18</v>
      </c>
      <c r="K174" s="7" cm="1">
        <f t="array" ref="K17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74" s="7" cm="1">
        <f t="array" ref="L17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74" s="3" t="str" cm="1">
        <f t="array" ref="M17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74" s="3" t="s">
        <v>31</v>
      </c>
      <c r="O174" s="3" t="s">
        <v>27</v>
      </c>
      <c r="P174" s="3" t="s">
        <v>41</v>
      </c>
      <c r="Q174" s="3" t="str" cm="1">
        <f t="array" ref="Q174">_xlfn.IFS(Table1[[#This Row],[TotalRevenue]]&lt;100,"Low",Table1[[#This Row],[TotalRevenue]]&lt;300,"Medium",Table1[[#This Row],[TotalRevenue]]&lt;600,"High",TRUE,"Very High")</f>
        <v>Medium</v>
      </c>
      <c r="R174" s="3" t="str" cm="1">
        <f t="array" ref="R17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74" s="3" t="str">
        <f>IF(Table1[[#This Row],[NextBillingDate]]="","Cancelled",IF(Table1[[#This Row],[CancellationDate]]&lt;&gt;"","Cancelled","Active"))</f>
        <v>Cancelled</v>
      </c>
      <c r="T174" s="7" cm="1">
        <f t="array" ref="T17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74" s="5">
        <v>45110</v>
      </c>
      <c r="W174" s="5">
        <v>45110</v>
      </c>
      <c r="X174" s="3">
        <v>0</v>
      </c>
      <c r="Y174" s="5">
        <f ca="1">IF(Table1[[#This Row],[ChurnStatus]]="Cancelled",Table1[[#This Row],[CancellationDate]],TODAY())</f>
        <v>45110</v>
      </c>
      <c r="Z174" s="46">
        <f ca="1">IF(AND(Table1[[#This Row],[SubscriptionStart]] &lt;= TODAY(), Table1[[#This Row],[EffectiveEndDate]] &gt;= TODAY()),1,0)</f>
        <v>0</v>
      </c>
      <c r="AA174" s="46">
        <f ca="1">IF(AND(Table1[[#This Row],[SubscriptionStart]]&lt;=Settings!$A$2,Table1[[#This Row],[EffectiveEndDate]]&gt;=Settings!$A$2),1,0)</f>
        <v>0</v>
      </c>
      <c r="AB174" s="46">
        <f ca="1">IF(AND(Table1[[#This Row],[SubscriptionStart]]&lt;=Settings!$B$2,Table1[[#This Row],[EffectiveEndDate]]&gt;=Settings!$B$2),1,0)</f>
        <v>0</v>
      </c>
      <c r="AC174" s="46">
        <f ca="1">IF(AND(Table1[[#This Row],[SubscriptionStart]]&lt;=Settings!$C$2,Table1[[#This Row],[EffectiveEndDate]]&gt;=Settings!$C$2),1,0)</f>
        <v>1</v>
      </c>
      <c r="AD174" s="46">
        <f ca="1">IF(AND(Table1[[#This Row],[SubscriptionStart]]&lt;=Settings!$D$2,Table1[[#This Row],[EffectiveEndDate]]&gt;=Settings!$D$2),1,0)</f>
        <v>1</v>
      </c>
      <c r="AE174" s="46">
        <f ca="1">IF(AND(Table1[[#This Row],[SubscriptionStart]]&lt;=Settings!$E$2,Table1[[#This Row],[EffectiveEndDate]]&gt;=Settings!$E$2),1,0)</f>
        <v>0</v>
      </c>
      <c r="AF174"/>
      <c r="AG174"/>
      <c r="AH174"/>
      <c r="AI174"/>
      <c r="AJ174"/>
      <c r="AK174"/>
    </row>
    <row r="175" spans="1:37">
      <c r="A175" s="3" t="s">
        <v>192</v>
      </c>
      <c r="B175" s="3">
        <v>64</v>
      </c>
      <c r="C175" s="3" t="s">
        <v>23</v>
      </c>
      <c r="D175" s="5">
        <v>44751</v>
      </c>
      <c r="E175" s="5">
        <v>45111</v>
      </c>
      <c r="F175" s="3">
        <f ca="1">TODAY() - Table1[[#This Row],[SubscriptionStart]]</f>
        <v>1230</v>
      </c>
      <c r="G175" s="4">
        <v>12</v>
      </c>
      <c r="H175" s="3" t="s">
        <v>24</v>
      </c>
      <c r="I175" s="3" t="s">
        <v>39</v>
      </c>
      <c r="J175" s="7" cm="1">
        <f t="array" ref="J175">_xlfn.IFS(Table1[[#This Row],[Tier]]="Basic",10,Table1[[#This Row],[Tier]]="Standard",18,Table1[[#This Row],[Tier]]="Premium",25)</f>
        <v>18</v>
      </c>
      <c r="K175" s="7" cm="1">
        <f t="array" ref="K17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75" s="7" cm="1">
        <f t="array" ref="L17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75" s="3" t="str" cm="1">
        <f t="array" ref="M175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75" s="3" t="s">
        <v>34</v>
      </c>
      <c r="O175" s="3" t="s">
        <v>49</v>
      </c>
      <c r="P175" s="3" t="s">
        <v>47</v>
      </c>
      <c r="Q175" s="3" t="str" cm="1">
        <f t="array" ref="Q175">_xlfn.IFS(Table1[[#This Row],[TotalRevenue]]&lt;100,"Low",Table1[[#This Row],[TotalRevenue]]&lt;300,"Medium",Table1[[#This Row],[TotalRevenue]]&lt;600,"High",TRUE,"Very High")</f>
        <v>Medium</v>
      </c>
      <c r="R175" s="3" t="str" cm="1">
        <f t="array" ref="R175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75" s="3" t="str">
        <f>IF(Table1[[#This Row],[NextBillingDate]]="","Cancelled",IF(Table1[[#This Row],[CancellationDate]]&lt;&gt;"","Cancelled","Active"))</f>
        <v>Cancelled</v>
      </c>
      <c r="T175" s="7" cm="1">
        <f t="array" ref="T17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75" s="5">
        <v>45111</v>
      </c>
      <c r="W175" s="5">
        <v>45111</v>
      </c>
      <c r="X175" s="3">
        <v>0</v>
      </c>
      <c r="Y175" s="5">
        <f ca="1">IF(Table1[[#This Row],[ChurnStatus]]="Cancelled",Table1[[#This Row],[CancellationDate]],TODAY())</f>
        <v>45111</v>
      </c>
      <c r="Z175" s="46">
        <f ca="1">IF(AND(Table1[[#This Row],[SubscriptionStart]] &lt;= TODAY(), Table1[[#This Row],[EffectiveEndDate]] &gt;= TODAY()),1,0)</f>
        <v>0</v>
      </c>
      <c r="AA175" s="46">
        <f ca="1">IF(AND(Table1[[#This Row],[SubscriptionStart]]&lt;=Settings!$A$2,Table1[[#This Row],[EffectiveEndDate]]&gt;=Settings!$A$2),1,0)</f>
        <v>0</v>
      </c>
      <c r="AB175" s="46">
        <f ca="1">IF(AND(Table1[[#This Row],[SubscriptionStart]]&lt;=Settings!$B$2,Table1[[#This Row],[EffectiveEndDate]]&gt;=Settings!$B$2),1,0)</f>
        <v>0</v>
      </c>
      <c r="AC175" s="46">
        <f ca="1">IF(AND(Table1[[#This Row],[SubscriptionStart]]&lt;=Settings!$C$2,Table1[[#This Row],[EffectiveEndDate]]&gt;=Settings!$C$2),1,0)</f>
        <v>1</v>
      </c>
      <c r="AD175" s="46">
        <f ca="1">IF(AND(Table1[[#This Row],[SubscriptionStart]]&lt;=Settings!$D$2,Table1[[#This Row],[EffectiveEndDate]]&gt;=Settings!$D$2),1,0)</f>
        <v>1</v>
      </c>
      <c r="AE175" s="46">
        <f ca="1">IF(AND(Table1[[#This Row],[SubscriptionStart]]&lt;=Settings!$E$2,Table1[[#This Row],[EffectiveEndDate]]&gt;=Settings!$E$2),1,0)</f>
        <v>0</v>
      </c>
      <c r="AF175"/>
      <c r="AG175"/>
      <c r="AH175"/>
      <c r="AI175"/>
      <c r="AJ175"/>
      <c r="AK175"/>
    </row>
    <row r="176" spans="1:37">
      <c r="A176" s="3" t="s">
        <v>419</v>
      </c>
      <c r="B176" s="3">
        <v>25</v>
      </c>
      <c r="C176" s="3" t="s">
        <v>23</v>
      </c>
      <c r="D176" s="5">
        <v>44752</v>
      </c>
      <c r="E176" s="5">
        <v>45112</v>
      </c>
      <c r="F176" s="3">
        <f ca="1">TODAY() - Table1[[#This Row],[SubscriptionStart]]</f>
        <v>1229</v>
      </c>
      <c r="G176" s="4">
        <v>12</v>
      </c>
      <c r="H176" s="3" t="s">
        <v>24</v>
      </c>
      <c r="I176" s="3" t="s">
        <v>25</v>
      </c>
      <c r="J176" s="7" cm="1">
        <f t="array" ref="J176">_xlfn.IFS(Table1[[#This Row],[Tier]]="Basic",10,Table1[[#This Row],[Tier]]="Standard",18,Table1[[#This Row],[Tier]]="Premium",25)</f>
        <v>25</v>
      </c>
      <c r="K176" s="7" cm="1">
        <f t="array" ref="K17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176" s="7" cm="1">
        <f t="array" ref="L17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176" s="3" t="str" cm="1">
        <f t="array" ref="M176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176" s="3" t="s">
        <v>26</v>
      </c>
      <c r="O176" s="3" t="s">
        <v>27</v>
      </c>
      <c r="P176" s="3" t="s">
        <v>47</v>
      </c>
      <c r="Q176" s="3" t="str" cm="1">
        <f t="array" ref="Q176">_xlfn.IFS(Table1[[#This Row],[TotalRevenue]]&lt;100,"Low",Table1[[#This Row],[TotalRevenue]]&lt;300,"Medium",Table1[[#This Row],[TotalRevenue]]&lt;600,"High",TRUE,"Very High")</f>
        <v>Medium</v>
      </c>
      <c r="R176" s="3" t="str" cm="1">
        <f t="array" ref="R176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176" s="3" t="str">
        <f>IF(Table1[[#This Row],[NextBillingDate]]="","Cancelled",IF(Table1[[#This Row],[CancellationDate]]&lt;&gt;"","Cancelled","Active"))</f>
        <v>Cancelled</v>
      </c>
      <c r="T176" s="7" cm="1">
        <f t="array" ref="T17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176" s="5">
        <v>45112</v>
      </c>
      <c r="W176" s="5">
        <v>45112</v>
      </c>
      <c r="X176" s="3">
        <v>0</v>
      </c>
      <c r="Y176" s="5">
        <f ca="1">IF(Table1[[#This Row],[ChurnStatus]]="Cancelled",Table1[[#This Row],[CancellationDate]],TODAY())</f>
        <v>45112</v>
      </c>
      <c r="Z176" s="46">
        <f ca="1">IF(AND(Table1[[#This Row],[SubscriptionStart]] &lt;= TODAY(), Table1[[#This Row],[EffectiveEndDate]] &gt;= TODAY()),1,0)</f>
        <v>0</v>
      </c>
      <c r="AA176" s="46">
        <f ca="1">IF(AND(Table1[[#This Row],[SubscriptionStart]]&lt;=Settings!$A$2,Table1[[#This Row],[EffectiveEndDate]]&gt;=Settings!$A$2),1,0)</f>
        <v>0</v>
      </c>
      <c r="AB176" s="46">
        <f ca="1">IF(AND(Table1[[#This Row],[SubscriptionStart]]&lt;=Settings!$B$2,Table1[[#This Row],[EffectiveEndDate]]&gt;=Settings!$B$2),1,0)</f>
        <v>0</v>
      </c>
      <c r="AC176" s="46">
        <f ca="1">IF(AND(Table1[[#This Row],[SubscriptionStart]]&lt;=Settings!$C$2,Table1[[#This Row],[EffectiveEndDate]]&gt;=Settings!$C$2),1,0)</f>
        <v>1</v>
      </c>
      <c r="AD176" s="46">
        <f ca="1">IF(AND(Table1[[#This Row],[SubscriptionStart]]&lt;=Settings!$D$2,Table1[[#This Row],[EffectiveEndDate]]&gt;=Settings!$D$2),1,0)</f>
        <v>1</v>
      </c>
      <c r="AE176" s="46">
        <f ca="1">IF(AND(Table1[[#This Row],[SubscriptionStart]]&lt;=Settings!$E$2,Table1[[#This Row],[EffectiveEndDate]]&gt;=Settings!$E$2),1,0)</f>
        <v>0</v>
      </c>
      <c r="AF176"/>
      <c r="AG176"/>
      <c r="AH176"/>
      <c r="AI176"/>
      <c r="AJ176"/>
      <c r="AK176"/>
    </row>
    <row r="177" spans="1:37">
      <c r="A177" s="3" t="s">
        <v>487</v>
      </c>
      <c r="B177" s="3">
        <v>27</v>
      </c>
      <c r="C177" s="3" t="s">
        <v>23</v>
      </c>
      <c r="D177" s="5">
        <v>44754</v>
      </c>
      <c r="E177" s="5">
        <v>45114</v>
      </c>
      <c r="F177" s="3">
        <f ca="1">TODAY() - Table1[[#This Row],[SubscriptionStart]]</f>
        <v>1227</v>
      </c>
      <c r="G177" s="4">
        <v>12</v>
      </c>
      <c r="H177" s="3" t="s">
        <v>24</v>
      </c>
      <c r="I177" s="3" t="s">
        <v>39</v>
      </c>
      <c r="J177" s="7" cm="1">
        <f t="array" ref="J177">_xlfn.IFS(Table1[[#This Row],[Tier]]="Basic",10,Table1[[#This Row],[Tier]]="Standard",18,Table1[[#This Row],[Tier]]="Premium",25)</f>
        <v>18</v>
      </c>
      <c r="K177" s="7" cm="1">
        <f t="array" ref="K17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77" s="7" cm="1">
        <f t="array" ref="L17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77" s="3" t="str" cm="1">
        <f t="array" ref="M17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77" s="3" t="s">
        <v>52</v>
      </c>
      <c r="O177" s="3" t="s">
        <v>27</v>
      </c>
      <c r="P177" s="3" t="s">
        <v>47</v>
      </c>
      <c r="Q177" s="3" t="str" cm="1">
        <f t="array" ref="Q177">_xlfn.IFS(Table1[[#This Row],[TotalRevenue]]&lt;100,"Low",Table1[[#This Row],[TotalRevenue]]&lt;300,"Medium",Table1[[#This Row],[TotalRevenue]]&lt;600,"High",TRUE,"Very High")</f>
        <v>Medium</v>
      </c>
      <c r="R177" s="3" t="str" cm="1">
        <f t="array" ref="R17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77" s="3" t="str">
        <f>IF(Table1[[#This Row],[NextBillingDate]]="","Cancelled",IF(Table1[[#This Row],[CancellationDate]]&lt;&gt;"","Cancelled","Active"))</f>
        <v>Cancelled</v>
      </c>
      <c r="T177" s="7" cm="1">
        <f t="array" ref="T17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77" s="5">
        <v>45114</v>
      </c>
      <c r="W177" s="5">
        <v>45114</v>
      </c>
      <c r="X177" s="3">
        <v>0</v>
      </c>
      <c r="Y177" s="5">
        <f ca="1">IF(Table1[[#This Row],[ChurnStatus]]="Cancelled",Table1[[#This Row],[CancellationDate]],TODAY())</f>
        <v>45114</v>
      </c>
      <c r="Z177" s="46">
        <f ca="1">IF(AND(Table1[[#This Row],[SubscriptionStart]] &lt;= TODAY(), Table1[[#This Row],[EffectiveEndDate]] &gt;= TODAY()),1,0)</f>
        <v>0</v>
      </c>
      <c r="AA177" s="46">
        <f ca="1">IF(AND(Table1[[#This Row],[SubscriptionStart]]&lt;=Settings!$A$2,Table1[[#This Row],[EffectiveEndDate]]&gt;=Settings!$A$2),1,0)</f>
        <v>0</v>
      </c>
      <c r="AB177" s="46">
        <f ca="1">IF(AND(Table1[[#This Row],[SubscriptionStart]]&lt;=Settings!$B$2,Table1[[#This Row],[EffectiveEndDate]]&gt;=Settings!$B$2),1,0)</f>
        <v>0</v>
      </c>
      <c r="AC177" s="46">
        <f ca="1">IF(AND(Table1[[#This Row],[SubscriptionStart]]&lt;=Settings!$C$2,Table1[[#This Row],[EffectiveEndDate]]&gt;=Settings!$C$2),1,0)</f>
        <v>1</v>
      </c>
      <c r="AD177" s="46">
        <f ca="1">IF(AND(Table1[[#This Row],[SubscriptionStart]]&lt;=Settings!$D$2,Table1[[#This Row],[EffectiveEndDate]]&gt;=Settings!$D$2),1,0)</f>
        <v>1</v>
      </c>
      <c r="AE177" s="46">
        <f ca="1">IF(AND(Table1[[#This Row],[SubscriptionStart]]&lt;=Settings!$E$2,Table1[[#This Row],[EffectiveEndDate]]&gt;=Settings!$E$2),1,0)</f>
        <v>0</v>
      </c>
      <c r="AF177"/>
      <c r="AG177"/>
      <c r="AH177"/>
      <c r="AI177"/>
      <c r="AJ177"/>
      <c r="AK177"/>
    </row>
    <row r="178" spans="1:37">
      <c r="A178" s="3" t="s">
        <v>597</v>
      </c>
      <c r="B178" s="3">
        <v>46</v>
      </c>
      <c r="C178" s="3" t="s">
        <v>23</v>
      </c>
      <c r="D178" s="5">
        <v>44755</v>
      </c>
      <c r="E178" s="5">
        <v>44785</v>
      </c>
      <c r="F178" s="3">
        <f ca="1">TODAY() - Table1[[#This Row],[SubscriptionStart]]</f>
        <v>1226</v>
      </c>
      <c r="G178" s="4">
        <v>1</v>
      </c>
      <c r="H178" s="3" t="s">
        <v>29</v>
      </c>
      <c r="I178" s="3" t="s">
        <v>30</v>
      </c>
      <c r="J178" s="7" cm="1">
        <f t="array" ref="J178">_xlfn.IFS(Table1[[#This Row],[Tier]]="Basic",10,Table1[[#This Row],[Tier]]="Standard",18,Table1[[#This Row],[Tier]]="Premium",25)</f>
        <v>10</v>
      </c>
      <c r="K178" s="7" cm="1">
        <f t="array" ref="K17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178" s="7" cm="1">
        <f t="array" ref="L17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78" s="3" t="str" cm="1">
        <f t="array" ref="M17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78" s="3" t="s">
        <v>26</v>
      </c>
      <c r="O178" s="3" t="s">
        <v>32</v>
      </c>
      <c r="P178" s="3" t="s">
        <v>44</v>
      </c>
      <c r="Q178" s="3" t="str" cm="1">
        <f t="array" ref="Q178">_xlfn.IFS(Table1[[#This Row],[TotalRevenue]]&lt;100,"Low",Table1[[#This Row],[TotalRevenue]]&lt;300,"Medium",Table1[[#This Row],[TotalRevenue]]&lt;600,"High",TRUE,"Very High")</f>
        <v>Low</v>
      </c>
      <c r="R178" s="3" t="str" cm="1">
        <f t="array" ref="R17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78" s="3" t="str">
        <f>IF(Table1[[#This Row],[NextBillingDate]]="","Cancelled",IF(Table1[[#This Row],[CancellationDate]]&lt;&gt;"","Cancelled","Active"))</f>
        <v>Cancelled</v>
      </c>
      <c r="T178" s="7" cm="1">
        <f t="array" ref="T17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78" s="5">
        <v>44785</v>
      </c>
      <c r="W178" s="5">
        <v>44785</v>
      </c>
      <c r="X178" s="3">
        <v>0</v>
      </c>
      <c r="Y178" s="5">
        <f ca="1">IF(Table1[[#This Row],[ChurnStatus]]="Cancelled",Table1[[#This Row],[CancellationDate]],TODAY())</f>
        <v>44785</v>
      </c>
      <c r="Z178" s="46">
        <f ca="1">IF(AND(Table1[[#This Row],[SubscriptionStart]] &lt;= TODAY(), Table1[[#This Row],[EffectiveEndDate]] &gt;= TODAY()),1,0)</f>
        <v>0</v>
      </c>
      <c r="AA178" s="46">
        <f ca="1">IF(AND(Table1[[#This Row],[SubscriptionStart]]&lt;=Settings!$A$2,Table1[[#This Row],[EffectiveEndDate]]&gt;=Settings!$A$2),1,0)</f>
        <v>0</v>
      </c>
      <c r="AB178" s="46">
        <f ca="1">IF(AND(Table1[[#This Row],[SubscriptionStart]]&lt;=Settings!$B$2,Table1[[#This Row],[EffectiveEndDate]]&gt;=Settings!$B$2),1,0)</f>
        <v>0</v>
      </c>
      <c r="AC178" s="46">
        <f ca="1">IF(AND(Table1[[#This Row],[SubscriptionStart]]&lt;=Settings!$C$2,Table1[[#This Row],[EffectiveEndDate]]&gt;=Settings!$C$2),1,0)</f>
        <v>0</v>
      </c>
      <c r="AD178" s="46">
        <f ca="1">IF(AND(Table1[[#This Row],[SubscriptionStart]]&lt;=Settings!$D$2,Table1[[#This Row],[EffectiveEndDate]]&gt;=Settings!$D$2),1,0)</f>
        <v>0</v>
      </c>
      <c r="AE178" s="46">
        <f ca="1">IF(AND(Table1[[#This Row],[SubscriptionStart]]&lt;=Settings!$E$2,Table1[[#This Row],[EffectiveEndDate]]&gt;=Settings!$E$2),1,0)</f>
        <v>0</v>
      </c>
      <c r="AF178"/>
      <c r="AG178"/>
      <c r="AH178"/>
      <c r="AI178"/>
      <c r="AJ178"/>
      <c r="AK178"/>
    </row>
    <row r="179" spans="1:37">
      <c r="A179" s="3" t="s">
        <v>384</v>
      </c>
      <c r="B179" s="3">
        <v>39</v>
      </c>
      <c r="C179" s="3" t="s">
        <v>23</v>
      </c>
      <c r="D179" s="5">
        <v>44755</v>
      </c>
      <c r="E179" s="5">
        <v>45115</v>
      </c>
      <c r="F179" s="3">
        <f ca="1">TODAY() - Table1[[#This Row],[SubscriptionStart]]</f>
        <v>1226</v>
      </c>
      <c r="G179" s="4">
        <v>12</v>
      </c>
      <c r="H179" s="3" t="s">
        <v>24</v>
      </c>
      <c r="I179" s="3" t="s">
        <v>39</v>
      </c>
      <c r="J179" s="7" cm="1">
        <f t="array" ref="J179">_xlfn.IFS(Table1[[#This Row],[Tier]]="Basic",10,Table1[[#This Row],[Tier]]="Standard",18,Table1[[#This Row],[Tier]]="Premium",25)</f>
        <v>18</v>
      </c>
      <c r="K179" s="7" cm="1">
        <f t="array" ref="K17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79" s="7" cm="1">
        <f t="array" ref="L17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79" s="3" t="str" cm="1">
        <f t="array" ref="M17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79" s="3" t="s">
        <v>31</v>
      </c>
      <c r="O179" s="3" t="s">
        <v>40</v>
      </c>
      <c r="P179" s="3" t="s">
        <v>41</v>
      </c>
      <c r="Q179" s="3" t="str" cm="1">
        <f t="array" ref="Q179">_xlfn.IFS(Table1[[#This Row],[TotalRevenue]]&lt;100,"Low",Table1[[#This Row],[TotalRevenue]]&lt;300,"Medium",Table1[[#This Row],[TotalRevenue]]&lt;600,"High",TRUE,"Very High")</f>
        <v>Medium</v>
      </c>
      <c r="R179" s="3" t="str" cm="1">
        <f t="array" ref="R17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79" s="3" t="str">
        <f>IF(Table1[[#This Row],[NextBillingDate]]="","Cancelled",IF(Table1[[#This Row],[CancellationDate]]&lt;&gt;"","Cancelled","Active"))</f>
        <v>Cancelled</v>
      </c>
      <c r="T179" s="7" cm="1">
        <f t="array" ref="T17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79" s="5">
        <v>45115</v>
      </c>
      <c r="W179" s="5">
        <v>45115</v>
      </c>
      <c r="X179" s="3">
        <v>0</v>
      </c>
      <c r="Y179" s="5">
        <f ca="1">IF(Table1[[#This Row],[ChurnStatus]]="Cancelled",Table1[[#This Row],[CancellationDate]],TODAY())</f>
        <v>45115</v>
      </c>
      <c r="Z179" s="46">
        <f ca="1">IF(AND(Table1[[#This Row],[SubscriptionStart]] &lt;= TODAY(), Table1[[#This Row],[EffectiveEndDate]] &gt;= TODAY()),1,0)</f>
        <v>0</v>
      </c>
      <c r="AA179" s="46">
        <f ca="1">IF(AND(Table1[[#This Row],[SubscriptionStart]]&lt;=Settings!$A$2,Table1[[#This Row],[EffectiveEndDate]]&gt;=Settings!$A$2),1,0)</f>
        <v>0</v>
      </c>
      <c r="AB179" s="46">
        <f ca="1">IF(AND(Table1[[#This Row],[SubscriptionStart]]&lt;=Settings!$B$2,Table1[[#This Row],[EffectiveEndDate]]&gt;=Settings!$B$2),1,0)</f>
        <v>0</v>
      </c>
      <c r="AC179" s="46">
        <f ca="1">IF(AND(Table1[[#This Row],[SubscriptionStart]]&lt;=Settings!$C$2,Table1[[#This Row],[EffectiveEndDate]]&gt;=Settings!$C$2),1,0)</f>
        <v>1</v>
      </c>
      <c r="AD179" s="46">
        <f ca="1">IF(AND(Table1[[#This Row],[SubscriptionStart]]&lt;=Settings!$D$2,Table1[[#This Row],[EffectiveEndDate]]&gt;=Settings!$D$2),1,0)</f>
        <v>1</v>
      </c>
      <c r="AE179" s="46">
        <f ca="1">IF(AND(Table1[[#This Row],[SubscriptionStart]]&lt;=Settings!$E$2,Table1[[#This Row],[EffectiveEndDate]]&gt;=Settings!$E$2),1,0)</f>
        <v>0</v>
      </c>
      <c r="AF179"/>
      <c r="AG179"/>
      <c r="AH179"/>
      <c r="AI179"/>
      <c r="AJ179"/>
      <c r="AK179"/>
    </row>
    <row r="180" spans="1:37">
      <c r="A180" s="3" t="s">
        <v>456</v>
      </c>
      <c r="B180" s="3">
        <v>52</v>
      </c>
      <c r="C180" s="3" t="s">
        <v>23</v>
      </c>
      <c r="D180" s="5">
        <v>44755</v>
      </c>
      <c r="E180" s="5">
        <v>45115</v>
      </c>
      <c r="F180" s="3">
        <f ca="1">TODAY() - Table1[[#This Row],[SubscriptionStart]]</f>
        <v>1226</v>
      </c>
      <c r="G180" s="4">
        <v>12</v>
      </c>
      <c r="H180" s="3" t="s">
        <v>24</v>
      </c>
      <c r="I180" s="3" t="s">
        <v>39</v>
      </c>
      <c r="J180" s="7" cm="1">
        <f t="array" ref="J180">_xlfn.IFS(Table1[[#This Row],[Tier]]="Basic",10,Table1[[#This Row],[Tier]]="Standard",18,Table1[[#This Row],[Tier]]="Premium",25)</f>
        <v>18</v>
      </c>
      <c r="K180" s="7" cm="1">
        <f t="array" ref="K18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80" s="7" cm="1">
        <f t="array" ref="L18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80" s="3" t="str" cm="1">
        <f t="array" ref="M18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180" s="3" t="s">
        <v>31</v>
      </c>
      <c r="O180" s="3" t="s">
        <v>40</v>
      </c>
      <c r="P180" s="3" t="s">
        <v>44</v>
      </c>
      <c r="Q180" s="3" t="str" cm="1">
        <f t="array" ref="Q180">_xlfn.IFS(Table1[[#This Row],[TotalRevenue]]&lt;100,"Low",Table1[[#This Row],[TotalRevenue]]&lt;300,"Medium",Table1[[#This Row],[TotalRevenue]]&lt;600,"High",TRUE,"Very High")</f>
        <v>Medium</v>
      </c>
      <c r="R180" s="3" t="str" cm="1">
        <f t="array" ref="R18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80" s="3" t="str">
        <f>IF(Table1[[#This Row],[NextBillingDate]]="","Cancelled",IF(Table1[[#This Row],[CancellationDate]]&lt;&gt;"","Cancelled","Active"))</f>
        <v>Cancelled</v>
      </c>
      <c r="T180" s="7" cm="1">
        <f t="array" ref="T18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80" s="5">
        <v>45115</v>
      </c>
      <c r="W180" s="5">
        <v>45115</v>
      </c>
      <c r="X180" s="3">
        <v>0</v>
      </c>
      <c r="Y180" s="5">
        <f ca="1">IF(Table1[[#This Row],[ChurnStatus]]="Cancelled",Table1[[#This Row],[CancellationDate]],TODAY())</f>
        <v>45115</v>
      </c>
      <c r="Z180" s="46">
        <f ca="1">IF(AND(Table1[[#This Row],[SubscriptionStart]] &lt;= TODAY(), Table1[[#This Row],[EffectiveEndDate]] &gt;= TODAY()),1,0)</f>
        <v>0</v>
      </c>
      <c r="AA180" s="46">
        <f ca="1">IF(AND(Table1[[#This Row],[SubscriptionStart]]&lt;=Settings!$A$2,Table1[[#This Row],[EffectiveEndDate]]&gt;=Settings!$A$2),1,0)</f>
        <v>0</v>
      </c>
      <c r="AB180" s="46">
        <f ca="1">IF(AND(Table1[[#This Row],[SubscriptionStart]]&lt;=Settings!$B$2,Table1[[#This Row],[EffectiveEndDate]]&gt;=Settings!$B$2),1,0)</f>
        <v>0</v>
      </c>
      <c r="AC180" s="46">
        <f ca="1">IF(AND(Table1[[#This Row],[SubscriptionStart]]&lt;=Settings!$C$2,Table1[[#This Row],[EffectiveEndDate]]&gt;=Settings!$C$2),1,0)</f>
        <v>1</v>
      </c>
      <c r="AD180" s="46">
        <f ca="1">IF(AND(Table1[[#This Row],[SubscriptionStart]]&lt;=Settings!$D$2,Table1[[#This Row],[EffectiveEndDate]]&gt;=Settings!$D$2),1,0)</f>
        <v>1</v>
      </c>
      <c r="AE180" s="46">
        <f ca="1">IF(AND(Table1[[#This Row],[SubscriptionStart]]&lt;=Settings!$E$2,Table1[[#This Row],[EffectiveEndDate]]&gt;=Settings!$E$2),1,0)</f>
        <v>0</v>
      </c>
      <c r="AF180"/>
      <c r="AG180"/>
      <c r="AH180"/>
      <c r="AI180"/>
      <c r="AJ180"/>
      <c r="AK180"/>
    </row>
    <row r="181" spans="1:37">
      <c r="A181" s="3" t="s">
        <v>363</v>
      </c>
      <c r="B181" s="3">
        <v>53</v>
      </c>
      <c r="C181" s="3" t="s">
        <v>23</v>
      </c>
      <c r="D181" s="5">
        <v>44758</v>
      </c>
      <c r="E181" s="5">
        <v>44788</v>
      </c>
      <c r="F181" s="3">
        <f ca="1">TODAY() - Table1[[#This Row],[SubscriptionStart]]</f>
        <v>1223</v>
      </c>
      <c r="G181" s="4">
        <v>1</v>
      </c>
      <c r="H181" s="3" t="s">
        <v>29</v>
      </c>
      <c r="I181" s="3" t="s">
        <v>30</v>
      </c>
      <c r="J181" s="7" cm="1">
        <f t="array" ref="J181">_xlfn.IFS(Table1[[#This Row],[Tier]]="Basic",10,Table1[[#This Row],[Tier]]="Standard",18,Table1[[#This Row],[Tier]]="Premium",25)</f>
        <v>10</v>
      </c>
      <c r="K181" s="7" cm="1">
        <f t="array" ref="K18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181" s="7" cm="1">
        <f t="array" ref="L18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81" s="3" t="str" cm="1">
        <f t="array" ref="M181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181" s="3" t="s">
        <v>31</v>
      </c>
      <c r="O181" s="3" t="s">
        <v>49</v>
      </c>
      <c r="P181" s="3" t="s">
        <v>35</v>
      </c>
      <c r="Q181" s="3" t="str" cm="1">
        <f t="array" ref="Q181">_xlfn.IFS(Table1[[#This Row],[TotalRevenue]]&lt;100,"Low",Table1[[#This Row],[TotalRevenue]]&lt;300,"Medium",Table1[[#This Row],[TotalRevenue]]&lt;600,"High",TRUE,"Very High")</f>
        <v>Low</v>
      </c>
      <c r="R181" s="3" t="str" cm="1">
        <f t="array" ref="R18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81" s="3" t="str">
        <f>IF(Table1[[#This Row],[NextBillingDate]]="","Cancelled",IF(Table1[[#This Row],[CancellationDate]]&lt;&gt;"","Cancelled","Active"))</f>
        <v>Cancelled</v>
      </c>
      <c r="T181" s="7" cm="1">
        <f t="array" ref="T18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81" s="5">
        <v>44788</v>
      </c>
      <c r="W181" s="5">
        <v>44788</v>
      </c>
      <c r="X181" s="3">
        <v>0</v>
      </c>
      <c r="Y181" s="5">
        <f ca="1">IF(Table1[[#This Row],[ChurnStatus]]="Cancelled",Table1[[#This Row],[CancellationDate]],TODAY())</f>
        <v>44788</v>
      </c>
      <c r="Z181" s="46">
        <f ca="1">IF(AND(Table1[[#This Row],[SubscriptionStart]] &lt;= TODAY(), Table1[[#This Row],[EffectiveEndDate]] &gt;= TODAY()),1,0)</f>
        <v>0</v>
      </c>
      <c r="AA181" s="46">
        <f ca="1">IF(AND(Table1[[#This Row],[SubscriptionStart]]&lt;=Settings!$A$2,Table1[[#This Row],[EffectiveEndDate]]&gt;=Settings!$A$2),1,0)</f>
        <v>0</v>
      </c>
      <c r="AB181" s="46">
        <f ca="1">IF(AND(Table1[[#This Row],[SubscriptionStart]]&lt;=Settings!$B$2,Table1[[#This Row],[EffectiveEndDate]]&gt;=Settings!$B$2),1,0)</f>
        <v>0</v>
      </c>
      <c r="AC181" s="46">
        <f ca="1">IF(AND(Table1[[#This Row],[SubscriptionStart]]&lt;=Settings!$C$2,Table1[[#This Row],[EffectiveEndDate]]&gt;=Settings!$C$2),1,0)</f>
        <v>0</v>
      </c>
      <c r="AD181" s="46">
        <f ca="1">IF(AND(Table1[[#This Row],[SubscriptionStart]]&lt;=Settings!$D$2,Table1[[#This Row],[EffectiveEndDate]]&gt;=Settings!$D$2),1,0)</f>
        <v>0</v>
      </c>
      <c r="AE181" s="46">
        <f ca="1">IF(AND(Table1[[#This Row],[SubscriptionStart]]&lt;=Settings!$E$2,Table1[[#This Row],[EffectiveEndDate]]&gt;=Settings!$E$2),1,0)</f>
        <v>0</v>
      </c>
      <c r="AF181"/>
      <c r="AG181"/>
      <c r="AH181"/>
      <c r="AI181"/>
      <c r="AJ181"/>
      <c r="AK181"/>
    </row>
    <row r="182" spans="1:37">
      <c r="A182" s="3" t="s">
        <v>341</v>
      </c>
      <c r="B182" s="3">
        <v>61</v>
      </c>
      <c r="C182" s="3" t="s">
        <v>37</v>
      </c>
      <c r="D182" s="5">
        <v>44759</v>
      </c>
      <c r="E182" s="5">
        <v>44789</v>
      </c>
      <c r="F182" s="3">
        <f ca="1">TODAY() - Table1[[#This Row],[SubscriptionStart]]</f>
        <v>1222</v>
      </c>
      <c r="G182" s="4">
        <v>1</v>
      </c>
      <c r="H182" s="3" t="s">
        <v>29</v>
      </c>
      <c r="I182" s="3" t="s">
        <v>39</v>
      </c>
      <c r="J182" s="7" cm="1">
        <f t="array" ref="J182">_xlfn.IFS(Table1[[#This Row],[Tier]]="Basic",10,Table1[[#This Row],[Tier]]="Standard",18,Table1[[#This Row],[Tier]]="Premium",25)</f>
        <v>18</v>
      </c>
      <c r="K182" s="7" cm="1">
        <f t="array" ref="K18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182" s="7" cm="1">
        <f t="array" ref="L18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82" s="3" t="str" cm="1">
        <f t="array" ref="M182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82" s="3" t="s">
        <v>52</v>
      </c>
      <c r="O182" s="3" t="s">
        <v>27</v>
      </c>
      <c r="P182" s="3" t="s">
        <v>50</v>
      </c>
      <c r="Q182" s="3" t="str" cm="1">
        <f t="array" ref="Q182">_xlfn.IFS(Table1[[#This Row],[TotalRevenue]]&lt;100,"Low",Table1[[#This Row],[TotalRevenue]]&lt;300,"Medium",Table1[[#This Row],[TotalRevenue]]&lt;600,"High",TRUE,"Very High")</f>
        <v>Low</v>
      </c>
      <c r="R182" s="3" t="str" cm="1">
        <f t="array" ref="R182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82" s="3" t="str">
        <f>IF(Table1[[#This Row],[NextBillingDate]]="","Cancelled",IF(Table1[[#This Row],[CancellationDate]]&lt;&gt;"","Cancelled","Active"))</f>
        <v>Cancelled</v>
      </c>
      <c r="T182" s="7" cm="1">
        <f t="array" ref="T18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82" s="5">
        <v>44789</v>
      </c>
      <c r="W182" s="5">
        <v>44789</v>
      </c>
      <c r="X182" s="3">
        <v>0</v>
      </c>
      <c r="Y182" s="5">
        <f ca="1">IF(Table1[[#This Row],[ChurnStatus]]="Cancelled",Table1[[#This Row],[CancellationDate]],TODAY())</f>
        <v>44789</v>
      </c>
      <c r="Z182" s="46">
        <f ca="1">IF(AND(Table1[[#This Row],[SubscriptionStart]] &lt;= TODAY(), Table1[[#This Row],[EffectiveEndDate]] &gt;= TODAY()),1,0)</f>
        <v>0</v>
      </c>
      <c r="AA182" s="46">
        <f ca="1">IF(AND(Table1[[#This Row],[SubscriptionStart]]&lt;=Settings!$A$2,Table1[[#This Row],[EffectiveEndDate]]&gt;=Settings!$A$2),1,0)</f>
        <v>0</v>
      </c>
      <c r="AB182" s="46">
        <f ca="1">IF(AND(Table1[[#This Row],[SubscriptionStart]]&lt;=Settings!$B$2,Table1[[#This Row],[EffectiveEndDate]]&gt;=Settings!$B$2),1,0)</f>
        <v>0</v>
      </c>
      <c r="AC182" s="46">
        <f ca="1">IF(AND(Table1[[#This Row],[SubscriptionStart]]&lt;=Settings!$C$2,Table1[[#This Row],[EffectiveEndDate]]&gt;=Settings!$C$2),1,0)</f>
        <v>0</v>
      </c>
      <c r="AD182" s="46">
        <f ca="1">IF(AND(Table1[[#This Row],[SubscriptionStart]]&lt;=Settings!$D$2,Table1[[#This Row],[EffectiveEndDate]]&gt;=Settings!$D$2),1,0)</f>
        <v>0</v>
      </c>
      <c r="AE182" s="46">
        <f ca="1">IF(AND(Table1[[#This Row],[SubscriptionStart]]&lt;=Settings!$E$2,Table1[[#This Row],[EffectiveEndDate]]&gt;=Settings!$E$2),1,0)</f>
        <v>0</v>
      </c>
      <c r="AF182"/>
      <c r="AG182"/>
      <c r="AH182"/>
      <c r="AI182"/>
      <c r="AJ182"/>
      <c r="AK182"/>
    </row>
    <row r="183" spans="1:37">
      <c r="A183" s="3" t="s">
        <v>405</v>
      </c>
      <c r="B183" s="3">
        <v>30</v>
      </c>
      <c r="C183" s="3" t="s">
        <v>23</v>
      </c>
      <c r="D183" s="5">
        <v>44760</v>
      </c>
      <c r="F183" s="3">
        <f ca="1">TODAY() - Table1[[#This Row],[SubscriptionStart]]</f>
        <v>1221</v>
      </c>
      <c r="G183" s="4">
        <v>48</v>
      </c>
      <c r="H183" s="3" t="s">
        <v>24</v>
      </c>
      <c r="I183" s="3" t="s">
        <v>25</v>
      </c>
      <c r="J183" s="7" cm="1">
        <f t="array" ref="J183">_xlfn.IFS(Table1[[#This Row],[Tier]]="Basic",10,Table1[[#This Row],[Tier]]="Standard",18,Table1[[#This Row],[Tier]]="Premium",25)</f>
        <v>25</v>
      </c>
      <c r="K183" s="7" cm="1">
        <f t="array" ref="K18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16.666666666666664</v>
      </c>
      <c r="L183" s="7" cm="1">
        <f t="array" ref="L18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780</v>
      </c>
      <c r="M183" s="3" t="str" cm="1">
        <f t="array" ref="M18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83" s="3" t="s">
        <v>34</v>
      </c>
      <c r="O183" s="3" t="s">
        <v>40</v>
      </c>
      <c r="Q183" s="3" t="str" cm="1">
        <f t="array" ref="Q183">_xlfn.IFS(Table1[[#This Row],[TotalRevenue]]&lt;100,"Low",Table1[[#This Row],[TotalRevenue]]&lt;300,"Medium",Table1[[#This Row],[TotalRevenue]]&lt;600,"High",TRUE,"Very High")</f>
        <v>Very High</v>
      </c>
      <c r="R183" s="3" t="str" cm="1">
        <f t="array" ref="R18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83" s="3" t="str">
        <f>IF(Table1[[#This Row],[NextBillingDate]]="","Cancelled",IF(Table1[[#This Row],[CancellationDate]]&lt;&gt;"","Cancelled","Active"))</f>
        <v>Active</v>
      </c>
      <c r="T183" s="7" cm="1">
        <f t="array" ref="T18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980</v>
      </c>
      <c r="V183" s="5">
        <v>46200</v>
      </c>
      <c r="W183" s="5">
        <v>46200</v>
      </c>
      <c r="X183" s="3">
        <v>3</v>
      </c>
      <c r="Y183" s="5">
        <f ca="1">IF(Table1[[#This Row],[ChurnStatus]]="Cancelled",Table1[[#This Row],[CancellationDate]],TODAY())</f>
        <v>45981</v>
      </c>
      <c r="Z183" s="46">
        <f ca="1">IF(AND(Table1[[#This Row],[SubscriptionStart]] &lt;= TODAY(), Table1[[#This Row],[EffectiveEndDate]] &gt;= TODAY()),1,0)</f>
        <v>1</v>
      </c>
      <c r="AA183" s="46">
        <f ca="1">IF(AND(Table1[[#This Row],[SubscriptionStart]]&lt;=Settings!$A$2,Table1[[#This Row],[EffectiveEndDate]]&gt;=Settings!$A$2),1,0)</f>
        <v>0</v>
      </c>
      <c r="AB183" s="46">
        <f ca="1">IF(AND(Table1[[#This Row],[SubscriptionStart]]&lt;=Settings!$B$2,Table1[[#This Row],[EffectiveEndDate]]&gt;=Settings!$B$2),1,0)</f>
        <v>0</v>
      </c>
      <c r="AC183" s="46">
        <f ca="1">IF(AND(Table1[[#This Row],[SubscriptionStart]]&lt;=Settings!$C$2,Table1[[#This Row],[EffectiveEndDate]]&gt;=Settings!$C$2),1,0)</f>
        <v>1</v>
      </c>
      <c r="AD183" s="46">
        <f ca="1">IF(AND(Table1[[#This Row],[SubscriptionStart]]&lt;=Settings!$D$2,Table1[[#This Row],[EffectiveEndDate]]&gt;=Settings!$D$2),1,0)</f>
        <v>1</v>
      </c>
      <c r="AE183" s="46">
        <f ca="1">IF(AND(Table1[[#This Row],[SubscriptionStart]]&lt;=Settings!$E$2,Table1[[#This Row],[EffectiveEndDate]]&gt;=Settings!$E$2),1,0)</f>
        <v>1</v>
      </c>
      <c r="AF183"/>
      <c r="AG183"/>
      <c r="AH183"/>
      <c r="AI183"/>
      <c r="AJ183"/>
      <c r="AK183"/>
    </row>
    <row r="184" spans="1:37">
      <c r="A184" s="3" t="s">
        <v>713</v>
      </c>
      <c r="B184" s="3">
        <v>66</v>
      </c>
      <c r="C184" s="3" t="s">
        <v>23</v>
      </c>
      <c r="D184" s="5">
        <v>44760</v>
      </c>
      <c r="F184" s="3">
        <f ca="1">TODAY() - Table1[[#This Row],[SubscriptionStart]]</f>
        <v>1221</v>
      </c>
      <c r="G184" s="4">
        <v>48</v>
      </c>
      <c r="H184" s="3" t="s">
        <v>24</v>
      </c>
      <c r="I184" s="3" t="s">
        <v>25</v>
      </c>
      <c r="J184" s="7" cm="1">
        <f t="array" ref="J184">_xlfn.IFS(Table1[[#This Row],[Tier]]="Basic",10,Table1[[#This Row],[Tier]]="Standard",18,Table1[[#This Row],[Tier]]="Premium",25)</f>
        <v>25</v>
      </c>
      <c r="K184" s="7" cm="1">
        <f t="array" ref="K18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16.666666666666664</v>
      </c>
      <c r="L184" s="7" cm="1">
        <f t="array" ref="L18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780</v>
      </c>
      <c r="M184" s="3" t="str" cm="1">
        <f t="array" ref="M18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84" s="3" t="s">
        <v>31</v>
      </c>
      <c r="O184" s="3" t="s">
        <v>40</v>
      </c>
      <c r="Q184" s="3" t="str" cm="1">
        <f t="array" ref="Q184">_xlfn.IFS(Table1[[#This Row],[TotalRevenue]]&lt;100,"Low",Table1[[#This Row],[TotalRevenue]]&lt;300,"Medium",Table1[[#This Row],[TotalRevenue]]&lt;600,"High",TRUE,"Very High")</f>
        <v>Very High</v>
      </c>
      <c r="R184" s="3" t="str" cm="1">
        <f t="array" ref="R18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84" s="3" t="str">
        <f>IF(Table1[[#This Row],[NextBillingDate]]="","Cancelled",IF(Table1[[#This Row],[CancellationDate]]&lt;&gt;"","Cancelled","Active"))</f>
        <v>Active</v>
      </c>
      <c r="T184" s="7" cm="1">
        <f t="array" ref="T18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980</v>
      </c>
      <c r="V184" s="5">
        <v>46200</v>
      </c>
      <c r="W184" s="5">
        <v>46200</v>
      </c>
      <c r="X184" s="3">
        <v>3</v>
      </c>
      <c r="Y184" s="5">
        <f ca="1">IF(Table1[[#This Row],[ChurnStatus]]="Cancelled",Table1[[#This Row],[CancellationDate]],TODAY())</f>
        <v>45981</v>
      </c>
      <c r="Z184" s="46">
        <f ca="1">IF(AND(Table1[[#This Row],[SubscriptionStart]] &lt;= TODAY(), Table1[[#This Row],[EffectiveEndDate]] &gt;= TODAY()),1,0)</f>
        <v>1</v>
      </c>
      <c r="AA184" s="46">
        <f ca="1">IF(AND(Table1[[#This Row],[SubscriptionStart]]&lt;=Settings!$A$2,Table1[[#This Row],[EffectiveEndDate]]&gt;=Settings!$A$2),1,0)</f>
        <v>0</v>
      </c>
      <c r="AB184" s="46">
        <f ca="1">IF(AND(Table1[[#This Row],[SubscriptionStart]]&lt;=Settings!$B$2,Table1[[#This Row],[EffectiveEndDate]]&gt;=Settings!$B$2),1,0)</f>
        <v>0</v>
      </c>
      <c r="AC184" s="46">
        <f ca="1">IF(AND(Table1[[#This Row],[SubscriptionStart]]&lt;=Settings!$C$2,Table1[[#This Row],[EffectiveEndDate]]&gt;=Settings!$C$2),1,0)</f>
        <v>1</v>
      </c>
      <c r="AD184" s="46">
        <f ca="1">IF(AND(Table1[[#This Row],[SubscriptionStart]]&lt;=Settings!$D$2,Table1[[#This Row],[EffectiveEndDate]]&gt;=Settings!$D$2),1,0)</f>
        <v>1</v>
      </c>
      <c r="AE184" s="46">
        <f ca="1">IF(AND(Table1[[#This Row],[SubscriptionStart]]&lt;=Settings!$E$2,Table1[[#This Row],[EffectiveEndDate]]&gt;=Settings!$E$2),1,0)</f>
        <v>1</v>
      </c>
      <c r="AF184"/>
      <c r="AG184"/>
      <c r="AH184"/>
      <c r="AI184"/>
      <c r="AJ184"/>
      <c r="AK184"/>
    </row>
    <row r="185" spans="1:37">
      <c r="A185" s="3" t="s">
        <v>531</v>
      </c>
      <c r="B185" s="3">
        <v>47</v>
      </c>
      <c r="C185" s="3" t="s">
        <v>23</v>
      </c>
      <c r="D185" s="5">
        <v>44761</v>
      </c>
      <c r="E185" s="5">
        <v>45121</v>
      </c>
      <c r="F185" s="3">
        <f ca="1">TODAY() - Table1[[#This Row],[SubscriptionStart]]</f>
        <v>1220</v>
      </c>
      <c r="G185" s="4">
        <v>12</v>
      </c>
      <c r="H185" s="3" t="s">
        <v>24</v>
      </c>
      <c r="I185" s="3" t="s">
        <v>30</v>
      </c>
      <c r="J185" s="7" cm="1">
        <f t="array" ref="J185">_xlfn.IFS(Table1[[#This Row],[Tier]]="Basic",10,Table1[[#This Row],[Tier]]="Standard",18,Table1[[#This Row],[Tier]]="Premium",25)</f>
        <v>10</v>
      </c>
      <c r="K185" s="7" cm="1">
        <f t="array" ref="K18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185" s="7" cm="1">
        <f t="array" ref="L18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185" s="3" t="str" cm="1">
        <f t="array" ref="M18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85" s="3" t="s">
        <v>34</v>
      </c>
      <c r="O185" s="3" t="s">
        <v>40</v>
      </c>
      <c r="P185" s="3" t="s">
        <v>50</v>
      </c>
      <c r="Q185" s="3" t="str" cm="1">
        <f t="array" ref="Q185">_xlfn.IFS(Table1[[#This Row],[TotalRevenue]]&lt;100,"Low",Table1[[#This Row],[TotalRevenue]]&lt;300,"Medium",Table1[[#This Row],[TotalRevenue]]&lt;600,"High",TRUE,"Very High")</f>
        <v>Low</v>
      </c>
      <c r="R185" s="3" t="str" cm="1">
        <f t="array" ref="R18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85" s="3" t="str">
        <f>IF(Table1[[#This Row],[NextBillingDate]]="","Cancelled",IF(Table1[[#This Row],[CancellationDate]]&lt;&gt;"","Cancelled","Active"))</f>
        <v>Cancelled</v>
      </c>
      <c r="T185" s="7" cm="1">
        <f t="array" ref="T18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185" s="5">
        <v>45121</v>
      </c>
      <c r="W185" s="5">
        <v>45121</v>
      </c>
      <c r="X185" s="3">
        <v>0</v>
      </c>
      <c r="Y185" s="5">
        <f ca="1">IF(Table1[[#This Row],[ChurnStatus]]="Cancelled",Table1[[#This Row],[CancellationDate]],TODAY())</f>
        <v>45121</v>
      </c>
      <c r="Z185" s="46">
        <f ca="1">IF(AND(Table1[[#This Row],[SubscriptionStart]] &lt;= TODAY(), Table1[[#This Row],[EffectiveEndDate]] &gt;= TODAY()),1,0)</f>
        <v>0</v>
      </c>
      <c r="AA185" s="46">
        <f ca="1">IF(AND(Table1[[#This Row],[SubscriptionStart]]&lt;=Settings!$A$2,Table1[[#This Row],[EffectiveEndDate]]&gt;=Settings!$A$2),1,0)</f>
        <v>0</v>
      </c>
      <c r="AB185" s="46">
        <f ca="1">IF(AND(Table1[[#This Row],[SubscriptionStart]]&lt;=Settings!$B$2,Table1[[#This Row],[EffectiveEndDate]]&gt;=Settings!$B$2),1,0)</f>
        <v>0</v>
      </c>
      <c r="AC185" s="46">
        <f ca="1">IF(AND(Table1[[#This Row],[SubscriptionStart]]&lt;=Settings!$C$2,Table1[[#This Row],[EffectiveEndDate]]&gt;=Settings!$C$2),1,0)</f>
        <v>1</v>
      </c>
      <c r="AD185" s="46">
        <f ca="1">IF(AND(Table1[[#This Row],[SubscriptionStart]]&lt;=Settings!$D$2,Table1[[#This Row],[EffectiveEndDate]]&gt;=Settings!$D$2),1,0)</f>
        <v>1</v>
      </c>
      <c r="AE185" s="46">
        <f ca="1">IF(AND(Table1[[#This Row],[SubscriptionStart]]&lt;=Settings!$E$2,Table1[[#This Row],[EffectiveEndDate]]&gt;=Settings!$E$2),1,0)</f>
        <v>0</v>
      </c>
      <c r="AF185"/>
      <c r="AG185"/>
      <c r="AH185"/>
      <c r="AI185"/>
      <c r="AJ185"/>
      <c r="AK185"/>
    </row>
    <row r="186" spans="1:37">
      <c r="A186" s="3" t="s">
        <v>692</v>
      </c>
      <c r="B186" s="3">
        <v>43</v>
      </c>
      <c r="C186" s="3" t="s">
        <v>37</v>
      </c>
      <c r="D186" s="5">
        <v>44762</v>
      </c>
      <c r="E186" s="5">
        <v>44942</v>
      </c>
      <c r="F186" s="3">
        <f ca="1">TODAY() - Table1[[#This Row],[SubscriptionStart]]</f>
        <v>1219</v>
      </c>
      <c r="G186" s="4">
        <v>6</v>
      </c>
      <c r="H186" s="3" t="s">
        <v>38</v>
      </c>
      <c r="I186" s="3" t="s">
        <v>25</v>
      </c>
      <c r="J186" s="7" cm="1">
        <f t="array" ref="J186">_xlfn.IFS(Table1[[#This Row],[Tier]]="Basic",10,Table1[[#This Row],[Tier]]="Standard",18,Table1[[#This Row],[Tier]]="Premium",25)</f>
        <v>25</v>
      </c>
      <c r="K186" s="7" cm="1">
        <f t="array" ref="K18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186" s="7" cm="1">
        <f t="array" ref="L18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186" s="3" t="str" cm="1">
        <f t="array" ref="M18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86" s="3" t="s">
        <v>52</v>
      </c>
      <c r="O186" s="3" t="s">
        <v>27</v>
      </c>
      <c r="P186" s="3" t="s">
        <v>44</v>
      </c>
      <c r="Q186" s="3" t="str" cm="1">
        <f t="array" ref="Q186">_xlfn.IFS(Table1[[#This Row],[TotalRevenue]]&lt;100,"Low",Table1[[#This Row],[TotalRevenue]]&lt;300,"Medium",Table1[[#This Row],[TotalRevenue]]&lt;600,"High",TRUE,"Very High")</f>
        <v>Medium</v>
      </c>
      <c r="R186" s="3" t="str" cm="1">
        <f t="array" ref="R18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86" s="3" t="str">
        <f>IF(Table1[[#This Row],[NextBillingDate]]="","Cancelled",IF(Table1[[#This Row],[CancellationDate]]&lt;&gt;"","Cancelled","Active"))</f>
        <v>Cancelled</v>
      </c>
      <c r="T186" s="7" cm="1">
        <f t="array" ref="T18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186" s="5">
        <v>44942</v>
      </c>
      <c r="W186" s="5">
        <v>44942</v>
      </c>
      <c r="X186" s="3">
        <v>0</v>
      </c>
      <c r="Y186" s="5">
        <f ca="1">IF(Table1[[#This Row],[ChurnStatus]]="Cancelled",Table1[[#This Row],[CancellationDate]],TODAY())</f>
        <v>44942</v>
      </c>
      <c r="Z186" s="46">
        <f ca="1">IF(AND(Table1[[#This Row],[SubscriptionStart]] &lt;= TODAY(), Table1[[#This Row],[EffectiveEndDate]] &gt;= TODAY()),1,0)</f>
        <v>0</v>
      </c>
      <c r="AA186" s="46">
        <f ca="1">IF(AND(Table1[[#This Row],[SubscriptionStart]]&lt;=Settings!$A$2,Table1[[#This Row],[EffectiveEndDate]]&gt;=Settings!$A$2),1,0)</f>
        <v>0</v>
      </c>
      <c r="AB186" s="46">
        <f ca="1">IF(AND(Table1[[#This Row],[SubscriptionStart]]&lt;=Settings!$B$2,Table1[[#This Row],[EffectiveEndDate]]&gt;=Settings!$B$2),1,0)</f>
        <v>0</v>
      </c>
      <c r="AC186" s="46">
        <f ca="1">IF(AND(Table1[[#This Row],[SubscriptionStart]]&lt;=Settings!$C$2,Table1[[#This Row],[EffectiveEndDate]]&gt;=Settings!$C$2),1,0)</f>
        <v>1</v>
      </c>
      <c r="AD186" s="46">
        <f ca="1">IF(AND(Table1[[#This Row],[SubscriptionStart]]&lt;=Settings!$D$2,Table1[[#This Row],[EffectiveEndDate]]&gt;=Settings!$D$2),1,0)</f>
        <v>0</v>
      </c>
      <c r="AE186" s="46">
        <f ca="1">IF(AND(Table1[[#This Row],[SubscriptionStart]]&lt;=Settings!$E$2,Table1[[#This Row],[EffectiveEndDate]]&gt;=Settings!$E$2),1,0)</f>
        <v>0</v>
      </c>
      <c r="AF186"/>
      <c r="AG186"/>
      <c r="AH186"/>
      <c r="AI186"/>
      <c r="AJ186"/>
      <c r="AK186"/>
    </row>
    <row r="187" spans="1:37">
      <c r="A187" s="3" t="s">
        <v>93</v>
      </c>
      <c r="B187" s="3">
        <v>22</v>
      </c>
      <c r="C187" s="3" t="s">
        <v>23</v>
      </c>
      <c r="D187" s="5">
        <v>44763</v>
      </c>
      <c r="E187" s="5">
        <v>45123</v>
      </c>
      <c r="F187" s="3">
        <f ca="1">TODAY() - Table1[[#This Row],[SubscriptionStart]]</f>
        <v>1218</v>
      </c>
      <c r="G187" s="4">
        <v>12</v>
      </c>
      <c r="H187" s="3" t="s">
        <v>24</v>
      </c>
      <c r="I187" s="3" t="s">
        <v>39</v>
      </c>
      <c r="J187" s="7" cm="1">
        <f t="array" ref="J187">_xlfn.IFS(Table1[[#This Row],[Tier]]="Basic",10,Table1[[#This Row],[Tier]]="Standard",18,Table1[[#This Row],[Tier]]="Premium",25)</f>
        <v>18</v>
      </c>
      <c r="K187" s="7" cm="1">
        <f t="array" ref="K18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87" s="7" cm="1">
        <f t="array" ref="L18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87" s="3" t="str" cm="1">
        <f t="array" ref="M187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187" s="3" t="s">
        <v>26</v>
      </c>
      <c r="O187" s="3" t="s">
        <v>49</v>
      </c>
      <c r="P187" s="3" t="s">
        <v>44</v>
      </c>
      <c r="Q187" s="3" t="str" cm="1">
        <f t="array" ref="Q187">_xlfn.IFS(Table1[[#This Row],[TotalRevenue]]&lt;100,"Low",Table1[[#This Row],[TotalRevenue]]&lt;300,"Medium",Table1[[#This Row],[TotalRevenue]]&lt;600,"High",TRUE,"Very High")</f>
        <v>Medium</v>
      </c>
      <c r="R187" s="3" t="str" cm="1">
        <f t="array" ref="R187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187" s="3" t="str">
        <f>IF(Table1[[#This Row],[NextBillingDate]]="","Cancelled",IF(Table1[[#This Row],[CancellationDate]]&lt;&gt;"","Cancelled","Active"))</f>
        <v>Cancelled</v>
      </c>
      <c r="T187" s="7" cm="1">
        <f t="array" ref="T18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87" s="5">
        <v>45123</v>
      </c>
      <c r="W187" s="5">
        <v>45123</v>
      </c>
      <c r="X187" s="3">
        <v>0</v>
      </c>
      <c r="Y187" s="5">
        <f ca="1">IF(Table1[[#This Row],[ChurnStatus]]="Cancelled",Table1[[#This Row],[CancellationDate]],TODAY())</f>
        <v>45123</v>
      </c>
      <c r="Z187" s="46">
        <f ca="1">IF(AND(Table1[[#This Row],[SubscriptionStart]] &lt;= TODAY(), Table1[[#This Row],[EffectiveEndDate]] &gt;= TODAY()),1,0)</f>
        <v>0</v>
      </c>
      <c r="AA187" s="46">
        <f ca="1">IF(AND(Table1[[#This Row],[SubscriptionStart]]&lt;=Settings!$A$2,Table1[[#This Row],[EffectiveEndDate]]&gt;=Settings!$A$2),1,0)</f>
        <v>0</v>
      </c>
      <c r="AB187" s="46">
        <f ca="1">IF(AND(Table1[[#This Row],[SubscriptionStart]]&lt;=Settings!$B$2,Table1[[#This Row],[EffectiveEndDate]]&gt;=Settings!$B$2),1,0)</f>
        <v>0</v>
      </c>
      <c r="AC187" s="46">
        <f ca="1">IF(AND(Table1[[#This Row],[SubscriptionStart]]&lt;=Settings!$C$2,Table1[[#This Row],[EffectiveEndDate]]&gt;=Settings!$C$2),1,0)</f>
        <v>1</v>
      </c>
      <c r="AD187" s="46">
        <f ca="1">IF(AND(Table1[[#This Row],[SubscriptionStart]]&lt;=Settings!$D$2,Table1[[#This Row],[EffectiveEndDate]]&gt;=Settings!$D$2),1,0)</f>
        <v>1</v>
      </c>
      <c r="AE187" s="46">
        <f ca="1">IF(AND(Table1[[#This Row],[SubscriptionStart]]&lt;=Settings!$E$2,Table1[[#This Row],[EffectiveEndDate]]&gt;=Settings!$E$2),1,0)</f>
        <v>0</v>
      </c>
      <c r="AF187"/>
      <c r="AG187"/>
      <c r="AH187"/>
      <c r="AI187"/>
      <c r="AJ187"/>
      <c r="AK187"/>
    </row>
    <row r="188" spans="1:37">
      <c r="A188" s="3" t="s">
        <v>598</v>
      </c>
      <c r="B188" s="3">
        <v>63</v>
      </c>
      <c r="C188" s="3" t="s">
        <v>23</v>
      </c>
      <c r="D188" s="5">
        <v>44764</v>
      </c>
      <c r="E188" s="5">
        <v>44944</v>
      </c>
      <c r="F188" s="3">
        <f ca="1">TODAY() - Table1[[#This Row],[SubscriptionStart]]</f>
        <v>1217</v>
      </c>
      <c r="G188" s="4">
        <v>6</v>
      </c>
      <c r="H188" s="3" t="s">
        <v>38</v>
      </c>
      <c r="I188" s="3" t="s">
        <v>25</v>
      </c>
      <c r="J188" s="7" cm="1">
        <f t="array" ref="J188">_xlfn.IFS(Table1[[#This Row],[Tier]]="Basic",10,Table1[[#This Row],[Tier]]="Standard",18,Table1[[#This Row],[Tier]]="Premium",25)</f>
        <v>25</v>
      </c>
      <c r="K188" s="7" cm="1">
        <f t="array" ref="K18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188" s="7" cm="1">
        <f t="array" ref="L18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188" s="3" t="str" cm="1">
        <f t="array" ref="M188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88" s="3" t="s">
        <v>26</v>
      </c>
      <c r="O188" s="3" t="s">
        <v>27</v>
      </c>
      <c r="P188" s="3" t="s">
        <v>41</v>
      </c>
      <c r="Q188" s="3" t="str" cm="1">
        <f t="array" ref="Q188">_xlfn.IFS(Table1[[#This Row],[TotalRevenue]]&lt;100,"Low",Table1[[#This Row],[TotalRevenue]]&lt;300,"Medium",Table1[[#This Row],[TotalRevenue]]&lt;600,"High",TRUE,"Very High")</f>
        <v>Medium</v>
      </c>
      <c r="R188" s="3" t="str" cm="1">
        <f t="array" ref="R188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88" s="3" t="str">
        <f>IF(Table1[[#This Row],[NextBillingDate]]="","Cancelled",IF(Table1[[#This Row],[CancellationDate]]&lt;&gt;"","Cancelled","Active"))</f>
        <v>Cancelled</v>
      </c>
      <c r="T188" s="7" cm="1">
        <f t="array" ref="T18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188" s="5">
        <v>44944</v>
      </c>
      <c r="W188" s="5">
        <v>44944</v>
      </c>
      <c r="X188" s="3">
        <v>0</v>
      </c>
      <c r="Y188" s="5">
        <f ca="1">IF(Table1[[#This Row],[ChurnStatus]]="Cancelled",Table1[[#This Row],[CancellationDate]],TODAY())</f>
        <v>44944</v>
      </c>
      <c r="Z188" s="46">
        <f ca="1">IF(AND(Table1[[#This Row],[SubscriptionStart]] &lt;= TODAY(), Table1[[#This Row],[EffectiveEndDate]] &gt;= TODAY()),1,0)</f>
        <v>0</v>
      </c>
      <c r="AA188" s="46">
        <f ca="1">IF(AND(Table1[[#This Row],[SubscriptionStart]]&lt;=Settings!$A$2,Table1[[#This Row],[EffectiveEndDate]]&gt;=Settings!$A$2),1,0)</f>
        <v>0</v>
      </c>
      <c r="AB188" s="46">
        <f ca="1">IF(AND(Table1[[#This Row],[SubscriptionStart]]&lt;=Settings!$B$2,Table1[[#This Row],[EffectiveEndDate]]&gt;=Settings!$B$2),1,0)</f>
        <v>0</v>
      </c>
      <c r="AC188" s="46">
        <f ca="1">IF(AND(Table1[[#This Row],[SubscriptionStart]]&lt;=Settings!$C$2,Table1[[#This Row],[EffectiveEndDate]]&gt;=Settings!$C$2),1,0)</f>
        <v>1</v>
      </c>
      <c r="AD188" s="46">
        <f ca="1">IF(AND(Table1[[#This Row],[SubscriptionStart]]&lt;=Settings!$D$2,Table1[[#This Row],[EffectiveEndDate]]&gt;=Settings!$D$2),1,0)</f>
        <v>0</v>
      </c>
      <c r="AE188" s="46">
        <f ca="1">IF(AND(Table1[[#This Row],[SubscriptionStart]]&lt;=Settings!$E$2,Table1[[#This Row],[EffectiveEndDate]]&gt;=Settings!$E$2),1,0)</f>
        <v>0</v>
      </c>
      <c r="AF188"/>
      <c r="AG188"/>
      <c r="AH188"/>
      <c r="AI188"/>
      <c r="AJ188"/>
      <c r="AK188"/>
    </row>
    <row r="189" spans="1:37">
      <c r="A189" s="3" t="s">
        <v>170</v>
      </c>
      <c r="B189" s="3">
        <v>71</v>
      </c>
      <c r="C189" s="3" t="s">
        <v>23</v>
      </c>
      <c r="D189" s="5">
        <v>44764</v>
      </c>
      <c r="E189" s="5">
        <v>45124</v>
      </c>
      <c r="F189" s="3">
        <f ca="1">TODAY() - Table1[[#This Row],[SubscriptionStart]]</f>
        <v>1217</v>
      </c>
      <c r="G189" s="4">
        <v>12</v>
      </c>
      <c r="H189" s="3" t="s">
        <v>24</v>
      </c>
      <c r="I189" s="3" t="s">
        <v>30</v>
      </c>
      <c r="J189" s="7" cm="1">
        <f t="array" ref="J189">_xlfn.IFS(Table1[[#This Row],[Tier]]="Basic",10,Table1[[#This Row],[Tier]]="Standard",18,Table1[[#This Row],[Tier]]="Premium",25)</f>
        <v>10</v>
      </c>
      <c r="K189" s="7" cm="1">
        <f t="array" ref="K18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189" s="7" cm="1">
        <f t="array" ref="L18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189" s="3" t="str" cm="1">
        <f t="array" ref="M189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189" s="3" t="s">
        <v>52</v>
      </c>
      <c r="O189" s="3" t="s">
        <v>27</v>
      </c>
      <c r="P189" s="3" t="s">
        <v>44</v>
      </c>
      <c r="Q189" s="3" t="str" cm="1">
        <f t="array" ref="Q189">_xlfn.IFS(Table1[[#This Row],[TotalRevenue]]&lt;100,"Low",Table1[[#This Row],[TotalRevenue]]&lt;300,"Medium",Table1[[#This Row],[TotalRevenue]]&lt;600,"High",TRUE,"Very High")</f>
        <v>Low</v>
      </c>
      <c r="R189" s="3" t="str" cm="1">
        <f t="array" ref="R189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189" s="3" t="str">
        <f>IF(Table1[[#This Row],[NextBillingDate]]="","Cancelled",IF(Table1[[#This Row],[CancellationDate]]&lt;&gt;"","Cancelled","Active"))</f>
        <v>Cancelled</v>
      </c>
      <c r="T189" s="7" cm="1">
        <f t="array" ref="T18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189" s="5">
        <v>45124</v>
      </c>
      <c r="W189" s="5">
        <v>45124</v>
      </c>
      <c r="X189" s="3">
        <v>0</v>
      </c>
      <c r="Y189" s="5">
        <f ca="1">IF(Table1[[#This Row],[ChurnStatus]]="Cancelled",Table1[[#This Row],[CancellationDate]],TODAY())</f>
        <v>45124</v>
      </c>
      <c r="Z189" s="46">
        <f ca="1">IF(AND(Table1[[#This Row],[SubscriptionStart]] &lt;= TODAY(), Table1[[#This Row],[EffectiveEndDate]] &gt;= TODAY()),1,0)</f>
        <v>0</v>
      </c>
      <c r="AA189" s="46">
        <f ca="1">IF(AND(Table1[[#This Row],[SubscriptionStart]]&lt;=Settings!$A$2,Table1[[#This Row],[EffectiveEndDate]]&gt;=Settings!$A$2),1,0)</f>
        <v>0</v>
      </c>
      <c r="AB189" s="46">
        <f ca="1">IF(AND(Table1[[#This Row],[SubscriptionStart]]&lt;=Settings!$B$2,Table1[[#This Row],[EffectiveEndDate]]&gt;=Settings!$B$2),1,0)</f>
        <v>0</v>
      </c>
      <c r="AC189" s="46">
        <f ca="1">IF(AND(Table1[[#This Row],[SubscriptionStart]]&lt;=Settings!$C$2,Table1[[#This Row],[EffectiveEndDate]]&gt;=Settings!$C$2),1,0)</f>
        <v>1</v>
      </c>
      <c r="AD189" s="46">
        <f ca="1">IF(AND(Table1[[#This Row],[SubscriptionStart]]&lt;=Settings!$D$2,Table1[[#This Row],[EffectiveEndDate]]&gt;=Settings!$D$2),1,0)</f>
        <v>1</v>
      </c>
      <c r="AE189" s="46">
        <f ca="1">IF(AND(Table1[[#This Row],[SubscriptionStart]]&lt;=Settings!$E$2,Table1[[#This Row],[EffectiveEndDate]]&gt;=Settings!$E$2),1,0)</f>
        <v>0</v>
      </c>
      <c r="AF189"/>
      <c r="AG189"/>
      <c r="AH189"/>
      <c r="AI189"/>
      <c r="AJ189"/>
      <c r="AK189"/>
    </row>
    <row r="190" spans="1:37">
      <c r="A190" s="3" t="s">
        <v>217</v>
      </c>
      <c r="B190" s="3">
        <v>41</v>
      </c>
      <c r="C190" s="3" t="s">
        <v>23</v>
      </c>
      <c r="D190" s="5">
        <v>44764</v>
      </c>
      <c r="E190" s="5">
        <v>45124</v>
      </c>
      <c r="F190" s="3">
        <f ca="1">TODAY() - Table1[[#This Row],[SubscriptionStart]]</f>
        <v>1217</v>
      </c>
      <c r="G190" s="4">
        <v>12</v>
      </c>
      <c r="H190" s="3" t="s">
        <v>24</v>
      </c>
      <c r="I190" s="3" t="s">
        <v>39</v>
      </c>
      <c r="J190" s="7" cm="1">
        <f t="array" ref="J190">_xlfn.IFS(Table1[[#This Row],[Tier]]="Basic",10,Table1[[#This Row],[Tier]]="Standard",18,Table1[[#This Row],[Tier]]="Premium",25)</f>
        <v>18</v>
      </c>
      <c r="K190" s="7" cm="1">
        <f t="array" ref="K19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90" s="7" cm="1">
        <f t="array" ref="L19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90" s="3" t="str" cm="1">
        <f t="array" ref="M19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90" s="3" t="s">
        <v>52</v>
      </c>
      <c r="O190" s="3" t="s">
        <v>27</v>
      </c>
      <c r="P190" s="3" t="s">
        <v>44</v>
      </c>
      <c r="Q190" s="3" t="str" cm="1">
        <f t="array" ref="Q190">_xlfn.IFS(Table1[[#This Row],[TotalRevenue]]&lt;100,"Low",Table1[[#This Row],[TotalRevenue]]&lt;300,"Medium",Table1[[#This Row],[TotalRevenue]]&lt;600,"High",TRUE,"Very High")</f>
        <v>Medium</v>
      </c>
      <c r="R190" s="3" t="str" cm="1">
        <f t="array" ref="R19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90" s="3" t="str">
        <f>IF(Table1[[#This Row],[NextBillingDate]]="","Cancelled",IF(Table1[[#This Row],[CancellationDate]]&lt;&gt;"","Cancelled","Active"))</f>
        <v>Cancelled</v>
      </c>
      <c r="T190" s="7" cm="1">
        <f t="array" ref="T19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90" s="5">
        <v>45124</v>
      </c>
      <c r="W190" s="5">
        <v>45124</v>
      </c>
      <c r="X190" s="3">
        <v>0</v>
      </c>
      <c r="Y190" s="5">
        <f ca="1">IF(Table1[[#This Row],[ChurnStatus]]="Cancelled",Table1[[#This Row],[CancellationDate]],TODAY())</f>
        <v>45124</v>
      </c>
      <c r="Z190" s="46">
        <f ca="1">IF(AND(Table1[[#This Row],[SubscriptionStart]] &lt;= TODAY(), Table1[[#This Row],[EffectiveEndDate]] &gt;= TODAY()),1,0)</f>
        <v>0</v>
      </c>
      <c r="AA190" s="46">
        <f ca="1">IF(AND(Table1[[#This Row],[SubscriptionStart]]&lt;=Settings!$A$2,Table1[[#This Row],[EffectiveEndDate]]&gt;=Settings!$A$2),1,0)</f>
        <v>0</v>
      </c>
      <c r="AB190" s="46">
        <f ca="1">IF(AND(Table1[[#This Row],[SubscriptionStart]]&lt;=Settings!$B$2,Table1[[#This Row],[EffectiveEndDate]]&gt;=Settings!$B$2),1,0)</f>
        <v>0</v>
      </c>
      <c r="AC190" s="46">
        <f ca="1">IF(AND(Table1[[#This Row],[SubscriptionStart]]&lt;=Settings!$C$2,Table1[[#This Row],[EffectiveEndDate]]&gt;=Settings!$C$2),1,0)</f>
        <v>1</v>
      </c>
      <c r="AD190" s="46">
        <f ca="1">IF(AND(Table1[[#This Row],[SubscriptionStart]]&lt;=Settings!$D$2,Table1[[#This Row],[EffectiveEndDate]]&gt;=Settings!$D$2),1,0)</f>
        <v>1</v>
      </c>
      <c r="AE190" s="46">
        <f ca="1">IF(AND(Table1[[#This Row],[SubscriptionStart]]&lt;=Settings!$E$2,Table1[[#This Row],[EffectiveEndDate]]&gt;=Settings!$E$2),1,0)</f>
        <v>0</v>
      </c>
      <c r="AF190"/>
      <c r="AG190"/>
      <c r="AH190"/>
      <c r="AI190"/>
      <c r="AJ190"/>
      <c r="AK190"/>
    </row>
    <row r="191" spans="1:37">
      <c r="A191" s="3" t="s">
        <v>403</v>
      </c>
      <c r="B191" s="3">
        <v>62</v>
      </c>
      <c r="C191" s="3" t="s">
        <v>23</v>
      </c>
      <c r="D191" s="5">
        <v>44765</v>
      </c>
      <c r="E191" s="5">
        <v>45125</v>
      </c>
      <c r="F191" s="3">
        <f ca="1">TODAY() - Table1[[#This Row],[SubscriptionStart]]</f>
        <v>1216</v>
      </c>
      <c r="G191" s="4">
        <v>12</v>
      </c>
      <c r="H191" s="3" t="s">
        <v>24</v>
      </c>
      <c r="I191" s="3" t="s">
        <v>30</v>
      </c>
      <c r="J191" s="7" cm="1">
        <f t="array" ref="J191">_xlfn.IFS(Table1[[#This Row],[Tier]]="Basic",10,Table1[[#This Row],[Tier]]="Standard",18,Table1[[#This Row],[Tier]]="Premium",25)</f>
        <v>10</v>
      </c>
      <c r="K191" s="7" cm="1">
        <f t="array" ref="K19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191" s="7" cm="1">
        <f t="array" ref="L19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191" s="3" t="str" cm="1">
        <f t="array" ref="M191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91" s="3" t="s">
        <v>31</v>
      </c>
      <c r="O191" s="3" t="s">
        <v>27</v>
      </c>
      <c r="P191" s="3" t="s">
        <v>35</v>
      </c>
      <c r="Q191" s="3" t="str" cm="1">
        <f t="array" ref="Q191">_xlfn.IFS(Table1[[#This Row],[TotalRevenue]]&lt;100,"Low",Table1[[#This Row],[TotalRevenue]]&lt;300,"Medium",Table1[[#This Row],[TotalRevenue]]&lt;600,"High",TRUE,"Very High")</f>
        <v>Low</v>
      </c>
      <c r="R191" s="3" t="str" cm="1">
        <f t="array" ref="R191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91" s="3" t="str">
        <f>IF(Table1[[#This Row],[NextBillingDate]]="","Cancelled",IF(Table1[[#This Row],[CancellationDate]]&lt;&gt;"","Cancelled","Active"))</f>
        <v>Cancelled</v>
      </c>
      <c r="T191" s="7" cm="1">
        <f t="array" ref="T19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191" s="5">
        <v>45125</v>
      </c>
      <c r="W191" s="5">
        <v>45125</v>
      </c>
      <c r="X191" s="3">
        <v>0</v>
      </c>
      <c r="Y191" s="5">
        <f ca="1">IF(Table1[[#This Row],[ChurnStatus]]="Cancelled",Table1[[#This Row],[CancellationDate]],TODAY())</f>
        <v>45125</v>
      </c>
      <c r="Z191" s="46">
        <f ca="1">IF(AND(Table1[[#This Row],[SubscriptionStart]] &lt;= TODAY(), Table1[[#This Row],[EffectiveEndDate]] &gt;= TODAY()),1,0)</f>
        <v>0</v>
      </c>
      <c r="AA191" s="46">
        <f ca="1">IF(AND(Table1[[#This Row],[SubscriptionStart]]&lt;=Settings!$A$2,Table1[[#This Row],[EffectiveEndDate]]&gt;=Settings!$A$2),1,0)</f>
        <v>0</v>
      </c>
      <c r="AB191" s="46">
        <f ca="1">IF(AND(Table1[[#This Row],[SubscriptionStart]]&lt;=Settings!$B$2,Table1[[#This Row],[EffectiveEndDate]]&gt;=Settings!$B$2),1,0)</f>
        <v>0</v>
      </c>
      <c r="AC191" s="46">
        <f ca="1">IF(AND(Table1[[#This Row],[SubscriptionStart]]&lt;=Settings!$C$2,Table1[[#This Row],[EffectiveEndDate]]&gt;=Settings!$C$2),1,0)</f>
        <v>1</v>
      </c>
      <c r="AD191" s="46">
        <f ca="1">IF(AND(Table1[[#This Row],[SubscriptionStart]]&lt;=Settings!$D$2,Table1[[#This Row],[EffectiveEndDate]]&gt;=Settings!$D$2),1,0)</f>
        <v>1</v>
      </c>
      <c r="AE191" s="46">
        <f ca="1">IF(AND(Table1[[#This Row],[SubscriptionStart]]&lt;=Settings!$E$2,Table1[[#This Row],[EffectiveEndDate]]&gt;=Settings!$E$2),1,0)</f>
        <v>0</v>
      </c>
      <c r="AF191"/>
      <c r="AG191"/>
      <c r="AH191"/>
      <c r="AI191"/>
      <c r="AJ191"/>
      <c r="AK191"/>
    </row>
    <row r="192" spans="1:37">
      <c r="A192" s="3" t="s">
        <v>440</v>
      </c>
      <c r="B192" s="3">
        <v>33</v>
      </c>
      <c r="C192" s="3" t="s">
        <v>23</v>
      </c>
      <c r="D192" s="5">
        <v>44766</v>
      </c>
      <c r="F192" s="3">
        <f ca="1">TODAY() - Table1[[#This Row],[SubscriptionStart]]</f>
        <v>1215</v>
      </c>
      <c r="G192" s="4">
        <v>41</v>
      </c>
      <c r="H192" s="3" t="s">
        <v>29</v>
      </c>
      <c r="I192" s="3" t="s">
        <v>39</v>
      </c>
      <c r="J192" s="7" cm="1">
        <f t="array" ref="J192">_xlfn.IFS(Table1[[#This Row],[Tier]]="Basic",10,Table1[[#This Row],[Tier]]="Standard",18,Table1[[#This Row],[Tier]]="Premium",25)</f>
        <v>18</v>
      </c>
      <c r="K192" s="7" cm="1">
        <f t="array" ref="K19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192" s="7" cm="1">
        <f t="array" ref="L19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700.2</v>
      </c>
      <c r="M192" s="3" t="str" cm="1">
        <f t="array" ref="M19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92" s="3" t="s">
        <v>52</v>
      </c>
      <c r="O192" s="3" t="s">
        <v>27</v>
      </c>
      <c r="Q192" s="3" t="str" cm="1">
        <f t="array" ref="Q192">_xlfn.IFS(Table1[[#This Row],[TotalRevenue]]&lt;100,"Low",Table1[[#This Row],[TotalRevenue]]&lt;300,"Medium",Table1[[#This Row],[TotalRevenue]]&lt;600,"High",TRUE,"Very High")</f>
        <v>Very High</v>
      </c>
      <c r="R192" s="3" t="str" cm="1">
        <f t="array" ref="R19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92" s="3" t="str">
        <f>IF(Table1[[#This Row],[NextBillingDate]]="","Cancelled",IF(Table1[[#This Row],[CancellationDate]]&lt;&gt;"","Cancelled","Active"))</f>
        <v>Active</v>
      </c>
      <c r="T192" s="7" cm="1">
        <f t="array" ref="T19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718.2</v>
      </c>
      <c r="V192" s="5">
        <v>45996</v>
      </c>
      <c r="W192" s="5">
        <v>45996</v>
      </c>
      <c r="X192" s="3">
        <v>40</v>
      </c>
      <c r="Y192" s="5">
        <f ca="1">IF(Table1[[#This Row],[ChurnStatus]]="Cancelled",Table1[[#This Row],[CancellationDate]],TODAY())</f>
        <v>45981</v>
      </c>
      <c r="Z192" s="46">
        <f ca="1">IF(AND(Table1[[#This Row],[SubscriptionStart]] &lt;= TODAY(), Table1[[#This Row],[EffectiveEndDate]] &gt;= TODAY()),1,0)</f>
        <v>1</v>
      </c>
      <c r="AA192" s="46">
        <f ca="1">IF(AND(Table1[[#This Row],[SubscriptionStart]]&lt;=Settings!$A$2,Table1[[#This Row],[EffectiveEndDate]]&gt;=Settings!$A$2),1,0)</f>
        <v>0</v>
      </c>
      <c r="AB192" s="46">
        <f ca="1">IF(AND(Table1[[#This Row],[SubscriptionStart]]&lt;=Settings!$B$2,Table1[[#This Row],[EffectiveEndDate]]&gt;=Settings!$B$2),1,0)</f>
        <v>0</v>
      </c>
      <c r="AC192" s="46">
        <f ca="1">IF(AND(Table1[[#This Row],[SubscriptionStart]]&lt;=Settings!$C$2,Table1[[#This Row],[EffectiveEndDate]]&gt;=Settings!$C$2),1,0)</f>
        <v>1</v>
      </c>
      <c r="AD192" s="46">
        <f ca="1">IF(AND(Table1[[#This Row],[SubscriptionStart]]&lt;=Settings!$D$2,Table1[[#This Row],[EffectiveEndDate]]&gt;=Settings!$D$2),1,0)</f>
        <v>1</v>
      </c>
      <c r="AE192" s="46">
        <f ca="1">IF(AND(Table1[[#This Row],[SubscriptionStart]]&lt;=Settings!$E$2,Table1[[#This Row],[EffectiveEndDate]]&gt;=Settings!$E$2),1,0)</f>
        <v>1</v>
      </c>
      <c r="AF192"/>
      <c r="AG192"/>
      <c r="AH192"/>
      <c r="AI192"/>
      <c r="AJ192"/>
      <c r="AK192"/>
    </row>
    <row r="193" spans="1:37">
      <c r="A193" s="3" t="s">
        <v>548</v>
      </c>
      <c r="B193" s="3">
        <v>63</v>
      </c>
      <c r="C193" s="3" t="s">
        <v>37</v>
      </c>
      <c r="D193" s="5">
        <v>44767</v>
      </c>
      <c r="E193" s="5">
        <v>44947</v>
      </c>
      <c r="F193" s="3">
        <f ca="1">TODAY() - Table1[[#This Row],[SubscriptionStart]]</f>
        <v>1214</v>
      </c>
      <c r="G193" s="4">
        <v>6</v>
      </c>
      <c r="H193" s="3" t="s">
        <v>38</v>
      </c>
      <c r="I193" s="3" t="s">
        <v>39</v>
      </c>
      <c r="J193" s="7" cm="1">
        <f t="array" ref="J193">_xlfn.IFS(Table1[[#This Row],[Tier]]="Basic",10,Table1[[#This Row],[Tier]]="Standard",18,Table1[[#This Row],[Tier]]="Premium",25)</f>
        <v>18</v>
      </c>
      <c r="K193" s="7" cm="1">
        <f t="array" ref="K19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193" s="7" cm="1">
        <f t="array" ref="L19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193" s="3" t="str" cm="1">
        <f t="array" ref="M193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93" s="3" t="s">
        <v>52</v>
      </c>
      <c r="O193" s="3" t="s">
        <v>27</v>
      </c>
      <c r="P193" s="3" t="s">
        <v>47</v>
      </c>
      <c r="Q193" s="3" t="str" cm="1">
        <f t="array" ref="Q193">_xlfn.IFS(Table1[[#This Row],[TotalRevenue]]&lt;100,"Low",Table1[[#This Row],[TotalRevenue]]&lt;300,"Medium",Table1[[#This Row],[TotalRevenue]]&lt;600,"High",TRUE,"Very High")</f>
        <v>Low</v>
      </c>
      <c r="R193" s="3" t="str" cm="1">
        <f t="array" ref="R193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93" s="3" t="str">
        <f>IF(Table1[[#This Row],[NextBillingDate]]="","Cancelled",IF(Table1[[#This Row],[CancellationDate]]&lt;&gt;"","Cancelled","Active"))</f>
        <v>Cancelled</v>
      </c>
      <c r="T193" s="7" cm="1">
        <f t="array" ref="T19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193" s="5">
        <v>44947</v>
      </c>
      <c r="W193" s="5">
        <v>44947</v>
      </c>
      <c r="X193" s="3">
        <v>0</v>
      </c>
      <c r="Y193" s="5">
        <f ca="1">IF(Table1[[#This Row],[ChurnStatus]]="Cancelled",Table1[[#This Row],[CancellationDate]],TODAY())</f>
        <v>44947</v>
      </c>
      <c r="Z193" s="46">
        <f ca="1">IF(AND(Table1[[#This Row],[SubscriptionStart]] &lt;= TODAY(), Table1[[#This Row],[EffectiveEndDate]] &gt;= TODAY()),1,0)</f>
        <v>0</v>
      </c>
      <c r="AA193" s="46">
        <f ca="1">IF(AND(Table1[[#This Row],[SubscriptionStart]]&lt;=Settings!$A$2,Table1[[#This Row],[EffectiveEndDate]]&gt;=Settings!$A$2),1,0)</f>
        <v>0</v>
      </c>
      <c r="AB193" s="46">
        <f ca="1">IF(AND(Table1[[#This Row],[SubscriptionStart]]&lt;=Settings!$B$2,Table1[[#This Row],[EffectiveEndDate]]&gt;=Settings!$B$2),1,0)</f>
        <v>0</v>
      </c>
      <c r="AC193" s="46">
        <f ca="1">IF(AND(Table1[[#This Row],[SubscriptionStart]]&lt;=Settings!$C$2,Table1[[#This Row],[EffectiveEndDate]]&gt;=Settings!$C$2),1,0)</f>
        <v>1</v>
      </c>
      <c r="AD193" s="46">
        <f ca="1">IF(AND(Table1[[#This Row],[SubscriptionStart]]&lt;=Settings!$D$2,Table1[[#This Row],[EffectiveEndDate]]&gt;=Settings!$D$2),1,0)</f>
        <v>0</v>
      </c>
      <c r="AE193" s="46">
        <f ca="1">IF(AND(Table1[[#This Row],[SubscriptionStart]]&lt;=Settings!$E$2,Table1[[#This Row],[EffectiveEndDate]]&gt;=Settings!$E$2),1,0)</f>
        <v>0</v>
      </c>
      <c r="AF193"/>
      <c r="AG193"/>
      <c r="AH193"/>
      <c r="AI193"/>
      <c r="AJ193"/>
      <c r="AK193"/>
    </row>
    <row r="194" spans="1:37">
      <c r="A194" s="3" t="s">
        <v>737</v>
      </c>
      <c r="B194" s="3">
        <v>70</v>
      </c>
      <c r="C194" s="3" t="s">
        <v>37</v>
      </c>
      <c r="D194" s="5">
        <v>44769</v>
      </c>
      <c r="E194" s="5">
        <v>44799</v>
      </c>
      <c r="F194" s="3">
        <f ca="1">TODAY() - Table1[[#This Row],[SubscriptionStart]]</f>
        <v>1212</v>
      </c>
      <c r="G194" s="4">
        <v>1</v>
      </c>
      <c r="H194" s="3" t="s">
        <v>29</v>
      </c>
      <c r="I194" s="3" t="s">
        <v>39</v>
      </c>
      <c r="J194" s="7" cm="1">
        <f t="array" ref="J194">_xlfn.IFS(Table1[[#This Row],[Tier]]="Basic",10,Table1[[#This Row],[Tier]]="Standard",18,Table1[[#This Row],[Tier]]="Premium",25)</f>
        <v>18</v>
      </c>
      <c r="K194" s="7" cm="1">
        <f t="array" ref="K19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194" s="7" cm="1">
        <f t="array" ref="L19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194" s="3" t="str" cm="1">
        <f t="array" ref="M19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94" s="3" t="s">
        <v>34</v>
      </c>
      <c r="O194" s="3" t="s">
        <v>43</v>
      </c>
      <c r="P194" s="3" t="s">
        <v>44</v>
      </c>
      <c r="Q194" s="3" t="str" cm="1">
        <f t="array" ref="Q194">_xlfn.IFS(Table1[[#This Row],[TotalRevenue]]&lt;100,"Low",Table1[[#This Row],[TotalRevenue]]&lt;300,"Medium",Table1[[#This Row],[TotalRevenue]]&lt;600,"High",TRUE,"Very High")</f>
        <v>Low</v>
      </c>
      <c r="R194" s="3" t="str" cm="1">
        <f t="array" ref="R194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194" s="3" t="str">
        <f>IF(Table1[[#This Row],[NextBillingDate]]="","Cancelled",IF(Table1[[#This Row],[CancellationDate]]&lt;&gt;"","Cancelled","Active"))</f>
        <v>Cancelled</v>
      </c>
      <c r="T194" s="7" cm="1">
        <f t="array" ref="T19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194" s="5">
        <v>44799</v>
      </c>
      <c r="W194" s="5">
        <v>44799</v>
      </c>
      <c r="X194" s="3">
        <v>0</v>
      </c>
      <c r="Y194" s="5">
        <f ca="1">IF(Table1[[#This Row],[ChurnStatus]]="Cancelled",Table1[[#This Row],[CancellationDate]],TODAY())</f>
        <v>44799</v>
      </c>
      <c r="Z194" s="46">
        <f ca="1">IF(AND(Table1[[#This Row],[SubscriptionStart]] &lt;= TODAY(), Table1[[#This Row],[EffectiveEndDate]] &gt;= TODAY()),1,0)</f>
        <v>0</v>
      </c>
      <c r="AA194" s="46">
        <f ca="1">IF(AND(Table1[[#This Row],[SubscriptionStart]]&lt;=Settings!$A$2,Table1[[#This Row],[EffectiveEndDate]]&gt;=Settings!$A$2),1,0)</f>
        <v>0</v>
      </c>
      <c r="AB194" s="46">
        <f ca="1">IF(AND(Table1[[#This Row],[SubscriptionStart]]&lt;=Settings!$B$2,Table1[[#This Row],[EffectiveEndDate]]&gt;=Settings!$B$2),1,0)</f>
        <v>0</v>
      </c>
      <c r="AC194" s="46">
        <f ca="1">IF(AND(Table1[[#This Row],[SubscriptionStart]]&lt;=Settings!$C$2,Table1[[#This Row],[EffectiveEndDate]]&gt;=Settings!$C$2),1,0)</f>
        <v>0</v>
      </c>
      <c r="AD194" s="46">
        <f ca="1">IF(AND(Table1[[#This Row],[SubscriptionStart]]&lt;=Settings!$D$2,Table1[[#This Row],[EffectiveEndDate]]&gt;=Settings!$D$2),1,0)</f>
        <v>0</v>
      </c>
      <c r="AE194" s="46">
        <f ca="1">IF(AND(Table1[[#This Row],[SubscriptionStart]]&lt;=Settings!$E$2,Table1[[#This Row],[EffectiveEndDate]]&gt;=Settings!$E$2),1,0)</f>
        <v>0</v>
      </c>
      <c r="AF194"/>
      <c r="AG194"/>
      <c r="AH194"/>
      <c r="AI194"/>
      <c r="AJ194"/>
      <c r="AK194"/>
    </row>
    <row r="195" spans="1:37">
      <c r="A195" s="3" t="s">
        <v>133</v>
      </c>
      <c r="B195" s="3">
        <v>61</v>
      </c>
      <c r="C195" s="3" t="s">
        <v>23</v>
      </c>
      <c r="D195" s="5">
        <v>44769</v>
      </c>
      <c r="E195" s="5">
        <v>45129</v>
      </c>
      <c r="F195" s="3">
        <f ca="1">TODAY() - Table1[[#This Row],[SubscriptionStart]]</f>
        <v>1212</v>
      </c>
      <c r="G195" s="4">
        <v>12</v>
      </c>
      <c r="H195" s="3" t="s">
        <v>24</v>
      </c>
      <c r="I195" s="3" t="s">
        <v>25</v>
      </c>
      <c r="J195" s="7" cm="1">
        <f t="array" ref="J195">_xlfn.IFS(Table1[[#This Row],[Tier]]="Basic",10,Table1[[#This Row],[Tier]]="Standard",18,Table1[[#This Row],[Tier]]="Premium",25)</f>
        <v>25</v>
      </c>
      <c r="K195" s="7" cm="1">
        <f t="array" ref="K19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195" s="7" cm="1">
        <f t="array" ref="L19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195" s="3" t="str" cm="1">
        <f t="array" ref="M195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95" s="3" t="s">
        <v>26</v>
      </c>
      <c r="O195" s="3" t="s">
        <v>49</v>
      </c>
      <c r="P195" s="3" t="s">
        <v>44</v>
      </c>
      <c r="Q195" s="3" t="str" cm="1">
        <f t="array" ref="Q195">_xlfn.IFS(Table1[[#This Row],[TotalRevenue]]&lt;100,"Low",Table1[[#This Row],[TotalRevenue]]&lt;300,"Medium",Table1[[#This Row],[TotalRevenue]]&lt;600,"High",TRUE,"Very High")</f>
        <v>Medium</v>
      </c>
      <c r="R195" s="3" t="str" cm="1">
        <f t="array" ref="R195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95" s="3" t="str">
        <f>IF(Table1[[#This Row],[NextBillingDate]]="","Cancelled",IF(Table1[[#This Row],[CancellationDate]]&lt;&gt;"","Cancelled","Active"))</f>
        <v>Cancelled</v>
      </c>
      <c r="T195" s="7" cm="1">
        <f t="array" ref="T19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195" s="5">
        <v>45129</v>
      </c>
      <c r="W195" s="5">
        <v>45129</v>
      </c>
      <c r="X195" s="3">
        <v>0</v>
      </c>
      <c r="Y195" s="5">
        <f ca="1">IF(Table1[[#This Row],[ChurnStatus]]="Cancelled",Table1[[#This Row],[CancellationDate]],TODAY())</f>
        <v>45129</v>
      </c>
      <c r="Z195" s="46">
        <f ca="1">IF(AND(Table1[[#This Row],[SubscriptionStart]] &lt;= TODAY(), Table1[[#This Row],[EffectiveEndDate]] &gt;= TODAY()),1,0)</f>
        <v>0</v>
      </c>
      <c r="AA195" s="46">
        <f ca="1">IF(AND(Table1[[#This Row],[SubscriptionStart]]&lt;=Settings!$A$2,Table1[[#This Row],[EffectiveEndDate]]&gt;=Settings!$A$2),1,0)</f>
        <v>0</v>
      </c>
      <c r="AB195" s="46">
        <f ca="1">IF(AND(Table1[[#This Row],[SubscriptionStart]]&lt;=Settings!$B$2,Table1[[#This Row],[EffectiveEndDate]]&gt;=Settings!$B$2),1,0)</f>
        <v>0</v>
      </c>
      <c r="AC195" s="46">
        <f ca="1">IF(AND(Table1[[#This Row],[SubscriptionStart]]&lt;=Settings!$C$2,Table1[[#This Row],[EffectiveEndDate]]&gt;=Settings!$C$2),1,0)</f>
        <v>1</v>
      </c>
      <c r="AD195" s="46">
        <f ca="1">IF(AND(Table1[[#This Row],[SubscriptionStart]]&lt;=Settings!$D$2,Table1[[#This Row],[EffectiveEndDate]]&gt;=Settings!$D$2),1,0)</f>
        <v>1</v>
      </c>
      <c r="AE195" s="46">
        <f ca="1">IF(AND(Table1[[#This Row],[SubscriptionStart]]&lt;=Settings!$E$2,Table1[[#This Row],[EffectiveEndDate]]&gt;=Settings!$E$2),1,0)</f>
        <v>0</v>
      </c>
      <c r="AF195"/>
      <c r="AG195"/>
      <c r="AH195"/>
      <c r="AI195"/>
      <c r="AJ195"/>
      <c r="AK195"/>
    </row>
    <row r="196" spans="1:37">
      <c r="A196" s="3" t="s">
        <v>702</v>
      </c>
      <c r="B196" s="3">
        <v>68</v>
      </c>
      <c r="C196" s="3" t="s">
        <v>37</v>
      </c>
      <c r="D196" s="5">
        <v>44769</v>
      </c>
      <c r="E196" s="5">
        <v>45129</v>
      </c>
      <c r="F196" s="3">
        <f ca="1">TODAY() - Table1[[#This Row],[SubscriptionStart]]</f>
        <v>1212</v>
      </c>
      <c r="G196" s="4">
        <v>12</v>
      </c>
      <c r="H196" s="3" t="s">
        <v>24</v>
      </c>
      <c r="I196" s="3" t="s">
        <v>30</v>
      </c>
      <c r="J196" s="7" cm="1">
        <f t="array" ref="J196">_xlfn.IFS(Table1[[#This Row],[Tier]]="Basic",10,Table1[[#This Row],[Tier]]="Standard",18,Table1[[#This Row],[Tier]]="Premium",25)</f>
        <v>10</v>
      </c>
      <c r="K196" s="7" cm="1">
        <f t="array" ref="K19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196" s="7" cm="1">
        <f t="array" ref="L19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196" s="3" t="str" cm="1">
        <f t="array" ref="M196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196" s="3" t="s">
        <v>26</v>
      </c>
      <c r="O196" s="3" t="s">
        <v>43</v>
      </c>
      <c r="P196" s="3" t="s">
        <v>44</v>
      </c>
      <c r="Q196" s="3" t="str" cm="1">
        <f t="array" ref="Q196">_xlfn.IFS(Table1[[#This Row],[TotalRevenue]]&lt;100,"Low",Table1[[#This Row],[TotalRevenue]]&lt;300,"Medium",Table1[[#This Row],[TotalRevenue]]&lt;600,"High",TRUE,"Very High")</f>
        <v>Low</v>
      </c>
      <c r="R196" s="3" t="str" cm="1">
        <f t="array" ref="R196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196" s="3" t="str">
        <f>IF(Table1[[#This Row],[NextBillingDate]]="","Cancelled",IF(Table1[[#This Row],[CancellationDate]]&lt;&gt;"","Cancelled","Active"))</f>
        <v>Cancelled</v>
      </c>
      <c r="T196" s="7" cm="1">
        <f t="array" ref="T19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196" s="5">
        <v>45129</v>
      </c>
      <c r="W196" s="5">
        <v>45129</v>
      </c>
      <c r="X196" s="3">
        <v>0</v>
      </c>
      <c r="Y196" s="5">
        <f ca="1">IF(Table1[[#This Row],[ChurnStatus]]="Cancelled",Table1[[#This Row],[CancellationDate]],TODAY())</f>
        <v>45129</v>
      </c>
      <c r="Z196" s="46">
        <f ca="1">IF(AND(Table1[[#This Row],[SubscriptionStart]] &lt;= TODAY(), Table1[[#This Row],[EffectiveEndDate]] &gt;= TODAY()),1,0)</f>
        <v>0</v>
      </c>
      <c r="AA196" s="46">
        <f ca="1">IF(AND(Table1[[#This Row],[SubscriptionStart]]&lt;=Settings!$A$2,Table1[[#This Row],[EffectiveEndDate]]&gt;=Settings!$A$2),1,0)</f>
        <v>0</v>
      </c>
      <c r="AB196" s="46">
        <f ca="1">IF(AND(Table1[[#This Row],[SubscriptionStart]]&lt;=Settings!$B$2,Table1[[#This Row],[EffectiveEndDate]]&gt;=Settings!$B$2),1,0)</f>
        <v>0</v>
      </c>
      <c r="AC196" s="46">
        <f ca="1">IF(AND(Table1[[#This Row],[SubscriptionStart]]&lt;=Settings!$C$2,Table1[[#This Row],[EffectiveEndDate]]&gt;=Settings!$C$2),1,0)</f>
        <v>1</v>
      </c>
      <c r="AD196" s="46">
        <f ca="1">IF(AND(Table1[[#This Row],[SubscriptionStart]]&lt;=Settings!$D$2,Table1[[#This Row],[EffectiveEndDate]]&gt;=Settings!$D$2),1,0)</f>
        <v>1</v>
      </c>
      <c r="AE196" s="46">
        <f ca="1">IF(AND(Table1[[#This Row],[SubscriptionStart]]&lt;=Settings!$E$2,Table1[[#This Row],[EffectiveEndDate]]&gt;=Settings!$E$2),1,0)</f>
        <v>0</v>
      </c>
      <c r="AF196"/>
      <c r="AG196"/>
      <c r="AH196"/>
      <c r="AI196"/>
      <c r="AJ196"/>
      <c r="AK196"/>
    </row>
    <row r="197" spans="1:37">
      <c r="A197" s="3" t="s">
        <v>795</v>
      </c>
      <c r="B197" s="3">
        <v>49</v>
      </c>
      <c r="C197" s="3" t="s">
        <v>23</v>
      </c>
      <c r="D197" s="5">
        <v>44770</v>
      </c>
      <c r="E197" s="5">
        <v>45130</v>
      </c>
      <c r="F197" s="3">
        <f ca="1">TODAY() - Table1[[#This Row],[SubscriptionStart]]</f>
        <v>1211</v>
      </c>
      <c r="G197" s="4">
        <v>12</v>
      </c>
      <c r="H197" s="3" t="s">
        <v>24</v>
      </c>
      <c r="I197" s="3" t="s">
        <v>39</v>
      </c>
      <c r="J197" s="7" cm="1">
        <f t="array" ref="J197">_xlfn.IFS(Table1[[#This Row],[Tier]]="Basic",10,Table1[[#This Row],[Tier]]="Standard",18,Table1[[#This Row],[Tier]]="Premium",25)</f>
        <v>18</v>
      </c>
      <c r="K197" s="7" cm="1">
        <f t="array" ref="K19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197" s="7" cm="1">
        <f t="array" ref="L19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197" s="3" t="str" cm="1">
        <f t="array" ref="M19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197" s="3" t="s">
        <v>34</v>
      </c>
      <c r="O197" s="3" t="s">
        <v>40</v>
      </c>
      <c r="P197" s="3" t="s">
        <v>41</v>
      </c>
      <c r="Q197" s="3" t="str" cm="1">
        <f t="array" ref="Q197">_xlfn.IFS(Table1[[#This Row],[TotalRevenue]]&lt;100,"Low",Table1[[#This Row],[TotalRevenue]]&lt;300,"Medium",Table1[[#This Row],[TotalRevenue]]&lt;600,"High",TRUE,"Very High")</f>
        <v>Medium</v>
      </c>
      <c r="R197" s="3" t="str" cm="1">
        <f t="array" ref="R19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97" s="3" t="str">
        <f>IF(Table1[[#This Row],[NextBillingDate]]="","Cancelled",IF(Table1[[#This Row],[CancellationDate]]&lt;&gt;"","Cancelled","Active"))</f>
        <v>Cancelled</v>
      </c>
      <c r="T197" s="7" cm="1">
        <f t="array" ref="T19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197" s="5">
        <v>45130</v>
      </c>
      <c r="W197" s="5">
        <v>45130</v>
      </c>
      <c r="X197" s="3">
        <v>0</v>
      </c>
      <c r="Y197" s="5">
        <f ca="1">IF(Table1[[#This Row],[ChurnStatus]]="Cancelled",Table1[[#This Row],[CancellationDate]],TODAY())</f>
        <v>45130</v>
      </c>
      <c r="Z197" s="46">
        <f ca="1">IF(AND(Table1[[#This Row],[SubscriptionStart]] &lt;= TODAY(), Table1[[#This Row],[EffectiveEndDate]] &gt;= TODAY()),1,0)</f>
        <v>0</v>
      </c>
      <c r="AA197" s="46">
        <f ca="1">IF(AND(Table1[[#This Row],[SubscriptionStart]]&lt;=Settings!$A$2,Table1[[#This Row],[EffectiveEndDate]]&gt;=Settings!$A$2),1,0)</f>
        <v>0</v>
      </c>
      <c r="AB197" s="46">
        <f ca="1">IF(AND(Table1[[#This Row],[SubscriptionStart]]&lt;=Settings!$B$2,Table1[[#This Row],[EffectiveEndDate]]&gt;=Settings!$B$2),1,0)</f>
        <v>0</v>
      </c>
      <c r="AC197" s="46">
        <f ca="1">IF(AND(Table1[[#This Row],[SubscriptionStart]]&lt;=Settings!$C$2,Table1[[#This Row],[EffectiveEndDate]]&gt;=Settings!$C$2),1,0)</f>
        <v>1</v>
      </c>
      <c r="AD197" s="46">
        <f ca="1">IF(AND(Table1[[#This Row],[SubscriptionStart]]&lt;=Settings!$D$2,Table1[[#This Row],[EffectiveEndDate]]&gt;=Settings!$D$2),1,0)</f>
        <v>1</v>
      </c>
      <c r="AE197" s="46">
        <f ca="1">IF(AND(Table1[[#This Row],[SubscriptionStart]]&lt;=Settings!$E$2,Table1[[#This Row],[EffectiveEndDate]]&gt;=Settings!$E$2),1,0)</f>
        <v>0</v>
      </c>
      <c r="AF197"/>
      <c r="AG197"/>
      <c r="AH197"/>
      <c r="AI197"/>
      <c r="AJ197"/>
      <c r="AK197"/>
    </row>
    <row r="198" spans="1:37">
      <c r="A198" s="3" t="s">
        <v>159</v>
      </c>
      <c r="B198" s="3">
        <v>53</v>
      </c>
      <c r="C198" s="3" t="s">
        <v>23</v>
      </c>
      <c r="D198" s="5">
        <v>44772</v>
      </c>
      <c r="E198" s="5">
        <v>45132</v>
      </c>
      <c r="F198" s="3">
        <f ca="1">TODAY() - Table1[[#This Row],[SubscriptionStart]]</f>
        <v>1209</v>
      </c>
      <c r="G198" s="4">
        <v>12</v>
      </c>
      <c r="H198" s="3" t="s">
        <v>24</v>
      </c>
      <c r="I198" s="3" t="s">
        <v>25</v>
      </c>
      <c r="J198" s="7" cm="1">
        <f t="array" ref="J198">_xlfn.IFS(Table1[[#This Row],[Tier]]="Basic",10,Table1[[#This Row],[Tier]]="Standard",18,Table1[[#This Row],[Tier]]="Premium",25)</f>
        <v>25</v>
      </c>
      <c r="K198" s="7" cm="1">
        <f t="array" ref="K19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198" s="7" cm="1">
        <f t="array" ref="L19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198" s="3" t="str" cm="1">
        <f t="array" ref="M19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198" s="3" t="s">
        <v>31</v>
      </c>
      <c r="O198" s="3" t="s">
        <v>49</v>
      </c>
      <c r="P198" s="3" t="s">
        <v>47</v>
      </c>
      <c r="Q198" s="3" t="str" cm="1">
        <f t="array" ref="Q198">_xlfn.IFS(Table1[[#This Row],[TotalRevenue]]&lt;100,"Low",Table1[[#This Row],[TotalRevenue]]&lt;300,"Medium",Table1[[#This Row],[TotalRevenue]]&lt;600,"High",TRUE,"Very High")</f>
        <v>Medium</v>
      </c>
      <c r="R198" s="3" t="str" cm="1">
        <f t="array" ref="R19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198" s="3" t="str">
        <f>IF(Table1[[#This Row],[NextBillingDate]]="","Cancelled",IF(Table1[[#This Row],[CancellationDate]]&lt;&gt;"","Cancelled","Active"))</f>
        <v>Cancelled</v>
      </c>
      <c r="T198" s="7" cm="1">
        <f t="array" ref="T19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198" s="5">
        <v>45132</v>
      </c>
      <c r="W198" s="5">
        <v>45132</v>
      </c>
      <c r="X198" s="3">
        <v>0</v>
      </c>
      <c r="Y198" s="5">
        <f ca="1">IF(Table1[[#This Row],[ChurnStatus]]="Cancelled",Table1[[#This Row],[CancellationDate]],TODAY())</f>
        <v>45132</v>
      </c>
      <c r="Z198" s="46">
        <f ca="1">IF(AND(Table1[[#This Row],[SubscriptionStart]] &lt;= TODAY(), Table1[[#This Row],[EffectiveEndDate]] &gt;= TODAY()),1,0)</f>
        <v>0</v>
      </c>
      <c r="AA198" s="46">
        <f ca="1">IF(AND(Table1[[#This Row],[SubscriptionStart]]&lt;=Settings!$A$2,Table1[[#This Row],[EffectiveEndDate]]&gt;=Settings!$A$2),1,0)</f>
        <v>0</v>
      </c>
      <c r="AB198" s="46">
        <f ca="1">IF(AND(Table1[[#This Row],[SubscriptionStart]]&lt;=Settings!$B$2,Table1[[#This Row],[EffectiveEndDate]]&gt;=Settings!$B$2),1,0)</f>
        <v>0</v>
      </c>
      <c r="AC198" s="46">
        <f ca="1">IF(AND(Table1[[#This Row],[SubscriptionStart]]&lt;=Settings!$C$2,Table1[[#This Row],[EffectiveEndDate]]&gt;=Settings!$C$2),1,0)</f>
        <v>1</v>
      </c>
      <c r="AD198" s="46">
        <f ca="1">IF(AND(Table1[[#This Row],[SubscriptionStart]]&lt;=Settings!$D$2,Table1[[#This Row],[EffectiveEndDate]]&gt;=Settings!$D$2),1,0)</f>
        <v>1</v>
      </c>
      <c r="AE198" s="46">
        <f ca="1">IF(AND(Table1[[#This Row],[SubscriptionStart]]&lt;=Settings!$E$2,Table1[[#This Row],[EffectiveEndDate]]&gt;=Settings!$E$2),1,0)</f>
        <v>0</v>
      </c>
      <c r="AF198"/>
      <c r="AG198"/>
      <c r="AH198"/>
      <c r="AI198"/>
      <c r="AJ198"/>
      <c r="AK198"/>
    </row>
    <row r="199" spans="1:37">
      <c r="A199" s="3" t="s">
        <v>491</v>
      </c>
      <c r="B199" s="3">
        <v>25</v>
      </c>
      <c r="C199" s="3" t="s">
        <v>37</v>
      </c>
      <c r="D199" s="5">
        <v>44772</v>
      </c>
      <c r="F199" s="3">
        <f ca="1">TODAY() - Table1[[#This Row],[SubscriptionStart]]</f>
        <v>1209</v>
      </c>
      <c r="G199" s="4">
        <v>42</v>
      </c>
      <c r="H199" s="3" t="s">
        <v>38</v>
      </c>
      <c r="I199" s="3" t="s">
        <v>25</v>
      </c>
      <c r="J199" s="7" cm="1">
        <f t="array" ref="J199">_xlfn.IFS(Table1[[#This Row],[Tier]]="Basic",10,Table1[[#This Row],[Tier]]="Standard",18,Table1[[#This Row],[Tier]]="Premium",25)</f>
        <v>25</v>
      </c>
      <c r="K199" s="7" cm="1">
        <f t="array" ref="K19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18.75</v>
      </c>
      <c r="L199" s="7" cm="1">
        <f t="array" ref="L19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765</v>
      </c>
      <c r="M199" s="3" t="str" cm="1">
        <f t="array" ref="M199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199" s="3" t="s">
        <v>31</v>
      </c>
      <c r="O199" s="3" t="s">
        <v>49</v>
      </c>
      <c r="Q199" s="3" t="str" cm="1">
        <f t="array" ref="Q199">_xlfn.IFS(Table1[[#This Row],[TotalRevenue]]&lt;100,"Low",Table1[[#This Row],[TotalRevenue]]&lt;300,"Medium",Table1[[#This Row],[TotalRevenue]]&lt;600,"High",TRUE,"Very High")</f>
        <v>Very High</v>
      </c>
      <c r="R199" s="3" t="str" cm="1">
        <f t="array" ref="R199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199" s="3" t="str">
        <f>IF(Table1[[#This Row],[NextBillingDate]]="","Cancelled",IF(Table1[[#This Row],[CancellationDate]]&lt;&gt;"","Cancelled","Active"))</f>
        <v>Active</v>
      </c>
      <c r="T199" s="7" cm="1">
        <f t="array" ref="T19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877.5</v>
      </c>
      <c r="V199" s="5">
        <v>46032</v>
      </c>
      <c r="W199" s="5">
        <v>46032</v>
      </c>
      <c r="X199" s="3">
        <v>6</v>
      </c>
      <c r="Y199" s="5">
        <f ca="1">IF(Table1[[#This Row],[ChurnStatus]]="Cancelled",Table1[[#This Row],[CancellationDate]],TODAY())</f>
        <v>45981</v>
      </c>
      <c r="Z199" s="46">
        <f ca="1">IF(AND(Table1[[#This Row],[SubscriptionStart]] &lt;= TODAY(), Table1[[#This Row],[EffectiveEndDate]] &gt;= TODAY()),1,0)</f>
        <v>1</v>
      </c>
      <c r="AA199" s="46">
        <f ca="1">IF(AND(Table1[[#This Row],[SubscriptionStart]]&lt;=Settings!$A$2,Table1[[#This Row],[EffectiveEndDate]]&gt;=Settings!$A$2),1,0)</f>
        <v>0</v>
      </c>
      <c r="AB199" s="46">
        <f ca="1">IF(AND(Table1[[#This Row],[SubscriptionStart]]&lt;=Settings!$B$2,Table1[[#This Row],[EffectiveEndDate]]&gt;=Settings!$B$2),1,0)</f>
        <v>0</v>
      </c>
      <c r="AC199" s="46">
        <f ca="1">IF(AND(Table1[[#This Row],[SubscriptionStart]]&lt;=Settings!$C$2,Table1[[#This Row],[EffectiveEndDate]]&gt;=Settings!$C$2),1,0)</f>
        <v>1</v>
      </c>
      <c r="AD199" s="46">
        <f ca="1">IF(AND(Table1[[#This Row],[SubscriptionStart]]&lt;=Settings!$D$2,Table1[[#This Row],[EffectiveEndDate]]&gt;=Settings!$D$2),1,0)</f>
        <v>1</v>
      </c>
      <c r="AE199" s="46">
        <f ca="1">IF(AND(Table1[[#This Row],[SubscriptionStart]]&lt;=Settings!$E$2,Table1[[#This Row],[EffectiveEndDate]]&gt;=Settings!$E$2),1,0)</f>
        <v>1</v>
      </c>
      <c r="AF199"/>
      <c r="AG199"/>
      <c r="AH199"/>
      <c r="AI199"/>
      <c r="AJ199"/>
      <c r="AK199"/>
    </row>
    <row r="200" spans="1:37">
      <c r="A200" s="3" t="s">
        <v>657</v>
      </c>
      <c r="B200" s="3">
        <v>50</v>
      </c>
      <c r="C200" s="3" t="s">
        <v>23</v>
      </c>
      <c r="D200" s="5">
        <v>44774</v>
      </c>
      <c r="F200" s="3">
        <f ca="1">TODAY() - Table1[[#This Row],[SubscriptionStart]]</f>
        <v>1207</v>
      </c>
      <c r="G200" s="4">
        <v>42</v>
      </c>
      <c r="H200" s="3" t="s">
        <v>38</v>
      </c>
      <c r="I200" s="3" t="s">
        <v>30</v>
      </c>
      <c r="J200" s="7" cm="1">
        <f t="array" ref="J200">_xlfn.IFS(Table1[[#This Row],[Tier]]="Basic",10,Table1[[#This Row],[Tier]]="Standard",18,Table1[[#This Row],[Tier]]="Premium",25)</f>
        <v>10</v>
      </c>
      <c r="K200" s="7" cm="1">
        <f t="array" ref="K20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200" s="7" cm="1">
        <f t="array" ref="L20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306</v>
      </c>
      <c r="M200" s="3" t="str" cm="1">
        <f t="array" ref="M20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00" s="3" t="s">
        <v>26</v>
      </c>
      <c r="O200" s="3" t="s">
        <v>27</v>
      </c>
      <c r="Q200" s="3" t="str" cm="1">
        <f t="array" ref="Q200">_xlfn.IFS(Table1[[#This Row],[TotalRevenue]]&lt;100,"Low",Table1[[#This Row],[TotalRevenue]]&lt;300,"Medium",Table1[[#This Row],[TotalRevenue]]&lt;600,"High",TRUE,"Very High")</f>
        <v>High</v>
      </c>
      <c r="R200" s="3" t="str" cm="1">
        <f t="array" ref="R20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00" s="3" t="str">
        <f>IF(Table1[[#This Row],[NextBillingDate]]="","Cancelled",IF(Table1[[#This Row],[CancellationDate]]&lt;&gt;"","Cancelled","Active"))</f>
        <v>Active</v>
      </c>
      <c r="T200" s="7" cm="1">
        <f t="array" ref="T20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351</v>
      </c>
      <c r="V200" s="5">
        <v>46034</v>
      </c>
      <c r="W200" s="5">
        <v>46034</v>
      </c>
      <c r="X200" s="3">
        <v>6</v>
      </c>
      <c r="Y200" s="5">
        <f ca="1">IF(Table1[[#This Row],[ChurnStatus]]="Cancelled",Table1[[#This Row],[CancellationDate]],TODAY())</f>
        <v>45981</v>
      </c>
      <c r="Z200" s="46">
        <f ca="1">IF(AND(Table1[[#This Row],[SubscriptionStart]] &lt;= TODAY(), Table1[[#This Row],[EffectiveEndDate]] &gt;= TODAY()),1,0)</f>
        <v>1</v>
      </c>
      <c r="AA200" s="46">
        <f ca="1">IF(AND(Table1[[#This Row],[SubscriptionStart]]&lt;=Settings!$A$2,Table1[[#This Row],[EffectiveEndDate]]&gt;=Settings!$A$2),1,0)</f>
        <v>0</v>
      </c>
      <c r="AB200" s="46">
        <f ca="1">IF(AND(Table1[[#This Row],[SubscriptionStart]]&lt;=Settings!$B$2,Table1[[#This Row],[EffectiveEndDate]]&gt;=Settings!$B$2),1,0)</f>
        <v>0</v>
      </c>
      <c r="AC200" s="46">
        <f ca="1">IF(AND(Table1[[#This Row],[SubscriptionStart]]&lt;=Settings!$C$2,Table1[[#This Row],[EffectiveEndDate]]&gt;=Settings!$C$2),1,0)</f>
        <v>1</v>
      </c>
      <c r="AD200" s="46">
        <f ca="1">IF(AND(Table1[[#This Row],[SubscriptionStart]]&lt;=Settings!$D$2,Table1[[#This Row],[EffectiveEndDate]]&gt;=Settings!$D$2),1,0)</f>
        <v>1</v>
      </c>
      <c r="AE200" s="46">
        <f ca="1">IF(AND(Table1[[#This Row],[SubscriptionStart]]&lt;=Settings!$E$2,Table1[[#This Row],[EffectiveEndDate]]&gt;=Settings!$E$2),1,0)</f>
        <v>1</v>
      </c>
      <c r="AF200"/>
      <c r="AG200"/>
      <c r="AH200"/>
      <c r="AI200"/>
      <c r="AJ200"/>
      <c r="AK200"/>
    </row>
    <row r="201" spans="1:37">
      <c r="A201" s="3" t="s">
        <v>199</v>
      </c>
      <c r="B201" s="3">
        <v>54</v>
      </c>
      <c r="C201" s="3" t="s">
        <v>37</v>
      </c>
      <c r="D201" s="5">
        <v>44776</v>
      </c>
      <c r="F201" s="3">
        <f ca="1">TODAY() - Table1[[#This Row],[SubscriptionStart]]</f>
        <v>1205</v>
      </c>
      <c r="G201" s="4">
        <v>42</v>
      </c>
      <c r="H201" s="3" t="s">
        <v>38</v>
      </c>
      <c r="I201" s="3" t="s">
        <v>39</v>
      </c>
      <c r="J201" s="7" cm="1">
        <f t="array" ref="J201">_xlfn.IFS(Table1[[#This Row],[Tier]]="Basic",10,Table1[[#This Row],[Tier]]="Standard",18,Table1[[#This Row],[Tier]]="Premium",25)</f>
        <v>18</v>
      </c>
      <c r="K201" s="7" cm="1">
        <f t="array" ref="K20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201" s="7" cm="1">
        <f t="array" ref="L20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550.79999999999995</v>
      </c>
      <c r="M201" s="3" t="str" cm="1">
        <f t="array" ref="M201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01" s="3" t="s">
        <v>34</v>
      </c>
      <c r="O201" s="3" t="s">
        <v>40</v>
      </c>
      <c r="Q201" s="3" t="str" cm="1">
        <f t="array" ref="Q201">_xlfn.IFS(Table1[[#This Row],[TotalRevenue]]&lt;100,"Low",Table1[[#This Row],[TotalRevenue]]&lt;300,"Medium",Table1[[#This Row],[TotalRevenue]]&lt;600,"High",TRUE,"Very High")</f>
        <v>High</v>
      </c>
      <c r="R201" s="3" t="str" cm="1">
        <f t="array" ref="R20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01" s="3" t="str">
        <f>IF(Table1[[#This Row],[NextBillingDate]]="","Cancelled",IF(Table1[[#This Row],[CancellationDate]]&lt;&gt;"","Cancelled","Active"))</f>
        <v>Active</v>
      </c>
      <c r="T201" s="7" cm="1">
        <f t="array" ref="T20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631.79999999999995</v>
      </c>
      <c r="V201" s="5">
        <v>46036</v>
      </c>
      <c r="W201" s="5">
        <v>46036</v>
      </c>
      <c r="X201" s="3">
        <v>6</v>
      </c>
      <c r="Y201" s="5">
        <f ca="1">IF(Table1[[#This Row],[ChurnStatus]]="Cancelled",Table1[[#This Row],[CancellationDate]],TODAY())</f>
        <v>45981</v>
      </c>
      <c r="Z201" s="46">
        <f ca="1">IF(AND(Table1[[#This Row],[SubscriptionStart]] &lt;= TODAY(), Table1[[#This Row],[EffectiveEndDate]] &gt;= TODAY()),1,0)</f>
        <v>1</v>
      </c>
      <c r="AA201" s="46">
        <f ca="1">IF(AND(Table1[[#This Row],[SubscriptionStart]]&lt;=Settings!$A$2,Table1[[#This Row],[EffectiveEndDate]]&gt;=Settings!$A$2),1,0)</f>
        <v>0</v>
      </c>
      <c r="AB201" s="46">
        <f ca="1">IF(AND(Table1[[#This Row],[SubscriptionStart]]&lt;=Settings!$B$2,Table1[[#This Row],[EffectiveEndDate]]&gt;=Settings!$B$2),1,0)</f>
        <v>0</v>
      </c>
      <c r="AC201" s="46">
        <f ca="1">IF(AND(Table1[[#This Row],[SubscriptionStart]]&lt;=Settings!$C$2,Table1[[#This Row],[EffectiveEndDate]]&gt;=Settings!$C$2),1,0)</f>
        <v>1</v>
      </c>
      <c r="AD201" s="46">
        <f ca="1">IF(AND(Table1[[#This Row],[SubscriptionStart]]&lt;=Settings!$D$2,Table1[[#This Row],[EffectiveEndDate]]&gt;=Settings!$D$2),1,0)</f>
        <v>1</v>
      </c>
      <c r="AE201" s="46">
        <f ca="1">IF(AND(Table1[[#This Row],[SubscriptionStart]]&lt;=Settings!$E$2,Table1[[#This Row],[EffectiveEndDate]]&gt;=Settings!$E$2),1,0)</f>
        <v>1</v>
      </c>
      <c r="AF201"/>
      <c r="AG201"/>
      <c r="AH201"/>
      <c r="AI201"/>
      <c r="AJ201"/>
      <c r="AK201"/>
    </row>
    <row r="202" spans="1:37">
      <c r="A202" s="3" t="s">
        <v>571</v>
      </c>
      <c r="B202" s="3">
        <v>67</v>
      </c>
      <c r="C202" s="3" t="s">
        <v>23</v>
      </c>
      <c r="D202" s="5">
        <v>44778</v>
      </c>
      <c r="E202" s="5">
        <v>44958</v>
      </c>
      <c r="F202" s="3">
        <f ca="1">TODAY() - Table1[[#This Row],[SubscriptionStart]]</f>
        <v>1203</v>
      </c>
      <c r="G202" s="4">
        <v>6</v>
      </c>
      <c r="H202" s="3" t="s">
        <v>38</v>
      </c>
      <c r="I202" s="3" t="s">
        <v>25</v>
      </c>
      <c r="J202" s="7" cm="1">
        <f t="array" ref="J202">_xlfn.IFS(Table1[[#This Row],[Tier]]="Basic",10,Table1[[#This Row],[Tier]]="Standard",18,Table1[[#This Row],[Tier]]="Premium",25)</f>
        <v>25</v>
      </c>
      <c r="K202" s="7" cm="1">
        <f t="array" ref="K20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202" s="7" cm="1">
        <f t="array" ref="L20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202" s="3" t="str" cm="1">
        <f t="array" ref="M202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02" s="3" t="s">
        <v>34</v>
      </c>
      <c r="O202" s="3" t="s">
        <v>32</v>
      </c>
      <c r="P202" s="3" t="s">
        <v>47</v>
      </c>
      <c r="Q202" s="3" t="str" cm="1">
        <f t="array" ref="Q202">_xlfn.IFS(Table1[[#This Row],[TotalRevenue]]&lt;100,"Low",Table1[[#This Row],[TotalRevenue]]&lt;300,"Medium",Table1[[#This Row],[TotalRevenue]]&lt;600,"High",TRUE,"Very High")</f>
        <v>Medium</v>
      </c>
      <c r="R202" s="3" t="str" cm="1">
        <f t="array" ref="R202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02" s="3" t="str">
        <f>IF(Table1[[#This Row],[NextBillingDate]]="","Cancelled",IF(Table1[[#This Row],[CancellationDate]]&lt;&gt;"","Cancelled","Active"))</f>
        <v>Cancelled</v>
      </c>
      <c r="T202" s="7" cm="1">
        <f t="array" ref="T20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202" s="5">
        <v>44958</v>
      </c>
      <c r="W202" s="5">
        <v>44958</v>
      </c>
      <c r="X202" s="3">
        <v>0</v>
      </c>
      <c r="Y202" s="5">
        <f ca="1">IF(Table1[[#This Row],[ChurnStatus]]="Cancelled",Table1[[#This Row],[CancellationDate]],TODAY())</f>
        <v>44958</v>
      </c>
      <c r="Z202" s="46">
        <f ca="1">IF(AND(Table1[[#This Row],[SubscriptionStart]] &lt;= TODAY(), Table1[[#This Row],[EffectiveEndDate]] &gt;= TODAY()),1,0)</f>
        <v>0</v>
      </c>
      <c r="AA202" s="46">
        <f ca="1">IF(AND(Table1[[#This Row],[SubscriptionStart]]&lt;=Settings!$A$2,Table1[[#This Row],[EffectiveEndDate]]&gt;=Settings!$A$2),1,0)</f>
        <v>0</v>
      </c>
      <c r="AB202" s="46">
        <f ca="1">IF(AND(Table1[[#This Row],[SubscriptionStart]]&lt;=Settings!$B$2,Table1[[#This Row],[EffectiveEndDate]]&gt;=Settings!$B$2),1,0)</f>
        <v>0</v>
      </c>
      <c r="AC202" s="46">
        <f ca="1">IF(AND(Table1[[#This Row],[SubscriptionStart]]&lt;=Settings!$C$2,Table1[[#This Row],[EffectiveEndDate]]&gt;=Settings!$C$2),1,0)</f>
        <v>1</v>
      </c>
      <c r="AD202" s="46">
        <f ca="1">IF(AND(Table1[[#This Row],[SubscriptionStart]]&lt;=Settings!$D$2,Table1[[#This Row],[EffectiveEndDate]]&gt;=Settings!$D$2),1,0)</f>
        <v>0</v>
      </c>
      <c r="AE202" s="46">
        <f ca="1">IF(AND(Table1[[#This Row],[SubscriptionStart]]&lt;=Settings!$E$2,Table1[[#This Row],[EffectiveEndDate]]&gt;=Settings!$E$2),1,0)</f>
        <v>0</v>
      </c>
      <c r="AF202"/>
      <c r="AG202"/>
      <c r="AH202"/>
      <c r="AI202"/>
      <c r="AJ202"/>
      <c r="AK202"/>
    </row>
    <row r="203" spans="1:37">
      <c r="A203" s="3" t="s">
        <v>775</v>
      </c>
      <c r="B203" s="3">
        <v>68</v>
      </c>
      <c r="C203" s="3" t="s">
        <v>37</v>
      </c>
      <c r="D203" s="5">
        <v>44778</v>
      </c>
      <c r="E203" s="5">
        <v>45138</v>
      </c>
      <c r="F203" s="3">
        <f ca="1">TODAY() - Table1[[#This Row],[SubscriptionStart]]</f>
        <v>1203</v>
      </c>
      <c r="G203" s="4">
        <v>12</v>
      </c>
      <c r="H203" s="3" t="s">
        <v>24</v>
      </c>
      <c r="I203" s="3" t="s">
        <v>39</v>
      </c>
      <c r="J203" s="7" cm="1">
        <f t="array" ref="J203">_xlfn.IFS(Table1[[#This Row],[Tier]]="Basic",10,Table1[[#This Row],[Tier]]="Standard",18,Table1[[#This Row],[Tier]]="Premium",25)</f>
        <v>18</v>
      </c>
      <c r="K203" s="7" cm="1">
        <f t="array" ref="K20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203" s="7" cm="1">
        <f t="array" ref="L20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203" s="3" t="str" cm="1">
        <f t="array" ref="M203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03" s="3" t="s">
        <v>26</v>
      </c>
      <c r="O203" s="3" t="s">
        <v>27</v>
      </c>
      <c r="P203" s="3" t="s">
        <v>41</v>
      </c>
      <c r="Q203" s="3" t="str" cm="1">
        <f t="array" ref="Q203">_xlfn.IFS(Table1[[#This Row],[TotalRevenue]]&lt;100,"Low",Table1[[#This Row],[TotalRevenue]]&lt;300,"Medium",Table1[[#This Row],[TotalRevenue]]&lt;600,"High",TRUE,"Very High")</f>
        <v>Medium</v>
      </c>
      <c r="R203" s="3" t="str" cm="1">
        <f t="array" ref="R203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03" s="3" t="str">
        <f>IF(Table1[[#This Row],[NextBillingDate]]="","Cancelled",IF(Table1[[#This Row],[CancellationDate]]&lt;&gt;"","Cancelled","Active"))</f>
        <v>Cancelled</v>
      </c>
      <c r="T203" s="7" cm="1">
        <f t="array" ref="T20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203" s="5">
        <v>45138</v>
      </c>
      <c r="W203" s="5">
        <v>45138</v>
      </c>
      <c r="X203" s="3">
        <v>0</v>
      </c>
      <c r="Y203" s="5">
        <f ca="1">IF(Table1[[#This Row],[ChurnStatus]]="Cancelled",Table1[[#This Row],[CancellationDate]],TODAY())</f>
        <v>45138</v>
      </c>
      <c r="Z203" s="46">
        <f ca="1">IF(AND(Table1[[#This Row],[SubscriptionStart]] &lt;= TODAY(), Table1[[#This Row],[EffectiveEndDate]] &gt;= TODAY()),1,0)</f>
        <v>0</v>
      </c>
      <c r="AA203" s="46">
        <f ca="1">IF(AND(Table1[[#This Row],[SubscriptionStart]]&lt;=Settings!$A$2,Table1[[#This Row],[EffectiveEndDate]]&gt;=Settings!$A$2),1,0)</f>
        <v>0</v>
      </c>
      <c r="AB203" s="46">
        <f ca="1">IF(AND(Table1[[#This Row],[SubscriptionStart]]&lt;=Settings!$B$2,Table1[[#This Row],[EffectiveEndDate]]&gt;=Settings!$B$2),1,0)</f>
        <v>0</v>
      </c>
      <c r="AC203" s="46">
        <f ca="1">IF(AND(Table1[[#This Row],[SubscriptionStart]]&lt;=Settings!$C$2,Table1[[#This Row],[EffectiveEndDate]]&gt;=Settings!$C$2),1,0)</f>
        <v>1</v>
      </c>
      <c r="AD203" s="46">
        <f ca="1">IF(AND(Table1[[#This Row],[SubscriptionStart]]&lt;=Settings!$D$2,Table1[[#This Row],[EffectiveEndDate]]&gt;=Settings!$D$2),1,0)</f>
        <v>1</v>
      </c>
      <c r="AE203" s="46">
        <f ca="1">IF(AND(Table1[[#This Row],[SubscriptionStart]]&lt;=Settings!$E$2,Table1[[#This Row],[EffectiveEndDate]]&gt;=Settings!$E$2),1,0)</f>
        <v>0</v>
      </c>
      <c r="AF203"/>
      <c r="AG203"/>
      <c r="AH203"/>
      <c r="AI203"/>
      <c r="AJ203"/>
      <c r="AK203"/>
    </row>
    <row r="204" spans="1:37">
      <c r="A204" s="3" t="s">
        <v>119</v>
      </c>
      <c r="B204" s="3">
        <v>56</v>
      </c>
      <c r="C204" s="3" t="s">
        <v>23</v>
      </c>
      <c r="D204" s="5">
        <v>44779</v>
      </c>
      <c r="E204" s="5">
        <v>44809</v>
      </c>
      <c r="F204" s="3">
        <f ca="1">TODAY() - Table1[[#This Row],[SubscriptionStart]]</f>
        <v>1202</v>
      </c>
      <c r="G204" s="4">
        <v>1</v>
      </c>
      <c r="H204" s="3" t="s">
        <v>29</v>
      </c>
      <c r="I204" s="3" t="s">
        <v>30</v>
      </c>
      <c r="J204" s="7" cm="1">
        <f t="array" ref="J204">_xlfn.IFS(Table1[[#This Row],[Tier]]="Basic",10,Table1[[#This Row],[Tier]]="Standard",18,Table1[[#This Row],[Tier]]="Premium",25)</f>
        <v>10</v>
      </c>
      <c r="K204" s="7" cm="1">
        <f t="array" ref="K20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204" s="7" cm="1">
        <f t="array" ref="L20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204" s="3" t="str" cm="1">
        <f t="array" ref="M204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04" s="3" t="s">
        <v>52</v>
      </c>
      <c r="O204" s="3" t="s">
        <v>32</v>
      </c>
      <c r="P204" s="3" t="s">
        <v>44</v>
      </c>
      <c r="Q204" s="3" t="str" cm="1">
        <f t="array" ref="Q204">_xlfn.IFS(Table1[[#This Row],[TotalRevenue]]&lt;100,"Low",Table1[[#This Row],[TotalRevenue]]&lt;300,"Medium",Table1[[#This Row],[TotalRevenue]]&lt;600,"High",TRUE,"Very High")</f>
        <v>Low</v>
      </c>
      <c r="R204" s="3" t="str" cm="1">
        <f t="array" ref="R20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04" s="3" t="str">
        <f>IF(Table1[[#This Row],[NextBillingDate]]="","Cancelled",IF(Table1[[#This Row],[CancellationDate]]&lt;&gt;"","Cancelled","Active"))</f>
        <v>Cancelled</v>
      </c>
      <c r="T204" s="7" cm="1">
        <f t="array" ref="T20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204" s="5">
        <v>44809</v>
      </c>
      <c r="W204" s="5">
        <v>44809</v>
      </c>
      <c r="X204" s="3">
        <v>0</v>
      </c>
      <c r="Y204" s="5">
        <f ca="1">IF(Table1[[#This Row],[ChurnStatus]]="Cancelled",Table1[[#This Row],[CancellationDate]],TODAY())</f>
        <v>44809</v>
      </c>
      <c r="Z204" s="46">
        <f ca="1">IF(AND(Table1[[#This Row],[SubscriptionStart]] &lt;= TODAY(), Table1[[#This Row],[EffectiveEndDate]] &gt;= TODAY()),1,0)</f>
        <v>0</v>
      </c>
      <c r="AA204" s="46">
        <f ca="1">IF(AND(Table1[[#This Row],[SubscriptionStart]]&lt;=Settings!$A$2,Table1[[#This Row],[EffectiveEndDate]]&gt;=Settings!$A$2),1,0)</f>
        <v>0</v>
      </c>
      <c r="AB204" s="46">
        <f ca="1">IF(AND(Table1[[#This Row],[SubscriptionStart]]&lt;=Settings!$B$2,Table1[[#This Row],[EffectiveEndDate]]&gt;=Settings!$B$2),1,0)</f>
        <v>0</v>
      </c>
      <c r="AC204" s="46">
        <f ca="1">IF(AND(Table1[[#This Row],[SubscriptionStart]]&lt;=Settings!$C$2,Table1[[#This Row],[EffectiveEndDate]]&gt;=Settings!$C$2),1,0)</f>
        <v>0</v>
      </c>
      <c r="AD204" s="46">
        <f ca="1">IF(AND(Table1[[#This Row],[SubscriptionStart]]&lt;=Settings!$D$2,Table1[[#This Row],[EffectiveEndDate]]&gt;=Settings!$D$2),1,0)</f>
        <v>0</v>
      </c>
      <c r="AE204" s="46">
        <f ca="1">IF(AND(Table1[[#This Row],[SubscriptionStart]]&lt;=Settings!$E$2,Table1[[#This Row],[EffectiveEndDate]]&gt;=Settings!$E$2),1,0)</f>
        <v>0</v>
      </c>
      <c r="AF204"/>
      <c r="AG204"/>
      <c r="AH204"/>
      <c r="AI204"/>
      <c r="AJ204"/>
      <c r="AK204"/>
    </row>
    <row r="205" spans="1:37">
      <c r="A205" s="3" t="s">
        <v>166</v>
      </c>
      <c r="B205" s="3">
        <v>75</v>
      </c>
      <c r="C205" s="3" t="s">
        <v>23</v>
      </c>
      <c r="D205" s="5">
        <v>44779</v>
      </c>
      <c r="E205" s="5">
        <v>45139</v>
      </c>
      <c r="F205" s="3">
        <f ca="1">TODAY() - Table1[[#This Row],[SubscriptionStart]]</f>
        <v>1202</v>
      </c>
      <c r="G205" s="4">
        <v>12</v>
      </c>
      <c r="H205" s="3" t="s">
        <v>24</v>
      </c>
      <c r="I205" s="3" t="s">
        <v>39</v>
      </c>
      <c r="J205" s="7" cm="1">
        <f t="array" ref="J205">_xlfn.IFS(Table1[[#This Row],[Tier]]="Basic",10,Table1[[#This Row],[Tier]]="Standard",18,Table1[[#This Row],[Tier]]="Premium",25)</f>
        <v>18</v>
      </c>
      <c r="K205" s="7" cm="1">
        <f t="array" ref="K20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205" s="7" cm="1">
        <f t="array" ref="L20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205" s="3" t="str" cm="1">
        <f t="array" ref="M205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205" s="3" t="s">
        <v>31</v>
      </c>
      <c r="O205" s="3" t="s">
        <v>40</v>
      </c>
      <c r="P205" s="3" t="s">
        <v>50</v>
      </c>
      <c r="Q205" s="3" t="str" cm="1">
        <f t="array" ref="Q205">_xlfn.IFS(Table1[[#This Row],[TotalRevenue]]&lt;100,"Low",Table1[[#This Row],[TotalRevenue]]&lt;300,"Medium",Table1[[#This Row],[TotalRevenue]]&lt;600,"High",TRUE,"Very High")</f>
        <v>Medium</v>
      </c>
      <c r="R205" s="3" t="str" cm="1">
        <f t="array" ref="R205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205" s="3" t="str">
        <f>IF(Table1[[#This Row],[NextBillingDate]]="","Cancelled",IF(Table1[[#This Row],[CancellationDate]]&lt;&gt;"","Cancelled","Active"))</f>
        <v>Cancelled</v>
      </c>
      <c r="T205" s="7" cm="1">
        <f t="array" ref="T20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205" s="5">
        <v>45139</v>
      </c>
      <c r="W205" s="5">
        <v>45139</v>
      </c>
      <c r="X205" s="3">
        <v>0</v>
      </c>
      <c r="Y205" s="5">
        <f ca="1">IF(Table1[[#This Row],[ChurnStatus]]="Cancelled",Table1[[#This Row],[CancellationDate]],TODAY())</f>
        <v>45139</v>
      </c>
      <c r="Z205" s="46">
        <f ca="1">IF(AND(Table1[[#This Row],[SubscriptionStart]] &lt;= TODAY(), Table1[[#This Row],[EffectiveEndDate]] &gt;= TODAY()),1,0)</f>
        <v>0</v>
      </c>
      <c r="AA205" s="46">
        <f ca="1">IF(AND(Table1[[#This Row],[SubscriptionStart]]&lt;=Settings!$A$2,Table1[[#This Row],[EffectiveEndDate]]&gt;=Settings!$A$2),1,0)</f>
        <v>0</v>
      </c>
      <c r="AB205" s="46">
        <f ca="1">IF(AND(Table1[[#This Row],[SubscriptionStart]]&lt;=Settings!$B$2,Table1[[#This Row],[EffectiveEndDate]]&gt;=Settings!$B$2),1,0)</f>
        <v>0</v>
      </c>
      <c r="AC205" s="46">
        <f ca="1">IF(AND(Table1[[#This Row],[SubscriptionStart]]&lt;=Settings!$C$2,Table1[[#This Row],[EffectiveEndDate]]&gt;=Settings!$C$2),1,0)</f>
        <v>1</v>
      </c>
      <c r="AD205" s="46">
        <f ca="1">IF(AND(Table1[[#This Row],[SubscriptionStart]]&lt;=Settings!$D$2,Table1[[#This Row],[EffectiveEndDate]]&gt;=Settings!$D$2),1,0)</f>
        <v>1</v>
      </c>
      <c r="AE205" s="46">
        <f ca="1">IF(AND(Table1[[#This Row],[SubscriptionStart]]&lt;=Settings!$E$2,Table1[[#This Row],[EffectiveEndDate]]&gt;=Settings!$E$2),1,0)</f>
        <v>0</v>
      </c>
      <c r="AF205"/>
      <c r="AG205"/>
      <c r="AH205"/>
      <c r="AI205"/>
      <c r="AJ205"/>
      <c r="AK205"/>
    </row>
    <row r="206" spans="1:37">
      <c r="A206" s="3" t="s">
        <v>434</v>
      </c>
      <c r="B206" s="3">
        <v>38</v>
      </c>
      <c r="C206" s="3" t="s">
        <v>23</v>
      </c>
      <c r="D206" s="5">
        <v>44779</v>
      </c>
      <c r="F206" s="3">
        <f ca="1">TODAY() - Table1[[#This Row],[SubscriptionStart]]</f>
        <v>1202</v>
      </c>
      <c r="G206" s="4">
        <v>42</v>
      </c>
      <c r="H206" s="3" t="s">
        <v>38</v>
      </c>
      <c r="I206" s="3" t="s">
        <v>25</v>
      </c>
      <c r="J206" s="7" cm="1">
        <f t="array" ref="J206">_xlfn.IFS(Table1[[#This Row],[Tier]]="Basic",10,Table1[[#This Row],[Tier]]="Standard",18,Table1[[#This Row],[Tier]]="Premium",25)</f>
        <v>25</v>
      </c>
      <c r="K206" s="7" cm="1">
        <f t="array" ref="K20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18.75</v>
      </c>
      <c r="L206" s="7" cm="1">
        <f t="array" ref="L20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765</v>
      </c>
      <c r="M206" s="3" t="str" cm="1">
        <f t="array" ref="M20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06" s="3" t="s">
        <v>26</v>
      </c>
      <c r="O206" s="3" t="s">
        <v>27</v>
      </c>
      <c r="Q206" s="3" t="str" cm="1">
        <f t="array" ref="Q206">_xlfn.IFS(Table1[[#This Row],[TotalRevenue]]&lt;100,"Low",Table1[[#This Row],[TotalRevenue]]&lt;300,"Medium",Table1[[#This Row],[TotalRevenue]]&lt;600,"High",TRUE,"Very High")</f>
        <v>Very High</v>
      </c>
      <c r="R206" s="3" t="str" cm="1">
        <f t="array" ref="R20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06" s="3" t="str">
        <f>IF(Table1[[#This Row],[NextBillingDate]]="","Cancelled",IF(Table1[[#This Row],[CancellationDate]]&lt;&gt;"","Cancelled","Active"))</f>
        <v>Active</v>
      </c>
      <c r="T206" s="7" cm="1">
        <f t="array" ref="T20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877.5</v>
      </c>
      <c r="V206" s="5">
        <v>46039</v>
      </c>
      <c r="W206" s="5">
        <v>46039</v>
      </c>
      <c r="X206" s="3">
        <v>6</v>
      </c>
      <c r="Y206" s="5">
        <f ca="1">IF(Table1[[#This Row],[ChurnStatus]]="Cancelled",Table1[[#This Row],[CancellationDate]],TODAY())</f>
        <v>45981</v>
      </c>
      <c r="Z206" s="46">
        <f ca="1">IF(AND(Table1[[#This Row],[SubscriptionStart]] &lt;= TODAY(), Table1[[#This Row],[EffectiveEndDate]] &gt;= TODAY()),1,0)</f>
        <v>1</v>
      </c>
      <c r="AA206" s="46">
        <f ca="1">IF(AND(Table1[[#This Row],[SubscriptionStart]]&lt;=Settings!$A$2,Table1[[#This Row],[EffectiveEndDate]]&gt;=Settings!$A$2),1,0)</f>
        <v>0</v>
      </c>
      <c r="AB206" s="46">
        <f ca="1">IF(AND(Table1[[#This Row],[SubscriptionStart]]&lt;=Settings!$B$2,Table1[[#This Row],[EffectiveEndDate]]&gt;=Settings!$B$2),1,0)</f>
        <v>0</v>
      </c>
      <c r="AC206" s="46">
        <f ca="1">IF(AND(Table1[[#This Row],[SubscriptionStart]]&lt;=Settings!$C$2,Table1[[#This Row],[EffectiveEndDate]]&gt;=Settings!$C$2),1,0)</f>
        <v>1</v>
      </c>
      <c r="AD206" s="46">
        <f ca="1">IF(AND(Table1[[#This Row],[SubscriptionStart]]&lt;=Settings!$D$2,Table1[[#This Row],[EffectiveEndDate]]&gt;=Settings!$D$2),1,0)</f>
        <v>1</v>
      </c>
      <c r="AE206" s="46">
        <f ca="1">IF(AND(Table1[[#This Row],[SubscriptionStart]]&lt;=Settings!$E$2,Table1[[#This Row],[EffectiveEndDate]]&gt;=Settings!$E$2),1,0)</f>
        <v>1</v>
      </c>
      <c r="AF206"/>
      <c r="AG206"/>
      <c r="AH206"/>
      <c r="AI206"/>
      <c r="AJ206"/>
      <c r="AK206"/>
    </row>
    <row r="207" spans="1:37">
      <c r="A207" s="3" t="s">
        <v>164</v>
      </c>
      <c r="B207" s="3">
        <v>71</v>
      </c>
      <c r="C207" s="3" t="s">
        <v>23</v>
      </c>
      <c r="D207" s="5">
        <v>44781</v>
      </c>
      <c r="F207" s="3">
        <f ca="1">TODAY() - Table1[[#This Row],[SubscriptionStart]]</f>
        <v>1200</v>
      </c>
      <c r="G207" s="4">
        <v>42</v>
      </c>
      <c r="H207" s="3" t="s">
        <v>38</v>
      </c>
      <c r="I207" s="3" t="s">
        <v>30</v>
      </c>
      <c r="J207" s="7" cm="1">
        <f t="array" ref="J207">_xlfn.IFS(Table1[[#This Row],[Tier]]="Basic",10,Table1[[#This Row],[Tier]]="Standard",18,Table1[[#This Row],[Tier]]="Premium",25)</f>
        <v>10</v>
      </c>
      <c r="K207" s="7" cm="1">
        <f t="array" ref="K20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207" s="7" cm="1">
        <f t="array" ref="L20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306</v>
      </c>
      <c r="M207" s="3" t="str" cm="1">
        <f t="array" ref="M207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207" s="3" t="s">
        <v>31</v>
      </c>
      <c r="O207" s="3" t="s">
        <v>27</v>
      </c>
      <c r="Q207" s="3" t="str" cm="1">
        <f t="array" ref="Q207">_xlfn.IFS(Table1[[#This Row],[TotalRevenue]]&lt;100,"Low",Table1[[#This Row],[TotalRevenue]]&lt;300,"Medium",Table1[[#This Row],[TotalRevenue]]&lt;600,"High",TRUE,"Very High")</f>
        <v>High</v>
      </c>
      <c r="R207" s="3" t="str" cm="1">
        <f t="array" ref="R207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207" s="3" t="str">
        <f>IF(Table1[[#This Row],[NextBillingDate]]="","Cancelled",IF(Table1[[#This Row],[CancellationDate]]&lt;&gt;"","Cancelled","Active"))</f>
        <v>Active</v>
      </c>
      <c r="T207" s="7" cm="1">
        <f t="array" ref="T20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351</v>
      </c>
      <c r="V207" s="5">
        <v>46041</v>
      </c>
      <c r="W207" s="5">
        <v>46041</v>
      </c>
      <c r="X207" s="3">
        <v>6</v>
      </c>
      <c r="Y207" s="5">
        <f ca="1">IF(Table1[[#This Row],[ChurnStatus]]="Cancelled",Table1[[#This Row],[CancellationDate]],TODAY())</f>
        <v>45981</v>
      </c>
      <c r="Z207" s="46">
        <f ca="1">IF(AND(Table1[[#This Row],[SubscriptionStart]] &lt;= TODAY(), Table1[[#This Row],[EffectiveEndDate]] &gt;= TODAY()),1,0)</f>
        <v>1</v>
      </c>
      <c r="AA207" s="46">
        <f ca="1">IF(AND(Table1[[#This Row],[SubscriptionStart]]&lt;=Settings!$A$2,Table1[[#This Row],[EffectiveEndDate]]&gt;=Settings!$A$2),1,0)</f>
        <v>0</v>
      </c>
      <c r="AB207" s="46">
        <f ca="1">IF(AND(Table1[[#This Row],[SubscriptionStart]]&lt;=Settings!$B$2,Table1[[#This Row],[EffectiveEndDate]]&gt;=Settings!$B$2),1,0)</f>
        <v>0</v>
      </c>
      <c r="AC207" s="46">
        <f ca="1">IF(AND(Table1[[#This Row],[SubscriptionStart]]&lt;=Settings!$C$2,Table1[[#This Row],[EffectiveEndDate]]&gt;=Settings!$C$2),1,0)</f>
        <v>1</v>
      </c>
      <c r="AD207" s="46">
        <f ca="1">IF(AND(Table1[[#This Row],[SubscriptionStart]]&lt;=Settings!$D$2,Table1[[#This Row],[EffectiveEndDate]]&gt;=Settings!$D$2),1,0)</f>
        <v>1</v>
      </c>
      <c r="AE207" s="46">
        <f ca="1">IF(AND(Table1[[#This Row],[SubscriptionStart]]&lt;=Settings!$E$2,Table1[[#This Row],[EffectiveEndDate]]&gt;=Settings!$E$2),1,0)</f>
        <v>1</v>
      </c>
      <c r="AF207"/>
      <c r="AG207"/>
      <c r="AH207"/>
      <c r="AI207"/>
      <c r="AJ207"/>
      <c r="AK207"/>
    </row>
    <row r="208" spans="1:37">
      <c r="A208" s="3" t="s">
        <v>818</v>
      </c>
      <c r="B208" s="3">
        <v>71</v>
      </c>
      <c r="C208" s="3" t="s">
        <v>37</v>
      </c>
      <c r="D208" s="5">
        <v>44782</v>
      </c>
      <c r="E208" s="5">
        <v>45142</v>
      </c>
      <c r="F208" s="3">
        <f ca="1">TODAY() - Table1[[#This Row],[SubscriptionStart]]</f>
        <v>1199</v>
      </c>
      <c r="G208" s="4">
        <v>12</v>
      </c>
      <c r="H208" s="3" t="s">
        <v>24</v>
      </c>
      <c r="I208" s="3" t="s">
        <v>30</v>
      </c>
      <c r="J208" s="7" cm="1">
        <f t="array" ref="J208">_xlfn.IFS(Table1[[#This Row],[Tier]]="Basic",10,Table1[[#This Row],[Tier]]="Standard",18,Table1[[#This Row],[Tier]]="Premium",25)</f>
        <v>10</v>
      </c>
      <c r="K208" s="7" cm="1">
        <f t="array" ref="K20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08" s="7" cm="1">
        <f t="array" ref="L20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08" s="3" t="str" cm="1">
        <f t="array" ref="M208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208" s="3" t="s">
        <v>31</v>
      </c>
      <c r="O208" s="3" t="s">
        <v>40</v>
      </c>
      <c r="P208" s="3" t="s">
        <v>44</v>
      </c>
      <c r="Q208" s="3" t="str" cm="1">
        <f t="array" ref="Q208">_xlfn.IFS(Table1[[#This Row],[TotalRevenue]]&lt;100,"Low",Table1[[#This Row],[TotalRevenue]]&lt;300,"Medium",Table1[[#This Row],[TotalRevenue]]&lt;600,"High",TRUE,"Very High")</f>
        <v>Low</v>
      </c>
      <c r="R208" s="3" t="str" cm="1">
        <f t="array" ref="R208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208" s="3" t="str">
        <f>IF(Table1[[#This Row],[NextBillingDate]]="","Cancelled",IF(Table1[[#This Row],[CancellationDate]]&lt;&gt;"","Cancelled","Active"))</f>
        <v>Cancelled</v>
      </c>
      <c r="T208" s="7" cm="1">
        <f t="array" ref="T20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08" s="5">
        <v>45142</v>
      </c>
      <c r="W208" s="5">
        <v>45142</v>
      </c>
      <c r="X208" s="3">
        <v>0</v>
      </c>
      <c r="Y208" s="5">
        <f ca="1">IF(Table1[[#This Row],[ChurnStatus]]="Cancelled",Table1[[#This Row],[CancellationDate]],TODAY())</f>
        <v>45142</v>
      </c>
      <c r="Z208" s="46">
        <f ca="1">IF(AND(Table1[[#This Row],[SubscriptionStart]] &lt;= TODAY(), Table1[[#This Row],[EffectiveEndDate]] &gt;= TODAY()),1,0)</f>
        <v>0</v>
      </c>
      <c r="AA208" s="46">
        <f ca="1">IF(AND(Table1[[#This Row],[SubscriptionStart]]&lt;=Settings!$A$2,Table1[[#This Row],[EffectiveEndDate]]&gt;=Settings!$A$2),1,0)</f>
        <v>0</v>
      </c>
      <c r="AB208" s="46">
        <f ca="1">IF(AND(Table1[[#This Row],[SubscriptionStart]]&lt;=Settings!$B$2,Table1[[#This Row],[EffectiveEndDate]]&gt;=Settings!$B$2),1,0)</f>
        <v>0</v>
      </c>
      <c r="AC208" s="46">
        <f ca="1">IF(AND(Table1[[#This Row],[SubscriptionStart]]&lt;=Settings!$C$2,Table1[[#This Row],[EffectiveEndDate]]&gt;=Settings!$C$2),1,0)</f>
        <v>1</v>
      </c>
      <c r="AD208" s="46">
        <f ca="1">IF(AND(Table1[[#This Row],[SubscriptionStart]]&lt;=Settings!$D$2,Table1[[#This Row],[EffectiveEndDate]]&gt;=Settings!$D$2),1,0)</f>
        <v>1</v>
      </c>
      <c r="AE208" s="46">
        <f ca="1">IF(AND(Table1[[#This Row],[SubscriptionStart]]&lt;=Settings!$E$2,Table1[[#This Row],[EffectiveEndDate]]&gt;=Settings!$E$2),1,0)</f>
        <v>0</v>
      </c>
      <c r="AF208"/>
      <c r="AG208"/>
      <c r="AH208"/>
      <c r="AI208"/>
      <c r="AJ208"/>
      <c r="AK208"/>
    </row>
    <row r="209" spans="1:37">
      <c r="A209" s="3" t="s">
        <v>118</v>
      </c>
      <c r="B209" s="3">
        <v>71</v>
      </c>
      <c r="C209" s="3" t="s">
        <v>37</v>
      </c>
      <c r="D209" s="5">
        <v>44783</v>
      </c>
      <c r="E209" s="5">
        <v>45143</v>
      </c>
      <c r="F209" s="3">
        <f ca="1">TODAY() - Table1[[#This Row],[SubscriptionStart]]</f>
        <v>1198</v>
      </c>
      <c r="G209" s="4">
        <v>12</v>
      </c>
      <c r="H209" s="3" t="s">
        <v>24</v>
      </c>
      <c r="I209" s="3" t="s">
        <v>30</v>
      </c>
      <c r="J209" s="7" cm="1">
        <f t="array" ref="J209">_xlfn.IFS(Table1[[#This Row],[Tier]]="Basic",10,Table1[[#This Row],[Tier]]="Standard",18,Table1[[#This Row],[Tier]]="Premium",25)</f>
        <v>10</v>
      </c>
      <c r="K209" s="7" cm="1">
        <f t="array" ref="K20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09" s="7" cm="1">
        <f t="array" ref="L20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09" s="3" t="str" cm="1">
        <f t="array" ref="M209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209" s="3" t="s">
        <v>31</v>
      </c>
      <c r="O209" s="3" t="s">
        <v>32</v>
      </c>
      <c r="P209" s="3" t="s">
        <v>44</v>
      </c>
      <c r="Q209" s="3" t="str" cm="1">
        <f t="array" ref="Q209">_xlfn.IFS(Table1[[#This Row],[TotalRevenue]]&lt;100,"Low",Table1[[#This Row],[TotalRevenue]]&lt;300,"Medium",Table1[[#This Row],[TotalRevenue]]&lt;600,"High",TRUE,"Very High")</f>
        <v>Low</v>
      </c>
      <c r="R209" s="3" t="str" cm="1">
        <f t="array" ref="R209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209" s="3" t="str">
        <f>IF(Table1[[#This Row],[NextBillingDate]]="","Cancelled",IF(Table1[[#This Row],[CancellationDate]]&lt;&gt;"","Cancelled","Active"))</f>
        <v>Cancelled</v>
      </c>
      <c r="T209" s="7" cm="1">
        <f t="array" ref="T20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09" s="5">
        <v>45143</v>
      </c>
      <c r="W209" s="5">
        <v>45143</v>
      </c>
      <c r="X209" s="3">
        <v>0</v>
      </c>
      <c r="Y209" s="5">
        <f ca="1">IF(Table1[[#This Row],[ChurnStatus]]="Cancelled",Table1[[#This Row],[CancellationDate]],TODAY())</f>
        <v>45143</v>
      </c>
      <c r="Z209" s="46">
        <f ca="1">IF(AND(Table1[[#This Row],[SubscriptionStart]] &lt;= TODAY(), Table1[[#This Row],[EffectiveEndDate]] &gt;= TODAY()),1,0)</f>
        <v>0</v>
      </c>
      <c r="AA209" s="46">
        <f ca="1">IF(AND(Table1[[#This Row],[SubscriptionStart]]&lt;=Settings!$A$2,Table1[[#This Row],[EffectiveEndDate]]&gt;=Settings!$A$2),1,0)</f>
        <v>0</v>
      </c>
      <c r="AB209" s="46">
        <f ca="1">IF(AND(Table1[[#This Row],[SubscriptionStart]]&lt;=Settings!$B$2,Table1[[#This Row],[EffectiveEndDate]]&gt;=Settings!$B$2),1,0)</f>
        <v>0</v>
      </c>
      <c r="AC209" s="46">
        <f ca="1">IF(AND(Table1[[#This Row],[SubscriptionStart]]&lt;=Settings!$C$2,Table1[[#This Row],[EffectiveEndDate]]&gt;=Settings!$C$2),1,0)</f>
        <v>1</v>
      </c>
      <c r="AD209" s="46">
        <f ca="1">IF(AND(Table1[[#This Row],[SubscriptionStart]]&lt;=Settings!$D$2,Table1[[#This Row],[EffectiveEndDate]]&gt;=Settings!$D$2),1,0)</f>
        <v>1</v>
      </c>
      <c r="AE209" s="46">
        <f ca="1">IF(AND(Table1[[#This Row],[SubscriptionStart]]&lt;=Settings!$E$2,Table1[[#This Row],[EffectiveEndDate]]&gt;=Settings!$E$2),1,0)</f>
        <v>0</v>
      </c>
      <c r="AF209"/>
      <c r="AG209"/>
      <c r="AH209"/>
      <c r="AI209"/>
      <c r="AJ209"/>
      <c r="AK209"/>
    </row>
    <row r="210" spans="1:37">
      <c r="A210" s="3" t="s">
        <v>431</v>
      </c>
      <c r="B210" s="3">
        <v>54</v>
      </c>
      <c r="C210" s="3" t="s">
        <v>37</v>
      </c>
      <c r="D210" s="5">
        <v>44784</v>
      </c>
      <c r="E210" s="5">
        <v>45144</v>
      </c>
      <c r="F210" s="3">
        <f ca="1">TODAY() - Table1[[#This Row],[SubscriptionStart]]</f>
        <v>1197</v>
      </c>
      <c r="G210" s="4">
        <v>12</v>
      </c>
      <c r="H210" s="3" t="s">
        <v>24</v>
      </c>
      <c r="I210" s="3" t="s">
        <v>39</v>
      </c>
      <c r="J210" s="7" cm="1">
        <f t="array" ref="J210">_xlfn.IFS(Table1[[#This Row],[Tier]]="Basic",10,Table1[[#This Row],[Tier]]="Standard",18,Table1[[#This Row],[Tier]]="Premium",25)</f>
        <v>18</v>
      </c>
      <c r="K210" s="7" cm="1">
        <f t="array" ref="K21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210" s="7" cm="1">
        <f t="array" ref="L21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210" s="3" t="str" cm="1">
        <f t="array" ref="M21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10" s="3" t="s">
        <v>34</v>
      </c>
      <c r="O210" s="3" t="s">
        <v>40</v>
      </c>
      <c r="P210" s="3" t="s">
        <v>35</v>
      </c>
      <c r="Q210" s="3" t="str" cm="1">
        <f t="array" ref="Q210">_xlfn.IFS(Table1[[#This Row],[TotalRevenue]]&lt;100,"Low",Table1[[#This Row],[TotalRevenue]]&lt;300,"Medium",Table1[[#This Row],[TotalRevenue]]&lt;600,"High",TRUE,"Very High")</f>
        <v>Medium</v>
      </c>
      <c r="R210" s="3" t="str" cm="1">
        <f t="array" ref="R21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10" s="3" t="str">
        <f>IF(Table1[[#This Row],[NextBillingDate]]="","Cancelled",IF(Table1[[#This Row],[CancellationDate]]&lt;&gt;"","Cancelled","Active"))</f>
        <v>Cancelled</v>
      </c>
      <c r="T210" s="7" cm="1">
        <f t="array" ref="T21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210" s="5">
        <v>45144</v>
      </c>
      <c r="W210" s="5">
        <v>45144</v>
      </c>
      <c r="X210" s="3">
        <v>0</v>
      </c>
      <c r="Y210" s="5">
        <f ca="1">IF(Table1[[#This Row],[ChurnStatus]]="Cancelled",Table1[[#This Row],[CancellationDate]],TODAY())</f>
        <v>45144</v>
      </c>
      <c r="Z210" s="46">
        <f ca="1">IF(AND(Table1[[#This Row],[SubscriptionStart]] &lt;= TODAY(), Table1[[#This Row],[EffectiveEndDate]] &gt;= TODAY()),1,0)</f>
        <v>0</v>
      </c>
      <c r="AA210" s="46">
        <f ca="1">IF(AND(Table1[[#This Row],[SubscriptionStart]]&lt;=Settings!$A$2,Table1[[#This Row],[EffectiveEndDate]]&gt;=Settings!$A$2),1,0)</f>
        <v>0</v>
      </c>
      <c r="AB210" s="46">
        <f ca="1">IF(AND(Table1[[#This Row],[SubscriptionStart]]&lt;=Settings!$B$2,Table1[[#This Row],[EffectiveEndDate]]&gt;=Settings!$B$2),1,0)</f>
        <v>0</v>
      </c>
      <c r="AC210" s="46">
        <f ca="1">IF(AND(Table1[[#This Row],[SubscriptionStart]]&lt;=Settings!$C$2,Table1[[#This Row],[EffectiveEndDate]]&gt;=Settings!$C$2),1,0)</f>
        <v>1</v>
      </c>
      <c r="AD210" s="46">
        <f ca="1">IF(AND(Table1[[#This Row],[SubscriptionStart]]&lt;=Settings!$D$2,Table1[[#This Row],[EffectiveEndDate]]&gt;=Settings!$D$2),1,0)</f>
        <v>1</v>
      </c>
      <c r="AE210" s="46">
        <f ca="1">IF(AND(Table1[[#This Row],[SubscriptionStart]]&lt;=Settings!$E$2,Table1[[#This Row],[EffectiveEndDate]]&gt;=Settings!$E$2),1,0)</f>
        <v>0</v>
      </c>
      <c r="AF210"/>
      <c r="AG210"/>
      <c r="AH210"/>
      <c r="AI210"/>
      <c r="AJ210"/>
      <c r="AK210"/>
    </row>
    <row r="211" spans="1:37">
      <c r="A211" s="3" t="s">
        <v>605</v>
      </c>
      <c r="B211" s="3">
        <v>65</v>
      </c>
      <c r="C211" s="3" t="s">
        <v>23</v>
      </c>
      <c r="D211" s="5">
        <v>44784</v>
      </c>
      <c r="E211" s="5">
        <v>45144</v>
      </c>
      <c r="F211" s="3">
        <f ca="1">TODAY() - Table1[[#This Row],[SubscriptionStart]]</f>
        <v>1197</v>
      </c>
      <c r="G211" s="4">
        <v>12</v>
      </c>
      <c r="H211" s="3" t="s">
        <v>24</v>
      </c>
      <c r="I211" s="3" t="s">
        <v>30</v>
      </c>
      <c r="J211" s="7" cm="1">
        <f t="array" ref="J211">_xlfn.IFS(Table1[[#This Row],[Tier]]="Basic",10,Table1[[#This Row],[Tier]]="Standard",18,Table1[[#This Row],[Tier]]="Premium",25)</f>
        <v>10</v>
      </c>
      <c r="K211" s="7" cm="1">
        <f t="array" ref="K21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11" s="7" cm="1">
        <f t="array" ref="L21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11" s="3" t="str" cm="1">
        <f t="array" ref="M211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11" s="3" t="s">
        <v>31</v>
      </c>
      <c r="O211" s="3" t="s">
        <v>49</v>
      </c>
      <c r="P211" s="3" t="s">
        <v>41</v>
      </c>
      <c r="Q211" s="3" t="str" cm="1">
        <f t="array" ref="Q211">_xlfn.IFS(Table1[[#This Row],[TotalRevenue]]&lt;100,"Low",Table1[[#This Row],[TotalRevenue]]&lt;300,"Medium",Table1[[#This Row],[TotalRevenue]]&lt;600,"High",TRUE,"Very High")</f>
        <v>Low</v>
      </c>
      <c r="R211" s="3" t="str" cm="1">
        <f t="array" ref="R211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11" s="3" t="str">
        <f>IF(Table1[[#This Row],[NextBillingDate]]="","Cancelled",IF(Table1[[#This Row],[CancellationDate]]&lt;&gt;"","Cancelled","Active"))</f>
        <v>Cancelled</v>
      </c>
      <c r="T211" s="7" cm="1">
        <f t="array" ref="T21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11" s="5">
        <v>45144</v>
      </c>
      <c r="W211" s="5">
        <v>45144</v>
      </c>
      <c r="X211" s="3">
        <v>0</v>
      </c>
      <c r="Y211" s="5">
        <f ca="1">IF(Table1[[#This Row],[ChurnStatus]]="Cancelled",Table1[[#This Row],[CancellationDate]],TODAY())</f>
        <v>45144</v>
      </c>
      <c r="Z211" s="46">
        <f ca="1">IF(AND(Table1[[#This Row],[SubscriptionStart]] &lt;= TODAY(), Table1[[#This Row],[EffectiveEndDate]] &gt;= TODAY()),1,0)</f>
        <v>0</v>
      </c>
      <c r="AA211" s="46">
        <f ca="1">IF(AND(Table1[[#This Row],[SubscriptionStart]]&lt;=Settings!$A$2,Table1[[#This Row],[EffectiveEndDate]]&gt;=Settings!$A$2),1,0)</f>
        <v>0</v>
      </c>
      <c r="AB211" s="46">
        <f ca="1">IF(AND(Table1[[#This Row],[SubscriptionStart]]&lt;=Settings!$B$2,Table1[[#This Row],[EffectiveEndDate]]&gt;=Settings!$B$2),1,0)</f>
        <v>0</v>
      </c>
      <c r="AC211" s="46">
        <f ca="1">IF(AND(Table1[[#This Row],[SubscriptionStart]]&lt;=Settings!$C$2,Table1[[#This Row],[EffectiveEndDate]]&gt;=Settings!$C$2),1,0)</f>
        <v>1</v>
      </c>
      <c r="AD211" s="46">
        <f ca="1">IF(AND(Table1[[#This Row],[SubscriptionStart]]&lt;=Settings!$D$2,Table1[[#This Row],[EffectiveEndDate]]&gt;=Settings!$D$2),1,0)</f>
        <v>1</v>
      </c>
      <c r="AE211" s="46">
        <f ca="1">IF(AND(Table1[[#This Row],[SubscriptionStart]]&lt;=Settings!$E$2,Table1[[#This Row],[EffectiveEndDate]]&gt;=Settings!$E$2),1,0)</f>
        <v>0</v>
      </c>
      <c r="AF211"/>
      <c r="AG211"/>
      <c r="AH211"/>
      <c r="AI211"/>
      <c r="AJ211"/>
      <c r="AK211"/>
    </row>
    <row r="212" spans="1:37">
      <c r="A212" s="3" t="s">
        <v>683</v>
      </c>
      <c r="B212" s="3">
        <v>60</v>
      </c>
      <c r="C212" s="3" t="s">
        <v>23</v>
      </c>
      <c r="D212" s="5">
        <v>44785</v>
      </c>
      <c r="E212" s="5">
        <v>45145</v>
      </c>
      <c r="F212" s="3">
        <f ca="1">TODAY() - Table1[[#This Row],[SubscriptionStart]]</f>
        <v>1196</v>
      </c>
      <c r="G212" s="4">
        <v>12</v>
      </c>
      <c r="H212" s="3" t="s">
        <v>24</v>
      </c>
      <c r="I212" s="3" t="s">
        <v>25</v>
      </c>
      <c r="J212" s="7" cm="1">
        <f t="array" ref="J212">_xlfn.IFS(Table1[[#This Row],[Tier]]="Basic",10,Table1[[#This Row],[Tier]]="Standard",18,Table1[[#This Row],[Tier]]="Premium",25)</f>
        <v>25</v>
      </c>
      <c r="K212" s="7" cm="1">
        <f t="array" ref="K21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212" s="7" cm="1">
        <f t="array" ref="L21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212" s="3" t="str" cm="1">
        <f t="array" ref="M212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12" s="3" t="s">
        <v>26</v>
      </c>
      <c r="O212" s="3" t="s">
        <v>32</v>
      </c>
      <c r="P212" s="3" t="s">
        <v>44</v>
      </c>
      <c r="Q212" s="3" t="str" cm="1">
        <f t="array" ref="Q212">_xlfn.IFS(Table1[[#This Row],[TotalRevenue]]&lt;100,"Low",Table1[[#This Row],[TotalRevenue]]&lt;300,"Medium",Table1[[#This Row],[TotalRevenue]]&lt;600,"High",TRUE,"Very High")</f>
        <v>Medium</v>
      </c>
      <c r="R212" s="3" t="str" cm="1">
        <f t="array" ref="R212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12" s="3" t="str">
        <f>IF(Table1[[#This Row],[NextBillingDate]]="","Cancelled",IF(Table1[[#This Row],[CancellationDate]]&lt;&gt;"","Cancelled","Active"))</f>
        <v>Cancelled</v>
      </c>
      <c r="T212" s="7" cm="1">
        <f t="array" ref="T21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212" s="5">
        <v>45145</v>
      </c>
      <c r="W212" s="5">
        <v>45145</v>
      </c>
      <c r="X212" s="3">
        <v>0</v>
      </c>
      <c r="Y212" s="5">
        <f ca="1">IF(Table1[[#This Row],[ChurnStatus]]="Cancelled",Table1[[#This Row],[CancellationDate]],TODAY())</f>
        <v>45145</v>
      </c>
      <c r="Z212" s="46">
        <f ca="1">IF(AND(Table1[[#This Row],[SubscriptionStart]] &lt;= TODAY(), Table1[[#This Row],[EffectiveEndDate]] &gt;= TODAY()),1,0)</f>
        <v>0</v>
      </c>
      <c r="AA212" s="46">
        <f ca="1">IF(AND(Table1[[#This Row],[SubscriptionStart]]&lt;=Settings!$A$2,Table1[[#This Row],[EffectiveEndDate]]&gt;=Settings!$A$2),1,0)</f>
        <v>0</v>
      </c>
      <c r="AB212" s="46">
        <f ca="1">IF(AND(Table1[[#This Row],[SubscriptionStart]]&lt;=Settings!$B$2,Table1[[#This Row],[EffectiveEndDate]]&gt;=Settings!$B$2),1,0)</f>
        <v>0</v>
      </c>
      <c r="AC212" s="46">
        <f ca="1">IF(AND(Table1[[#This Row],[SubscriptionStart]]&lt;=Settings!$C$2,Table1[[#This Row],[EffectiveEndDate]]&gt;=Settings!$C$2),1,0)</f>
        <v>1</v>
      </c>
      <c r="AD212" s="46">
        <f ca="1">IF(AND(Table1[[#This Row],[SubscriptionStart]]&lt;=Settings!$D$2,Table1[[#This Row],[EffectiveEndDate]]&gt;=Settings!$D$2),1,0)</f>
        <v>1</v>
      </c>
      <c r="AE212" s="46">
        <f ca="1">IF(AND(Table1[[#This Row],[SubscriptionStart]]&lt;=Settings!$E$2,Table1[[#This Row],[EffectiveEndDate]]&gt;=Settings!$E$2),1,0)</f>
        <v>0</v>
      </c>
      <c r="AF212"/>
      <c r="AG212"/>
      <c r="AH212"/>
      <c r="AI212"/>
      <c r="AJ212"/>
      <c r="AK212"/>
    </row>
    <row r="213" spans="1:37">
      <c r="A213" s="3" t="s">
        <v>242</v>
      </c>
      <c r="B213" s="3">
        <v>37</v>
      </c>
      <c r="C213" s="3" t="s">
        <v>23</v>
      </c>
      <c r="D213" s="5">
        <v>44786</v>
      </c>
      <c r="F213" s="3">
        <f ca="1">TODAY() - Table1[[#This Row],[SubscriptionStart]]</f>
        <v>1195</v>
      </c>
      <c r="G213" s="4">
        <v>40</v>
      </c>
      <c r="H213" s="3" t="s">
        <v>29</v>
      </c>
      <c r="I213" s="3" t="s">
        <v>25</v>
      </c>
      <c r="J213" s="7" cm="1">
        <f t="array" ref="J213">_xlfn.IFS(Table1[[#This Row],[Tier]]="Basic",10,Table1[[#This Row],[Tier]]="Standard",18,Table1[[#This Row],[Tier]]="Premium",25)</f>
        <v>25</v>
      </c>
      <c r="K213" s="7" cm="1">
        <f t="array" ref="K21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213" s="7" cm="1">
        <f t="array" ref="L21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947.5</v>
      </c>
      <c r="M213" s="3" t="str" cm="1">
        <f t="array" ref="M21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13" s="3" t="s">
        <v>26</v>
      </c>
      <c r="O213" s="3" t="s">
        <v>43</v>
      </c>
      <c r="Q213" s="3" t="str" cm="1">
        <f t="array" ref="Q213">_xlfn.IFS(Table1[[#This Row],[TotalRevenue]]&lt;100,"Low",Table1[[#This Row],[TotalRevenue]]&lt;300,"Medium",Table1[[#This Row],[TotalRevenue]]&lt;600,"High",TRUE,"Very High")</f>
        <v>Very High</v>
      </c>
      <c r="R213" s="3" t="str" cm="1">
        <f t="array" ref="R21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13" s="3" t="str">
        <f>IF(Table1[[#This Row],[NextBillingDate]]="","Cancelled",IF(Table1[[#This Row],[CancellationDate]]&lt;&gt;"","Cancelled","Active"))</f>
        <v>Active</v>
      </c>
      <c r="T213" s="7" cm="1">
        <f t="array" ref="T21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972.5</v>
      </c>
      <c r="V213" s="5">
        <v>45986</v>
      </c>
      <c r="W213" s="5">
        <v>45986</v>
      </c>
      <c r="X213" s="3">
        <v>39</v>
      </c>
      <c r="Y213" s="5">
        <f ca="1">IF(Table1[[#This Row],[ChurnStatus]]="Cancelled",Table1[[#This Row],[CancellationDate]],TODAY())</f>
        <v>45981</v>
      </c>
      <c r="Z213" s="46">
        <f ca="1">IF(AND(Table1[[#This Row],[SubscriptionStart]] &lt;= TODAY(), Table1[[#This Row],[EffectiveEndDate]] &gt;= TODAY()),1,0)</f>
        <v>1</v>
      </c>
      <c r="AA213" s="46">
        <f ca="1">IF(AND(Table1[[#This Row],[SubscriptionStart]]&lt;=Settings!$A$2,Table1[[#This Row],[EffectiveEndDate]]&gt;=Settings!$A$2),1,0)</f>
        <v>0</v>
      </c>
      <c r="AB213" s="46">
        <f ca="1">IF(AND(Table1[[#This Row],[SubscriptionStart]]&lt;=Settings!$B$2,Table1[[#This Row],[EffectiveEndDate]]&gt;=Settings!$B$2),1,0)</f>
        <v>0</v>
      </c>
      <c r="AC213" s="46">
        <f ca="1">IF(AND(Table1[[#This Row],[SubscriptionStart]]&lt;=Settings!$C$2,Table1[[#This Row],[EffectiveEndDate]]&gt;=Settings!$C$2),1,0)</f>
        <v>1</v>
      </c>
      <c r="AD213" s="46">
        <f ca="1">IF(AND(Table1[[#This Row],[SubscriptionStart]]&lt;=Settings!$D$2,Table1[[#This Row],[EffectiveEndDate]]&gt;=Settings!$D$2),1,0)</f>
        <v>1</v>
      </c>
      <c r="AE213" s="46">
        <f ca="1">IF(AND(Table1[[#This Row],[SubscriptionStart]]&lt;=Settings!$E$2,Table1[[#This Row],[EffectiveEndDate]]&gt;=Settings!$E$2),1,0)</f>
        <v>1</v>
      </c>
      <c r="AF213"/>
      <c r="AG213"/>
      <c r="AH213"/>
      <c r="AI213"/>
      <c r="AJ213"/>
      <c r="AK213"/>
    </row>
    <row r="214" spans="1:37">
      <c r="A214" s="3" t="s">
        <v>278</v>
      </c>
      <c r="B214" s="3">
        <v>67</v>
      </c>
      <c r="C214" s="3" t="s">
        <v>23</v>
      </c>
      <c r="D214" s="5">
        <v>44787</v>
      </c>
      <c r="E214" s="5">
        <v>45147</v>
      </c>
      <c r="F214" s="3">
        <f ca="1">TODAY() - Table1[[#This Row],[SubscriptionStart]]</f>
        <v>1194</v>
      </c>
      <c r="G214" s="4">
        <v>12</v>
      </c>
      <c r="H214" s="3" t="s">
        <v>24</v>
      </c>
      <c r="I214" s="3" t="s">
        <v>30</v>
      </c>
      <c r="J214" s="7" cm="1">
        <f t="array" ref="J214">_xlfn.IFS(Table1[[#This Row],[Tier]]="Basic",10,Table1[[#This Row],[Tier]]="Standard",18,Table1[[#This Row],[Tier]]="Premium",25)</f>
        <v>10</v>
      </c>
      <c r="K214" s="7" cm="1">
        <f t="array" ref="K21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14" s="7" cm="1">
        <f t="array" ref="L21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14" s="3" t="str" cm="1">
        <f t="array" ref="M21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14" s="3" t="s">
        <v>52</v>
      </c>
      <c r="O214" s="3" t="s">
        <v>49</v>
      </c>
      <c r="P214" s="3" t="s">
        <v>50</v>
      </c>
      <c r="Q214" s="3" t="str" cm="1">
        <f t="array" ref="Q214">_xlfn.IFS(Table1[[#This Row],[TotalRevenue]]&lt;100,"Low",Table1[[#This Row],[TotalRevenue]]&lt;300,"Medium",Table1[[#This Row],[TotalRevenue]]&lt;600,"High",TRUE,"Very High")</f>
        <v>Low</v>
      </c>
      <c r="R214" s="3" t="str" cm="1">
        <f t="array" ref="R21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14" s="3" t="str">
        <f>IF(Table1[[#This Row],[NextBillingDate]]="","Cancelled",IF(Table1[[#This Row],[CancellationDate]]&lt;&gt;"","Cancelled","Active"))</f>
        <v>Cancelled</v>
      </c>
      <c r="T214" s="7" cm="1">
        <f t="array" ref="T21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14" s="5">
        <v>45147</v>
      </c>
      <c r="W214" s="5">
        <v>45147</v>
      </c>
      <c r="X214" s="3">
        <v>0</v>
      </c>
      <c r="Y214" s="5">
        <f ca="1">IF(Table1[[#This Row],[ChurnStatus]]="Cancelled",Table1[[#This Row],[CancellationDate]],TODAY())</f>
        <v>45147</v>
      </c>
      <c r="Z214" s="46">
        <f ca="1">IF(AND(Table1[[#This Row],[SubscriptionStart]] &lt;= TODAY(), Table1[[#This Row],[EffectiveEndDate]] &gt;= TODAY()),1,0)</f>
        <v>0</v>
      </c>
      <c r="AA214" s="46">
        <f ca="1">IF(AND(Table1[[#This Row],[SubscriptionStart]]&lt;=Settings!$A$2,Table1[[#This Row],[EffectiveEndDate]]&gt;=Settings!$A$2),1,0)</f>
        <v>0</v>
      </c>
      <c r="AB214" s="46">
        <f ca="1">IF(AND(Table1[[#This Row],[SubscriptionStart]]&lt;=Settings!$B$2,Table1[[#This Row],[EffectiveEndDate]]&gt;=Settings!$B$2),1,0)</f>
        <v>0</v>
      </c>
      <c r="AC214" s="46">
        <f ca="1">IF(AND(Table1[[#This Row],[SubscriptionStart]]&lt;=Settings!$C$2,Table1[[#This Row],[EffectiveEndDate]]&gt;=Settings!$C$2),1,0)</f>
        <v>1</v>
      </c>
      <c r="AD214" s="46">
        <f ca="1">IF(AND(Table1[[#This Row],[SubscriptionStart]]&lt;=Settings!$D$2,Table1[[#This Row],[EffectiveEndDate]]&gt;=Settings!$D$2),1,0)</f>
        <v>1</v>
      </c>
      <c r="AE214" s="46">
        <f ca="1">IF(AND(Table1[[#This Row],[SubscriptionStart]]&lt;=Settings!$E$2,Table1[[#This Row],[EffectiveEndDate]]&gt;=Settings!$E$2),1,0)</f>
        <v>0</v>
      </c>
      <c r="AF214"/>
      <c r="AG214"/>
      <c r="AH214"/>
      <c r="AI214"/>
      <c r="AJ214"/>
      <c r="AK214"/>
    </row>
    <row r="215" spans="1:37">
      <c r="A215" s="3" t="s">
        <v>728</v>
      </c>
      <c r="B215" s="3">
        <v>30</v>
      </c>
      <c r="C215" s="3" t="s">
        <v>37</v>
      </c>
      <c r="D215" s="5">
        <v>44787</v>
      </c>
      <c r="E215" s="5">
        <v>45147</v>
      </c>
      <c r="F215" s="3">
        <f ca="1">TODAY() - Table1[[#This Row],[SubscriptionStart]]</f>
        <v>1194</v>
      </c>
      <c r="G215" s="4">
        <v>12</v>
      </c>
      <c r="H215" s="3" t="s">
        <v>24</v>
      </c>
      <c r="I215" s="3" t="s">
        <v>30</v>
      </c>
      <c r="J215" s="7" cm="1">
        <f t="array" ref="J215">_xlfn.IFS(Table1[[#This Row],[Tier]]="Basic",10,Table1[[#This Row],[Tier]]="Standard",18,Table1[[#This Row],[Tier]]="Premium",25)</f>
        <v>10</v>
      </c>
      <c r="K215" s="7" cm="1">
        <f t="array" ref="K21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15" s="7" cm="1">
        <f t="array" ref="L21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15" s="3" t="str" cm="1">
        <f t="array" ref="M21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15" s="3" t="s">
        <v>31</v>
      </c>
      <c r="O215" s="3" t="s">
        <v>40</v>
      </c>
      <c r="P215" s="3" t="s">
        <v>50</v>
      </c>
      <c r="Q215" s="3" t="str" cm="1">
        <f t="array" ref="Q215">_xlfn.IFS(Table1[[#This Row],[TotalRevenue]]&lt;100,"Low",Table1[[#This Row],[TotalRevenue]]&lt;300,"Medium",Table1[[#This Row],[TotalRevenue]]&lt;600,"High",TRUE,"Very High")</f>
        <v>Low</v>
      </c>
      <c r="R215" s="3" t="str" cm="1">
        <f t="array" ref="R21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15" s="3" t="str">
        <f>IF(Table1[[#This Row],[NextBillingDate]]="","Cancelled",IF(Table1[[#This Row],[CancellationDate]]&lt;&gt;"","Cancelled","Active"))</f>
        <v>Cancelled</v>
      </c>
      <c r="T215" s="7" cm="1">
        <f t="array" ref="T21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15" s="5">
        <v>45147</v>
      </c>
      <c r="W215" s="5">
        <v>45147</v>
      </c>
      <c r="X215" s="3">
        <v>0</v>
      </c>
      <c r="Y215" s="5">
        <f ca="1">IF(Table1[[#This Row],[ChurnStatus]]="Cancelled",Table1[[#This Row],[CancellationDate]],TODAY())</f>
        <v>45147</v>
      </c>
      <c r="Z215" s="46">
        <f ca="1">IF(AND(Table1[[#This Row],[SubscriptionStart]] &lt;= TODAY(), Table1[[#This Row],[EffectiveEndDate]] &gt;= TODAY()),1,0)</f>
        <v>0</v>
      </c>
      <c r="AA215" s="46">
        <f ca="1">IF(AND(Table1[[#This Row],[SubscriptionStart]]&lt;=Settings!$A$2,Table1[[#This Row],[EffectiveEndDate]]&gt;=Settings!$A$2),1,0)</f>
        <v>0</v>
      </c>
      <c r="AB215" s="46">
        <f ca="1">IF(AND(Table1[[#This Row],[SubscriptionStart]]&lt;=Settings!$B$2,Table1[[#This Row],[EffectiveEndDate]]&gt;=Settings!$B$2),1,0)</f>
        <v>0</v>
      </c>
      <c r="AC215" s="46">
        <f ca="1">IF(AND(Table1[[#This Row],[SubscriptionStart]]&lt;=Settings!$C$2,Table1[[#This Row],[EffectiveEndDate]]&gt;=Settings!$C$2),1,0)</f>
        <v>1</v>
      </c>
      <c r="AD215" s="46">
        <f ca="1">IF(AND(Table1[[#This Row],[SubscriptionStart]]&lt;=Settings!$D$2,Table1[[#This Row],[EffectiveEndDate]]&gt;=Settings!$D$2),1,0)</f>
        <v>1</v>
      </c>
      <c r="AE215" s="46">
        <f ca="1">IF(AND(Table1[[#This Row],[SubscriptionStart]]&lt;=Settings!$E$2,Table1[[#This Row],[EffectiveEndDate]]&gt;=Settings!$E$2),1,0)</f>
        <v>0</v>
      </c>
      <c r="AF215"/>
      <c r="AG215"/>
      <c r="AH215"/>
      <c r="AI215"/>
      <c r="AJ215"/>
      <c r="AK215"/>
    </row>
    <row r="216" spans="1:37">
      <c r="A216" s="3" t="s">
        <v>425</v>
      </c>
      <c r="B216" s="3">
        <v>31</v>
      </c>
      <c r="C216" s="3" t="s">
        <v>23</v>
      </c>
      <c r="D216" s="5">
        <v>44788</v>
      </c>
      <c r="F216" s="3">
        <f ca="1">TODAY() - Table1[[#This Row],[SubscriptionStart]]</f>
        <v>1193</v>
      </c>
      <c r="G216" s="4">
        <v>40</v>
      </c>
      <c r="H216" s="3" t="s">
        <v>29</v>
      </c>
      <c r="I216" s="3" t="s">
        <v>25</v>
      </c>
      <c r="J216" s="7" cm="1">
        <f t="array" ref="J216">_xlfn.IFS(Table1[[#This Row],[Tier]]="Basic",10,Table1[[#This Row],[Tier]]="Standard",18,Table1[[#This Row],[Tier]]="Premium",25)</f>
        <v>25</v>
      </c>
      <c r="K216" s="7" cm="1">
        <f t="array" ref="K21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216" s="7" cm="1">
        <f t="array" ref="L21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947.5</v>
      </c>
      <c r="M216" s="3" t="str" cm="1">
        <f t="array" ref="M21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16" s="3" t="s">
        <v>26</v>
      </c>
      <c r="O216" s="3" t="s">
        <v>27</v>
      </c>
      <c r="Q216" s="3" t="str" cm="1">
        <f t="array" ref="Q216">_xlfn.IFS(Table1[[#This Row],[TotalRevenue]]&lt;100,"Low",Table1[[#This Row],[TotalRevenue]]&lt;300,"Medium",Table1[[#This Row],[TotalRevenue]]&lt;600,"High",TRUE,"Very High")</f>
        <v>Very High</v>
      </c>
      <c r="R216" s="3" t="str" cm="1">
        <f t="array" ref="R21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16" s="3" t="str">
        <f>IF(Table1[[#This Row],[NextBillingDate]]="","Cancelled",IF(Table1[[#This Row],[CancellationDate]]&lt;&gt;"","Cancelled","Active"))</f>
        <v>Active</v>
      </c>
      <c r="T216" s="7" cm="1">
        <f t="array" ref="T21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972.5</v>
      </c>
      <c r="V216" s="5">
        <v>45988</v>
      </c>
      <c r="W216" s="5">
        <v>45988</v>
      </c>
      <c r="X216" s="3">
        <v>39</v>
      </c>
      <c r="Y216" s="5">
        <f ca="1">IF(Table1[[#This Row],[ChurnStatus]]="Cancelled",Table1[[#This Row],[CancellationDate]],TODAY())</f>
        <v>45981</v>
      </c>
      <c r="Z216" s="46">
        <f ca="1">IF(AND(Table1[[#This Row],[SubscriptionStart]] &lt;= TODAY(), Table1[[#This Row],[EffectiveEndDate]] &gt;= TODAY()),1,0)</f>
        <v>1</v>
      </c>
      <c r="AA216" s="46">
        <f ca="1">IF(AND(Table1[[#This Row],[SubscriptionStart]]&lt;=Settings!$A$2,Table1[[#This Row],[EffectiveEndDate]]&gt;=Settings!$A$2),1,0)</f>
        <v>0</v>
      </c>
      <c r="AB216" s="46">
        <f ca="1">IF(AND(Table1[[#This Row],[SubscriptionStart]]&lt;=Settings!$B$2,Table1[[#This Row],[EffectiveEndDate]]&gt;=Settings!$B$2),1,0)</f>
        <v>0</v>
      </c>
      <c r="AC216" s="46">
        <f ca="1">IF(AND(Table1[[#This Row],[SubscriptionStart]]&lt;=Settings!$C$2,Table1[[#This Row],[EffectiveEndDate]]&gt;=Settings!$C$2),1,0)</f>
        <v>1</v>
      </c>
      <c r="AD216" s="46">
        <f ca="1">IF(AND(Table1[[#This Row],[SubscriptionStart]]&lt;=Settings!$D$2,Table1[[#This Row],[EffectiveEndDate]]&gt;=Settings!$D$2),1,0)</f>
        <v>1</v>
      </c>
      <c r="AE216" s="46">
        <f ca="1">IF(AND(Table1[[#This Row],[SubscriptionStart]]&lt;=Settings!$E$2,Table1[[#This Row],[EffectiveEndDate]]&gt;=Settings!$E$2),1,0)</f>
        <v>1</v>
      </c>
      <c r="AF216"/>
      <c r="AG216"/>
      <c r="AH216"/>
      <c r="AI216"/>
      <c r="AJ216"/>
      <c r="AK216"/>
    </row>
    <row r="217" spans="1:37">
      <c r="A217" s="3" t="s">
        <v>121</v>
      </c>
      <c r="B217" s="3">
        <v>44</v>
      </c>
      <c r="C217" s="3" t="s">
        <v>23</v>
      </c>
      <c r="D217" s="5">
        <v>44789</v>
      </c>
      <c r="F217" s="3">
        <f ca="1">TODAY() - Table1[[#This Row],[SubscriptionStart]]</f>
        <v>1192</v>
      </c>
      <c r="G217" s="4">
        <v>40</v>
      </c>
      <c r="H217" s="3" t="s">
        <v>29</v>
      </c>
      <c r="I217" s="3" t="s">
        <v>30</v>
      </c>
      <c r="J217" s="7" cm="1">
        <f t="array" ref="J217">_xlfn.IFS(Table1[[#This Row],[Tier]]="Basic",10,Table1[[#This Row],[Tier]]="Standard",18,Table1[[#This Row],[Tier]]="Premium",25)</f>
        <v>10</v>
      </c>
      <c r="K217" s="7" cm="1">
        <f t="array" ref="K21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217" s="7" cm="1">
        <f t="array" ref="L21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379</v>
      </c>
      <c r="M217" s="3" t="str" cm="1">
        <f t="array" ref="M21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17" s="3" t="s">
        <v>26</v>
      </c>
      <c r="O217" s="3" t="s">
        <v>40</v>
      </c>
      <c r="Q217" s="3" t="str" cm="1">
        <f t="array" ref="Q217">_xlfn.IFS(Table1[[#This Row],[TotalRevenue]]&lt;100,"Low",Table1[[#This Row],[TotalRevenue]]&lt;300,"Medium",Table1[[#This Row],[TotalRevenue]]&lt;600,"High",TRUE,"Very High")</f>
        <v>High</v>
      </c>
      <c r="R217" s="3" t="str" cm="1">
        <f t="array" ref="R21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17" s="3" t="str">
        <f>IF(Table1[[#This Row],[NextBillingDate]]="","Cancelled",IF(Table1[[#This Row],[CancellationDate]]&lt;&gt;"","Cancelled","Active"))</f>
        <v>Active</v>
      </c>
      <c r="T217" s="7" cm="1">
        <f t="array" ref="T21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389</v>
      </c>
      <c r="V217" s="5">
        <v>45989</v>
      </c>
      <c r="W217" s="5">
        <v>45989</v>
      </c>
      <c r="X217" s="3">
        <v>39</v>
      </c>
      <c r="Y217" s="5">
        <f ca="1">IF(Table1[[#This Row],[ChurnStatus]]="Cancelled",Table1[[#This Row],[CancellationDate]],TODAY())</f>
        <v>45981</v>
      </c>
      <c r="Z217" s="46">
        <f ca="1">IF(AND(Table1[[#This Row],[SubscriptionStart]] &lt;= TODAY(), Table1[[#This Row],[EffectiveEndDate]] &gt;= TODAY()),1,0)</f>
        <v>1</v>
      </c>
      <c r="AA217" s="46">
        <f ca="1">IF(AND(Table1[[#This Row],[SubscriptionStart]]&lt;=Settings!$A$2,Table1[[#This Row],[EffectiveEndDate]]&gt;=Settings!$A$2),1,0)</f>
        <v>0</v>
      </c>
      <c r="AB217" s="46">
        <f ca="1">IF(AND(Table1[[#This Row],[SubscriptionStart]]&lt;=Settings!$B$2,Table1[[#This Row],[EffectiveEndDate]]&gt;=Settings!$B$2),1,0)</f>
        <v>0</v>
      </c>
      <c r="AC217" s="46">
        <f ca="1">IF(AND(Table1[[#This Row],[SubscriptionStart]]&lt;=Settings!$C$2,Table1[[#This Row],[EffectiveEndDate]]&gt;=Settings!$C$2),1,0)</f>
        <v>1</v>
      </c>
      <c r="AD217" s="46">
        <f ca="1">IF(AND(Table1[[#This Row],[SubscriptionStart]]&lt;=Settings!$D$2,Table1[[#This Row],[EffectiveEndDate]]&gt;=Settings!$D$2),1,0)</f>
        <v>1</v>
      </c>
      <c r="AE217" s="46">
        <f ca="1">IF(AND(Table1[[#This Row],[SubscriptionStart]]&lt;=Settings!$E$2,Table1[[#This Row],[EffectiveEndDate]]&gt;=Settings!$E$2),1,0)</f>
        <v>1</v>
      </c>
      <c r="AF217"/>
      <c r="AG217"/>
      <c r="AH217"/>
      <c r="AI217"/>
      <c r="AJ217"/>
      <c r="AK217"/>
    </row>
    <row r="218" spans="1:37">
      <c r="A218" s="3" t="s">
        <v>681</v>
      </c>
      <c r="B218" s="3">
        <v>32</v>
      </c>
      <c r="C218" s="3" t="s">
        <v>23</v>
      </c>
      <c r="D218" s="5">
        <v>44790</v>
      </c>
      <c r="F218" s="3">
        <f ca="1">TODAY() - Table1[[#This Row],[SubscriptionStart]]</f>
        <v>1191</v>
      </c>
      <c r="G218" s="4">
        <v>42</v>
      </c>
      <c r="H218" s="3" t="s">
        <v>38</v>
      </c>
      <c r="I218" s="3" t="s">
        <v>39</v>
      </c>
      <c r="J218" s="7" cm="1">
        <f t="array" ref="J218">_xlfn.IFS(Table1[[#This Row],[Tier]]="Basic",10,Table1[[#This Row],[Tier]]="Standard",18,Table1[[#This Row],[Tier]]="Premium",25)</f>
        <v>18</v>
      </c>
      <c r="K218" s="7" cm="1">
        <f t="array" ref="K21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218" s="7" cm="1">
        <f t="array" ref="L21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550.79999999999995</v>
      </c>
      <c r="M218" s="3" t="str" cm="1">
        <f t="array" ref="M21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18" s="3" t="s">
        <v>31</v>
      </c>
      <c r="O218" s="3" t="s">
        <v>49</v>
      </c>
      <c r="Q218" s="3" t="str" cm="1">
        <f t="array" ref="Q218">_xlfn.IFS(Table1[[#This Row],[TotalRevenue]]&lt;100,"Low",Table1[[#This Row],[TotalRevenue]]&lt;300,"Medium",Table1[[#This Row],[TotalRevenue]]&lt;600,"High",TRUE,"Very High")</f>
        <v>High</v>
      </c>
      <c r="R218" s="3" t="str" cm="1">
        <f t="array" ref="R21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18" s="3" t="str">
        <f>IF(Table1[[#This Row],[NextBillingDate]]="","Cancelled",IF(Table1[[#This Row],[CancellationDate]]&lt;&gt;"","Cancelled","Active"))</f>
        <v>Active</v>
      </c>
      <c r="T218" s="7" cm="1">
        <f t="array" ref="T21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631.79999999999995</v>
      </c>
      <c r="V218" s="5">
        <v>46050</v>
      </c>
      <c r="W218" s="5">
        <v>46050</v>
      </c>
      <c r="X218" s="3">
        <v>6</v>
      </c>
      <c r="Y218" s="5">
        <f ca="1">IF(Table1[[#This Row],[ChurnStatus]]="Cancelled",Table1[[#This Row],[CancellationDate]],TODAY())</f>
        <v>45981</v>
      </c>
      <c r="Z218" s="46">
        <f ca="1">IF(AND(Table1[[#This Row],[SubscriptionStart]] &lt;= TODAY(), Table1[[#This Row],[EffectiveEndDate]] &gt;= TODAY()),1,0)</f>
        <v>1</v>
      </c>
      <c r="AA218" s="46">
        <f ca="1">IF(AND(Table1[[#This Row],[SubscriptionStart]]&lt;=Settings!$A$2,Table1[[#This Row],[EffectiveEndDate]]&gt;=Settings!$A$2),1,0)</f>
        <v>0</v>
      </c>
      <c r="AB218" s="46">
        <f ca="1">IF(AND(Table1[[#This Row],[SubscriptionStart]]&lt;=Settings!$B$2,Table1[[#This Row],[EffectiveEndDate]]&gt;=Settings!$B$2),1,0)</f>
        <v>0</v>
      </c>
      <c r="AC218" s="46">
        <f ca="1">IF(AND(Table1[[#This Row],[SubscriptionStart]]&lt;=Settings!$C$2,Table1[[#This Row],[EffectiveEndDate]]&gt;=Settings!$C$2),1,0)</f>
        <v>1</v>
      </c>
      <c r="AD218" s="46">
        <f ca="1">IF(AND(Table1[[#This Row],[SubscriptionStart]]&lt;=Settings!$D$2,Table1[[#This Row],[EffectiveEndDate]]&gt;=Settings!$D$2),1,0)</f>
        <v>1</v>
      </c>
      <c r="AE218" s="46">
        <f ca="1">IF(AND(Table1[[#This Row],[SubscriptionStart]]&lt;=Settings!$E$2,Table1[[#This Row],[EffectiveEndDate]]&gt;=Settings!$E$2),1,0)</f>
        <v>1</v>
      </c>
      <c r="AF218"/>
      <c r="AG218"/>
      <c r="AH218"/>
      <c r="AI218"/>
      <c r="AJ218"/>
      <c r="AK218"/>
    </row>
    <row r="219" spans="1:37">
      <c r="A219" s="3" t="s">
        <v>150</v>
      </c>
      <c r="B219" s="3">
        <v>65</v>
      </c>
      <c r="C219" s="3" t="s">
        <v>37</v>
      </c>
      <c r="D219" s="5">
        <v>44792</v>
      </c>
      <c r="E219" s="5">
        <v>44972</v>
      </c>
      <c r="F219" s="3">
        <f ca="1">TODAY() - Table1[[#This Row],[SubscriptionStart]]</f>
        <v>1189</v>
      </c>
      <c r="G219" s="4">
        <v>6</v>
      </c>
      <c r="H219" s="3" t="s">
        <v>38</v>
      </c>
      <c r="I219" s="3" t="s">
        <v>25</v>
      </c>
      <c r="J219" s="7" cm="1">
        <f t="array" ref="J219">_xlfn.IFS(Table1[[#This Row],[Tier]]="Basic",10,Table1[[#This Row],[Tier]]="Standard",18,Table1[[#This Row],[Tier]]="Premium",25)</f>
        <v>25</v>
      </c>
      <c r="K219" s="7" cm="1">
        <f t="array" ref="K21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219" s="7" cm="1">
        <f t="array" ref="L21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219" s="3" t="str" cm="1">
        <f t="array" ref="M21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19" s="3" t="s">
        <v>26</v>
      </c>
      <c r="O219" s="3" t="s">
        <v>27</v>
      </c>
      <c r="P219" s="3" t="s">
        <v>50</v>
      </c>
      <c r="Q219" s="3" t="str" cm="1">
        <f t="array" ref="Q219">_xlfn.IFS(Table1[[#This Row],[TotalRevenue]]&lt;100,"Low",Table1[[#This Row],[TotalRevenue]]&lt;300,"Medium",Table1[[#This Row],[TotalRevenue]]&lt;600,"High",TRUE,"Very High")</f>
        <v>Medium</v>
      </c>
      <c r="R219" s="3" t="str" cm="1">
        <f t="array" ref="R21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19" s="3" t="str">
        <f>IF(Table1[[#This Row],[NextBillingDate]]="","Cancelled",IF(Table1[[#This Row],[CancellationDate]]&lt;&gt;"","Cancelled","Active"))</f>
        <v>Cancelled</v>
      </c>
      <c r="T219" s="7" cm="1">
        <f t="array" ref="T21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219" s="5">
        <v>44972</v>
      </c>
      <c r="W219" s="5">
        <v>44972</v>
      </c>
      <c r="X219" s="3">
        <v>0</v>
      </c>
      <c r="Y219" s="5">
        <f ca="1">IF(Table1[[#This Row],[ChurnStatus]]="Cancelled",Table1[[#This Row],[CancellationDate]],TODAY())</f>
        <v>44972</v>
      </c>
      <c r="Z219" s="46">
        <f ca="1">IF(AND(Table1[[#This Row],[SubscriptionStart]] &lt;= TODAY(), Table1[[#This Row],[EffectiveEndDate]] &gt;= TODAY()),1,0)</f>
        <v>0</v>
      </c>
      <c r="AA219" s="46">
        <f ca="1">IF(AND(Table1[[#This Row],[SubscriptionStart]]&lt;=Settings!$A$2,Table1[[#This Row],[EffectiveEndDate]]&gt;=Settings!$A$2),1,0)</f>
        <v>0</v>
      </c>
      <c r="AB219" s="46">
        <f ca="1">IF(AND(Table1[[#This Row],[SubscriptionStart]]&lt;=Settings!$B$2,Table1[[#This Row],[EffectiveEndDate]]&gt;=Settings!$B$2),1,0)</f>
        <v>0</v>
      </c>
      <c r="AC219" s="46">
        <f ca="1">IF(AND(Table1[[#This Row],[SubscriptionStart]]&lt;=Settings!$C$2,Table1[[#This Row],[EffectiveEndDate]]&gt;=Settings!$C$2),1,0)</f>
        <v>1</v>
      </c>
      <c r="AD219" s="46">
        <f ca="1">IF(AND(Table1[[#This Row],[SubscriptionStart]]&lt;=Settings!$D$2,Table1[[#This Row],[EffectiveEndDate]]&gt;=Settings!$D$2),1,0)</f>
        <v>0</v>
      </c>
      <c r="AE219" s="46">
        <f ca="1">IF(AND(Table1[[#This Row],[SubscriptionStart]]&lt;=Settings!$E$2,Table1[[#This Row],[EffectiveEndDate]]&gt;=Settings!$E$2),1,0)</f>
        <v>0</v>
      </c>
      <c r="AF219"/>
      <c r="AG219"/>
      <c r="AH219"/>
      <c r="AI219"/>
      <c r="AJ219"/>
      <c r="AK219"/>
    </row>
    <row r="220" spans="1:37">
      <c r="A220" s="3" t="s">
        <v>706</v>
      </c>
      <c r="B220" s="3">
        <v>59</v>
      </c>
      <c r="C220" s="3" t="s">
        <v>37</v>
      </c>
      <c r="D220" s="5">
        <v>44792</v>
      </c>
      <c r="E220" s="5">
        <v>45152</v>
      </c>
      <c r="F220" s="3">
        <f ca="1">TODAY() - Table1[[#This Row],[SubscriptionStart]]</f>
        <v>1189</v>
      </c>
      <c r="G220" s="4">
        <v>12</v>
      </c>
      <c r="H220" s="3" t="s">
        <v>24</v>
      </c>
      <c r="I220" s="3" t="s">
        <v>30</v>
      </c>
      <c r="J220" s="7" cm="1">
        <f t="array" ref="J220">_xlfn.IFS(Table1[[#This Row],[Tier]]="Basic",10,Table1[[#This Row],[Tier]]="Standard",18,Table1[[#This Row],[Tier]]="Premium",25)</f>
        <v>10</v>
      </c>
      <c r="K220" s="7" cm="1">
        <f t="array" ref="K22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20" s="7" cm="1">
        <f t="array" ref="L22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20" s="3" t="str" cm="1">
        <f t="array" ref="M22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20" s="3" t="s">
        <v>52</v>
      </c>
      <c r="O220" s="3" t="s">
        <v>49</v>
      </c>
      <c r="P220" s="3" t="s">
        <v>35</v>
      </c>
      <c r="Q220" s="3" t="str" cm="1">
        <f t="array" ref="Q220">_xlfn.IFS(Table1[[#This Row],[TotalRevenue]]&lt;100,"Low",Table1[[#This Row],[TotalRevenue]]&lt;300,"Medium",Table1[[#This Row],[TotalRevenue]]&lt;600,"High",TRUE,"Very High")</f>
        <v>Low</v>
      </c>
      <c r="R220" s="3" t="str" cm="1">
        <f t="array" ref="R22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20" s="3" t="str">
        <f>IF(Table1[[#This Row],[NextBillingDate]]="","Cancelled",IF(Table1[[#This Row],[CancellationDate]]&lt;&gt;"","Cancelled","Active"))</f>
        <v>Cancelled</v>
      </c>
      <c r="T220" s="7" cm="1">
        <f t="array" ref="T22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20" s="5">
        <v>45152</v>
      </c>
      <c r="W220" s="5">
        <v>45152</v>
      </c>
      <c r="X220" s="3">
        <v>0</v>
      </c>
      <c r="Y220" s="5">
        <f ca="1">IF(Table1[[#This Row],[ChurnStatus]]="Cancelled",Table1[[#This Row],[CancellationDate]],TODAY())</f>
        <v>45152</v>
      </c>
      <c r="Z220" s="46">
        <f ca="1">IF(AND(Table1[[#This Row],[SubscriptionStart]] &lt;= TODAY(), Table1[[#This Row],[EffectiveEndDate]] &gt;= TODAY()),1,0)</f>
        <v>0</v>
      </c>
      <c r="AA220" s="46">
        <f ca="1">IF(AND(Table1[[#This Row],[SubscriptionStart]]&lt;=Settings!$A$2,Table1[[#This Row],[EffectiveEndDate]]&gt;=Settings!$A$2),1,0)</f>
        <v>0</v>
      </c>
      <c r="AB220" s="46">
        <f ca="1">IF(AND(Table1[[#This Row],[SubscriptionStart]]&lt;=Settings!$B$2,Table1[[#This Row],[EffectiveEndDate]]&gt;=Settings!$B$2),1,0)</f>
        <v>0</v>
      </c>
      <c r="AC220" s="46">
        <f ca="1">IF(AND(Table1[[#This Row],[SubscriptionStart]]&lt;=Settings!$C$2,Table1[[#This Row],[EffectiveEndDate]]&gt;=Settings!$C$2),1,0)</f>
        <v>1</v>
      </c>
      <c r="AD220" s="46">
        <f ca="1">IF(AND(Table1[[#This Row],[SubscriptionStart]]&lt;=Settings!$D$2,Table1[[#This Row],[EffectiveEndDate]]&gt;=Settings!$D$2),1,0)</f>
        <v>1</v>
      </c>
      <c r="AE220" s="46">
        <f ca="1">IF(AND(Table1[[#This Row],[SubscriptionStart]]&lt;=Settings!$E$2,Table1[[#This Row],[EffectiveEndDate]]&gt;=Settings!$E$2),1,0)</f>
        <v>0</v>
      </c>
      <c r="AF220"/>
      <c r="AG220"/>
      <c r="AH220"/>
      <c r="AI220"/>
      <c r="AJ220"/>
      <c r="AK220"/>
    </row>
    <row r="221" spans="1:37">
      <c r="A221" s="3" t="s">
        <v>232</v>
      </c>
      <c r="B221" s="3">
        <v>55</v>
      </c>
      <c r="C221" s="3" t="s">
        <v>37</v>
      </c>
      <c r="D221" s="5">
        <v>44793</v>
      </c>
      <c r="E221" s="5">
        <v>45153</v>
      </c>
      <c r="F221" s="3">
        <f ca="1">TODAY() - Table1[[#This Row],[SubscriptionStart]]</f>
        <v>1188</v>
      </c>
      <c r="G221" s="4">
        <v>12</v>
      </c>
      <c r="H221" s="3" t="s">
        <v>24</v>
      </c>
      <c r="I221" s="3" t="s">
        <v>30</v>
      </c>
      <c r="J221" s="7" cm="1">
        <f t="array" ref="J221">_xlfn.IFS(Table1[[#This Row],[Tier]]="Basic",10,Table1[[#This Row],[Tier]]="Standard",18,Table1[[#This Row],[Tier]]="Premium",25)</f>
        <v>10</v>
      </c>
      <c r="K221" s="7" cm="1">
        <f t="array" ref="K22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21" s="7" cm="1">
        <f t="array" ref="L22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21" s="3" t="str" cm="1">
        <f t="array" ref="M221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21" s="3" t="s">
        <v>26</v>
      </c>
      <c r="O221" s="3" t="s">
        <v>43</v>
      </c>
      <c r="P221" s="3" t="s">
        <v>35</v>
      </c>
      <c r="Q221" s="3" t="str" cm="1">
        <f t="array" ref="Q221">_xlfn.IFS(Table1[[#This Row],[TotalRevenue]]&lt;100,"Low",Table1[[#This Row],[TotalRevenue]]&lt;300,"Medium",Table1[[#This Row],[TotalRevenue]]&lt;600,"High",TRUE,"Very High")</f>
        <v>Low</v>
      </c>
      <c r="R221" s="3" t="str" cm="1">
        <f t="array" ref="R22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21" s="3" t="str">
        <f>IF(Table1[[#This Row],[NextBillingDate]]="","Cancelled",IF(Table1[[#This Row],[CancellationDate]]&lt;&gt;"","Cancelled","Active"))</f>
        <v>Cancelled</v>
      </c>
      <c r="T221" s="7" cm="1">
        <f t="array" ref="T22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21" s="5">
        <v>45153</v>
      </c>
      <c r="W221" s="5">
        <v>45153</v>
      </c>
      <c r="X221" s="3">
        <v>0</v>
      </c>
      <c r="Y221" s="5">
        <f ca="1">IF(Table1[[#This Row],[ChurnStatus]]="Cancelled",Table1[[#This Row],[CancellationDate]],TODAY())</f>
        <v>45153</v>
      </c>
      <c r="Z221" s="46">
        <f ca="1">IF(AND(Table1[[#This Row],[SubscriptionStart]] &lt;= TODAY(), Table1[[#This Row],[EffectiveEndDate]] &gt;= TODAY()),1,0)</f>
        <v>0</v>
      </c>
      <c r="AA221" s="46">
        <f ca="1">IF(AND(Table1[[#This Row],[SubscriptionStart]]&lt;=Settings!$A$2,Table1[[#This Row],[EffectiveEndDate]]&gt;=Settings!$A$2),1,0)</f>
        <v>0</v>
      </c>
      <c r="AB221" s="46">
        <f ca="1">IF(AND(Table1[[#This Row],[SubscriptionStart]]&lt;=Settings!$B$2,Table1[[#This Row],[EffectiveEndDate]]&gt;=Settings!$B$2),1,0)</f>
        <v>0</v>
      </c>
      <c r="AC221" s="46">
        <f ca="1">IF(AND(Table1[[#This Row],[SubscriptionStart]]&lt;=Settings!$C$2,Table1[[#This Row],[EffectiveEndDate]]&gt;=Settings!$C$2),1,0)</f>
        <v>1</v>
      </c>
      <c r="AD221" s="46">
        <f ca="1">IF(AND(Table1[[#This Row],[SubscriptionStart]]&lt;=Settings!$D$2,Table1[[#This Row],[EffectiveEndDate]]&gt;=Settings!$D$2),1,0)</f>
        <v>1</v>
      </c>
      <c r="AE221" s="46">
        <f ca="1">IF(AND(Table1[[#This Row],[SubscriptionStart]]&lt;=Settings!$E$2,Table1[[#This Row],[EffectiveEndDate]]&gt;=Settings!$E$2),1,0)</f>
        <v>0</v>
      </c>
      <c r="AF221"/>
      <c r="AG221"/>
      <c r="AH221"/>
      <c r="AI221"/>
      <c r="AJ221"/>
      <c r="AK221"/>
    </row>
    <row r="222" spans="1:37">
      <c r="A222" s="3" t="s">
        <v>60</v>
      </c>
      <c r="B222" s="3">
        <v>45</v>
      </c>
      <c r="C222" s="3" t="s">
        <v>23</v>
      </c>
      <c r="D222" s="5">
        <v>44795</v>
      </c>
      <c r="E222" s="5">
        <v>44975</v>
      </c>
      <c r="F222" s="3">
        <f ca="1">TODAY() - Table1[[#This Row],[SubscriptionStart]]</f>
        <v>1186</v>
      </c>
      <c r="G222" s="4">
        <v>6</v>
      </c>
      <c r="H222" s="3" t="s">
        <v>38</v>
      </c>
      <c r="I222" s="3" t="s">
        <v>39</v>
      </c>
      <c r="J222" s="7" cm="1">
        <f t="array" ref="J222">_xlfn.IFS(Table1[[#This Row],[Tier]]="Basic",10,Table1[[#This Row],[Tier]]="Standard",18,Table1[[#This Row],[Tier]]="Premium",25)</f>
        <v>18</v>
      </c>
      <c r="K222" s="7" cm="1">
        <f t="array" ref="K22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222" s="7" cm="1">
        <f t="array" ref="L22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222" s="3" t="str" cm="1">
        <f t="array" ref="M22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22" s="3" t="s">
        <v>31</v>
      </c>
      <c r="O222" s="3" t="s">
        <v>32</v>
      </c>
      <c r="P222" s="3" t="s">
        <v>50</v>
      </c>
      <c r="Q222" s="3" t="str" cm="1">
        <f t="array" ref="Q222">_xlfn.IFS(Table1[[#This Row],[TotalRevenue]]&lt;100,"Low",Table1[[#This Row],[TotalRevenue]]&lt;300,"Medium",Table1[[#This Row],[TotalRevenue]]&lt;600,"High",TRUE,"Very High")</f>
        <v>Low</v>
      </c>
      <c r="R222" s="3" t="str" cm="1">
        <f t="array" ref="R22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22" s="3" t="str">
        <f>IF(Table1[[#This Row],[NextBillingDate]]="","Cancelled",IF(Table1[[#This Row],[CancellationDate]]&lt;&gt;"","Cancelled","Active"))</f>
        <v>Cancelled</v>
      </c>
      <c r="T222" s="7" cm="1">
        <f t="array" ref="T22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222" s="5">
        <v>44975</v>
      </c>
      <c r="W222" s="5">
        <v>44975</v>
      </c>
      <c r="X222" s="3">
        <v>0</v>
      </c>
      <c r="Y222" s="5">
        <f ca="1">IF(Table1[[#This Row],[ChurnStatus]]="Cancelled",Table1[[#This Row],[CancellationDate]],TODAY())</f>
        <v>44975</v>
      </c>
      <c r="Z222" s="46">
        <f ca="1">IF(AND(Table1[[#This Row],[SubscriptionStart]] &lt;= TODAY(), Table1[[#This Row],[EffectiveEndDate]] &gt;= TODAY()),1,0)</f>
        <v>0</v>
      </c>
      <c r="AA222" s="46">
        <f ca="1">IF(AND(Table1[[#This Row],[SubscriptionStart]]&lt;=Settings!$A$2,Table1[[#This Row],[EffectiveEndDate]]&gt;=Settings!$A$2),1,0)</f>
        <v>0</v>
      </c>
      <c r="AB222" s="46">
        <f ca="1">IF(AND(Table1[[#This Row],[SubscriptionStart]]&lt;=Settings!$B$2,Table1[[#This Row],[EffectiveEndDate]]&gt;=Settings!$B$2),1,0)</f>
        <v>0</v>
      </c>
      <c r="AC222" s="46">
        <f ca="1">IF(AND(Table1[[#This Row],[SubscriptionStart]]&lt;=Settings!$C$2,Table1[[#This Row],[EffectiveEndDate]]&gt;=Settings!$C$2),1,0)</f>
        <v>1</v>
      </c>
      <c r="AD222" s="46">
        <f ca="1">IF(AND(Table1[[#This Row],[SubscriptionStart]]&lt;=Settings!$D$2,Table1[[#This Row],[EffectiveEndDate]]&gt;=Settings!$D$2),1,0)</f>
        <v>0</v>
      </c>
      <c r="AE222" s="46">
        <f ca="1">IF(AND(Table1[[#This Row],[SubscriptionStart]]&lt;=Settings!$E$2,Table1[[#This Row],[EffectiveEndDate]]&gt;=Settings!$E$2),1,0)</f>
        <v>0</v>
      </c>
      <c r="AF222"/>
      <c r="AG222"/>
      <c r="AH222"/>
      <c r="AI222"/>
      <c r="AJ222"/>
      <c r="AK222"/>
    </row>
    <row r="223" spans="1:37">
      <c r="A223" s="3" t="s">
        <v>662</v>
      </c>
      <c r="B223" s="3">
        <v>58</v>
      </c>
      <c r="C223" s="3" t="s">
        <v>37</v>
      </c>
      <c r="D223" s="5">
        <v>44795</v>
      </c>
      <c r="E223" s="5">
        <v>45155</v>
      </c>
      <c r="F223" s="3">
        <f ca="1">TODAY() - Table1[[#This Row],[SubscriptionStart]]</f>
        <v>1186</v>
      </c>
      <c r="G223" s="4">
        <v>12</v>
      </c>
      <c r="H223" s="3" t="s">
        <v>24</v>
      </c>
      <c r="I223" s="3" t="s">
        <v>25</v>
      </c>
      <c r="J223" s="7" cm="1">
        <f t="array" ref="J223">_xlfn.IFS(Table1[[#This Row],[Tier]]="Basic",10,Table1[[#This Row],[Tier]]="Standard",18,Table1[[#This Row],[Tier]]="Premium",25)</f>
        <v>25</v>
      </c>
      <c r="K223" s="7" cm="1">
        <f t="array" ref="K22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223" s="7" cm="1">
        <f t="array" ref="L22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223" s="3" t="str" cm="1">
        <f t="array" ref="M22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23" s="3" t="s">
        <v>34</v>
      </c>
      <c r="O223" s="3" t="s">
        <v>43</v>
      </c>
      <c r="P223" s="3" t="s">
        <v>35</v>
      </c>
      <c r="Q223" s="3" t="str" cm="1">
        <f t="array" ref="Q223">_xlfn.IFS(Table1[[#This Row],[TotalRevenue]]&lt;100,"Low",Table1[[#This Row],[TotalRevenue]]&lt;300,"Medium",Table1[[#This Row],[TotalRevenue]]&lt;600,"High",TRUE,"Very High")</f>
        <v>Medium</v>
      </c>
      <c r="R223" s="3" t="str" cm="1">
        <f t="array" ref="R22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23" s="3" t="str">
        <f>IF(Table1[[#This Row],[NextBillingDate]]="","Cancelled",IF(Table1[[#This Row],[CancellationDate]]&lt;&gt;"","Cancelled","Active"))</f>
        <v>Cancelled</v>
      </c>
      <c r="T223" s="7" cm="1">
        <f t="array" ref="T22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223" s="5">
        <v>45155</v>
      </c>
      <c r="W223" s="5">
        <v>45155</v>
      </c>
      <c r="X223" s="3">
        <v>0</v>
      </c>
      <c r="Y223" s="5">
        <f ca="1">IF(Table1[[#This Row],[ChurnStatus]]="Cancelled",Table1[[#This Row],[CancellationDate]],TODAY())</f>
        <v>45155</v>
      </c>
      <c r="Z223" s="46">
        <f ca="1">IF(AND(Table1[[#This Row],[SubscriptionStart]] &lt;= TODAY(), Table1[[#This Row],[EffectiveEndDate]] &gt;= TODAY()),1,0)</f>
        <v>0</v>
      </c>
      <c r="AA223" s="46">
        <f ca="1">IF(AND(Table1[[#This Row],[SubscriptionStart]]&lt;=Settings!$A$2,Table1[[#This Row],[EffectiveEndDate]]&gt;=Settings!$A$2),1,0)</f>
        <v>0</v>
      </c>
      <c r="AB223" s="46">
        <f ca="1">IF(AND(Table1[[#This Row],[SubscriptionStart]]&lt;=Settings!$B$2,Table1[[#This Row],[EffectiveEndDate]]&gt;=Settings!$B$2),1,0)</f>
        <v>0</v>
      </c>
      <c r="AC223" s="46">
        <f ca="1">IF(AND(Table1[[#This Row],[SubscriptionStart]]&lt;=Settings!$C$2,Table1[[#This Row],[EffectiveEndDate]]&gt;=Settings!$C$2),1,0)</f>
        <v>1</v>
      </c>
      <c r="AD223" s="46">
        <f ca="1">IF(AND(Table1[[#This Row],[SubscriptionStart]]&lt;=Settings!$D$2,Table1[[#This Row],[EffectiveEndDate]]&gt;=Settings!$D$2),1,0)</f>
        <v>1</v>
      </c>
      <c r="AE223" s="46">
        <f ca="1">IF(AND(Table1[[#This Row],[SubscriptionStart]]&lt;=Settings!$E$2,Table1[[#This Row],[EffectiveEndDate]]&gt;=Settings!$E$2),1,0)</f>
        <v>0</v>
      </c>
      <c r="AF223"/>
      <c r="AG223"/>
      <c r="AH223"/>
      <c r="AI223"/>
      <c r="AJ223"/>
      <c r="AK223"/>
    </row>
    <row r="224" spans="1:37">
      <c r="A224" s="3" t="s">
        <v>771</v>
      </c>
      <c r="B224" s="3">
        <v>36</v>
      </c>
      <c r="C224" s="3" t="s">
        <v>23</v>
      </c>
      <c r="D224" s="5">
        <v>44795</v>
      </c>
      <c r="F224" s="3">
        <f ca="1">TODAY() - Table1[[#This Row],[SubscriptionStart]]</f>
        <v>1186</v>
      </c>
      <c r="G224" s="4">
        <v>40</v>
      </c>
      <c r="H224" s="3" t="s">
        <v>29</v>
      </c>
      <c r="I224" s="3" t="s">
        <v>30</v>
      </c>
      <c r="J224" s="7" cm="1">
        <f t="array" ref="J224">_xlfn.IFS(Table1[[#This Row],[Tier]]="Basic",10,Table1[[#This Row],[Tier]]="Standard",18,Table1[[#This Row],[Tier]]="Premium",25)</f>
        <v>10</v>
      </c>
      <c r="K224" s="7" cm="1">
        <f t="array" ref="K22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224" s="7" cm="1">
        <f t="array" ref="L22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379</v>
      </c>
      <c r="M224" s="3" t="str" cm="1">
        <f t="array" ref="M22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24" s="3" t="s">
        <v>31</v>
      </c>
      <c r="O224" s="3" t="s">
        <v>43</v>
      </c>
      <c r="Q224" s="3" t="str" cm="1">
        <f t="array" ref="Q224">_xlfn.IFS(Table1[[#This Row],[TotalRevenue]]&lt;100,"Low",Table1[[#This Row],[TotalRevenue]]&lt;300,"Medium",Table1[[#This Row],[TotalRevenue]]&lt;600,"High",TRUE,"Very High")</f>
        <v>High</v>
      </c>
      <c r="R224" s="3" t="str" cm="1">
        <f t="array" ref="R22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24" s="3" t="str">
        <f>IF(Table1[[#This Row],[NextBillingDate]]="","Cancelled",IF(Table1[[#This Row],[CancellationDate]]&lt;&gt;"","Cancelled","Active"))</f>
        <v>Active</v>
      </c>
      <c r="T224" s="7" cm="1">
        <f t="array" ref="T22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389</v>
      </c>
      <c r="V224" s="5">
        <v>45995</v>
      </c>
      <c r="W224" s="5">
        <v>45995</v>
      </c>
      <c r="X224" s="3">
        <v>39</v>
      </c>
      <c r="Y224" s="5">
        <f ca="1">IF(Table1[[#This Row],[ChurnStatus]]="Cancelled",Table1[[#This Row],[CancellationDate]],TODAY())</f>
        <v>45981</v>
      </c>
      <c r="Z224" s="46">
        <f ca="1">IF(AND(Table1[[#This Row],[SubscriptionStart]] &lt;= TODAY(), Table1[[#This Row],[EffectiveEndDate]] &gt;= TODAY()),1,0)</f>
        <v>1</v>
      </c>
      <c r="AA224" s="46">
        <f ca="1">IF(AND(Table1[[#This Row],[SubscriptionStart]]&lt;=Settings!$A$2,Table1[[#This Row],[EffectiveEndDate]]&gt;=Settings!$A$2),1,0)</f>
        <v>0</v>
      </c>
      <c r="AB224" s="46">
        <f ca="1">IF(AND(Table1[[#This Row],[SubscriptionStart]]&lt;=Settings!$B$2,Table1[[#This Row],[EffectiveEndDate]]&gt;=Settings!$B$2),1,0)</f>
        <v>0</v>
      </c>
      <c r="AC224" s="46">
        <f ca="1">IF(AND(Table1[[#This Row],[SubscriptionStart]]&lt;=Settings!$C$2,Table1[[#This Row],[EffectiveEndDate]]&gt;=Settings!$C$2),1,0)</f>
        <v>1</v>
      </c>
      <c r="AD224" s="46">
        <f ca="1">IF(AND(Table1[[#This Row],[SubscriptionStart]]&lt;=Settings!$D$2,Table1[[#This Row],[EffectiveEndDate]]&gt;=Settings!$D$2),1,0)</f>
        <v>1</v>
      </c>
      <c r="AE224" s="46">
        <f ca="1">IF(AND(Table1[[#This Row],[SubscriptionStart]]&lt;=Settings!$E$2,Table1[[#This Row],[EffectiveEndDate]]&gt;=Settings!$E$2),1,0)</f>
        <v>1</v>
      </c>
      <c r="AF224"/>
      <c r="AG224"/>
      <c r="AH224"/>
      <c r="AI224"/>
      <c r="AJ224"/>
      <c r="AK224"/>
    </row>
    <row r="225" spans="1:37">
      <c r="A225" s="3" t="s">
        <v>218</v>
      </c>
      <c r="B225" s="3">
        <v>52</v>
      </c>
      <c r="C225" s="3" t="s">
        <v>23</v>
      </c>
      <c r="D225" s="5">
        <v>44796</v>
      </c>
      <c r="E225" s="5">
        <v>45156</v>
      </c>
      <c r="F225" s="3">
        <f ca="1">TODAY() - Table1[[#This Row],[SubscriptionStart]]</f>
        <v>1185</v>
      </c>
      <c r="G225" s="4">
        <v>12</v>
      </c>
      <c r="H225" s="3" t="s">
        <v>24</v>
      </c>
      <c r="I225" s="3" t="s">
        <v>30</v>
      </c>
      <c r="J225" s="7" cm="1">
        <f t="array" ref="J225">_xlfn.IFS(Table1[[#This Row],[Tier]]="Basic",10,Table1[[#This Row],[Tier]]="Standard",18,Table1[[#This Row],[Tier]]="Premium",25)</f>
        <v>10</v>
      </c>
      <c r="K225" s="7" cm="1">
        <f t="array" ref="K22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25" s="7" cm="1">
        <f t="array" ref="L22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25" s="3" t="str" cm="1">
        <f t="array" ref="M225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25" s="3" t="s">
        <v>52</v>
      </c>
      <c r="O225" s="3" t="s">
        <v>40</v>
      </c>
      <c r="P225" s="3" t="s">
        <v>50</v>
      </c>
      <c r="Q225" s="3" t="str" cm="1">
        <f t="array" ref="Q225">_xlfn.IFS(Table1[[#This Row],[TotalRevenue]]&lt;100,"Low",Table1[[#This Row],[TotalRevenue]]&lt;300,"Medium",Table1[[#This Row],[TotalRevenue]]&lt;600,"High",TRUE,"Very High")</f>
        <v>Low</v>
      </c>
      <c r="R225" s="3" t="str" cm="1">
        <f t="array" ref="R22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25" s="3" t="str">
        <f>IF(Table1[[#This Row],[NextBillingDate]]="","Cancelled",IF(Table1[[#This Row],[CancellationDate]]&lt;&gt;"","Cancelled","Active"))</f>
        <v>Cancelled</v>
      </c>
      <c r="T225" s="7" cm="1">
        <f t="array" ref="T22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25" s="5">
        <v>45156</v>
      </c>
      <c r="W225" s="5">
        <v>45156</v>
      </c>
      <c r="X225" s="3">
        <v>0</v>
      </c>
      <c r="Y225" s="5">
        <f ca="1">IF(Table1[[#This Row],[ChurnStatus]]="Cancelled",Table1[[#This Row],[CancellationDate]],TODAY())</f>
        <v>45156</v>
      </c>
      <c r="Z225" s="46">
        <f ca="1">IF(AND(Table1[[#This Row],[SubscriptionStart]] &lt;= TODAY(), Table1[[#This Row],[EffectiveEndDate]] &gt;= TODAY()),1,0)</f>
        <v>0</v>
      </c>
      <c r="AA225" s="46">
        <f ca="1">IF(AND(Table1[[#This Row],[SubscriptionStart]]&lt;=Settings!$A$2,Table1[[#This Row],[EffectiveEndDate]]&gt;=Settings!$A$2),1,0)</f>
        <v>0</v>
      </c>
      <c r="AB225" s="46">
        <f ca="1">IF(AND(Table1[[#This Row],[SubscriptionStart]]&lt;=Settings!$B$2,Table1[[#This Row],[EffectiveEndDate]]&gt;=Settings!$B$2),1,0)</f>
        <v>0</v>
      </c>
      <c r="AC225" s="46">
        <f ca="1">IF(AND(Table1[[#This Row],[SubscriptionStart]]&lt;=Settings!$C$2,Table1[[#This Row],[EffectiveEndDate]]&gt;=Settings!$C$2),1,0)</f>
        <v>1</v>
      </c>
      <c r="AD225" s="46">
        <f ca="1">IF(AND(Table1[[#This Row],[SubscriptionStart]]&lt;=Settings!$D$2,Table1[[#This Row],[EffectiveEndDate]]&gt;=Settings!$D$2),1,0)</f>
        <v>1</v>
      </c>
      <c r="AE225" s="46">
        <f ca="1">IF(AND(Table1[[#This Row],[SubscriptionStart]]&lt;=Settings!$E$2,Table1[[#This Row],[EffectiveEndDate]]&gt;=Settings!$E$2),1,0)</f>
        <v>0</v>
      </c>
      <c r="AF225"/>
      <c r="AG225"/>
      <c r="AH225"/>
      <c r="AI225"/>
      <c r="AJ225"/>
      <c r="AK225"/>
    </row>
    <row r="226" spans="1:37">
      <c r="A226" s="3" t="s">
        <v>757</v>
      </c>
      <c r="B226" s="3">
        <v>55</v>
      </c>
      <c r="C226" s="3" t="s">
        <v>23</v>
      </c>
      <c r="D226" s="5">
        <v>44797</v>
      </c>
      <c r="F226" s="3">
        <f ca="1">TODAY() - Table1[[#This Row],[SubscriptionStart]]</f>
        <v>1184</v>
      </c>
      <c r="G226" s="4">
        <v>40</v>
      </c>
      <c r="H226" s="3" t="s">
        <v>29</v>
      </c>
      <c r="I226" s="3" t="s">
        <v>39</v>
      </c>
      <c r="J226" s="7" cm="1">
        <f t="array" ref="J226">_xlfn.IFS(Table1[[#This Row],[Tier]]="Basic",10,Table1[[#This Row],[Tier]]="Standard",18,Table1[[#This Row],[Tier]]="Premium",25)</f>
        <v>18</v>
      </c>
      <c r="K226" s="7" cm="1">
        <f t="array" ref="K22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226" s="7" cm="1">
        <f t="array" ref="L22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682.2</v>
      </c>
      <c r="M226" s="3" t="str" cm="1">
        <f t="array" ref="M226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26" s="3" t="s">
        <v>34</v>
      </c>
      <c r="O226" s="3" t="s">
        <v>49</v>
      </c>
      <c r="Q226" s="3" t="str" cm="1">
        <f t="array" ref="Q226">_xlfn.IFS(Table1[[#This Row],[TotalRevenue]]&lt;100,"Low",Table1[[#This Row],[TotalRevenue]]&lt;300,"Medium",Table1[[#This Row],[TotalRevenue]]&lt;600,"High",TRUE,"Very High")</f>
        <v>Very High</v>
      </c>
      <c r="R226" s="3" t="str" cm="1">
        <f t="array" ref="R22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26" s="3" t="str">
        <f>IF(Table1[[#This Row],[NextBillingDate]]="","Cancelled",IF(Table1[[#This Row],[CancellationDate]]&lt;&gt;"","Cancelled","Active"))</f>
        <v>Active</v>
      </c>
      <c r="T226" s="7" cm="1">
        <f t="array" ref="T22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700.2</v>
      </c>
      <c r="V226" s="5">
        <v>45997</v>
      </c>
      <c r="W226" s="5">
        <v>45997</v>
      </c>
      <c r="X226" s="3">
        <v>39</v>
      </c>
      <c r="Y226" s="5">
        <f ca="1">IF(Table1[[#This Row],[ChurnStatus]]="Cancelled",Table1[[#This Row],[CancellationDate]],TODAY())</f>
        <v>45981</v>
      </c>
      <c r="Z226" s="46">
        <f ca="1">IF(AND(Table1[[#This Row],[SubscriptionStart]] &lt;= TODAY(), Table1[[#This Row],[EffectiveEndDate]] &gt;= TODAY()),1,0)</f>
        <v>1</v>
      </c>
      <c r="AA226" s="46">
        <f ca="1">IF(AND(Table1[[#This Row],[SubscriptionStart]]&lt;=Settings!$A$2,Table1[[#This Row],[EffectiveEndDate]]&gt;=Settings!$A$2),1,0)</f>
        <v>0</v>
      </c>
      <c r="AB226" s="46">
        <f ca="1">IF(AND(Table1[[#This Row],[SubscriptionStart]]&lt;=Settings!$B$2,Table1[[#This Row],[EffectiveEndDate]]&gt;=Settings!$B$2),1,0)</f>
        <v>0</v>
      </c>
      <c r="AC226" s="46">
        <f ca="1">IF(AND(Table1[[#This Row],[SubscriptionStart]]&lt;=Settings!$C$2,Table1[[#This Row],[EffectiveEndDate]]&gt;=Settings!$C$2),1,0)</f>
        <v>1</v>
      </c>
      <c r="AD226" s="46">
        <f ca="1">IF(AND(Table1[[#This Row],[SubscriptionStart]]&lt;=Settings!$D$2,Table1[[#This Row],[EffectiveEndDate]]&gt;=Settings!$D$2),1,0)</f>
        <v>1</v>
      </c>
      <c r="AE226" s="46">
        <f ca="1">IF(AND(Table1[[#This Row],[SubscriptionStart]]&lt;=Settings!$E$2,Table1[[#This Row],[EffectiveEndDate]]&gt;=Settings!$E$2),1,0)</f>
        <v>1</v>
      </c>
      <c r="AF226"/>
      <c r="AG226"/>
      <c r="AH226"/>
      <c r="AI226"/>
      <c r="AJ226"/>
      <c r="AK226"/>
    </row>
    <row r="227" spans="1:37">
      <c r="A227" s="3" t="s">
        <v>484</v>
      </c>
      <c r="B227" s="3">
        <v>71</v>
      </c>
      <c r="C227" s="3" t="s">
        <v>23</v>
      </c>
      <c r="D227" s="5">
        <v>44798</v>
      </c>
      <c r="E227" s="5">
        <v>44828</v>
      </c>
      <c r="F227" s="3">
        <f ca="1">TODAY() - Table1[[#This Row],[SubscriptionStart]]</f>
        <v>1183</v>
      </c>
      <c r="G227" s="4">
        <v>1</v>
      </c>
      <c r="H227" s="3" t="s">
        <v>29</v>
      </c>
      <c r="I227" s="3" t="s">
        <v>25</v>
      </c>
      <c r="J227" s="7" cm="1">
        <f t="array" ref="J227">_xlfn.IFS(Table1[[#This Row],[Tier]]="Basic",10,Table1[[#This Row],[Tier]]="Standard",18,Table1[[#This Row],[Tier]]="Premium",25)</f>
        <v>25</v>
      </c>
      <c r="K227" s="7" cm="1">
        <f t="array" ref="K22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227" s="7" cm="1">
        <f t="array" ref="L22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227" s="3" t="str" cm="1">
        <f t="array" ref="M227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227" s="3" t="s">
        <v>52</v>
      </c>
      <c r="O227" s="3" t="s">
        <v>43</v>
      </c>
      <c r="P227" s="3" t="s">
        <v>47</v>
      </c>
      <c r="Q227" s="3" t="str" cm="1">
        <f t="array" ref="Q227">_xlfn.IFS(Table1[[#This Row],[TotalRevenue]]&lt;100,"Low",Table1[[#This Row],[TotalRevenue]]&lt;300,"Medium",Table1[[#This Row],[TotalRevenue]]&lt;600,"High",TRUE,"Very High")</f>
        <v>Low</v>
      </c>
      <c r="R227" s="3" t="str" cm="1">
        <f t="array" ref="R227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227" s="3" t="str">
        <f>IF(Table1[[#This Row],[NextBillingDate]]="","Cancelled",IF(Table1[[#This Row],[CancellationDate]]&lt;&gt;"","Cancelled","Active"))</f>
        <v>Cancelled</v>
      </c>
      <c r="T227" s="7" cm="1">
        <f t="array" ref="T22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227" s="5">
        <v>44828</v>
      </c>
      <c r="W227" s="5">
        <v>44828</v>
      </c>
      <c r="X227" s="3">
        <v>0</v>
      </c>
      <c r="Y227" s="5">
        <f ca="1">IF(Table1[[#This Row],[ChurnStatus]]="Cancelled",Table1[[#This Row],[CancellationDate]],TODAY())</f>
        <v>44828</v>
      </c>
      <c r="Z227" s="46">
        <f ca="1">IF(AND(Table1[[#This Row],[SubscriptionStart]] &lt;= TODAY(), Table1[[#This Row],[EffectiveEndDate]] &gt;= TODAY()),1,0)</f>
        <v>0</v>
      </c>
      <c r="AA227" s="46">
        <f ca="1">IF(AND(Table1[[#This Row],[SubscriptionStart]]&lt;=Settings!$A$2,Table1[[#This Row],[EffectiveEndDate]]&gt;=Settings!$A$2),1,0)</f>
        <v>0</v>
      </c>
      <c r="AB227" s="46">
        <f ca="1">IF(AND(Table1[[#This Row],[SubscriptionStart]]&lt;=Settings!$B$2,Table1[[#This Row],[EffectiveEndDate]]&gt;=Settings!$B$2),1,0)</f>
        <v>0</v>
      </c>
      <c r="AC227" s="46">
        <f ca="1">IF(AND(Table1[[#This Row],[SubscriptionStart]]&lt;=Settings!$C$2,Table1[[#This Row],[EffectiveEndDate]]&gt;=Settings!$C$2),1,0)</f>
        <v>0</v>
      </c>
      <c r="AD227" s="46">
        <f ca="1">IF(AND(Table1[[#This Row],[SubscriptionStart]]&lt;=Settings!$D$2,Table1[[#This Row],[EffectiveEndDate]]&gt;=Settings!$D$2),1,0)</f>
        <v>0</v>
      </c>
      <c r="AE227" s="46">
        <f ca="1">IF(AND(Table1[[#This Row],[SubscriptionStart]]&lt;=Settings!$E$2,Table1[[#This Row],[EffectiveEndDate]]&gt;=Settings!$E$2),1,0)</f>
        <v>0</v>
      </c>
      <c r="AF227"/>
      <c r="AG227"/>
      <c r="AH227"/>
      <c r="AI227"/>
      <c r="AJ227"/>
      <c r="AK227"/>
    </row>
    <row r="228" spans="1:37">
      <c r="A228" s="3" t="s">
        <v>710</v>
      </c>
      <c r="B228" s="3">
        <v>59</v>
      </c>
      <c r="C228" s="3" t="s">
        <v>23</v>
      </c>
      <c r="D228" s="5">
        <v>44798</v>
      </c>
      <c r="E228" s="5">
        <v>44978</v>
      </c>
      <c r="F228" s="3">
        <f ca="1">TODAY() - Table1[[#This Row],[SubscriptionStart]]</f>
        <v>1183</v>
      </c>
      <c r="G228" s="4">
        <v>6</v>
      </c>
      <c r="H228" s="3" t="s">
        <v>38</v>
      </c>
      <c r="I228" s="3" t="s">
        <v>25</v>
      </c>
      <c r="J228" s="7" cm="1">
        <f t="array" ref="J228">_xlfn.IFS(Table1[[#This Row],[Tier]]="Basic",10,Table1[[#This Row],[Tier]]="Standard",18,Table1[[#This Row],[Tier]]="Premium",25)</f>
        <v>25</v>
      </c>
      <c r="K228" s="7" cm="1">
        <f t="array" ref="K22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228" s="7" cm="1">
        <f t="array" ref="L22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228" s="3" t="str" cm="1">
        <f t="array" ref="M22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28" s="3" t="s">
        <v>26</v>
      </c>
      <c r="O228" s="3" t="s">
        <v>43</v>
      </c>
      <c r="P228" s="3" t="s">
        <v>50</v>
      </c>
      <c r="Q228" s="3" t="str" cm="1">
        <f t="array" ref="Q228">_xlfn.IFS(Table1[[#This Row],[TotalRevenue]]&lt;100,"Low",Table1[[#This Row],[TotalRevenue]]&lt;300,"Medium",Table1[[#This Row],[TotalRevenue]]&lt;600,"High",TRUE,"Very High")</f>
        <v>Medium</v>
      </c>
      <c r="R228" s="3" t="str" cm="1">
        <f t="array" ref="R22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28" s="3" t="str">
        <f>IF(Table1[[#This Row],[NextBillingDate]]="","Cancelled",IF(Table1[[#This Row],[CancellationDate]]&lt;&gt;"","Cancelled","Active"))</f>
        <v>Cancelled</v>
      </c>
      <c r="T228" s="7" cm="1">
        <f t="array" ref="T22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228" s="5">
        <v>44978</v>
      </c>
      <c r="W228" s="5">
        <v>44978</v>
      </c>
      <c r="X228" s="3">
        <v>0</v>
      </c>
      <c r="Y228" s="5">
        <f ca="1">IF(Table1[[#This Row],[ChurnStatus]]="Cancelled",Table1[[#This Row],[CancellationDate]],TODAY())</f>
        <v>44978</v>
      </c>
      <c r="Z228" s="46">
        <f ca="1">IF(AND(Table1[[#This Row],[SubscriptionStart]] &lt;= TODAY(), Table1[[#This Row],[EffectiveEndDate]] &gt;= TODAY()),1,0)</f>
        <v>0</v>
      </c>
      <c r="AA228" s="46">
        <f ca="1">IF(AND(Table1[[#This Row],[SubscriptionStart]]&lt;=Settings!$A$2,Table1[[#This Row],[EffectiveEndDate]]&gt;=Settings!$A$2),1,0)</f>
        <v>0</v>
      </c>
      <c r="AB228" s="46">
        <f ca="1">IF(AND(Table1[[#This Row],[SubscriptionStart]]&lt;=Settings!$B$2,Table1[[#This Row],[EffectiveEndDate]]&gt;=Settings!$B$2),1,0)</f>
        <v>0</v>
      </c>
      <c r="AC228" s="46">
        <f ca="1">IF(AND(Table1[[#This Row],[SubscriptionStart]]&lt;=Settings!$C$2,Table1[[#This Row],[EffectiveEndDate]]&gt;=Settings!$C$2),1,0)</f>
        <v>1</v>
      </c>
      <c r="AD228" s="46">
        <f ca="1">IF(AND(Table1[[#This Row],[SubscriptionStart]]&lt;=Settings!$D$2,Table1[[#This Row],[EffectiveEndDate]]&gt;=Settings!$D$2),1,0)</f>
        <v>0</v>
      </c>
      <c r="AE228" s="46">
        <f ca="1">IF(AND(Table1[[#This Row],[SubscriptionStart]]&lt;=Settings!$E$2,Table1[[#This Row],[EffectiveEndDate]]&gt;=Settings!$E$2),1,0)</f>
        <v>0</v>
      </c>
      <c r="AF228"/>
      <c r="AG228"/>
      <c r="AH228"/>
      <c r="AI228"/>
      <c r="AJ228"/>
      <c r="AK228"/>
    </row>
    <row r="229" spans="1:37">
      <c r="A229" s="3" t="s">
        <v>437</v>
      </c>
      <c r="B229" s="3">
        <v>47</v>
      </c>
      <c r="C229" s="3" t="s">
        <v>23</v>
      </c>
      <c r="D229" s="5">
        <v>44799</v>
      </c>
      <c r="F229" s="3">
        <f ca="1">TODAY() - Table1[[#This Row],[SubscriptionStart]]</f>
        <v>1182</v>
      </c>
      <c r="G229" s="4">
        <v>48</v>
      </c>
      <c r="H229" s="3" t="s">
        <v>24</v>
      </c>
      <c r="I229" s="3" t="s">
        <v>30</v>
      </c>
      <c r="J229" s="7" cm="1">
        <f t="array" ref="J229">_xlfn.IFS(Table1[[#This Row],[Tier]]="Basic",10,Table1[[#This Row],[Tier]]="Standard",18,Table1[[#This Row],[Tier]]="Premium",25)</f>
        <v>10</v>
      </c>
      <c r="K229" s="7" cm="1">
        <f t="array" ref="K22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229" s="7" cm="1">
        <f t="array" ref="L22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312</v>
      </c>
      <c r="M229" s="3" t="str" cm="1">
        <f t="array" ref="M22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29" s="3" t="s">
        <v>31</v>
      </c>
      <c r="O229" s="3" t="s">
        <v>32</v>
      </c>
      <c r="Q229" s="3" t="str" cm="1">
        <f t="array" ref="Q229">_xlfn.IFS(Table1[[#This Row],[TotalRevenue]]&lt;100,"Low",Table1[[#This Row],[TotalRevenue]]&lt;300,"Medium",Table1[[#This Row],[TotalRevenue]]&lt;600,"High",TRUE,"Very High")</f>
        <v>High</v>
      </c>
      <c r="R229" s="3" t="str" cm="1">
        <f t="array" ref="R22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29" s="3" t="str">
        <f>IF(Table1[[#This Row],[NextBillingDate]]="","Cancelled",IF(Table1[[#This Row],[CancellationDate]]&lt;&gt;"","Cancelled","Active"))</f>
        <v>Active</v>
      </c>
      <c r="T229" s="7" cm="1">
        <f t="array" ref="T22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392</v>
      </c>
      <c r="V229" s="5">
        <v>46239</v>
      </c>
      <c r="W229" s="5">
        <v>46239</v>
      </c>
      <c r="X229" s="3">
        <v>3</v>
      </c>
      <c r="Y229" s="5">
        <f ca="1">IF(Table1[[#This Row],[ChurnStatus]]="Cancelled",Table1[[#This Row],[CancellationDate]],TODAY())</f>
        <v>45981</v>
      </c>
      <c r="Z229" s="46">
        <f ca="1">IF(AND(Table1[[#This Row],[SubscriptionStart]] &lt;= TODAY(), Table1[[#This Row],[EffectiveEndDate]] &gt;= TODAY()),1,0)</f>
        <v>1</v>
      </c>
      <c r="AA229" s="46">
        <f ca="1">IF(AND(Table1[[#This Row],[SubscriptionStart]]&lt;=Settings!$A$2,Table1[[#This Row],[EffectiveEndDate]]&gt;=Settings!$A$2),1,0)</f>
        <v>0</v>
      </c>
      <c r="AB229" s="46">
        <f ca="1">IF(AND(Table1[[#This Row],[SubscriptionStart]]&lt;=Settings!$B$2,Table1[[#This Row],[EffectiveEndDate]]&gt;=Settings!$B$2),1,0)</f>
        <v>0</v>
      </c>
      <c r="AC229" s="46">
        <f ca="1">IF(AND(Table1[[#This Row],[SubscriptionStart]]&lt;=Settings!$C$2,Table1[[#This Row],[EffectiveEndDate]]&gt;=Settings!$C$2),1,0)</f>
        <v>1</v>
      </c>
      <c r="AD229" s="46">
        <f ca="1">IF(AND(Table1[[#This Row],[SubscriptionStart]]&lt;=Settings!$D$2,Table1[[#This Row],[EffectiveEndDate]]&gt;=Settings!$D$2),1,0)</f>
        <v>1</v>
      </c>
      <c r="AE229" s="46">
        <f ca="1">IF(AND(Table1[[#This Row],[SubscriptionStart]]&lt;=Settings!$E$2,Table1[[#This Row],[EffectiveEndDate]]&gt;=Settings!$E$2),1,0)</f>
        <v>1</v>
      </c>
      <c r="AF229"/>
      <c r="AG229"/>
      <c r="AH229"/>
      <c r="AI229"/>
      <c r="AJ229"/>
      <c r="AK229"/>
    </row>
    <row r="230" spans="1:37">
      <c r="A230" s="3" t="s">
        <v>260</v>
      </c>
      <c r="B230" s="3">
        <v>64</v>
      </c>
      <c r="C230" s="3" t="s">
        <v>37</v>
      </c>
      <c r="D230" s="5">
        <v>44799</v>
      </c>
      <c r="F230" s="3">
        <f ca="1">TODAY() - Table1[[#This Row],[SubscriptionStart]]</f>
        <v>1182</v>
      </c>
      <c r="G230" s="4">
        <v>40</v>
      </c>
      <c r="H230" s="3" t="s">
        <v>29</v>
      </c>
      <c r="I230" s="3" t="s">
        <v>25</v>
      </c>
      <c r="J230" s="7" cm="1">
        <f t="array" ref="J230">_xlfn.IFS(Table1[[#This Row],[Tier]]="Basic",10,Table1[[#This Row],[Tier]]="Standard",18,Table1[[#This Row],[Tier]]="Premium",25)</f>
        <v>25</v>
      </c>
      <c r="K230" s="7" cm="1">
        <f t="array" ref="K23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230" s="7" cm="1">
        <f t="array" ref="L23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947.5</v>
      </c>
      <c r="M230" s="3" t="str" cm="1">
        <f t="array" ref="M230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30" s="3" t="s">
        <v>52</v>
      </c>
      <c r="O230" s="3" t="s">
        <v>49</v>
      </c>
      <c r="Q230" s="3" t="str" cm="1">
        <f t="array" ref="Q230">_xlfn.IFS(Table1[[#This Row],[TotalRevenue]]&lt;100,"Low",Table1[[#This Row],[TotalRevenue]]&lt;300,"Medium",Table1[[#This Row],[TotalRevenue]]&lt;600,"High",TRUE,"Very High")</f>
        <v>Very High</v>
      </c>
      <c r="R230" s="3" t="str" cm="1">
        <f t="array" ref="R230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30" s="3" t="str">
        <f>IF(Table1[[#This Row],[NextBillingDate]]="","Cancelled",IF(Table1[[#This Row],[CancellationDate]]&lt;&gt;"","Cancelled","Active"))</f>
        <v>Active</v>
      </c>
      <c r="T230" s="7" cm="1">
        <f t="array" ref="T23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972.5</v>
      </c>
      <c r="V230" s="5">
        <v>45999</v>
      </c>
      <c r="W230" s="5">
        <v>45999</v>
      </c>
      <c r="X230" s="3">
        <v>39</v>
      </c>
      <c r="Y230" s="5">
        <f ca="1">IF(Table1[[#This Row],[ChurnStatus]]="Cancelled",Table1[[#This Row],[CancellationDate]],TODAY())</f>
        <v>45981</v>
      </c>
      <c r="Z230" s="46">
        <f ca="1">IF(AND(Table1[[#This Row],[SubscriptionStart]] &lt;= TODAY(), Table1[[#This Row],[EffectiveEndDate]] &gt;= TODAY()),1,0)</f>
        <v>1</v>
      </c>
      <c r="AA230" s="46">
        <f ca="1">IF(AND(Table1[[#This Row],[SubscriptionStart]]&lt;=Settings!$A$2,Table1[[#This Row],[EffectiveEndDate]]&gt;=Settings!$A$2),1,0)</f>
        <v>0</v>
      </c>
      <c r="AB230" s="46">
        <f ca="1">IF(AND(Table1[[#This Row],[SubscriptionStart]]&lt;=Settings!$B$2,Table1[[#This Row],[EffectiveEndDate]]&gt;=Settings!$B$2),1,0)</f>
        <v>0</v>
      </c>
      <c r="AC230" s="46">
        <f ca="1">IF(AND(Table1[[#This Row],[SubscriptionStart]]&lt;=Settings!$C$2,Table1[[#This Row],[EffectiveEndDate]]&gt;=Settings!$C$2),1,0)</f>
        <v>1</v>
      </c>
      <c r="AD230" s="46">
        <f ca="1">IF(AND(Table1[[#This Row],[SubscriptionStart]]&lt;=Settings!$D$2,Table1[[#This Row],[EffectiveEndDate]]&gt;=Settings!$D$2),1,0)</f>
        <v>1</v>
      </c>
      <c r="AE230" s="46">
        <f ca="1">IF(AND(Table1[[#This Row],[SubscriptionStart]]&lt;=Settings!$E$2,Table1[[#This Row],[EffectiveEndDate]]&gt;=Settings!$E$2),1,0)</f>
        <v>1</v>
      </c>
      <c r="AF230"/>
      <c r="AG230"/>
      <c r="AH230"/>
      <c r="AI230"/>
      <c r="AJ230"/>
      <c r="AK230"/>
    </row>
    <row r="231" spans="1:37">
      <c r="A231" s="3" t="s">
        <v>210</v>
      </c>
      <c r="B231" s="3">
        <v>44</v>
      </c>
      <c r="C231" s="3" t="s">
        <v>23</v>
      </c>
      <c r="D231" s="5">
        <v>44800</v>
      </c>
      <c r="F231" s="3">
        <f ca="1">TODAY() - Table1[[#This Row],[SubscriptionStart]]</f>
        <v>1181</v>
      </c>
      <c r="G231" s="4">
        <v>48</v>
      </c>
      <c r="H231" s="3" t="s">
        <v>24</v>
      </c>
      <c r="I231" s="3" t="s">
        <v>39</v>
      </c>
      <c r="J231" s="7" cm="1">
        <f t="array" ref="J231">_xlfn.IFS(Table1[[#This Row],[Tier]]="Basic",10,Table1[[#This Row],[Tier]]="Standard",18,Table1[[#This Row],[Tier]]="Premium",25)</f>
        <v>18</v>
      </c>
      <c r="K231" s="7" cm="1">
        <f t="array" ref="K23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231" s="7" cm="1">
        <f t="array" ref="L23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561.6</v>
      </c>
      <c r="M231" s="3" t="str" cm="1">
        <f t="array" ref="M23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31" s="3" t="s">
        <v>26</v>
      </c>
      <c r="O231" s="3" t="s">
        <v>27</v>
      </c>
      <c r="Q231" s="3" t="str" cm="1">
        <f t="array" ref="Q231">_xlfn.IFS(Table1[[#This Row],[TotalRevenue]]&lt;100,"Low",Table1[[#This Row],[TotalRevenue]]&lt;300,"Medium",Table1[[#This Row],[TotalRevenue]]&lt;600,"High",TRUE,"Very High")</f>
        <v>High</v>
      </c>
      <c r="R231" s="3" t="str" cm="1">
        <f t="array" ref="R23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31" s="3" t="str">
        <f>IF(Table1[[#This Row],[NextBillingDate]]="","Cancelled",IF(Table1[[#This Row],[CancellationDate]]&lt;&gt;"","Cancelled","Active"))</f>
        <v>Active</v>
      </c>
      <c r="T231" s="7" cm="1">
        <f t="array" ref="T23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705.6</v>
      </c>
      <c r="V231" s="5">
        <v>46240</v>
      </c>
      <c r="W231" s="5">
        <v>46240</v>
      </c>
      <c r="X231" s="3">
        <v>3</v>
      </c>
      <c r="Y231" s="5">
        <f ca="1">IF(Table1[[#This Row],[ChurnStatus]]="Cancelled",Table1[[#This Row],[CancellationDate]],TODAY())</f>
        <v>45981</v>
      </c>
      <c r="Z231" s="46">
        <f ca="1">IF(AND(Table1[[#This Row],[SubscriptionStart]] &lt;= TODAY(), Table1[[#This Row],[EffectiveEndDate]] &gt;= TODAY()),1,0)</f>
        <v>1</v>
      </c>
      <c r="AA231" s="46">
        <f ca="1">IF(AND(Table1[[#This Row],[SubscriptionStart]]&lt;=Settings!$A$2,Table1[[#This Row],[EffectiveEndDate]]&gt;=Settings!$A$2),1,0)</f>
        <v>0</v>
      </c>
      <c r="AB231" s="46">
        <f ca="1">IF(AND(Table1[[#This Row],[SubscriptionStart]]&lt;=Settings!$B$2,Table1[[#This Row],[EffectiveEndDate]]&gt;=Settings!$B$2),1,0)</f>
        <v>0</v>
      </c>
      <c r="AC231" s="46">
        <f ca="1">IF(AND(Table1[[#This Row],[SubscriptionStart]]&lt;=Settings!$C$2,Table1[[#This Row],[EffectiveEndDate]]&gt;=Settings!$C$2),1,0)</f>
        <v>1</v>
      </c>
      <c r="AD231" s="46">
        <f ca="1">IF(AND(Table1[[#This Row],[SubscriptionStart]]&lt;=Settings!$D$2,Table1[[#This Row],[EffectiveEndDate]]&gt;=Settings!$D$2),1,0)</f>
        <v>1</v>
      </c>
      <c r="AE231" s="46">
        <f ca="1">IF(AND(Table1[[#This Row],[SubscriptionStart]]&lt;=Settings!$E$2,Table1[[#This Row],[EffectiveEndDate]]&gt;=Settings!$E$2),1,0)</f>
        <v>1</v>
      </c>
      <c r="AF231"/>
      <c r="AG231"/>
      <c r="AH231"/>
      <c r="AI231"/>
      <c r="AJ231"/>
      <c r="AK231"/>
    </row>
    <row r="232" spans="1:37">
      <c r="A232" s="3" t="s">
        <v>365</v>
      </c>
      <c r="B232" s="3">
        <v>58</v>
      </c>
      <c r="C232" s="3" t="s">
        <v>37</v>
      </c>
      <c r="D232" s="5">
        <v>44801</v>
      </c>
      <c r="E232" s="5">
        <v>45161</v>
      </c>
      <c r="F232" s="3">
        <f ca="1">TODAY() - Table1[[#This Row],[SubscriptionStart]]</f>
        <v>1180</v>
      </c>
      <c r="G232" s="4">
        <v>12</v>
      </c>
      <c r="H232" s="3" t="s">
        <v>24</v>
      </c>
      <c r="I232" s="3" t="s">
        <v>30</v>
      </c>
      <c r="J232" s="7" cm="1">
        <f t="array" ref="J232">_xlfn.IFS(Table1[[#This Row],[Tier]]="Basic",10,Table1[[#This Row],[Tier]]="Standard",18,Table1[[#This Row],[Tier]]="Premium",25)</f>
        <v>10</v>
      </c>
      <c r="K232" s="7" cm="1">
        <f t="array" ref="K23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32" s="7" cm="1">
        <f t="array" ref="L23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32" s="3" t="str" cm="1">
        <f t="array" ref="M232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32" s="3" t="s">
        <v>34</v>
      </c>
      <c r="O232" s="3" t="s">
        <v>40</v>
      </c>
      <c r="P232" s="3" t="s">
        <v>47</v>
      </c>
      <c r="Q232" s="3" t="str" cm="1">
        <f t="array" ref="Q232">_xlfn.IFS(Table1[[#This Row],[TotalRevenue]]&lt;100,"Low",Table1[[#This Row],[TotalRevenue]]&lt;300,"Medium",Table1[[#This Row],[TotalRevenue]]&lt;600,"High",TRUE,"Very High")</f>
        <v>Low</v>
      </c>
      <c r="R232" s="3" t="str" cm="1">
        <f t="array" ref="R23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32" s="3" t="str">
        <f>IF(Table1[[#This Row],[NextBillingDate]]="","Cancelled",IF(Table1[[#This Row],[CancellationDate]]&lt;&gt;"","Cancelled","Active"))</f>
        <v>Cancelled</v>
      </c>
      <c r="T232" s="7" cm="1">
        <f t="array" ref="T23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32" s="5">
        <v>45161</v>
      </c>
      <c r="W232" s="5">
        <v>45161</v>
      </c>
      <c r="X232" s="3">
        <v>0</v>
      </c>
      <c r="Y232" s="5">
        <f ca="1">IF(Table1[[#This Row],[ChurnStatus]]="Cancelled",Table1[[#This Row],[CancellationDate]],TODAY())</f>
        <v>45161</v>
      </c>
      <c r="Z232" s="46">
        <f ca="1">IF(AND(Table1[[#This Row],[SubscriptionStart]] &lt;= TODAY(), Table1[[#This Row],[EffectiveEndDate]] &gt;= TODAY()),1,0)</f>
        <v>0</v>
      </c>
      <c r="AA232" s="46">
        <f ca="1">IF(AND(Table1[[#This Row],[SubscriptionStart]]&lt;=Settings!$A$2,Table1[[#This Row],[EffectiveEndDate]]&gt;=Settings!$A$2),1,0)</f>
        <v>0</v>
      </c>
      <c r="AB232" s="46">
        <f ca="1">IF(AND(Table1[[#This Row],[SubscriptionStart]]&lt;=Settings!$B$2,Table1[[#This Row],[EffectiveEndDate]]&gt;=Settings!$B$2),1,0)</f>
        <v>0</v>
      </c>
      <c r="AC232" s="46">
        <f ca="1">IF(AND(Table1[[#This Row],[SubscriptionStart]]&lt;=Settings!$C$2,Table1[[#This Row],[EffectiveEndDate]]&gt;=Settings!$C$2),1,0)</f>
        <v>1</v>
      </c>
      <c r="AD232" s="46">
        <f ca="1">IF(AND(Table1[[#This Row],[SubscriptionStart]]&lt;=Settings!$D$2,Table1[[#This Row],[EffectiveEndDate]]&gt;=Settings!$D$2),1,0)</f>
        <v>1</v>
      </c>
      <c r="AE232" s="46">
        <f ca="1">IF(AND(Table1[[#This Row],[SubscriptionStart]]&lt;=Settings!$E$2,Table1[[#This Row],[EffectiveEndDate]]&gt;=Settings!$E$2),1,0)</f>
        <v>0</v>
      </c>
      <c r="AF232"/>
      <c r="AG232"/>
      <c r="AH232"/>
      <c r="AI232"/>
      <c r="AJ232"/>
      <c r="AK232"/>
    </row>
    <row r="233" spans="1:37">
      <c r="A233" s="3" t="s">
        <v>624</v>
      </c>
      <c r="B233" s="3">
        <v>71</v>
      </c>
      <c r="C233" s="3" t="s">
        <v>37</v>
      </c>
      <c r="D233" s="5">
        <v>44801</v>
      </c>
      <c r="E233" s="5">
        <v>45161</v>
      </c>
      <c r="F233" s="3">
        <f ca="1">TODAY() - Table1[[#This Row],[SubscriptionStart]]</f>
        <v>1180</v>
      </c>
      <c r="G233" s="4">
        <v>12</v>
      </c>
      <c r="H233" s="3" t="s">
        <v>24</v>
      </c>
      <c r="I233" s="3" t="s">
        <v>30</v>
      </c>
      <c r="J233" s="7" cm="1">
        <f t="array" ref="J233">_xlfn.IFS(Table1[[#This Row],[Tier]]="Basic",10,Table1[[#This Row],[Tier]]="Standard",18,Table1[[#This Row],[Tier]]="Premium",25)</f>
        <v>10</v>
      </c>
      <c r="K233" s="7" cm="1">
        <f t="array" ref="K23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33" s="7" cm="1">
        <f t="array" ref="L23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33" s="3" t="str" cm="1">
        <f t="array" ref="M233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233" s="3" t="s">
        <v>34</v>
      </c>
      <c r="O233" s="3" t="s">
        <v>32</v>
      </c>
      <c r="P233" s="3" t="s">
        <v>41</v>
      </c>
      <c r="Q233" s="3" t="str" cm="1">
        <f t="array" ref="Q233">_xlfn.IFS(Table1[[#This Row],[TotalRevenue]]&lt;100,"Low",Table1[[#This Row],[TotalRevenue]]&lt;300,"Medium",Table1[[#This Row],[TotalRevenue]]&lt;600,"High",TRUE,"Very High")</f>
        <v>Low</v>
      </c>
      <c r="R233" s="3" t="str" cm="1">
        <f t="array" ref="R233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233" s="3" t="str">
        <f>IF(Table1[[#This Row],[NextBillingDate]]="","Cancelled",IF(Table1[[#This Row],[CancellationDate]]&lt;&gt;"","Cancelled","Active"))</f>
        <v>Cancelled</v>
      </c>
      <c r="T233" s="7" cm="1">
        <f t="array" ref="T23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33" s="5">
        <v>45161</v>
      </c>
      <c r="W233" s="5">
        <v>45161</v>
      </c>
      <c r="X233" s="3">
        <v>0</v>
      </c>
      <c r="Y233" s="5">
        <f ca="1">IF(Table1[[#This Row],[ChurnStatus]]="Cancelled",Table1[[#This Row],[CancellationDate]],TODAY())</f>
        <v>45161</v>
      </c>
      <c r="Z233" s="46">
        <f ca="1">IF(AND(Table1[[#This Row],[SubscriptionStart]] &lt;= TODAY(), Table1[[#This Row],[EffectiveEndDate]] &gt;= TODAY()),1,0)</f>
        <v>0</v>
      </c>
      <c r="AA233" s="46">
        <f ca="1">IF(AND(Table1[[#This Row],[SubscriptionStart]]&lt;=Settings!$A$2,Table1[[#This Row],[EffectiveEndDate]]&gt;=Settings!$A$2),1,0)</f>
        <v>0</v>
      </c>
      <c r="AB233" s="46">
        <f ca="1">IF(AND(Table1[[#This Row],[SubscriptionStart]]&lt;=Settings!$B$2,Table1[[#This Row],[EffectiveEndDate]]&gt;=Settings!$B$2),1,0)</f>
        <v>0</v>
      </c>
      <c r="AC233" s="46">
        <f ca="1">IF(AND(Table1[[#This Row],[SubscriptionStart]]&lt;=Settings!$C$2,Table1[[#This Row],[EffectiveEndDate]]&gt;=Settings!$C$2),1,0)</f>
        <v>1</v>
      </c>
      <c r="AD233" s="46">
        <f ca="1">IF(AND(Table1[[#This Row],[SubscriptionStart]]&lt;=Settings!$D$2,Table1[[#This Row],[EffectiveEndDate]]&gt;=Settings!$D$2),1,0)</f>
        <v>1</v>
      </c>
      <c r="AE233" s="46">
        <f ca="1">IF(AND(Table1[[#This Row],[SubscriptionStart]]&lt;=Settings!$E$2,Table1[[#This Row],[EffectiveEndDate]]&gt;=Settings!$E$2),1,0)</f>
        <v>0</v>
      </c>
      <c r="AF233"/>
      <c r="AG233"/>
      <c r="AH233"/>
      <c r="AI233"/>
      <c r="AJ233"/>
      <c r="AK233"/>
    </row>
    <row r="234" spans="1:37">
      <c r="A234" s="3" t="s">
        <v>249</v>
      </c>
      <c r="B234" s="3">
        <v>62</v>
      </c>
      <c r="C234" s="3" t="s">
        <v>23</v>
      </c>
      <c r="D234" s="5">
        <v>44804</v>
      </c>
      <c r="E234" s="5">
        <v>45164</v>
      </c>
      <c r="F234" s="3">
        <f ca="1">TODAY() - Table1[[#This Row],[SubscriptionStart]]</f>
        <v>1177</v>
      </c>
      <c r="G234" s="4">
        <v>12</v>
      </c>
      <c r="H234" s="3" t="s">
        <v>24</v>
      </c>
      <c r="I234" s="3" t="s">
        <v>30</v>
      </c>
      <c r="J234" s="7" cm="1">
        <f t="array" ref="J234">_xlfn.IFS(Table1[[#This Row],[Tier]]="Basic",10,Table1[[#This Row],[Tier]]="Standard",18,Table1[[#This Row],[Tier]]="Premium",25)</f>
        <v>10</v>
      </c>
      <c r="K234" s="7" cm="1">
        <f t="array" ref="K23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34" s="7" cm="1">
        <f t="array" ref="L23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34" s="3" t="str" cm="1">
        <f t="array" ref="M23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34" s="3" t="s">
        <v>26</v>
      </c>
      <c r="O234" s="3" t="s">
        <v>49</v>
      </c>
      <c r="P234" s="3" t="s">
        <v>44</v>
      </c>
      <c r="Q234" s="3" t="str" cm="1">
        <f t="array" ref="Q234">_xlfn.IFS(Table1[[#This Row],[TotalRevenue]]&lt;100,"Low",Table1[[#This Row],[TotalRevenue]]&lt;300,"Medium",Table1[[#This Row],[TotalRevenue]]&lt;600,"High",TRUE,"Very High")</f>
        <v>Low</v>
      </c>
      <c r="R234" s="3" t="str" cm="1">
        <f t="array" ref="R23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34" s="3" t="str">
        <f>IF(Table1[[#This Row],[NextBillingDate]]="","Cancelled",IF(Table1[[#This Row],[CancellationDate]]&lt;&gt;"","Cancelled","Active"))</f>
        <v>Cancelled</v>
      </c>
      <c r="T234" s="7" cm="1">
        <f t="array" ref="T23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34" s="5">
        <v>45164</v>
      </c>
      <c r="W234" s="5">
        <v>45164</v>
      </c>
      <c r="X234" s="3">
        <v>0</v>
      </c>
      <c r="Y234" s="5">
        <f ca="1">IF(Table1[[#This Row],[ChurnStatus]]="Cancelled",Table1[[#This Row],[CancellationDate]],TODAY())</f>
        <v>45164</v>
      </c>
      <c r="Z234" s="46">
        <f ca="1">IF(AND(Table1[[#This Row],[SubscriptionStart]] &lt;= TODAY(), Table1[[#This Row],[EffectiveEndDate]] &gt;= TODAY()),1,0)</f>
        <v>0</v>
      </c>
      <c r="AA234" s="46">
        <f ca="1">IF(AND(Table1[[#This Row],[SubscriptionStart]]&lt;=Settings!$A$2,Table1[[#This Row],[EffectiveEndDate]]&gt;=Settings!$A$2),1,0)</f>
        <v>0</v>
      </c>
      <c r="AB234" s="46">
        <f ca="1">IF(AND(Table1[[#This Row],[SubscriptionStart]]&lt;=Settings!$B$2,Table1[[#This Row],[EffectiveEndDate]]&gt;=Settings!$B$2),1,0)</f>
        <v>0</v>
      </c>
      <c r="AC234" s="46">
        <f ca="1">IF(AND(Table1[[#This Row],[SubscriptionStart]]&lt;=Settings!$C$2,Table1[[#This Row],[EffectiveEndDate]]&gt;=Settings!$C$2),1,0)</f>
        <v>1</v>
      </c>
      <c r="AD234" s="46">
        <f ca="1">IF(AND(Table1[[#This Row],[SubscriptionStart]]&lt;=Settings!$D$2,Table1[[#This Row],[EffectiveEndDate]]&gt;=Settings!$D$2),1,0)</f>
        <v>1</v>
      </c>
      <c r="AE234" s="46">
        <f ca="1">IF(AND(Table1[[#This Row],[SubscriptionStart]]&lt;=Settings!$E$2,Table1[[#This Row],[EffectiveEndDate]]&gt;=Settings!$E$2),1,0)</f>
        <v>0</v>
      </c>
      <c r="AF234"/>
      <c r="AG234"/>
      <c r="AH234"/>
      <c r="AI234"/>
      <c r="AJ234"/>
      <c r="AK234"/>
    </row>
    <row r="235" spans="1:37">
      <c r="A235" s="3" t="s">
        <v>478</v>
      </c>
      <c r="B235" s="3">
        <v>70</v>
      </c>
      <c r="C235" s="3" t="s">
        <v>37</v>
      </c>
      <c r="D235" s="5">
        <v>44805</v>
      </c>
      <c r="E235" s="5">
        <v>45165</v>
      </c>
      <c r="F235" s="3">
        <f ca="1">TODAY() - Table1[[#This Row],[SubscriptionStart]]</f>
        <v>1176</v>
      </c>
      <c r="G235" s="4">
        <v>12</v>
      </c>
      <c r="H235" s="3" t="s">
        <v>24</v>
      </c>
      <c r="I235" s="3" t="s">
        <v>39</v>
      </c>
      <c r="J235" s="7" cm="1">
        <f t="array" ref="J235">_xlfn.IFS(Table1[[#This Row],[Tier]]="Basic",10,Table1[[#This Row],[Tier]]="Standard",18,Table1[[#This Row],[Tier]]="Premium",25)</f>
        <v>18</v>
      </c>
      <c r="K235" s="7" cm="1">
        <f t="array" ref="K23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235" s="7" cm="1">
        <f t="array" ref="L23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235" s="3" t="str" cm="1">
        <f t="array" ref="M235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35" s="3" t="s">
        <v>26</v>
      </c>
      <c r="O235" s="3" t="s">
        <v>32</v>
      </c>
      <c r="P235" s="3" t="s">
        <v>35</v>
      </c>
      <c r="Q235" s="3" t="str" cm="1">
        <f t="array" ref="Q235">_xlfn.IFS(Table1[[#This Row],[TotalRevenue]]&lt;100,"Low",Table1[[#This Row],[TotalRevenue]]&lt;300,"Medium",Table1[[#This Row],[TotalRevenue]]&lt;600,"High",TRUE,"Very High")</f>
        <v>Medium</v>
      </c>
      <c r="R235" s="3" t="str" cm="1">
        <f t="array" ref="R235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235" s="3" t="str">
        <f>IF(Table1[[#This Row],[NextBillingDate]]="","Cancelled",IF(Table1[[#This Row],[CancellationDate]]&lt;&gt;"","Cancelled","Active"))</f>
        <v>Cancelled</v>
      </c>
      <c r="T235" s="7" cm="1">
        <f t="array" ref="T23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235" s="5">
        <v>45165</v>
      </c>
      <c r="W235" s="5">
        <v>45165</v>
      </c>
      <c r="X235" s="3">
        <v>0</v>
      </c>
      <c r="Y235" s="5">
        <f ca="1">IF(Table1[[#This Row],[ChurnStatus]]="Cancelled",Table1[[#This Row],[CancellationDate]],TODAY())</f>
        <v>45165</v>
      </c>
      <c r="Z235" s="46">
        <f ca="1">IF(AND(Table1[[#This Row],[SubscriptionStart]] &lt;= TODAY(), Table1[[#This Row],[EffectiveEndDate]] &gt;= TODAY()),1,0)</f>
        <v>0</v>
      </c>
      <c r="AA235" s="46">
        <f ca="1">IF(AND(Table1[[#This Row],[SubscriptionStart]]&lt;=Settings!$A$2,Table1[[#This Row],[EffectiveEndDate]]&gt;=Settings!$A$2),1,0)</f>
        <v>0</v>
      </c>
      <c r="AB235" s="46">
        <f ca="1">IF(AND(Table1[[#This Row],[SubscriptionStart]]&lt;=Settings!$B$2,Table1[[#This Row],[EffectiveEndDate]]&gt;=Settings!$B$2),1,0)</f>
        <v>0</v>
      </c>
      <c r="AC235" s="46">
        <f ca="1">IF(AND(Table1[[#This Row],[SubscriptionStart]]&lt;=Settings!$C$2,Table1[[#This Row],[EffectiveEndDate]]&gt;=Settings!$C$2),1,0)</f>
        <v>1</v>
      </c>
      <c r="AD235" s="46">
        <f ca="1">IF(AND(Table1[[#This Row],[SubscriptionStart]]&lt;=Settings!$D$2,Table1[[#This Row],[EffectiveEndDate]]&gt;=Settings!$D$2),1,0)</f>
        <v>1</v>
      </c>
      <c r="AE235" s="46">
        <f ca="1">IF(AND(Table1[[#This Row],[SubscriptionStart]]&lt;=Settings!$E$2,Table1[[#This Row],[EffectiveEndDate]]&gt;=Settings!$E$2),1,0)</f>
        <v>0</v>
      </c>
      <c r="AF235"/>
      <c r="AG235"/>
      <c r="AH235"/>
      <c r="AI235"/>
      <c r="AJ235"/>
      <c r="AK235"/>
    </row>
    <row r="236" spans="1:37">
      <c r="A236" s="3" t="s">
        <v>759</v>
      </c>
      <c r="B236" s="3">
        <v>73</v>
      </c>
      <c r="C236" s="3" t="s">
        <v>37</v>
      </c>
      <c r="D236" s="5">
        <v>44805</v>
      </c>
      <c r="E236" s="5">
        <v>45165</v>
      </c>
      <c r="F236" s="3">
        <f ca="1">TODAY() - Table1[[#This Row],[SubscriptionStart]]</f>
        <v>1176</v>
      </c>
      <c r="G236" s="4">
        <v>12</v>
      </c>
      <c r="H236" s="3" t="s">
        <v>24</v>
      </c>
      <c r="I236" s="3" t="s">
        <v>25</v>
      </c>
      <c r="J236" s="7" cm="1">
        <f t="array" ref="J236">_xlfn.IFS(Table1[[#This Row],[Tier]]="Basic",10,Table1[[#This Row],[Tier]]="Standard",18,Table1[[#This Row],[Tier]]="Premium",25)</f>
        <v>25</v>
      </c>
      <c r="K236" s="7" cm="1">
        <f t="array" ref="K23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236" s="7" cm="1">
        <f t="array" ref="L23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236" s="3" t="str" cm="1">
        <f t="array" ref="M236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236" s="3" t="s">
        <v>26</v>
      </c>
      <c r="O236" s="3" t="s">
        <v>32</v>
      </c>
      <c r="P236" s="3" t="s">
        <v>41</v>
      </c>
      <c r="Q236" s="3" t="str" cm="1">
        <f t="array" ref="Q236">_xlfn.IFS(Table1[[#This Row],[TotalRevenue]]&lt;100,"Low",Table1[[#This Row],[TotalRevenue]]&lt;300,"Medium",Table1[[#This Row],[TotalRevenue]]&lt;600,"High",TRUE,"Very High")</f>
        <v>Medium</v>
      </c>
      <c r="R236" s="3" t="str" cm="1">
        <f t="array" ref="R236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236" s="3" t="str">
        <f>IF(Table1[[#This Row],[NextBillingDate]]="","Cancelled",IF(Table1[[#This Row],[CancellationDate]]&lt;&gt;"","Cancelled","Active"))</f>
        <v>Cancelled</v>
      </c>
      <c r="T236" s="7" cm="1">
        <f t="array" ref="T23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236" s="5">
        <v>45165</v>
      </c>
      <c r="W236" s="5">
        <v>45165</v>
      </c>
      <c r="X236" s="3">
        <v>0</v>
      </c>
      <c r="Y236" s="5">
        <f ca="1">IF(Table1[[#This Row],[ChurnStatus]]="Cancelled",Table1[[#This Row],[CancellationDate]],TODAY())</f>
        <v>45165</v>
      </c>
      <c r="Z236" s="46">
        <f ca="1">IF(AND(Table1[[#This Row],[SubscriptionStart]] &lt;= TODAY(), Table1[[#This Row],[EffectiveEndDate]] &gt;= TODAY()),1,0)</f>
        <v>0</v>
      </c>
      <c r="AA236" s="46">
        <f ca="1">IF(AND(Table1[[#This Row],[SubscriptionStart]]&lt;=Settings!$A$2,Table1[[#This Row],[EffectiveEndDate]]&gt;=Settings!$A$2),1,0)</f>
        <v>0</v>
      </c>
      <c r="AB236" s="46">
        <f ca="1">IF(AND(Table1[[#This Row],[SubscriptionStart]]&lt;=Settings!$B$2,Table1[[#This Row],[EffectiveEndDate]]&gt;=Settings!$B$2),1,0)</f>
        <v>0</v>
      </c>
      <c r="AC236" s="46">
        <f ca="1">IF(AND(Table1[[#This Row],[SubscriptionStart]]&lt;=Settings!$C$2,Table1[[#This Row],[EffectiveEndDate]]&gt;=Settings!$C$2),1,0)</f>
        <v>1</v>
      </c>
      <c r="AD236" s="46">
        <f ca="1">IF(AND(Table1[[#This Row],[SubscriptionStart]]&lt;=Settings!$D$2,Table1[[#This Row],[EffectiveEndDate]]&gt;=Settings!$D$2),1,0)</f>
        <v>1</v>
      </c>
      <c r="AE236" s="46">
        <f ca="1">IF(AND(Table1[[#This Row],[SubscriptionStart]]&lt;=Settings!$E$2,Table1[[#This Row],[EffectiveEndDate]]&gt;=Settings!$E$2),1,0)</f>
        <v>0</v>
      </c>
      <c r="AF236"/>
      <c r="AG236"/>
      <c r="AH236"/>
      <c r="AI236"/>
      <c r="AJ236"/>
      <c r="AK236"/>
    </row>
    <row r="237" spans="1:37">
      <c r="A237" s="3" t="s">
        <v>445</v>
      </c>
      <c r="B237" s="3">
        <v>26</v>
      </c>
      <c r="C237" s="3" t="s">
        <v>23</v>
      </c>
      <c r="D237" s="5">
        <v>44806</v>
      </c>
      <c r="E237" s="5">
        <v>45166</v>
      </c>
      <c r="F237" s="3">
        <f ca="1">TODAY() - Table1[[#This Row],[SubscriptionStart]]</f>
        <v>1175</v>
      </c>
      <c r="G237" s="4">
        <v>12</v>
      </c>
      <c r="H237" s="3" t="s">
        <v>24</v>
      </c>
      <c r="I237" s="3" t="s">
        <v>30</v>
      </c>
      <c r="J237" s="7" cm="1">
        <f t="array" ref="J237">_xlfn.IFS(Table1[[#This Row],[Tier]]="Basic",10,Table1[[#This Row],[Tier]]="Standard",18,Table1[[#This Row],[Tier]]="Premium",25)</f>
        <v>10</v>
      </c>
      <c r="K237" s="7" cm="1">
        <f t="array" ref="K23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37" s="7" cm="1">
        <f t="array" ref="L23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37" s="3" t="str" cm="1">
        <f t="array" ref="M23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37" s="3" t="s">
        <v>31</v>
      </c>
      <c r="O237" s="3" t="s">
        <v>43</v>
      </c>
      <c r="P237" s="3" t="s">
        <v>44</v>
      </c>
      <c r="Q237" s="3" t="str" cm="1">
        <f t="array" ref="Q237">_xlfn.IFS(Table1[[#This Row],[TotalRevenue]]&lt;100,"Low",Table1[[#This Row],[TotalRevenue]]&lt;300,"Medium",Table1[[#This Row],[TotalRevenue]]&lt;600,"High",TRUE,"Very High")</f>
        <v>Low</v>
      </c>
      <c r="R237" s="3" t="str" cm="1">
        <f t="array" ref="R23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37" s="3" t="str">
        <f>IF(Table1[[#This Row],[NextBillingDate]]="","Cancelled",IF(Table1[[#This Row],[CancellationDate]]&lt;&gt;"","Cancelled","Active"))</f>
        <v>Cancelled</v>
      </c>
      <c r="T237" s="7" cm="1">
        <f t="array" ref="T23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37" s="5">
        <v>45166</v>
      </c>
      <c r="W237" s="5">
        <v>45166</v>
      </c>
      <c r="X237" s="3">
        <v>0</v>
      </c>
      <c r="Y237" s="5">
        <f ca="1">IF(Table1[[#This Row],[ChurnStatus]]="Cancelled",Table1[[#This Row],[CancellationDate]],TODAY())</f>
        <v>45166</v>
      </c>
      <c r="Z237" s="46">
        <f ca="1">IF(AND(Table1[[#This Row],[SubscriptionStart]] &lt;= TODAY(), Table1[[#This Row],[EffectiveEndDate]] &gt;= TODAY()),1,0)</f>
        <v>0</v>
      </c>
      <c r="AA237" s="46">
        <f ca="1">IF(AND(Table1[[#This Row],[SubscriptionStart]]&lt;=Settings!$A$2,Table1[[#This Row],[EffectiveEndDate]]&gt;=Settings!$A$2),1,0)</f>
        <v>0</v>
      </c>
      <c r="AB237" s="46">
        <f ca="1">IF(AND(Table1[[#This Row],[SubscriptionStart]]&lt;=Settings!$B$2,Table1[[#This Row],[EffectiveEndDate]]&gt;=Settings!$B$2),1,0)</f>
        <v>0</v>
      </c>
      <c r="AC237" s="46">
        <f ca="1">IF(AND(Table1[[#This Row],[SubscriptionStart]]&lt;=Settings!$C$2,Table1[[#This Row],[EffectiveEndDate]]&gt;=Settings!$C$2),1,0)</f>
        <v>1</v>
      </c>
      <c r="AD237" s="46">
        <f ca="1">IF(AND(Table1[[#This Row],[SubscriptionStart]]&lt;=Settings!$D$2,Table1[[#This Row],[EffectiveEndDate]]&gt;=Settings!$D$2),1,0)</f>
        <v>1</v>
      </c>
      <c r="AE237" s="46">
        <f ca="1">IF(AND(Table1[[#This Row],[SubscriptionStart]]&lt;=Settings!$E$2,Table1[[#This Row],[EffectiveEndDate]]&gt;=Settings!$E$2),1,0)</f>
        <v>0</v>
      </c>
      <c r="AF237"/>
      <c r="AG237"/>
      <c r="AH237"/>
      <c r="AI237"/>
      <c r="AJ237"/>
      <c r="AK237"/>
    </row>
    <row r="238" spans="1:37">
      <c r="A238" s="3" t="s">
        <v>745</v>
      </c>
      <c r="B238" s="3">
        <v>61</v>
      </c>
      <c r="C238" s="3" t="s">
        <v>23</v>
      </c>
      <c r="D238" s="5">
        <v>44807</v>
      </c>
      <c r="E238" s="5">
        <v>45167</v>
      </c>
      <c r="F238" s="3">
        <f ca="1">TODAY() - Table1[[#This Row],[SubscriptionStart]]</f>
        <v>1174</v>
      </c>
      <c r="G238" s="4">
        <v>12</v>
      </c>
      <c r="H238" s="3" t="s">
        <v>24</v>
      </c>
      <c r="I238" s="3" t="s">
        <v>30</v>
      </c>
      <c r="J238" s="7" cm="1">
        <f t="array" ref="J238">_xlfn.IFS(Table1[[#This Row],[Tier]]="Basic",10,Table1[[#This Row],[Tier]]="Standard",18,Table1[[#This Row],[Tier]]="Premium",25)</f>
        <v>10</v>
      </c>
      <c r="K238" s="7" cm="1">
        <f t="array" ref="K23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38" s="7" cm="1">
        <f t="array" ref="L23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38" s="3" t="str" cm="1">
        <f t="array" ref="M238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38" s="3" t="s">
        <v>26</v>
      </c>
      <c r="O238" s="3" t="s">
        <v>49</v>
      </c>
      <c r="P238" s="3" t="s">
        <v>35</v>
      </c>
      <c r="Q238" s="3" t="str" cm="1">
        <f t="array" ref="Q238">_xlfn.IFS(Table1[[#This Row],[TotalRevenue]]&lt;100,"Low",Table1[[#This Row],[TotalRevenue]]&lt;300,"Medium",Table1[[#This Row],[TotalRevenue]]&lt;600,"High",TRUE,"Very High")</f>
        <v>Low</v>
      </c>
      <c r="R238" s="3" t="str" cm="1">
        <f t="array" ref="R238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38" s="3" t="str">
        <f>IF(Table1[[#This Row],[NextBillingDate]]="","Cancelled",IF(Table1[[#This Row],[CancellationDate]]&lt;&gt;"","Cancelled","Active"))</f>
        <v>Cancelled</v>
      </c>
      <c r="T238" s="7" cm="1">
        <f t="array" ref="T23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38" s="5">
        <v>45167</v>
      </c>
      <c r="W238" s="5">
        <v>45167</v>
      </c>
      <c r="X238" s="3">
        <v>0</v>
      </c>
      <c r="Y238" s="5">
        <f ca="1">IF(Table1[[#This Row],[ChurnStatus]]="Cancelled",Table1[[#This Row],[CancellationDate]],TODAY())</f>
        <v>45167</v>
      </c>
      <c r="Z238" s="46">
        <f ca="1">IF(AND(Table1[[#This Row],[SubscriptionStart]] &lt;= TODAY(), Table1[[#This Row],[EffectiveEndDate]] &gt;= TODAY()),1,0)</f>
        <v>0</v>
      </c>
      <c r="AA238" s="46">
        <f ca="1">IF(AND(Table1[[#This Row],[SubscriptionStart]]&lt;=Settings!$A$2,Table1[[#This Row],[EffectiveEndDate]]&gt;=Settings!$A$2),1,0)</f>
        <v>0</v>
      </c>
      <c r="AB238" s="46">
        <f ca="1">IF(AND(Table1[[#This Row],[SubscriptionStart]]&lt;=Settings!$B$2,Table1[[#This Row],[EffectiveEndDate]]&gt;=Settings!$B$2),1,0)</f>
        <v>0</v>
      </c>
      <c r="AC238" s="46">
        <f ca="1">IF(AND(Table1[[#This Row],[SubscriptionStart]]&lt;=Settings!$C$2,Table1[[#This Row],[EffectiveEndDate]]&gt;=Settings!$C$2),1,0)</f>
        <v>1</v>
      </c>
      <c r="AD238" s="46">
        <f ca="1">IF(AND(Table1[[#This Row],[SubscriptionStart]]&lt;=Settings!$D$2,Table1[[#This Row],[EffectiveEndDate]]&gt;=Settings!$D$2),1,0)</f>
        <v>1</v>
      </c>
      <c r="AE238" s="46">
        <f ca="1">IF(AND(Table1[[#This Row],[SubscriptionStart]]&lt;=Settings!$E$2,Table1[[#This Row],[EffectiveEndDate]]&gt;=Settings!$E$2),1,0)</f>
        <v>0</v>
      </c>
      <c r="AF238"/>
      <c r="AG238"/>
      <c r="AH238"/>
      <c r="AI238"/>
      <c r="AJ238"/>
      <c r="AK238"/>
    </row>
    <row r="239" spans="1:37">
      <c r="A239" s="3" t="s">
        <v>561</v>
      </c>
      <c r="B239" s="3">
        <v>22</v>
      </c>
      <c r="C239" s="3" t="s">
        <v>23</v>
      </c>
      <c r="D239" s="5">
        <v>44807</v>
      </c>
      <c r="F239" s="3">
        <f ca="1">TODAY() - Table1[[#This Row],[SubscriptionStart]]</f>
        <v>1174</v>
      </c>
      <c r="G239" s="4">
        <v>42</v>
      </c>
      <c r="H239" s="3" t="s">
        <v>38</v>
      </c>
      <c r="I239" s="3" t="s">
        <v>39</v>
      </c>
      <c r="J239" s="7" cm="1">
        <f t="array" ref="J239">_xlfn.IFS(Table1[[#This Row],[Tier]]="Basic",10,Table1[[#This Row],[Tier]]="Standard",18,Table1[[#This Row],[Tier]]="Premium",25)</f>
        <v>18</v>
      </c>
      <c r="K239" s="7" cm="1">
        <f t="array" ref="K23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239" s="7" cm="1">
        <f t="array" ref="L23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550.79999999999995</v>
      </c>
      <c r="M239" s="3" t="str" cm="1">
        <f t="array" ref="M239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239" s="3" t="s">
        <v>34</v>
      </c>
      <c r="O239" s="3" t="s">
        <v>43</v>
      </c>
      <c r="Q239" s="3" t="str" cm="1">
        <f t="array" ref="Q239">_xlfn.IFS(Table1[[#This Row],[TotalRevenue]]&lt;100,"Low",Table1[[#This Row],[TotalRevenue]]&lt;300,"Medium",Table1[[#This Row],[TotalRevenue]]&lt;600,"High",TRUE,"Very High")</f>
        <v>High</v>
      </c>
      <c r="R239" s="3" t="str" cm="1">
        <f t="array" ref="R239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239" s="3" t="str">
        <f>IF(Table1[[#This Row],[NextBillingDate]]="","Cancelled",IF(Table1[[#This Row],[CancellationDate]]&lt;&gt;"","Cancelled","Active"))</f>
        <v>Active</v>
      </c>
      <c r="T239" s="7" cm="1">
        <f t="array" ref="T23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631.79999999999995</v>
      </c>
      <c r="V239" s="5">
        <v>46067</v>
      </c>
      <c r="W239" s="5">
        <v>46067</v>
      </c>
      <c r="X239" s="3">
        <v>6</v>
      </c>
      <c r="Y239" s="5">
        <f ca="1">IF(Table1[[#This Row],[ChurnStatus]]="Cancelled",Table1[[#This Row],[CancellationDate]],TODAY())</f>
        <v>45981</v>
      </c>
      <c r="Z239" s="46">
        <f ca="1">IF(AND(Table1[[#This Row],[SubscriptionStart]] &lt;= TODAY(), Table1[[#This Row],[EffectiveEndDate]] &gt;= TODAY()),1,0)</f>
        <v>1</v>
      </c>
      <c r="AA239" s="46">
        <f ca="1">IF(AND(Table1[[#This Row],[SubscriptionStart]]&lt;=Settings!$A$2,Table1[[#This Row],[EffectiveEndDate]]&gt;=Settings!$A$2),1,0)</f>
        <v>0</v>
      </c>
      <c r="AB239" s="46">
        <f ca="1">IF(AND(Table1[[#This Row],[SubscriptionStart]]&lt;=Settings!$B$2,Table1[[#This Row],[EffectiveEndDate]]&gt;=Settings!$B$2),1,0)</f>
        <v>0</v>
      </c>
      <c r="AC239" s="46">
        <f ca="1">IF(AND(Table1[[#This Row],[SubscriptionStart]]&lt;=Settings!$C$2,Table1[[#This Row],[EffectiveEndDate]]&gt;=Settings!$C$2),1,0)</f>
        <v>1</v>
      </c>
      <c r="AD239" s="46">
        <f ca="1">IF(AND(Table1[[#This Row],[SubscriptionStart]]&lt;=Settings!$D$2,Table1[[#This Row],[EffectiveEndDate]]&gt;=Settings!$D$2),1,0)</f>
        <v>1</v>
      </c>
      <c r="AE239" s="46">
        <f ca="1">IF(AND(Table1[[#This Row],[SubscriptionStart]]&lt;=Settings!$E$2,Table1[[#This Row],[EffectiveEndDate]]&gt;=Settings!$E$2),1,0)</f>
        <v>1</v>
      </c>
      <c r="AF239"/>
      <c r="AG239"/>
      <c r="AH239"/>
      <c r="AI239"/>
      <c r="AJ239"/>
      <c r="AK239"/>
    </row>
    <row r="240" spans="1:37">
      <c r="A240" s="3" t="s">
        <v>385</v>
      </c>
      <c r="B240" s="3">
        <v>51</v>
      </c>
      <c r="C240" s="3" t="s">
        <v>23</v>
      </c>
      <c r="D240" s="5">
        <v>44811</v>
      </c>
      <c r="E240" s="5">
        <v>45171</v>
      </c>
      <c r="F240" s="3">
        <f ca="1">TODAY() - Table1[[#This Row],[SubscriptionStart]]</f>
        <v>1170</v>
      </c>
      <c r="G240" s="4">
        <v>12</v>
      </c>
      <c r="H240" s="3" t="s">
        <v>24</v>
      </c>
      <c r="I240" s="3" t="s">
        <v>39</v>
      </c>
      <c r="J240" s="7" cm="1">
        <f t="array" ref="J240">_xlfn.IFS(Table1[[#This Row],[Tier]]="Basic",10,Table1[[#This Row],[Tier]]="Standard",18,Table1[[#This Row],[Tier]]="Premium",25)</f>
        <v>18</v>
      </c>
      <c r="K240" s="7" cm="1">
        <f t="array" ref="K24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240" s="7" cm="1">
        <f t="array" ref="L24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240" s="3" t="str" cm="1">
        <f t="array" ref="M24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40" s="3" t="s">
        <v>26</v>
      </c>
      <c r="O240" s="3" t="s">
        <v>43</v>
      </c>
      <c r="P240" s="3" t="s">
        <v>41</v>
      </c>
      <c r="Q240" s="3" t="str" cm="1">
        <f t="array" ref="Q240">_xlfn.IFS(Table1[[#This Row],[TotalRevenue]]&lt;100,"Low",Table1[[#This Row],[TotalRevenue]]&lt;300,"Medium",Table1[[#This Row],[TotalRevenue]]&lt;600,"High",TRUE,"Very High")</f>
        <v>Medium</v>
      </c>
      <c r="R240" s="3" t="str" cm="1">
        <f t="array" ref="R24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40" s="3" t="str">
        <f>IF(Table1[[#This Row],[NextBillingDate]]="","Cancelled",IF(Table1[[#This Row],[CancellationDate]]&lt;&gt;"","Cancelled","Active"))</f>
        <v>Cancelled</v>
      </c>
      <c r="T240" s="7" cm="1">
        <f t="array" ref="T24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240" s="5">
        <v>45171</v>
      </c>
      <c r="W240" s="5">
        <v>45171</v>
      </c>
      <c r="X240" s="3">
        <v>0</v>
      </c>
      <c r="Y240" s="5">
        <f ca="1">IF(Table1[[#This Row],[ChurnStatus]]="Cancelled",Table1[[#This Row],[CancellationDate]],TODAY())</f>
        <v>45171</v>
      </c>
      <c r="Z240" s="46">
        <f ca="1">IF(AND(Table1[[#This Row],[SubscriptionStart]] &lt;= TODAY(), Table1[[#This Row],[EffectiveEndDate]] &gt;= TODAY()),1,0)</f>
        <v>0</v>
      </c>
      <c r="AA240" s="46">
        <f ca="1">IF(AND(Table1[[#This Row],[SubscriptionStart]]&lt;=Settings!$A$2,Table1[[#This Row],[EffectiveEndDate]]&gt;=Settings!$A$2),1,0)</f>
        <v>0</v>
      </c>
      <c r="AB240" s="46">
        <f ca="1">IF(AND(Table1[[#This Row],[SubscriptionStart]]&lt;=Settings!$B$2,Table1[[#This Row],[EffectiveEndDate]]&gt;=Settings!$B$2),1,0)</f>
        <v>0</v>
      </c>
      <c r="AC240" s="46">
        <f ca="1">IF(AND(Table1[[#This Row],[SubscriptionStart]]&lt;=Settings!$C$2,Table1[[#This Row],[EffectiveEndDate]]&gt;=Settings!$C$2),1,0)</f>
        <v>1</v>
      </c>
      <c r="AD240" s="46">
        <f ca="1">IF(AND(Table1[[#This Row],[SubscriptionStart]]&lt;=Settings!$D$2,Table1[[#This Row],[EffectiveEndDate]]&gt;=Settings!$D$2),1,0)</f>
        <v>1</v>
      </c>
      <c r="AE240" s="46">
        <f ca="1">IF(AND(Table1[[#This Row],[SubscriptionStart]]&lt;=Settings!$E$2,Table1[[#This Row],[EffectiveEndDate]]&gt;=Settings!$E$2),1,0)</f>
        <v>0</v>
      </c>
      <c r="AF240"/>
      <c r="AG240"/>
      <c r="AH240"/>
      <c r="AI240"/>
      <c r="AJ240"/>
      <c r="AK240"/>
    </row>
    <row r="241" spans="1:37">
      <c r="A241" s="3" t="s">
        <v>267</v>
      </c>
      <c r="B241" s="3">
        <v>67</v>
      </c>
      <c r="C241" s="3" t="s">
        <v>23</v>
      </c>
      <c r="D241" s="5">
        <v>44812</v>
      </c>
      <c r="E241" s="5">
        <v>45172</v>
      </c>
      <c r="F241" s="3">
        <f ca="1">TODAY() - Table1[[#This Row],[SubscriptionStart]]</f>
        <v>1169</v>
      </c>
      <c r="G241" s="4">
        <v>12</v>
      </c>
      <c r="H241" s="3" t="s">
        <v>24</v>
      </c>
      <c r="I241" s="3" t="s">
        <v>39</v>
      </c>
      <c r="J241" s="7" cm="1">
        <f t="array" ref="J241">_xlfn.IFS(Table1[[#This Row],[Tier]]="Basic",10,Table1[[#This Row],[Tier]]="Standard",18,Table1[[#This Row],[Tier]]="Premium",25)</f>
        <v>18</v>
      </c>
      <c r="K241" s="7" cm="1">
        <f t="array" ref="K24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241" s="7" cm="1">
        <f t="array" ref="L24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241" s="3" t="str" cm="1">
        <f t="array" ref="M241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41" s="3" t="s">
        <v>52</v>
      </c>
      <c r="O241" s="3" t="s">
        <v>32</v>
      </c>
      <c r="P241" s="3" t="s">
        <v>41</v>
      </c>
      <c r="Q241" s="3" t="str" cm="1">
        <f t="array" ref="Q241">_xlfn.IFS(Table1[[#This Row],[TotalRevenue]]&lt;100,"Low",Table1[[#This Row],[TotalRevenue]]&lt;300,"Medium",Table1[[#This Row],[TotalRevenue]]&lt;600,"High",TRUE,"Very High")</f>
        <v>Medium</v>
      </c>
      <c r="R241" s="3" t="str" cm="1">
        <f t="array" ref="R241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41" s="3" t="str">
        <f>IF(Table1[[#This Row],[NextBillingDate]]="","Cancelled",IF(Table1[[#This Row],[CancellationDate]]&lt;&gt;"","Cancelled","Active"))</f>
        <v>Cancelled</v>
      </c>
      <c r="T241" s="7" cm="1">
        <f t="array" ref="T24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241" s="5">
        <v>45172</v>
      </c>
      <c r="W241" s="5">
        <v>45172</v>
      </c>
      <c r="X241" s="3">
        <v>0</v>
      </c>
      <c r="Y241" s="5">
        <f ca="1">IF(Table1[[#This Row],[ChurnStatus]]="Cancelled",Table1[[#This Row],[CancellationDate]],TODAY())</f>
        <v>45172</v>
      </c>
      <c r="Z241" s="46">
        <f ca="1">IF(AND(Table1[[#This Row],[SubscriptionStart]] &lt;= TODAY(), Table1[[#This Row],[EffectiveEndDate]] &gt;= TODAY()),1,0)</f>
        <v>0</v>
      </c>
      <c r="AA241" s="46">
        <f ca="1">IF(AND(Table1[[#This Row],[SubscriptionStart]]&lt;=Settings!$A$2,Table1[[#This Row],[EffectiveEndDate]]&gt;=Settings!$A$2),1,0)</f>
        <v>0</v>
      </c>
      <c r="AB241" s="46">
        <f ca="1">IF(AND(Table1[[#This Row],[SubscriptionStart]]&lt;=Settings!$B$2,Table1[[#This Row],[EffectiveEndDate]]&gt;=Settings!$B$2),1,0)</f>
        <v>0</v>
      </c>
      <c r="AC241" s="46">
        <f ca="1">IF(AND(Table1[[#This Row],[SubscriptionStart]]&lt;=Settings!$C$2,Table1[[#This Row],[EffectiveEndDate]]&gt;=Settings!$C$2),1,0)</f>
        <v>1</v>
      </c>
      <c r="AD241" s="46">
        <f ca="1">IF(AND(Table1[[#This Row],[SubscriptionStart]]&lt;=Settings!$D$2,Table1[[#This Row],[EffectiveEndDate]]&gt;=Settings!$D$2),1,0)</f>
        <v>1</v>
      </c>
      <c r="AE241" s="46">
        <f ca="1">IF(AND(Table1[[#This Row],[SubscriptionStart]]&lt;=Settings!$E$2,Table1[[#This Row],[EffectiveEndDate]]&gt;=Settings!$E$2),1,0)</f>
        <v>0</v>
      </c>
      <c r="AF241"/>
      <c r="AG241"/>
      <c r="AH241"/>
      <c r="AI241"/>
      <c r="AJ241"/>
      <c r="AK241"/>
    </row>
    <row r="242" spans="1:37">
      <c r="A242" s="3" t="s">
        <v>467</v>
      </c>
      <c r="B242" s="3">
        <v>26</v>
      </c>
      <c r="C242" s="3" t="s">
        <v>37</v>
      </c>
      <c r="D242" s="5">
        <v>44813</v>
      </c>
      <c r="E242" s="5">
        <v>45173</v>
      </c>
      <c r="F242" s="3">
        <f ca="1">TODAY() - Table1[[#This Row],[SubscriptionStart]]</f>
        <v>1168</v>
      </c>
      <c r="G242" s="4">
        <v>12</v>
      </c>
      <c r="H242" s="3" t="s">
        <v>24</v>
      </c>
      <c r="I242" s="3" t="s">
        <v>25</v>
      </c>
      <c r="J242" s="7" cm="1">
        <f t="array" ref="J242">_xlfn.IFS(Table1[[#This Row],[Tier]]="Basic",10,Table1[[#This Row],[Tier]]="Standard",18,Table1[[#This Row],[Tier]]="Premium",25)</f>
        <v>25</v>
      </c>
      <c r="K242" s="7" cm="1">
        <f t="array" ref="K24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242" s="7" cm="1">
        <f t="array" ref="L24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242" s="3" t="str" cm="1">
        <f t="array" ref="M24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42" s="3" t="s">
        <v>52</v>
      </c>
      <c r="O242" s="3" t="s">
        <v>43</v>
      </c>
      <c r="P242" s="3" t="s">
        <v>44</v>
      </c>
      <c r="Q242" s="3" t="str" cm="1">
        <f t="array" ref="Q242">_xlfn.IFS(Table1[[#This Row],[TotalRevenue]]&lt;100,"Low",Table1[[#This Row],[TotalRevenue]]&lt;300,"Medium",Table1[[#This Row],[TotalRevenue]]&lt;600,"High",TRUE,"Very High")</f>
        <v>Medium</v>
      </c>
      <c r="R242" s="3" t="str" cm="1">
        <f t="array" ref="R24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42" s="3" t="str">
        <f>IF(Table1[[#This Row],[NextBillingDate]]="","Cancelled",IF(Table1[[#This Row],[CancellationDate]]&lt;&gt;"","Cancelled","Active"))</f>
        <v>Cancelled</v>
      </c>
      <c r="T242" s="7" cm="1">
        <f t="array" ref="T24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242" s="5">
        <v>45173</v>
      </c>
      <c r="W242" s="5">
        <v>45173</v>
      </c>
      <c r="X242" s="3">
        <v>0</v>
      </c>
      <c r="Y242" s="5">
        <f ca="1">IF(Table1[[#This Row],[ChurnStatus]]="Cancelled",Table1[[#This Row],[CancellationDate]],TODAY())</f>
        <v>45173</v>
      </c>
      <c r="Z242" s="46">
        <f ca="1">IF(AND(Table1[[#This Row],[SubscriptionStart]] &lt;= TODAY(), Table1[[#This Row],[EffectiveEndDate]] &gt;= TODAY()),1,0)</f>
        <v>0</v>
      </c>
      <c r="AA242" s="46">
        <f ca="1">IF(AND(Table1[[#This Row],[SubscriptionStart]]&lt;=Settings!$A$2,Table1[[#This Row],[EffectiveEndDate]]&gt;=Settings!$A$2),1,0)</f>
        <v>0</v>
      </c>
      <c r="AB242" s="46">
        <f ca="1">IF(AND(Table1[[#This Row],[SubscriptionStart]]&lt;=Settings!$B$2,Table1[[#This Row],[EffectiveEndDate]]&gt;=Settings!$B$2),1,0)</f>
        <v>0</v>
      </c>
      <c r="AC242" s="46">
        <f ca="1">IF(AND(Table1[[#This Row],[SubscriptionStart]]&lt;=Settings!$C$2,Table1[[#This Row],[EffectiveEndDate]]&gt;=Settings!$C$2),1,0)</f>
        <v>1</v>
      </c>
      <c r="AD242" s="46">
        <f ca="1">IF(AND(Table1[[#This Row],[SubscriptionStart]]&lt;=Settings!$D$2,Table1[[#This Row],[EffectiveEndDate]]&gt;=Settings!$D$2),1,0)</f>
        <v>1</v>
      </c>
      <c r="AE242" s="46">
        <f ca="1">IF(AND(Table1[[#This Row],[SubscriptionStart]]&lt;=Settings!$E$2,Table1[[#This Row],[EffectiveEndDate]]&gt;=Settings!$E$2),1,0)</f>
        <v>0</v>
      </c>
      <c r="AF242"/>
      <c r="AG242"/>
      <c r="AH242"/>
      <c r="AI242"/>
      <c r="AJ242"/>
      <c r="AK242"/>
    </row>
    <row r="243" spans="1:37">
      <c r="A243" s="3" t="s">
        <v>832</v>
      </c>
      <c r="B243" s="3">
        <v>22</v>
      </c>
      <c r="C243" s="3" t="s">
        <v>23</v>
      </c>
      <c r="D243" s="5">
        <v>44815</v>
      </c>
      <c r="E243" s="5">
        <v>45175</v>
      </c>
      <c r="F243" s="3">
        <f ca="1">TODAY() - Table1[[#This Row],[SubscriptionStart]]</f>
        <v>1166</v>
      </c>
      <c r="G243" s="4">
        <v>12</v>
      </c>
      <c r="H243" s="3" t="s">
        <v>24</v>
      </c>
      <c r="I243" s="3" t="s">
        <v>30</v>
      </c>
      <c r="J243" s="7" cm="1">
        <f t="array" ref="J243">_xlfn.IFS(Table1[[#This Row],[Tier]]="Basic",10,Table1[[#This Row],[Tier]]="Standard",18,Table1[[#This Row],[Tier]]="Premium",25)</f>
        <v>10</v>
      </c>
      <c r="K243" s="7" cm="1">
        <f t="array" ref="K24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43" s="7" cm="1">
        <f t="array" ref="L24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43" s="3" t="str" cm="1">
        <f t="array" ref="M243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243" s="3" t="s">
        <v>31</v>
      </c>
      <c r="O243" s="3" t="s">
        <v>49</v>
      </c>
      <c r="P243" s="3" t="s">
        <v>41</v>
      </c>
      <c r="Q243" s="3" t="str" cm="1">
        <f t="array" ref="Q243">_xlfn.IFS(Table1[[#This Row],[TotalRevenue]]&lt;100,"Low",Table1[[#This Row],[TotalRevenue]]&lt;300,"Medium",Table1[[#This Row],[TotalRevenue]]&lt;600,"High",TRUE,"Very High")</f>
        <v>Low</v>
      </c>
      <c r="R243" s="3" t="str" cm="1">
        <f t="array" ref="R243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243" s="3" t="str">
        <f>IF(Table1[[#This Row],[NextBillingDate]]="","Cancelled",IF(Table1[[#This Row],[CancellationDate]]&lt;&gt;"","Cancelled","Active"))</f>
        <v>Cancelled</v>
      </c>
      <c r="T243" s="7" cm="1">
        <f t="array" ref="T24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43" s="5">
        <v>45175</v>
      </c>
      <c r="W243" s="5">
        <v>45175</v>
      </c>
      <c r="X243" s="3">
        <v>0</v>
      </c>
      <c r="Y243" s="5">
        <f ca="1">IF(Table1[[#This Row],[ChurnStatus]]="Cancelled",Table1[[#This Row],[CancellationDate]],TODAY())</f>
        <v>45175</v>
      </c>
      <c r="Z243" s="46">
        <f ca="1">IF(AND(Table1[[#This Row],[SubscriptionStart]] &lt;= TODAY(), Table1[[#This Row],[EffectiveEndDate]] &gt;= TODAY()),1,0)</f>
        <v>0</v>
      </c>
      <c r="AA243" s="46">
        <f ca="1">IF(AND(Table1[[#This Row],[SubscriptionStart]]&lt;=Settings!$A$2,Table1[[#This Row],[EffectiveEndDate]]&gt;=Settings!$A$2),1,0)</f>
        <v>0</v>
      </c>
      <c r="AB243" s="46">
        <f ca="1">IF(AND(Table1[[#This Row],[SubscriptionStart]]&lt;=Settings!$B$2,Table1[[#This Row],[EffectiveEndDate]]&gt;=Settings!$B$2),1,0)</f>
        <v>0</v>
      </c>
      <c r="AC243" s="46">
        <f ca="1">IF(AND(Table1[[#This Row],[SubscriptionStart]]&lt;=Settings!$C$2,Table1[[#This Row],[EffectiveEndDate]]&gt;=Settings!$C$2),1,0)</f>
        <v>1</v>
      </c>
      <c r="AD243" s="46">
        <f ca="1">IF(AND(Table1[[#This Row],[SubscriptionStart]]&lt;=Settings!$D$2,Table1[[#This Row],[EffectiveEndDate]]&gt;=Settings!$D$2),1,0)</f>
        <v>1</v>
      </c>
      <c r="AE243" s="46">
        <f ca="1">IF(AND(Table1[[#This Row],[SubscriptionStart]]&lt;=Settings!$E$2,Table1[[#This Row],[EffectiveEndDate]]&gt;=Settings!$E$2),1,0)</f>
        <v>0</v>
      </c>
      <c r="AF243"/>
      <c r="AG243"/>
      <c r="AH243"/>
      <c r="AI243"/>
      <c r="AJ243"/>
      <c r="AK243"/>
    </row>
    <row r="244" spans="1:37">
      <c r="A244" s="3" t="s">
        <v>734</v>
      </c>
      <c r="B244" s="3">
        <v>26</v>
      </c>
      <c r="C244" s="3" t="s">
        <v>37</v>
      </c>
      <c r="D244" s="5">
        <v>44815</v>
      </c>
      <c r="F244" s="3">
        <f ca="1">TODAY() - Table1[[#This Row],[SubscriptionStart]]</f>
        <v>1166</v>
      </c>
      <c r="G244" s="4">
        <v>39</v>
      </c>
      <c r="H244" s="3" t="s">
        <v>29</v>
      </c>
      <c r="I244" s="3" t="s">
        <v>25</v>
      </c>
      <c r="J244" s="7" cm="1">
        <f t="array" ref="J244">_xlfn.IFS(Table1[[#This Row],[Tier]]="Basic",10,Table1[[#This Row],[Tier]]="Standard",18,Table1[[#This Row],[Tier]]="Premium",25)</f>
        <v>25</v>
      </c>
      <c r="K244" s="7" cm="1">
        <f t="array" ref="K24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244" s="7" cm="1">
        <f t="array" ref="L24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922.5</v>
      </c>
      <c r="M244" s="3" t="str" cm="1">
        <f t="array" ref="M24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44" s="3" t="s">
        <v>34</v>
      </c>
      <c r="O244" s="3" t="s">
        <v>40</v>
      </c>
      <c r="Q244" s="3" t="str" cm="1">
        <f t="array" ref="Q244">_xlfn.IFS(Table1[[#This Row],[TotalRevenue]]&lt;100,"Low",Table1[[#This Row],[TotalRevenue]]&lt;300,"Medium",Table1[[#This Row],[TotalRevenue]]&lt;600,"High",TRUE,"Very High")</f>
        <v>Very High</v>
      </c>
      <c r="R244" s="3" t="str" cm="1">
        <f t="array" ref="R24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44" s="3" t="str">
        <f>IF(Table1[[#This Row],[NextBillingDate]]="","Cancelled",IF(Table1[[#This Row],[CancellationDate]]&lt;&gt;"","Cancelled","Active"))</f>
        <v>Active</v>
      </c>
      <c r="T244" s="7" cm="1">
        <f t="array" ref="T24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947.5</v>
      </c>
      <c r="V244" s="5">
        <v>45985</v>
      </c>
      <c r="W244" s="5">
        <v>45985</v>
      </c>
      <c r="X244" s="3">
        <v>38</v>
      </c>
      <c r="Y244" s="5">
        <f ca="1">IF(Table1[[#This Row],[ChurnStatus]]="Cancelled",Table1[[#This Row],[CancellationDate]],TODAY())</f>
        <v>45981</v>
      </c>
      <c r="Z244" s="46">
        <f ca="1">IF(AND(Table1[[#This Row],[SubscriptionStart]] &lt;= TODAY(), Table1[[#This Row],[EffectiveEndDate]] &gt;= TODAY()),1,0)</f>
        <v>1</v>
      </c>
      <c r="AA244" s="46">
        <f ca="1">IF(AND(Table1[[#This Row],[SubscriptionStart]]&lt;=Settings!$A$2,Table1[[#This Row],[EffectiveEndDate]]&gt;=Settings!$A$2),1,0)</f>
        <v>0</v>
      </c>
      <c r="AB244" s="46">
        <f ca="1">IF(AND(Table1[[#This Row],[SubscriptionStart]]&lt;=Settings!$B$2,Table1[[#This Row],[EffectiveEndDate]]&gt;=Settings!$B$2),1,0)</f>
        <v>0</v>
      </c>
      <c r="AC244" s="46">
        <f ca="1">IF(AND(Table1[[#This Row],[SubscriptionStart]]&lt;=Settings!$C$2,Table1[[#This Row],[EffectiveEndDate]]&gt;=Settings!$C$2),1,0)</f>
        <v>1</v>
      </c>
      <c r="AD244" s="46">
        <f ca="1">IF(AND(Table1[[#This Row],[SubscriptionStart]]&lt;=Settings!$D$2,Table1[[#This Row],[EffectiveEndDate]]&gt;=Settings!$D$2),1,0)</f>
        <v>1</v>
      </c>
      <c r="AE244" s="46">
        <f ca="1">IF(AND(Table1[[#This Row],[SubscriptionStart]]&lt;=Settings!$E$2,Table1[[#This Row],[EffectiveEndDate]]&gt;=Settings!$E$2),1,0)</f>
        <v>1</v>
      </c>
      <c r="AF244"/>
      <c r="AG244"/>
      <c r="AH244"/>
      <c r="AI244"/>
      <c r="AJ244"/>
      <c r="AK244"/>
    </row>
    <row r="245" spans="1:37">
      <c r="A245" s="3" t="s">
        <v>551</v>
      </c>
      <c r="B245" s="3">
        <v>22</v>
      </c>
      <c r="C245" s="3" t="s">
        <v>37</v>
      </c>
      <c r="D245" s="5">
        <v>44816</v>
      </c>
      <c r="E245" s="5">
        <v>45176</v>
      </c>
      <c r="F245" s="3">
        <f ca="1">TODAY() - Table1[[#This Row],[SubscriptionStart]]</f>
        <v>1165</v>
      </c>
      <c r="G245" s="4">
        <v>12</v>
      </c>
      <c r="H245" s="3" t="s">
        <v>24</v>
      </c>
      <c r="I245" s="3" t="s">
        <v>39</v>
      </c>
      <c r="J245" s="7" cm="1">
        <f t="array" ref="J245">_xlfn.IFS(Table1[[#This Row],[Tier]]="Basic",10,Table1[[#This Row],[Tier]]="Standard",18,Table1[[#This Row],[Tier]]="Premium",25)</f>
        <v>18</v>
      </c>
      <c r="K245" s="7" cm="1">
        <f t="array" ref="K24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245" s="7" cm="1">
        <f t="array" ref="L24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245" s="3" t="str" cm="1">
        <f t="array" ref="M245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245" s="3" t="s">
        <v>34</v>
      </c>
      <c r="O245" s="3" t="s">
        <v>27</v>
      </c>
      <c r="P245" s="3" t="s">
        <v>41</v>
      </c>
      <c r="Q245" s="3" t="str" cm="1">
        <f t="array" ref="Q245">_xlfn.IFS(Table1[[#This Row],[TotalRevenue]]&lt;100,"Low",Table1[[#This Row],[TotalRevenue]]&lt;300,"Medium",Table1[[#This Row],[TotalRevenue]]&lt;600,"High",TRUE,"Very High")</f>
        <v>Medium</v>
      </c>
      <c r="R245" s="3" t="str" cm="1">
        <f t="array" ref="R245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245" s="3" t="str">
        <f>IF(Table1[[#This Row],[NextBillingDate]]="","Cancelled",IF(Table1[[#This Row],[CancellationDate]]&lt;&gt;"","Cancelled","Active"))</f>
        <v>Cancelled</v>
      </c>
      <c r="T245" s="7" cm="1">
        <f t="array" ref="T24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245" s="5">
        <v>45176</v>
      </c>
      <c r="W245" s="5">
        <v>45176</v>
      </c>
      <c r="X245" s="3">
        <v>0</v>
      </c>
      <c r="Y245" s="5">
        <f ca="1">IF(Table1[[#This Row],[ChurnStatus]]="Cancelled",Table1[[#This Row],[CancellationDate]],TODAY())</f>
        <v>45176</v>
      </c>
      <c r="Z245" s="46">
        <f ca="1">IF(AND(Table1[[#This Row],[SubscriptionStart]] &lt;= TODAY(), Table1[[#This Row],[EffectiveEndDate]] &gt;= TODAY()),1,0)</f>
        <v>0</v>
      </c>
      <c r="AA245" s="46">
        <f ca="1">IF(AND(Table1[[#This Row],[SubscriptionStart]]&lt;=Settings!$A$2,Table1[[#This Row],[EffectiveEndDate]]&gt;=Settings!$A$2),1,0)</f>
        <v>0</v>
      </c>
      <c r="AB245" s="46">
        <f ca="1">IF(AND(Table1[[#This Row],[SubscriptionStart]]&lt;=Settings!$B$2,Table1[[#This Row],[EffectiveEndDate]]&gt;=Settings!$B$2),1,0)</f>
        <v>0</v>
      </c>
      <c r="AC245" s="46">
        <f ca="1">IF(AND(Table1[[#This Row],[SubscriptionStart]]&lt;=Settings!$C$2,Table1[[#This Row],[EffectiveEndDate]]&gt;=Settings!$C$2),1,0)</f>
        <v>1</v>
      </c>
      <c r="AD245" s="46">
        <f ca="1">IF(AND(Table1[[#This Row],[SubscriptionStart]]&lt;=Settings!$D$2,Table1[[#This Row],[EffectiveEndDate]]&gt;=Settings!$D$2),1,0)</f>
        <v>1</v>
      </c>
      <c r="AE245" s="46">
        <f ca="1">IF(AND(Table1[[#This Row],[SubscriptionStart]]&lt;=Settings!$E$2,Table1[[#This Row],[EffectiveEndDate]]&gt;=Settings!$E$2),1,0)</f>
        <v>0</v>
      </c>
      <c r="AF245"/>
      <c r="AG245"/>
      <c r="AH245"/>
      <c r="AI245"/>
      <c r="AJ245"/>
      <c r="AK245"/>
    </row>
    <row r="246" spans="1:37">
      <c r="A246" s="3" t="s">
        <v>447</v>
      </c>
      <c r="B246" s="3">
        <v>61</v>
      </c>
      <c r="C246" s="3" t="s">
        <v>23</v>
      </c>
      <c r="D246" s="5">
        <v>44817</v>
      </c>
      <c r="F246" s="3">
        <f ca="1">TODAY() - Table1[[#This Row],[SubscriptionStart]]</f>
        <v>1164</v>
      </c>
      <c r="G246" s="4">
        <v>39</v>
      </c>
      <c r="H246" s="3" t="s">
        <v>29</v>
      </c>
      <c r="I246" s="3" t="s">
        <v>25</v>
      </c>
      <c r="J246" s="7" cm="1">
        <f t="array" ref="J246">_xlfn.IFS(Table1[[#This Row],[Tier]]="Basic",10,Table1[[#This Row],[Tier]]="Standard",18,Table1[[#This Row],[Tier]]="Premium",25)</f>
        <v>25</v>
      </c>
      <c r="K246" s="7" cm="1">
        <f t="array" ref="K24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246" s="7" cm="1">
        <f t="array" ref="L24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922.5</v>
      </c>
      <c r="M246" s="3" t="str" cm="1">
        <f t="array" ref="M246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46" s="3" t="s">
        <v>52</v>
      </c>
      <c r="O246" s="3" t="s">
        <v>32</v>
      </c>
      <c r="Q246" s="3" t="str" cm="1">
        <f t="array" ref="Q246">_xlfn.IFS(Table1[[#This Row],[TotalRevenue]]&lt;100,"Low",Table1[[#This Row],[TotalRevenue]]&lt;300,"Medium",Table1[[#This Row],[TotalRevenue]]&lt;600,"High",TRUE,"Very High")</f>
        <v>Very High</v>
      </c>
      <c r="R246" s="3" t="str" cm="1">
        <f t="array" ref="R246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46" s="3" t="str">
        <f>IF(Table1[[#This Row],[NextBillingDate]]="","Cancelled",IF(Table1[[#This Row],[CancellationDate]]&lt;&gt;"","Cancelled","Active"))</f>
        <v>Active</v>
      </c>
      <c r="T246" s="7" cm="1">
        <f t="array" ref="T24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947.5</v>
      </c>
      <c r="V246" s="5">
        <v>45987</v>
      </c>
      <c r="W246" s="5">
        <v>45987</v>
      </c>
      <c r="X246" s="3">
        <v>38</v>
      </c>
      <c r="Y246" s="5">
        <f ca="1">IF(Table1[[#This Row],[ChurnStatus]]="Cancelled",Table1[[#This Row],[CancellationDate]],TODAY())</f>
        <v>45981</v>
      </c>
      <c r="Z246" s="46">
        <f ca="1">IF(AND(Table1[[#This Row],[SubscriptionStart]] &lt;= TODAY(), Table1[[#This Row],[EffectiveEndDate]] &gt;= TODAY()),1,0)</f>
        <v>1</v>
      </c>
      <c r="AA246" s="46">
        <f ca="1">IF(AND(Table1[[#This Row],[SubscriptionStart]]&lt;=Settings!$A$2,Table1[[#This Row],[EffectiveEndDate]]&gt;=Settings!$A$2),1,0)</f>
        <v>0</v>
      </c>
      <c r="AB246" s="46">
        <f ca="1">IF(AND(Table1[[#This Row],[SubscriptionStart]]&lt;=Settings!$B$2,Table1[[#This Row],[EffectiveEndDate]]&gt;=Settings!$B$2),1,0)</f>
        <v>0</v>
      </c>
      <c r="AC246" s="46">
        <f ca="1">IF(AND(Table1[[#This Row],[SubscriptionStart]]&lt;=Settings!$C$2,Table1[[#This Row],[EffectiveEndDate]]&gt;=Settings!$C$2),1,0)</f>
        <v>1</v>
      </c>
      <c r="AD246" s="46">
        <f ca="1">IF(AND(Table1[[#This Row],[SubscriptionStart]]&lt;=Settings!$D$2,Table1[[#This Row],[EffectiveEndDate]]&gt;=Settings!$D$2),1,0)</f>
        <v>1</v>
      </c>
      <c r="AE246" s="46">
        <f ca="1">IF(AND(Table1[[#This Row],[SubscriptionStart]]&lt;=Settings!$E$2,Table1[[#This Row],[EffectiveEndDate]]&gt;=Settings!$E$2),1,0)</f>
        <v>1</v>
      </c>
      <c r="AF246"/>
      <c r="AG246"/>
      <c r="AH246"/>
      <c r="AI246"/>
      <c r="AJ246"/>
      <c r="AK246"/>
    </row>
    <row r="247" spans="1:37">
      <c r="A247" s="3" t="s">
        <v>426</v>
      </c>
      <c r="B247" s="3">
        <v>36</v>
      </c>
      <c r="C247" s="3" t="s">
        <v>23</v>
      </c>
      <c r="D247" s="5">
        <v>44818</v>
      </c>
      <c r="E247" s="5">
        <v>44848</v>
      </c>
      <c r="F247" s="3">
        <f ca="1">TODAY() - Table1[[#This Row],[SubscriptionStart]]</f>
        <v>1163</v>
      </c>
      <c r="G247" s="4">
        <v>1</v>
      </c>
      <c r="H247" s="3" t="s">
        <v>29</v>
      </c>
      <c r="I247" s="3" t="s">
        <v>30</v>
      </c>
      <c r="J247" s="7" cm="1">
        <f t="array" ref="J247">_xlfn.IFS(Table1[[#This Row],[Tier]]="Basic",10,Table1[[#This Row],[Tier]]="Standard",18,Table1[[#This Row],[Tier]]="Premium",25)</f>
        <v>10</v>
      </c>
      <c r="K247" s="7" cm="1">
        <f t="array" ref="K24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247" s="7" cm="1">
        <f t="array" ref="L24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247" s="3" t="str" cm="1">
        <f t="array" ref="M24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47" s="3" t="s">
        <v>31</v>
      </c>
      <c r="O247" s="3" t="s">
        <v>43</v>
      </c>
      <c r="P247" s="3" t="s">
        <v>35</v>
      </c>
      <c r="Q247" s="3" t="str" cm="1">
        <f t="array" ref="Q247">_xlfn.IFS(Table1[[#This Row],[TotalRevenue]]&lt;100,"Low",Table1[[#This Row],[TotalRevenue]]&lt;300,"Medium",Table1[[#This Row],[TotalRevenue]]&lt;600,"High",TRUE,"Very High")</f>
        <v>Low</v>
      </c>
      <c r="R247" s="3" t="str" cm="1">
        <f t="array" ref="R24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47" s="3" t="str">
        <f>IF(Table1[[#This Row],[NextBillingDate]]="","Cancelled",IF(Table1[[#This Row],[CancellationDate]]&lt;&gt;"","Cancelled","Active"))</f>
        <v>Cancelled</v>
      </c>
      <c r="T247" s="7" cm="1">
        <f t="array" ref="T24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247" s="5">
        <v>44848</v>
      </c>
      <c r="W247" s="5">
        <v>44848</v>
      </c>
      <c r="X247" s="3">
        <v>0</v>
      </c>
      <c r="Y247" s="5">
        <f ca="1">IF(Table1[[#This Row],[ChurnStatus]]="Cancelled",Table1[[#This Row],[CancellationDate]],TODAY())</f>
        <v>44848</v>
      </c>
      <c r="Z247" s="46">
        <f ca="1">IF(AND(Table1[[#This Row],[SubscriptionStart]] &lt;= TODAY(), Table1[[#This Row],[EffectiveEndDate]] &gt;= TODAY()),1,0)</f>
        <v>0</v>
      </c>
      <c r="AA247" s="46">
        <f ca="1">IF(AND(Table1[[#This Row],[SubscriptionStart]]&lt;=Settings!$A$2,Table1[[#This Row],[EffectiveEndDate]]&gt;=Settings!$A$2),1,0)</f>
        <v>0</v>
      </c>
      <c r="AB247" s="46">
        <f ca="1">IF(AND(Table1[[#This Row],[SubscriptionStart]]&lt;=Settings!$B$2,Table1[[#This Row],[EffectiveEndDate]]&gt;=Settings!$B$2),1,0)</f>
        <v>0</v>
      </c>
      <c r="AC247" s="46">
        <f ca="1">IF(AND(Table1[[#This Row],[SubscriptionStart]]&lt;=Settings!$C$2,Table1[[#This Row],[EffectiveEndDate]]&gt;=Settings!$C$2),1,0)</f>
        <v>0</v>
      </c>
      <c r="AD247" s="46">
        <f ca="1">IF(AND(Table1[[#This Row],[SubscriptionStart]]&lt;=Settings!$D$2,Table1[[#This Row],[EffectiveEndDate]]&gt;=Settings!$D$2),1,0)</f>
        <v>0</v>
      </c>
      <c r="AE247" s="46">
        <f ca="1">IF(AND(Table1[[#This Row],[SubscriptionStart]]&lt;=Settings!$E$2,Table1[[#This Row],[EffectiveEndDate]]&gt;=Settings!$E$2),1,0)</f>
        <v>0</v>
      </c>
      <c r="AF247"/>
      <c r="AG247"/>
      <c r="AH247"/>
      <c r="AI247"/>
      <c r="AJ247"/>
      <c r="AK247"/>
    </row>
    <row r="248" spans="1:37">
      <c r="A248" s="3" t="s">
        <v>481</v>
      </c>
      <c r="B248" s="3">
        <v>29</v>
      </c>
      <c r="C248" s="3" t="s">
        <v>23</v>
      </c>
      <c r="D248" s="5">
        <v>44818</v>
      </c>
      <c r="E248" s="5">
        <v>45178</v>
      </c>
      <c r="F248" s="3">
        <f ca="1">TODAY() - Table1[[#This Row],[SubscriptionStart]]</f>
        <v>1163</v>
      </c>
      <c r="G248" s="4">
        <v>12</v>
      </c>
      <c r="H248" s="3" t="s">
        <v>24</v>
      </c>
      <c r="I248" s="3" t="s">
        <v>39</v>
      </c>
      <c r="J248" s="7" cm="1">
        <f t="array" ref="J248">_xlfn.IFS(Table1[[#This Row],[Tier]]="Basic",10,Table1[[#This Row],[Tier]]="Standard",18,Table1[[#This Row],[Tier]]="Premium",25)</f>
        <v>18</v>
      </c>
      <c r="K248" s="7" cm="1">
        <f t="array" ref="K24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248" s="7" cm="1">
        <f t="array" ref="L24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248" s="3" t="str" cm="1">
        <f t="array" ref="M24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48" s="3" t="s">
        <v>52</v>
      </c>
      <c r="O248" s="3" t="s">
        <v>49</v>
      </c>
      <c r="P248" s="3" t="s">
        <v>44</v>
      </c>
      <c r="Q248" s="3" t="str" cm="1">
        <f t="array" ref="Q248">_xlfn.IFS(Table1[[#This Row],[TotalRevenue]]&lt;100,"Low",Table1[[#This Row],[TotalRevenue]]&lt;300,"Medium",Table1[[#This Row],[TotalRevenue]]&lt;600,"High",TRUE,"Very High")</f>
        <v>Medium</v>
      </c>
      <c r="R248" s="3" t="str" cm="1">
        <f t="array" ref="R24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48" s="3" t="str">
        <f>IF(Table1[[#This Row],[NextBillingDate]]="","Cancelled",IF(Table1[[#This Row],[CancellationDate]]&lt;&gt;"","Cancelled","Active"))</f>
        <v>Cancelled</v>
      </c>
      <c r="T248" s="7" cm="1">
        <f t="array" ref="T24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248" s="5">
        <v>45178</v>
      </c>
      <c r="W248" s="5">
        <v>45178</v>
      </c>
      <c r="X248" s="3">
        <v>0</v>
      </c>
      <c r="Y248" s="5">
        <f ca="1">IF(Table1[[#This Row],[ChurnStatus]]="Cancelled",Table1[[#This Row],[CancellationDate]],TODAY())</f>
        <v>45178</v>
      </c>
      <c r="Z248" s="46">
        <f ca="1">IF(AND(Table1[[#This Row],[SubscriptionStart]] &lt;= TODAY(), Table1[[#This Row],[EffectiveEndDate]] &gt;= TODAY()),1,0)</f>
        <v>0</v>
      </c>
      <c r="AA248" s="46">
        <f ca="1">IF(AND(Table1[[#This Row],[SubscriptionStart]]&lt;=Settings!$A$2,Table1[[#This Row],[EffectiveEndDate]]&gt;=Settings!$A$2),1,0)</f>
        <v>0</v>
      </c>
      <c r="AB248" s="46">
        <f ca="1">IF(AND(Table1[[#This Row],[SubscriptionStart]]&lt;=Settings!$B$2,Table1[[#This Row],[EffectiveEndDate]]&gt;=Settings!$B$2),1,0)</f>
        <v>0</v>
      </c>
      <c r="AC248" s="46">
        <f ca="1">IF(AND(Table1[[#This Row],[SubscriptionStart]]&lt;=Settings!$C$2,Table1[[#This Row],[EffectiveEndDate]]&gt;=Settings!$C$2),1,0)</f>
        <v>1</v>
      </c>
      <c r="AD248" s="46">
        <f ca="1">IF(AND(Table1[[#This Row],[SubscriptionStart]]&lt;=Settings!$D$2,Table1[[#This Row],[EffectiveEndDate]]&gt;=Settings!$D$2),1,0)</f>
        <v>1</v>
      </c>
      <c r="AE248" s="46">
        <f ca="1">IF(AND(Table1[[#This Row],[SubscriptionStart]]&lt;=Settings!$E$2,Table1[[#This Row],[EffectiveEndDate]]&gt;=Settings!$E$2),1,0)</f>
        <v>0</v>
      </c>
      <c r="AF248"/>
      <c r="AG248"/>
      <c r="AH248"/>
      <c r="AI248"/>
      <c r="AJ248"/>
      <c r="AK248"/>
    </row>
    <row r="249" spans="1:37">
      <c r="A249" s="3" t="s">
        <v>401</v>
      </c>
      <c r="B249" s="3">
        <v>72</v>
      </c>
      <c r="C249" s="3" t="s">
        <v>37</v>
      </c>
      <c r="D249" s="5">
        <v>44819</v>
      </c>
      <c r="E249" s="5">
        <v>44849</v>
      </c>
      <c r="F249" s="3">
        <f ca="1">TODAY() - Table1[[#This Row],[SubscriptionStart]]</f>
        <v>1162</v>
      </c>
      <c r="G249" s="4">
        <v>1</v>
      </c>
      <c r="H249" s="3" t="s">
        <v>29</v>
      </c>
      <c r="I249" s="3" t="s">
        <v>39</v>
      </c>
      <c r="J249" s="7" cm="1">
        <f t="array" ref="J249">_xlfn.IFS(Table1[[#This Row],[Tier]]="Basic",10,Table1[[#This Row],[Tier]]="Standard",18,Table1[[#This Row],[Tier]]="Premium",25)</f>
        <v>18</v>
      </c>
      <c r="K249" s="7" cm="1">
        <f t="array" ref="K24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249" s="7" cm="1">
        <f t="array" ref="L24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249" s="3" t="str" cm="1">
        <f t="array" ref="M249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249" s="3" t="s">
        <v>31</v>
      </c>
      <c r="O249" s="3" t="s">
        <v>40</v>
      </c>
      <c r="P249" s="3" t="s">
        <v>47</v>
      </c>
      <c r="Q249" s="3" t="str" cm="1">
        <f t="array" ref="Q249">_xlfn.IFS(Table1[[#This Row],[TotalRevenue]]&lt;100,"Low",Table1[[#This Row],[TotalRevenue]]&lt;300,"Medium",Table1[[#This Row],[TotalRevenue]]&lt;600,"High",TRUE,"Very High")</f>
        <v>Low</v>
      </c>
      <c r="R249" s="3" t="str" cm="1">
        <f t="array" ref="R249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249" s="3" t="str">
        <f>IF(Table1[[#This Row],[NextBillingDate]]="","Cancelled",IF(Table1[[#This Row],[CancellationDate]]&lt;&gt;"","Cancelled","Active"))</f>
        <v>Cancelled</v>
      </c>
      <c r="T249" s="7" cm="1">
        <f t="array" ref="T24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249" s="5">
        <v>44849</v>
      </c>
      <c r="W249" s="5">
        <v>44849</v>
      </c>
      <c r="X249" s="3">
        <v>0</v>
      </c>
      <c r="Y249" s="5">
        <f ca="1">IF(Table1[[#This Row],[ChurnStatus]]="Cancelled",Table1[[#This Row],[CancellationDate]],TODAY())</f>
        <v>44849</v>
      </c>
      <c r="Z249" s="46">
        <f ca="1">IF(AND(Table1[[#This Row],[SubscriptionStart]] &lt;= TODAY(), Table1[[#This Row],[EffectiveEndDate]] &gt;= TODAY()),1,0)</f>
        <v>0</v>
      </c>
      <c r="AA249" s="46">
        <f ca="1">IF(AND(Table1[[#This Row],[SubscriptionStart]]&lt;=Settings!$A$2,Table1[[#This Row],[EffectiveEndDate]]&gt;=Settings!$A$2),1,0)</f>
        <v>0</v>
      </c>
      <c r="AB249" s="46">
        <f ca="1">IF(AND(Table1[[#This Row],[SubscriptionStart]]&lt;=Settings!$B$2,Table1[[#This Row],[EffectiveEndDate]]&gt;=Settings!$B$2),1,0)</f>
        <v>0</v>
      </c>
      <c r="AC249" s="46">
        <f ca="1">IF(AND(Table1[[#This Row],[SubscriptionStart]]&lt;=Settings!$C$2,Table1[[#This Row],[EffectiveEndDate]]&gt;=Settings!$C$2),1,0)</f>
        <v>0</v>
      </c>
      <c r="AD249" s="46">
        <f ca="1">IF(AND(Table1[[#This Row],[SubscriptionStart]]&lt;=Settings!$D$2,Table1[[#This Row],[EffectiveEndDate]]&gt;=Settings!$D$2),1,0)</f>
        <v>0</v>
      </c>
      <c r="AE249" s="46">
        <f ca="1">IF(AND(Table1[[#This Row],[SubscriptionStart]]&lt;=Settings!$E$2,Table1[[#This Row],[EffectiveEndDate]]&gt;=Settings!$E$2),1,0)</f>
        <v>0</v>
      </c>
      <c r="AF249"/>
      <c r="AG249"/>
      <c r="AH249"/>
      <c r="AI249"/>
      <c r="AJ249"/>
      <c r="AK249"/>
    </row>
    <row r="250" spans="1:37">
      <c r="A250" s="3" t="s">
        <v>381</v>
      </c>
      <c r="B250" s="3">
        <v>74</v>
      </c>
      <c r="C250" s="3" t="s">
        <v>37</v>
      </c>
      <c r="D250" s="5">
        <v>44819</v>
      </c>
      <c r="E250" s="5">
        <v>45179</v>
      </c>
      <c r="F250" s="3">
        <f ca="1">TODAY() - Table1[[#This Row],[SubscriptionStart]]</f>
        <v>1162</v>
      </c>
      <c r="G250" s="4">
        <v>12</v>
      </c>
      <c r="H250" s="3" t="s">
        <v>24</v>
      </c>
      <c r="I250" s="3" t="s">
        <v>25</v>
      </c>
      <c r="J250" s="7" cm="1">
        <f t="array" ref="J250">_xlfn.IFS(Table1[[#This Row],[Tier]]="Basic",10,Table1[[#This Row],[Tier]]="Standard",18,Table1[[#This Row],[Tier]]="Premium",25)</f>
        <v>25</v>
      </c>
      <c r="K250" s="7" cm="1">
        <f t="array" ref="K25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250" s="7" cm="1">
        <f t="array" ref="L25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250" s="3" t="str" cm="1">
        <f t="array" ref="M250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250" s="3" t="s">
        <v>52</v>
      </c>
      <c r="O250" s="3" t="s">
        <v>32</v>
      </c>
      <c r="P250" s="3" t="s">
        <v>35</v>
      </c>
      <c r="Q250" s="3" t="str" cm="1">
        <f t="array" ref="Q250">_xlfn.IFS(Table1[[#This Row],[TotalRevenue]]&lt;100,"Low",Table1[[#This Row],[TotalRevenue]]&lt;300,"Medium",Table1[[#This Row],[TotalRevenue]]&lt;600,"High",TRUE,"Very High")</f>
        <v>Medium</v>
      </c>
      <c r="R250" s="3" t="str" cm="1">
        <f t="array" ref="R250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250" s="3" t="str">
        <f>IF(Table1[[#This Row],[NextBillingDate]]="","Cancelled",IF(Table1[[#This Row],[CancellationDate]]&lt;&gt;"","Cancelled","Active"))</f>
        <v>Cancelled</v>
      </c>
      <c r="T250" s="7" cm="1">
        <f t="array" ref="T25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250" s="5">
        <v>45179</v>
      </c>
      <c r="W250" s="5">
        <v>45179</v>
      </c>
      <c r="X250" s="3">
        <v>0</v>
      </c>
      <c r="Y250" s="5">
        <f ca="1">IF(Table1[[#This Row],[ChurnStatus]]="Cancelled",Table1[[#This Row],[CancellationDate]],TODAY())</f>
        <v>45179</v>
      </c>
      <c r="Z250" s="46">
        <f ca="1">IF(AND(Table1[[#This Row],[SubscriptionStart]] &lt;= TODAY(), Table1[[#This Row],[EffectiveEndDate]] &gt;= TODAY()),1,0)</f>
        <v>0</v>
      </c>
      <c r="AA250" s="46">
        <f ca="1">IF(AND(Table1[[#This Row],[SubscriptionStart]]&lt;=Settings!$A$2,Table1[[#This Row],[EffectiveEndDate]]&gt;=Settings!$A$2),1,0)</f>
        <v>0</v>
      </c>
      <c r="AB250" s="46">
        <f ca="1">IF(AND(Table1[[#This Row],[SubscriptionStart]]&lt;=Settings!$B$2,Table1[[#This Row],[EffectiveEndDate]]&gt;=Settings!$B$2),1,0)</f>
        <v>0</v>
      </c>
      <c r="AC250" s="46">
        <f ca="1">IF(AND(Table1[[#This Row],[SubscriptionStart]]&lt;=Settings!$C$2,Table1[[#This Row],[EffectiveEndDate]]&gt;=Settings!$C$2),1,0)</f>
        <v>1</v>
      </c>
      <c r="AD250" s="46">
        <f ca="1">IF(AND(Table1[[#This Row],[SubscriptionStart]]&lt;=Settings!$D$2,Table1[[#This Row],[EffectiveEndDate]]&gt;=Settings!$D$2),1,0)</f>
        <v>1</v>
      </c>
      <c r="AE250" s="46">
        <f ca="1">IF(AND(Table1[[#This Row],[SubscriptionStart]]&lt;=Settings!$E$2,Table1[[#This Row],[EffectiveEndDate]]&gt;=Settings!$E$2),1,0)</f>
        <v>0</v>
      </c>
      <c r="AF250"/>
      <c r="AG250"/>
      <c r="AH250"/>
      <c r="AI250"/>
      <c r="AJ250"/>
      <c r="AK250"/>
    </row>
    <row r="251" spans="1:37">
      <c r="A251" s="3" t="s">
        <v>761</v>
      </c>
      <c r="B251" s="3">
        <v>72</v>
      </c>
      <c r="C251" s="3" t="s">
        <v>23</v>
      </c>
      <c r="D251" s="5">
        <v>44819</v>
      </c>
      <c r="E251" s="5">
        <v>45179</v>
      </c>
      <c r="F251" s="3">
        <f ca="1">TODAY() - Table1[[#This Row],[SubscriptionStart]]</f>
        <v>1162</v>
      </c>
      <c r="G251" s="4">
        <v>12</v>
      </c>
      <c r="H251" s="3" t="s">
        <v>24</v>
      </c>
      <c r="I251" s="3" t="s">
        <v>25</v>
      </c>
      <c r="J251" s="7" cm="1">
        <f t="array" ref="J251">_xlfn.IFS(Table1[[#This Row],[Tier]]="Basic",10,Table1[[#This Row],[Tier]]="Standard",18,Table1[[#This Row],[Tier]]="Premium",25)</f>
        <v>25</v>
      </c>
      <c r="K251" s="7" cm="1">
        <f t="array" ref="K25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251" s="7" cm="1">
        <f t="array" ref="L25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251" s="3" t="str" cm="1">
        <f t="array" ref="M251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251" s="3" t="s">
        <v>34</v>
      </c>
      <c r="O251" s="3" t="s">
        <v>27</v>
      </c>
      <c r="P251" s="3" t="s">
        <v>44</v>
      </c>
      <c r="Q251" s="3" t="str" cm="1">
        <f t="array" ref="Q251">_xlfn.IFS(Table1[[#This Row],[TotalRevenue]]&lt;100,"Low",Table1[[#This Row],[TotalRevenue]]&lt;300,"Medium",Table1[[#This Row],[TotalRevenue]]&lt;600,"High",TRUE,"Very High")</f>
        <v>Medium</v>
      </c>
      <c r="R251" s="3" t="str" cm="1">
        <f t="array" ref="R251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251" s="3" t="str">
        <f>IF(Table1[[#This Row],[NextBillingDate]]="","Cancelled",IF(Table1[[#This Row],[CancellationDate]]&lt;&gt;"","Cancelled","Active"))</f>
        <v>Cancelled</v>
      </c>
      <c r="T251" s="7" cm="1">
        <f t="array" ref="T25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251" s="5">
        <v>45179</v>
      </c>
      <c r="W251" s="5">
        <v>45179</v>
      </c>
      <c r="X251" s="3">
        <v>0</v>
      </c>
      <c r="Y251" s="5">
        <f ca="1">IF(Table1[[#This Row],[ChurnStatus]]="Cancelled",Table1[[#This Row],[CancellationDate]],TODAY())</f>
        <v>45179</v>
      </c>
      <c r="Z251" s="46">
        <f ca="1">IF(AND(Table1[[#This Row],[SubscriptionStart]] &lt;= TODAY(), Table1[[#This Row],[EffectiveEndDate]] &gt;= TODAY()),1,0)</f>
        <v>0</v>
      </c>
      <c r="AA251" s="46">
        <f ca="1">IF(AND(Table1[[#This Row],[SubscriptionStart]]&lt;=Settings!$A$2,Table1[[#This Row],[EffectiveEndDate]]&gt;=Settings!$A$2),1,0)</f>
        <v>0</v>
      </c>
      <c r="AB251" s="46">
        <f ca="1">IF(AND(Table1[[#This Row],[SubscriptionStart]]&lt;=Settings!$B$2,Table1[[#This Row],[EffectiveEndDate]]&gt;=Settings!$B$2),1,0)</f>
        <v>0</v>
      </c>
      <c r="AC251" s="46">
        <f ca="1">IF(AND(Table1[[#This Row],[SubscriptionStart]]&lt;=Settings!$C$2,Table1[[#This Row],[EffectiveEndDate]]&gt;=Settings!$C$2),1,0)</f>
        <v>1</v>
      </c>
      <c r="AD251" s="46">
        <f ca="1">IF(AND(Table1[[#This Row],[SubscriptionStart]]&lt;=Settings!$D$2,Table1[[#This Row],[EffectiveEndDate]]&gt;=Settings!$D$2),1,0)</f>
        <v>1</v>
      </c>
      <c r="AE251" s="46">
        <f ca="1">IF(AND(Table1[[#This Row],[SubscriptionStart]]&lt;=Settings!$E$2,Table1[[#This Row],[EffectiveEndDate]]&gt;=Settings!$E$2),1,0)</f>
        <v>0</v>
      </c>
      <c r="AF251"/>
      <c r="AG251"/>
      <c r="AH251"/>
      <c r="AI251"/>
      <c r="AJ251"/>
      <c r="AK251"/>
    </row>
    <row r="252" spans="1:37">
      <c r="A252" s="3" t="s">
        <v>602</v>
      </c>
      <c r="B252" s="3">
        <v>35</v>
      </c>
      <c r="C252" s="3" t="s">
        <v>37</v>
      </c>
      <c r="D252" s="5">
        <v>44822</v>
      </c>
      <c r="E252" s="5">
        <v>45182</v>
      </c>
      <c r="F252" s="3">
        <f ca="1">TODAY() - Table1[[#This Row],[SubscriptionStart]]</f>
        <v>1159</v>
      </c>
      <c r="G252" s="4">
        <v>12</v>
      </c>
      <c r="H252" s="3" t="s">
        <v>24</v>
      </c>
      <c r="I252" s="3" t="s">
        <v>39</v>
      </c>
      <c r="J252" s="7" cm="1">
        <f t="array" ref="J252">_xlfn.IFS(Table1[[#This Row],[Tier]]="Basic",10,Table1[[#This Row],[Tier]]="Standard",18,Table1[[#This Row],[Tier]]="Premium",25)</f>
        <v>18</v>
      </c>
      <c r="K252" s="7" cm="1">
        <f t="array" ref="K25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252" s="7" cm="1">
        <f t="array" ref="L25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252" s="3" t="str" cm="1">
        <f t="array" ref="M25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52" s="3" t="s">
        <v>52</v>
      </c>
      <c r="O252" s="3" t="s">
        <v>43</v>
      </c>
      <c r="P252" s="3" t="s">
        <v>44</v>
      </c>
      <c r="Q252" s="3" t="str" cm="1">
        <f t="array" ref="Q252">_xlfn.IFS(Table1[[#This Row],[TotalRevenue]]&lt;100,"Low",Table1[[#This Row],[TotalRevenue]]&lt;300,"Medium",Table1[[#This Row],[TotalRevenue]]&lt;600,"High",TRUE,"Very High")</f>
        <v>Medium</v>
      </c>
      <c r="R252" s="3" t="str" cm="1">
        <f t="array" ref="R25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52" s="3" t="str">
        <f>IF(Table1[[#This Row],[NextBillingDate]]="","Cancelled",IF(Table1[[#This Row],[CancellationDate]]&lt;&gt;"","Cancelled","Active"))</f>
        <v>Cancelled</v>
      </c>
      <c r="T252" s="7" cm="1">
        <f t="array" ref="T25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252" s="5">
        <v>45182</v>
      </c>
      <c r="W252" s="5">
        <v>45182</v>
      </c>
      <c r="X252" s="3">
        <v>0</v>
      </c>
      <c r="Y252" s="5">
        <f ca="1">IF(Table1[[#This Row],[ChurnStatus]]="Cancelled",Table1[[#This Row],[CancellationDate]],TODAY())</f>
        <v>45182</v>
      </c>
      <c r="Z252" s="46">
        <f ca="1">IF(AND(Table1[[#This Row],[SubscriptionStart]] &lt;= TODAY(), Table1[[#This Row],[EffectiveEndDate]] &gt;= TODAY()),1,0)</f>
        <v>0</v>
      </c>
      <c r="AA252" s="46">
        <f ca="1">IF(AND(Table1[[#This Row],[SubscriptionStart]]&lt;=Settings!$A$2,Table1[[#This Row],[EffectiveEndDate]]&gt;=Settings!$A$2),1,0)</f>
        <v>0</v>
      </c>
      <c r="AB252" s="46">
        <f ca="1">IF(AND(Table1[[#This Row],[SubscriptionStart]]&lt;=Settings!$B$2,Table1[[#This Row],[EffectiveEndDate]]&gt;=Settings!$B$2),1,0)</f>
        <v>0</v>
      </c>
      <c r="AC252" s="46">
        <f ca="1">IF(AND(Table1[[#This Row],[SubscriptionStart]]&lt;=Settings!$C$2,Table1[[#This Row],[EffectiveEndDate]]&gt;=Settings!$C$2),1,0)</f>
        <v>1</v>
      </c>
      <c r="AD252" s="46">
        <f ca="1">IF(AND(Table1[[#This Row],[SubscriptionStart]]&lt;=Settings!$D$2,Table1[[#This Row],[EffectiveEndDate]]&gt;=Settings!$D$2),1,0)</f>
        <v>1</v>
      </c>
      <c r="AE252" s="46">
        <f ca="1">IF(AND(Table1[[#This Row],[SubscriptionStart]]&lt;=Settings!$E$2,Table1[[#This Row],[EffectiveEndDate]]&gt;=Settings!$E$2),1,0)</f>
        <v>0</v>
      </c>
      <c r="AF252"/>
      <c r="AG252"/>
      <c r="AH252"/>
      <c r="AI252"/>
      <c r="AJ252"/>
      <c r="AK252"/>
    </row>
    <row r="253" spans="1:37">
      <c r="A253" s="3" t="s">
        <v>212</v>
      </c>
      <c r="B253" s="3">
        <v>41</v>
      </c>
      <c r="C253" s="3" t="s">
        <v>23</v>
      </c>
      <c r="D253" s="5">
        <v>44824</v>
      </c>
      <c r="E253" s="5">
        <v>45184</v>
      </c>
      <c r="F253" s="3">
        <f ca="1">TODAY() - Table1[[#This Row],[SubscriptionStart]]</f>
        <v>1157</v>
      </c>
      <c r="G253" s="4">
        <v>12</v>
      </c>
      <c r="H253" s="3" t="s">
        <v>24</v>
      </c>
      <c r="I253" s="3" t="s">
        <v>39</v>
      </c>
      <c r="J253" s="7" cm="1">
        <f t="array" ref="J253">_xlfn.IFS(Table1[[#This Row],[Tier]]="Basic",10,Table1[[#This Row],[Tier]]="Standard",18,Table1[[#This Row],[Tier]]="Premium",25)</f>
        <v>18</v>
      </c>
      <c r="K253" s="7" cm="1">
        <f t="array" ref="K25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253" s="7" cm="1">
        <f t="array" ref="L25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253" s="3" t="str" cm="1">
        <f t="array" ref="M25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53" s="3" t="s">
        <v>52</v>
      </c>
      <c r="O253" s="3" t="s">
        <v>27</v>
      </c>
      <c r="P253" s="3" t="s">
        <v>44</v>
      </c>
      <c r="Q253" s="3" t="str" cm="1">
        <f t="array" ref="Q253">_xlfn.IFS(Table1[[#This Row],[TotalRevenue]]&lt;100,"Low",Table1[[#This Row],[TotalRevenue]]&lt;300,"Medium",Table1[[#This Row],[TotalRevenue]]&lt;600,"High",TRUE,"Very High")</f>
        <v>Medium</v>
      </c>
      <c r="R253" s="3" t="str" cm="1">
        <f t="array" ref="R25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53" s="3" t="str">
        <f>IF(Table1[[#This Row],[NextBillingDate]]="","Cancelled",IF(Table1[[#This Row],[CancellationDate]]&lt;&gt;"","Cancelled","Active"))</f>
        <v>Cancelled</v>
      </c>
      <c r="T253" s="7" cm="1">
        <f t="array" ref="T25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253" s="5">
        <v>45184</v>
      </c>
      <c r="W253" s="5">
        <v>45184</v>
      </c>
      <c r="X253" s="3">
        <v>0</v>
      </c>
      <c r="Y253" s="5">
        <f ca="1">IF(Table1[[#This Row],[ChurnStatus]]="Cancelled",Table1[[#This Row],[CancellationDate]],TODAY())</f>
        <v>45184</v>
      </c>
      <c r="Z253" s="46">
        <f ca="1">IF(AND(Table1[[#This Row],[SubscriptionStart]] &lt;= TODAY(), Table1[[#This Row],[EffectiveEndDate]] &gt;= TODAY()),1,0)</f>
        <v>0</v>
      </c>
      <c r="AA253" s="46">
        <f ca="1">IF(AND(Table1[[#This Row],[SubscriptionStart]]&lt;=Settings!$A$2,Table1[[#This Row],[EffectiveEndDate]]&gt;=Settings!$A$2),1,0)</f>
        <v>0</v>
      </c>
      <c r="AB253" s="46">
        <f ca="1">IF(AND(Table1[[#This Row],[SubscriptionStart]]&lt;=Settings!$B$2,Table1[[#This Row],[EffectiveEndDate]]&gt;=Settings!$B$2),1,0)</f>
        <v>0</v>
      </c>
      <c r="AC253" s="46">
        <f ca="1">IF(AND(Table1[[#This Row],[SubscriptionStart]]&lt;=Settings!$C$2,Table1[[#This Row],[EffectiveEndDate]]&gt;=Settings!$C$2),1,0)</f>
        <v>1</v>
      </c>
      <c r="AD253" s="46">
        <f ca="1">IF(AND(Table1[[#This Row],[SubscriptionStart]]&lt;=Settings!$D$2,Table1[[#This Row],[EffectiveEndDate]]&gt;=Settings!$D$2),1,0)</f>
        <v>1</v>
      </c>
      <c r="AE253" s="46">
        <f ca="1">IF(AND(Table1[[#This Row],[SubscriptionStart]]&lt;=Settings!$E$2,Table1[[#This Row],[EffectiveEndDate]]&gt;=Settings!$E$2),1,0)</f>
        <v>0</v>
      </c>
      <c r="AF253"/>
      <c r="AG253"/>
      <c r="AH253"/>
      <c r="AI253"/>
      <c r="AJ253"/>
      <c r="AK253"/>
    </row>
    <row r="254" spans="1:37">
      <c r="A254" s="3" t="s">
        <v>814</v>
      </c>
      <c r="B254" s="3">
        <v>44</v>
      </c>
      <c r="C254" s="3" t="s">
        <v>23</v>
      </c>
      <c r="D254" s="5">
        <v>44824</v>
      </c>
      <c r="F254" s="3">
        <f ca="1">TODAY() - Table1[[#This Row],[SubscriptionStart]]</f>
        <v>1157</v>
      </c>
      <c r="G254" s="4">
        <v>48</v>
      </c>
      <c r="H254" s="3" t="s">
        <v>24</v>
      </c>
      <c r="I254" s="3" t="s">
        <v>25</v>
      </c>
      <c r="J254" s="7" cm="1">
        <f t="array" ref="J254">_xlfn.IFS(Table1[[#This Row],[Tier]]="Basic",10,Table1[[#This Row],[Tier]]="Standard",18,Table1[[#This Row],[Tier]]="Premium",25)</f>
        <v>25</v>
      </c>
      <c r="K254" s="7" cm="1">
        <f t="array" ref="K25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16.666666666666664</v>
      </c>
      <c r="L254" s="7" cm="1">
        <f t="array" ref="L25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780</v>
      </c>
      <c r="M254" s="3" t="str" cm="1">
        <f t="array" ref="M25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54" s="3" t="s">
        <v>34</v>
      </c>
      <c r="O254" s="3" t="s">
        <v>40</v>
      </c>
      <c r="Q254" s="3" t="str" cm="1">
        <f t="array" ref="Q254">_xlfn.IFS(Table1[[#This Row],[TotalRevenue]]&lt;100,"Low",Table1[[#This Row],[TotalRevenue]]&lt;300,"Medium",Table1[[#This Row],[TotalRevenue]]&lt;600,"High",TRUE,"Very High")</f>
        <v>Very High</v>
      </c>
      <c r="R254" s="3" t="str" cm="1">
        <f t="array" ref="R25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54" s="3" t="str">
        <f>IF(Table1[[#This Row],[NextBillingDate]]="","Cancelled",IF(Table1[[#This Row],[CancellationDate]]&lt;&gt;"","Cancelled","Active"))</f>
        <v>Active</v>
      </c>
      <c r="T254" s="7" cm="1">
        <f t="array" ref="T25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980</v>
      </c>
      <c r="V254" s="5">
        <v>46264</v>
      </c>
      <c r="W254" s="5">
        <v>46264</v>
      </c>
      <c r="X254" s="3">
        <v>3</v>
      </c>
      <c r="Y254" s="5">
        <f ca="1">IF(Table1[[#This Row],[ChurnStatus]]="Cancelled",Table1[[#This Row],[CancellationDate]],TODAY())</f>
        <v>45981</v>
      </c>
      <c r="Z254" s="46">
        <f ca="1">IF(AND(Table1[[#This Row],[SubscriptionStart]] &lt;= TODAY(), Table1[[#This Row],[EffectiveEndDate]] &gt;= TODAY()),1,0)</f>
        <v>1</v>
      </c>
      <c r="AA254" s="46">
        <f ca="1">IF(AND(Table1[[#This Row],[SubscriptionStart]]&lt;=Settings!$A$2,Table1[[#This Row],[EffectiveEndDate]]&gt;=Settings!$A$2),1,0)</f>
        <v>0</v>
      </c>
      <c r="AB254" s="46">
        <f ca="1">IF(AND(Table1[[#This Row],[SubscriptionStart]]&lt;=Settings!$B$2,Table1[[#This Row],[EffectiveEndDate]]&gt;=Settings!$B$2),1,0)</f>
        <v>0</v>
      </c>
      <c r="AC254" s="46">
        <f ca="1">IF(AND(Table1[[#This Row],[SubscriptionStart]]&lt;=Settings!$C$2,Table1[[#This Row],[EffectiveEndDate]]&gt;=Settings!$C$2),1,0)</f>
        <v>1</v>
      </c>
      <c r="AD254" s="46">
        <f ca="1">IF(AND(Table1[[#This Row],[SubscriptionStart]]&lt;=Settings!$D$2,Table1[[#This Row],[EffectiveEndDate]]&gt;=Settings!$D$2),1,0)</f>
        <v>1</v>
      </c>
      <c r="AE254" s="46">
        <f ca="1">IF(AND(Table1[[#This Row],[SubscriptionStart]]&lt;=Settings!$E$2,Table1[[#This Row],[EffectiveEndDate]]&gt;=Settings!$E$2),1,0)</f>
        <v>1</v>
      </c>
      <c r="AF254"/>
      <c r="AG254"/>
      <c r="AH254"/>
      <c r="AI254"/>
      <c r="AJ254"/>
      <c r="AK254"/>
    </row>
    <row r="255" spans="1:37">
      <c r="A255" s="3" t="s">
        <v>534</v>
      </c>
      <c r="B255" s="3">
        <v>38</v>
      </c>
      <c r="C255" s="3" t="s">
        <v>37</v>
      </c>
      <c r="D255" s="5">
        <v>44825</v>
      </c>
      <c r="E255" s="5">
        <v>45185</v>
      </c>
      <c r="F255" s="3">
        <f ca="1">TODAY() - Table1[[#This Row],[SubscriptionStart]]</f>
        <v>1156</v>
      </c>
      <c r="G255" s="4">
        <v>12</v>
      </c>
      <c r="H255" s="3" t="s">
        <v>24</v>
      </c>
      <c r="I255" s="3" t="s">
        <v>39</v>
      </c>
      <c r="J255" s="7" cm="1">
        <f t="array" ref="J255">_xlfn.IFS(Table1[[#This Row],[Tier]]="Basic",10,Table1[[#This Row],[Tier]]="Standard",18,Table1[[#This Row],[Tier]]="Premium",25)</f>
        <v>18</v>
      </c>
      <c r="K255" s="7" cm="1">
        <f t="array" ref="K25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255" s="7" cm="1">
        <f t="array" ref="L25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255" s="3" t="str" cm="1">
        <f t="array" ref="M25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55" s="3" t="s">
        <v>52</v>
      </c>
      <c r="O255" s="3" t="s">
        <v>27</v>
      </c>
      <c r="P255" s="3" t="s">
        <v>47</v>
      </c>
      <c r="Q255" s="3" t="str" cm="1">
        <f t="array" ref="Q255">_xlfn.IFS(Table1[[#This Row],[TotalRevenue]]&lt;100,"Low",Table1[[#This Row],[TotalRevenue]]&lt;300,"Medium",Table1[[#This Row],[TotalRevenue]]&lt;600,"High",TRUE,"Very High")</f>
        <v>Medium</v>
      </c>
      <c r="R255" s="3" t="str" cm="1">
        <f t="array" ref="R25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55" s="3" t="str">
        <f>IF(Table1[[#This Row],[NextBillingDate]]="","Cancelled",IF(Table1[[#This Row],[CancellationDate]]&lt;&gt;"","Cancelled","Active"))</f>
        <v>Cancelled</v>
      </c>
      <c r="T255" s="7" cm="1">
        <f t="array" ref="T25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255" s="5">
        <v>45185</v>
      </c>
      <c r="W255" s="5">
        <v>45185</v>
      </c>
      <c r="X255" s="3">
        <v>0</v>
      </c>
      <c r="Y255" s="5">
        <f ca="1">IF(Table1[[#This Row],[ChurnStatus]]="Cancelled",Table1[[#This Row],[CancellationDate]],TODAY())</f>
        <v>45185</v>
      </c>
      <c r="Z255" s="46">
        <f ca="1">IF(AND(Table1[[#This Row],[SubscriptionStart]] &lt;= TODAY(), Table1[[#This Row],[EffectiveEndDate]] &gt;= TODAY()),1,0)</f>
        <v>0</v>
      </c>
      <c r="AA255" s="46">
        <f ca="1">IF(AND(Table1[[#This Row],[SubscriptionStart]]&lt;=Settings!$A$2,Table1[[#This Row],[EffectiveEndDate]]&gt;=Settings!$A$2),1,0)</f>
        <v>0</v>
      </c>
      <c r="AB255" s="46">
        <f ca="1">IF(AND(Table1[[#This Row],[SubscriptionStart]]&lt;=Settings!$B$2,Table1[[#This Row],[EffectiveEndDate]]&gt;=Settings!$B$2),1,0)</f>
        <v>0</v>
      </c>
      <c r="AC255" s="46">
        <f ca="1">IF(AND(Table1[[#This Row],[SubscriptionStart]]&lt;=Settings!$C$2,Table1[[#This Row],[EffectiveEndDate]]&gt;=Settings!$C$2),1,0)</f>
        <v>1</v>
      </c>
      <c r="AD255" s="46">
        <f ca="1">IF(AND(Table1[[#This Row],[SubscriptionStart]]&lt;=Settings!$D$2,Table1[[#This Row],[EffectiveEndDate]]&gt;=Settings!$D$2),1,0)</f>
        <v>1</v>
      </c>
      <c r="AE255" s="46">
        <f ca="1">IF(AND(Table1[[#This Row],[SubscriptionStart]]&lt;=Settings!$E$2,Table1[[#This Row],[EffectiveEndDate]]&gt;=Settings!$E$2),1,0)</f>
        <v>0</v>
      </c>
      <c r="AF255"/>
      <c r="AG255"/>
      <c r="AH255"/>
      <c r="AI255"/>
      <c r="AJ255"/>
      <c r="AK255"/>
    </row>
    <row r="256" spans="1:37">
      <c r="A256" s="3" t="s">
        <v>688</v>
      </c>
      <c r="B256" s="3">
        <v>26</v>
      </c>
      <c r="C256" s="3" t="s">
        <v>37</v>
      </c>
      <c r="D256" s="5">
        <v>44826</v>
      </c>
      <c r="E256" s="5">
        <v>45186</v>
      </c>
      <c r="F256" s="3">
        <f ca="1">TODAY() - Table1[[#This Row],[SubscriptionStart]]</f>
        <v>1155</v>
      </c>
      <c r="G256" s="4">
        <v>12</v>
      </c>
      <c r="H256" s="3" t="s">
        <v>24</v>
      </c>
      <c r="I256" s="3" t="s">
        <v>39</v>
      </c>
      <c r="J256" s="7" cm="1">
        <f t="array" ref="J256">_xlfn.IFS(Table1[[#This Row],[Tier]]="Basic",10,Table1[[#This Row],[Tier]]="Standard",18,Table1[[#This Row],[Tier]]="Premium",25)</f>
        <v>18</v>
      </c>
      <c r="K256" s="7" cm="1">
        <f t="array" ref="K25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256" s="7" cm="1">
        <f t="array" ref="L25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256" s="3" t="str" cm="1">
        <f t="array" ref="M25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56" s="3" t="s">
        <v>31</v>
      </c>
      <c r="O256" s="3" t="s">
        <v>32</v>
      </c>
      <c r="P256" s="3" t="s">
        <v>35</v>
      </c>
      <c r="Q256" s="3" t="str" cm="1">
        <f t="array" ref="Q256">_xlfn.IFS(Table1[[#This Row],[TotalRevenue]]&lt;100,"Low",Table1[[#This Row],[TotalRevenue]]&lt;300,"Medium",Table1[[#This Row],[TotalRevenue]]&lt;600,"High",TRUE,"Very High")</f>
        <v>Medium</v>
      </c>
      <c r="R256" s="3" t="str" cm="1">
        <f t="array" ref="R25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56" s="3" t="str">
        <f>IF(Table1[[#This Row],[NextBillingDate]]="","Cancelled",IF(Table1[[#This Row],[CancellationDate]]&lt;&gt;"","Cancelled","Active"))</f>
        <v>Cancelled</v>
      </c>
      <c r="T256" s="7" cm="1">
        <f t="array" ref="T25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256" s="5">
        <v>45186</v>
      </c>
      <c r="W256" s="5">
        <v>45186</v>
      </c>
      <c r="X256" s="3">
        <v>0</v>
      </c>
      <c r="Y256" s="5">
        <f ca="1">IF(Table1[[#This Row],[ChurnStatus]]="Cancelled",Table1[[#This Row],[CancellationDate]],TODAY())</f>
        <v>45186</v>
      </c>
      <c r="Z256" s="46">
        <f ca="1">IF(AND(Table1[[#This Row],[SubscriptionStart]] &lt;= TODAY(), Table1[[#This Row],[EffectiveEndDate]] &gt;= TODAY()),1,0)</f>
        <v>0</v>
      </c>
      <c r="AA256" s="46">
        <f ca="1">IF(AND(Table1[[#This Row],[SubscriptionStart]]&lt;=Settings!$A$2,Table1[[#This Row],[EffectiveEndDate]]&gt;=Settings!$A$2),1,0)</f>
        <v>0</v>
      </c>
      <c r="AB256" s="46">
        <f ca="1">IF(AND(Table1[[#This Row],[SubscriptionStart]]&lt;=Settings!$B$2,Table1[[#This Row],[EffectiveEndDate]]&gt;=Settings!$B$2),1,0)</f>
        <v>0</v>
      </c>
      <c r="AC256" s="46">
        <f ca="1">IF(AND(Table1[[#This Row],[SubscriptionStart]]&lt;=Settings!$C$2,Table1[[#This Row],[EffectiveEndDate]]&gt;=Settings!$C$2),1,0)</f>
        <v>1</v>
      </c>
      <c r="AD256" s="46">
        <f ca="1">IF(AND(Table1[[#This Row],[SubscriptionStart]]&lt;=Settings!$D$2,Table1[[#This Row],[EffectiveEndDate]]&gt;=Settings!$D$2),1,0)</f>
        <v>1</v>
      </c>
      <c r="AE256" s="46">
        <f ca="1">IF(AND(Table1[[#This Row],[SubscriptionStart]]&lt;=Settings!$E$2,Table1[[#This Row],[EffectiveEndDate]]&gt;=Settings!$E$2),1,0)</f>
        <v>0</v>
      </c>
      <c r="AF256"/>
      <c r="AG256"/>
      <c r="AH256"/>
      <c r="AI256"/>
      <c r="AJ256"/>
      <c r="AK256"/>
    </row>
    <row r="257" spans="1:37">
      <c r="A257" s="3" t="s">
        <v>637</v>
      </c>
      <c r="B257" s="3">
        <v>56</v>
      </c>
      <c r="C257" s="3" t="s">
        <v>23</v>
      </c>
      <c r="D257" s="5">
        <v>44827</v>
      </c>
      <c r="E257" s="5">
        <v>44857</v>
      </c>
      <c r="F257" s="3">
        <f ca="1">TODAY() - Table1[[#This Row],[SubscriptionStart]]</f>
        <v>1154</v>
      </c>
      <c r="G257" s="4">
        <v>1</v>
      </c>
      <c r="H257" s="3" t="s">
        <v>29</v>
      </c>
      <c r="I257" s="3" t="s">
        <v>30</v>
      </c>
      <c r="J257" s="7" cm="1">
        <f t="array" ref="J257">_xlfn.IFS(Table1[[#This Row],[Tier]]="Basic",10,Table1[[#This Row],[Tier]]="Standard",18,Table1[[#This Row],[Tier]]="Premium",25)</f>
        <v>10</v>
      </c>
      <c r="K257" s="7" cm="1">
        <f t="array" ref="K25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257" s="7" cm="1">
        <f t="array" ref="L25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257" s="3" t="str" cm="1">
        <f t="array" ref="M25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57" s="3" t="s">
        <v>31</v>
      </c>
      <c r="O257" s="3" t="s">
        <v>40</v>
      </c>
      <c r="P257" s="3" t="s">
        <v>35</v>
      </c>
      <c r="Q257" s="3" t="str" cm="1">
        <f t="array" ref="Q257">_xlfn.IFS(Table1[[#This Row],[TotalRevenue]]&lt;100,"Low",Table1[[#This Row],[TotalRevenue]]&lt;300,"Medium",Table1[[#This Row],[TotalRevenue]]&lt;600,"High",TRUE,"Very High")</f>
        <v>Low</v>
      </c>
      <c r="R257" s="3" t="str" cm="1">
        <f t="array" ref="R25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57" s="3" t="str">
        <f>IF(Table1[[#This Row],[NextBillingDate]]="","Cancelled",IF(Table1[[#This Row],[CancellationDate]]&lt;&gt;"","Cancelled","Active"))</f>
        <v>Cancelled</v>
      </c>
      <c r="T257" s="7" cm="1">
        <f t="array" ref="T25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257" s="5">
        <v>44857</v>
      </c>
      <c r="W257" s="5">
        <v>44857</v>
      </c>
      <c r="X257" s="3">
        <v>0</v>
      </c>
      <c r="Y257" s="5">
        <f ca="1">IF(Table1[[#This Row],[ChurnStatus]]="Cancelled",Table1[[#This Row],[CancellationDate]],TODAY())</f>
        <v>44857</v>
      </c>
      <c r="Z257" s="46">
        <f ca="1">IF(AND(Table1[[#This Row],[SubscriptionStart]] &lt;= TODAY(), Table1[[#This Row],[EffectiveEndDate]] &gt;= TODAY()),1,0)</f>
        <v>0</v>
      </c>
      <c r="AA257" s="46">
        <f ca="1">IF(AND(Table1[[#This Row],[SubscriptionStart]]&lt;=Settings!$A$2,Table1[[#This Row],[EffectiveEndDate]]&gt;=Settings!$A$2),1,0)</f>
        <v>0</v>
      </c>
      <c r="AB257" s="46">
        <f ca="1">IF(AND(Table1[[#This Row],[SubscriptionStart]]&lt;=Settings!$B$2,Table1[[#This Row],[EffectiveEndDate]]&gt;=Settings!$B$2),1,0)</f>
        <v>0</v>
      </c>
      <c r="AC257" s="46">
        <f ca="1">IF(AND(Table1[[#This Row],[SubscriptionStart]]&lt;=Settings!$C$2,Table1[[#This Row],[EffectiveEndDate]]&gt;=Settings!$C$2),1,0)</f>
        <v>0</v>
      </c>
      <c r="AD257" s="46">
        <f ca="1">IF(AND(Table1[[#This Row],[SubscriptionStart]]&lt;=Settings!$D$2,Table1[[#This Row],[EffectiveEndDate]]&gt;=Settings!$D$2),1,0)</f>
        <v>0</v>
      </c>
      <c r="AE257" s="46">
        <f ca="1">IF(AND(Table1[[#This Row],[SubscriptionStart]]&lt;=Settings!$E$2,Table1[[#This Row],[EffectiveEndDate]]&gt;=Settings!$E$2),1,0)</f>
        <v>0</v>
      </c>
      <c r="AF257"/>
      <c r="AG257"/>
      <c r="AH257"/>
      <c r="AI257"/>
      <c r="AJ257"/>
      <c r="AK257"/>
    </row>
    <row r="258" spans="1:37">
      <c r="A258" s="3" t="s">
        <v>695</v>
      </c>
      <c r="B258" s="3">
        <v>20</v>
      </c>
      <c r="C258" s="3" t="s">
        <v>23</v>
      </c>
      <c r="D258" s="5">
        <v>44829</v>
      </c>
      <c r="E258" s="5">
        <v>44859</v>
      </c>
      <c r="F258" s="3">
        <f ca="1">TODAY() - Table1[[#This Row],[SubscriptionStart]]</f>
        <v>1152</v>
      </c>
      <c r="G258" s="4">
        <v>1</v>
      </c>
      <c r="H258" s="3" t="s">
        <v>29</v>
      </c>
      <c r="I258" s="3" t="s">
        <v>30</v>
      </c>
      <c r="J258" s="7" cm="1">
        <f t="array" ref="J258">_xlfn.IFS(Table1[[#This Row],[Tier]]="Basic",10,Table1[[#This Row],[Tier]]="Standard",18,Table1[[#This Row],[Tier]]="Premium",25)</f>
        <v>10</v>
      </c>
      <c r="K258" s="7" cm="1">
        <f t="array" ref="K25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258" s="7" cm="1">
        <f t="array" ref="L25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258" s="3" t="str" cm="1">
        <f t="array" ref="M258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258" s="3" t="s">
        <v>52</v>
      </c>
      <c r="O258" s="3" t="s">
        <v>43</v>
      </c>
      <c r="P258" s="3" t="s">
        <v>44</v>
      </c>
      <c r="Q258" s="3" t="str" cm="1">
        <f t="array" ref="Q258">_xlfn.IFS(Table1[[#This Row],[TotalRevenue]]&lt;100,"Low",Table1[[#This Row],[TotalRevenue]]&lt;300,"Medium",Table1[[#This Row],[TotalRevenue]]&lt;600,"High",TRUE,"Very High")</f>
        <v>Low</v>
      </c>
      <c r="R258" s="3" t="str" cm="1">
        <f t="array" ref="R258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258" s="3" t="str">
        <f>IF(Table1[[#This Row],[NextBillingDate]]="","Cancelled",IF(Table1[[#This Row],[CancellationDate]]&lt;&gt;"","Cancelled","Active"))</f>
        <v>Cancelled</v>
      </c>
      <c r="T258" s="7" cm="1">
        <f t="array" ref="T25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258" s="5">
        <v>44859</v>
      </c>
      <c r="W258" s="5">
        <v>44859</v>
      </c>
      <c r="X258" s="3">
        <v>0</v>
      </c>
      <c r="Y258" s="5">
        <f ca="1">IF(Table1[[#This Row],[ChurnStatus]]="Cancelled",Table1[[#This Row],[CancellationDate]],TODAY())</f>
        <v>44859</v>
      </c>
      <c r="Z258" s="46">
        <f ca="1">IF(AND(Table1[[#This Row],[SubscriptionStart]] &lt;= TODAY(), Table1[[#This Row],[EffectiveEndDate]] &gt;= TODAY()),1,0)</f>
        <v>0</v>
      </c>
      <c r="AA258" s="46">
        <f ca="1">IF(AND(Table1[[#This Row],[SubscriptionStart]]&lt;=Settings!$A$2,Table1[[#This Row],[EffectiveEndDate]]&gt;=Settings!$A$2),1,0)</f>
        <v>0</v>
      </c>
      <c r="AB258" s="46">
        <f ca="1">IF(AND(Table1[[#This Row],[SubscriptionStart]]&lt;=Settings!$B$2,Table1[[#This Row],[EffectiveEndDate]]&gt;=Settings!$B$2),1,0)</f>
        <v>0</v>
      </c>
      <c r="AC258" s="46">
        <f ca="1">IF(AND(Table1[[#This Row],[SubscriptionStart]]&lt;=Settings!$C$2,Table1[[#This Row],[EffectiveEndDate]]&gt;=Settings!$C$2),1,0)</f>
        <v>0</v>
      </c>
      <c r="AD258" s="46">
        <f ca="1">IF(AND(Table1[[#This Row],[SubscriptionStart]]&lt;=Settings!$D$2,Table1[[#This Row],[EffectiveEndDate]]&gt;=Settings!$D$2),1,0)</f>
        <v>0</v>
      </c>
      <c r="AE258" s="46">
        <f ca="1">IF(AND(Table1[[#This Row],[SubscriptionStart]]&lt;=Settings!$E$2,Table1[[#This Row],[EffectiveEndDate]]&gt;=Settings!$E$2),1,0)</f>
        <v>0</v>
      </c>
      <c r="AF258"/>
      <c r="AG258"/>
      <c r="AH258"/>
      <c r="AI258"/>
      <c r="AJ258"/>
      <c r="AK258"/>
    </row>
    <row r="259" spans="1:37">
      <c r="A259" s="3" t="s">
        <v>819</v>
      </c>
      <c r="B259" s="3">
        <v>67</v>
      </c>
      <c r="C259" s="3" t="s">
        <v>37</v>
      </c>
      <c r="D259" s="5">
        <v>44831</v>
      </c>
      <c r="F259" s="3">
        <f ca="1">TODAY() - Table1[[#This Row],[SubscriptionStart]]</f>
        <v>1150</v>
      </c>
      <c r="G259" s="4">
        <v>42</v>
      </c>
      <c r="H259" s="3" t="s">
        <v>38</v>
      </c>
      <c r="I259" s="3" t="s">
        <v>25</v>
      </c>
      <c r="J259" s="7" cm="1">
        <f t="array" ref="J259">_xlfn.IFS(Table1[[#This Row],[Tier]]="Basic",10,Table1[[#This Row],[Tier]]="Standard",18,Table1[[#This Row],[Tier]]="Premium",25)</f>
        <v>25</v>
      </c>
      <c r="K259" s="7" cm="1">
        <f t="array" ref="K25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18.75</v>
      </c>
      <c r="L259" s="7" cm="1">
        <f t="array" ref="L25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765</v>
      </c>
      <c r="M259" s="3" t="str" cm="1">
        <f t="array" ref="M25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59" s="3" t="s">
        <v>26</v>
      </c>
      <c r="O259" s="3" t="s">
        <v>43</v>
      </c>
      <c r="Q259" s="3" t="str" cm="1">
        <f t="array" ref="Q259">_xlfn.IFS(Table1[[#This Row],[TotalRevenue]]&lt;100,"Low",Table1[[#This Row],[TotalRevenue]]&lt;300,"Medium",Table1[[#This Row],[TotalRevenue]]&lt;600,"High",TRUE,"Very High")</f>
        <v>Very High</v>
      </c>
      <c r="R259" s="3" t="str" cm="1">
        <f t="array" ref="R25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59" s="3" t="str">
        <f>IF(Table1[[#This Row],[NextBillingDate]]="","Cancelled",IF(Table1[[#This Row],[CancellationDate]]&lt;&gt;"","Cancelled","Active"))</f>
        <v>Active</v>
      </c>
      <c r="T259" s="7" cm="1">
        <f t="array" ref="T25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877.5</v>
      </c>
      <c r="V259" s="5">
        <v>46091</v>
      </c>
      <c r="W259" s="5">
        <v>46091</v>
      </c>
      <c r="X259" s="3">
        <v>6</v>
      </c>
      <c r="Y259" s="5">
        <f ca="1">IF(Table1[[#This Row],[ChurnStatus]]="Cancelled",Table1[[#This Row],[CancellationDate]],TODAY())</f>
        <v>45981</v>
      </c>
      <c r="Z259" s="46">
        <f ca="1">IF(AND(Table1[[#This Row],[SubscriptionStart]] &lt;= TODAY(), Table1[[#This Row],[EffectiveEndDate]] &gt;= TODAY()),1,0)</f>
        <v>1</v>
      </c>
      <c r="AA259" s="46">
        <f ca="1">IF(AND(Table1[[#This Row],[SubscriptionStart]]&lt;=Settings!$A$2,Table1[[#This Row],[EffectiveEndDate]]&gt;=Settings!$A$2),1,0)</f>
        <v>0</v>
      </c>
      <c r="AB259" s="46">
        <f ca="1">IF(AND(Table1[[#This Row],[SubscriptionStart]]&lt;=Settings!$B$2,Table1[[#This Row],[EffectiveEndDate]]&gt;=Settings!$B$2),1,0)</f>
        <v>0</v>
      </c>
      <c r="AC259" s="46">
        <f ca="1">IF(AND(Table1[[#This Row],[SubscriptionStart]]&lt;=Settings!$C$2,Table1[[#This Row],[EffectiveEndDate]]&gt;=Settings!$C$2),1,0)</f>
        <v>1</v>
      </c>
      <c r="AD259" s="46">
        <f ca="1">IF(AND(Table1[[#This Row],[SubscriptionStart]]&lt;=Settings!$D$2,Table1[[#This Row],[EffectiveEndDate]]&gt;=Settings!$D$2),1,0)</f>
        <v>1</v>
      </c>
      <c r="AE259" s="46">
        <f ca="1">IF(AND(Table1[[#This Row],[SubscriptionStart]]&lt;=Settings!$E$2,Table1[[#This Row],[EffectiveEndDate]]&gt;=Settings!$E$2),1,0)</f>
        <v>1</v>
      </c>
      <c r="AF259"/>
      <c r="AG259"/>
      <c r="AH259"/>
      <c r="AI259"/>
      <c r="AJ259"/>
      <c r="AK259"/>
    </row>
    <row r="260" spans="1:37">
      <c r="A260" s="3" t="s">
        <v>190</v>
      </c>
      <c r="B260" s="3">
        <v>59</v>
      </c>
      <c r="C260" s="3" t="s">
        <v>37</v>
      </c>
      <c r="D260" s="5">
        <v>44833</v>
      </c>
      <c r="E260" s="5">
        <v>45193</v>
      </c>
      <c r="F260" s="3">
        <f ca="1">TODAY() - Table1[[#This Row],[SubscriptionStart]]</f>
        <v>1148</v>
      </c>
      <c r="G260" s="4">
        <v>12</v>
      </c>
      <c r="H260" s="3" t="s">
        <v>24</v>
      </c>
      <c r="I260" s="3" t="s">
        <v>30</v>
      </c>
      <c r="J260" s="7" cm="1">
        <f t="array" ref="J260">_xlfn.IFS(Table1[[#This Row],[Tier]]="Basic",10,Table1[[#This Row],[Tier]]="Standard",18,Table1[[#This Row],[Tier]]="Premium",25)</f>
        <v>10</v>
      </c>
      <c r="K260" s="7" cm="1">
        <f t="array" ref="K26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60" s="7" cm="1">
        <f t="array" ref="L26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60" s="3" t="str" cm="1">
        <f t="array" ref="M26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60" s="3" t="s">
        <v>34</v>
      </c>
      <c r="O260" s="3" t="s">
        <v>32</v>
      </c>
      <c r="P260" s="3" t="s">
        <v>41</v>
      </c>
      <c r="Q260" s="3" t="str" cm="1">
        <f t="array" ref="Q260">_xlfn.IFS(Table1[[#This Row],[TotalRevenue]]&lt;100,"Low",Table1[[#This Row],[TotalRevenue]]&lt;300,"Medium",Table1[[#This Row],[TotalRevenue]]&lt;600,"High",TRUE,"Very High")</f>
        <v>Low</v>
      </c>
      <c r="R260" s="3" t="str" cm="1">
        <f t="array" ref="R26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60" s="3" t="str">
        <f>IF(Table1[[#This Row],[NextBillingDate]]="","Cancelled",IF(Table1[[#This Row],[CancellationDate]]&lt;&gt;"","Cancelled","Active"))</f>
        <v>Cancelled</v>
      </c>
      <c r="T260" s="7" cm="1">
        <f t="array" ref="T26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60" s="5">
        <v>45193</v>
      </c>
      <c r="W260" s="5">
        <v>45193</v>
      </c>
      <c r="X260" s="3">
        <v>0</v>
      </c>
      <c r="Y260" s="5">
        <f ca="1">IF(Table1[[#This Row],[ChurnStatus]]="Cancelled",Table1[[#This Row],[CancellationDate]],TODAY())</f>
        <v>45193</v>
      </c>
      <c r="Z260" s="46">
        <f ca="1">IF(AND(Table1[[#This Row],[SubscriptionStart]] &lt;= TODAY(), Table1[[#This Row],[EffectiveEndDate]] &gt;= TODAY()),1,0)</f>
        <v>0</v>
      </c>
      <c r="AA260" s="46">
        <f ca="1">IF(AND(Table1[[#This Row],[SubscriptionStart]]&lt;=Settings!$A$2,Table1[[#This Row],[EffectiveEndDate]]&gt;=Settings!$A$2),1,0)</f>
        <v>0</v>
      </c>
      <c r="AB260" s="46">
        <f ca="1">IF(AND(Table1[[#This Row],[SubscriptionStart]]&lt;=Settings!$B$2,Table1[[#This Row],[EffectiveEndDate]]&gt;=Settings!$B$2),1,0)</f>
        <v>0</v>
      </c>
      <c r="AC260" s="46">
        <f ca="1">IF(AND(Table1[[#This Row],[SubscriptionStart]]&lt;=Settings!$C$2,Table1[[#This Row],[EffectiveEndDate]]&gt;=Settings!$C$2),1,0)</f>
        <v>1</v>
      </c>
      <c r="AD260" s="46">
        <f ca="1">IF(AND(Table1[[#This Row],[SubscriptionStart]]&lt;=Settings!$D$2,Table1[[#This Row],[EffectiveEndDate]]&gt;=Settings!$D$2),1,0)</f>
        <v>1</v>
      </c>
      <c r="AE260" s="46">
        <f ca="1">IF(AND(Table1[[#This Row],[SubscriptionStart]]&lt;=Settings!$E$2,Table1[[#This Row],[EffectiveEndDate]]&gt;=Settings!$E$2),1,0)</f>
        <v>0</v>
      </c>
      <c r="AF260"/>
      <c r="AG260"/>
      <c r="AH260"/>
      <c r="AI260"/>
      <c r="AJ260"/>
      <c r="AK260"/>
    </row>
    <row r="261" spans="1:37">
      <c r="A261" s="3" t="s">
        <v>152</v>
      </c>
      <c r="B261" s="3">
        <v>72</v>
      </c>
      <c r="C261" s="3" t="s">
        <v>37</v>
      </c>
      <c r="D261" s="5">
        <v>44834</v>
      </c>
      <c r="E261" s="5">
        <v>45194</v>
      </c>
      <c r="F261" s="3">
        <f ca="1">TODAY() - Table1[[#This Row],[SubscriptionStart]]</f>
        <v>1147</v>
      </c>
      <c r="G261" s="4">
        <v>12</v>
      </c>
      <c r="H261" s="3" t="s">
        <v>24</v>
      </c>
      <c r="I261" s="3" t="s">
        <v>39</v>
      </c>
      <c r="J261" s="7" cm="1">
        <f t="array" ref="J261">_xlfn.IFS(Table1[[#This Row],[Tier]]="Basic",10,Table1[[#This Row],[Tier]]="Standard",18,Table1[[#This Row],[Tier]]="Premium",25)</f>
        <v>18</v>
      </c>
      <c r="K261" s="7" cm="1">
        <f t="array" ref="K26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261" s="7" cm="1">
        <f t="array" ref="L26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261" s="3" t="str" cm="1">
        <f t="array" ref="M261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261" s="3" t="s">
        <v>31</v>
      </c>
      <c r="O261" s="3" t="s">
        <v>43</v>
      </c>
      <c r="P261" s="3" t="s">
        <v>44</v>
      </c>
      <c r="Q261" s="3" t="str" cm="1">
        <f t="array" ref="Q261">_xlfn.IFS(Table1[[#This Row],[TotalRevenue]]&lt;100,"Low",Table1[[#This Row],[TotalRevenue]]&lt;300,"Medium",Table1[[#This Row],[TotalRevenue]]&lt;600,"High",TRUE,"Very High")</f>
        <v>Medium</v>
      </c>
      <c r="R261" s="3" t="str" cm="1">
        <f t="array" ref="R261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261" s="3" t="str">
        <f>IF(Table1[[#This Row],[NextBillingDate]]="","Cancelled",IF(Table1[[#This Row],[CancellationDate]]&lt;&gt;"","Cancelled","Active"))</f>
        <v>Cancelled</v>
      </c>
      <c r="T261" s="7" cm="1">
        <f t="array" ref="T26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261" s="5">
        <v>45194</v>
      </c>
      <c r="W261" s="5">
        <v>45194</v>
      </c>
      <c r="X261" s="3">
        <v>0</v>
      </c>
      <c r="Y261" s="5">
        <f ca="1">IF(Table1[[#This Row],[ChurnStatus]]="Cancelled",Table1[[#This Row],[CancellationDate]],TODAY())</f>
        <v>45194</v>
      </c>
      <c r="Z261" s="46">
        <f ca="1">IF(AND(Table1[[#This Row],[SubscriptionStart]] &lt;= TODAY(), Table1[[#This Row],[EffectiveEndDate]] &gt;= TODAY()),1,0)</f>
        <v>0</v>
      </c>
      <c r="AA261" s="46">
        <f ca="1">IF(AND(Table1[[#This Row],[SubscriptionStart]]&lt;=Settings!$A$2,Table1[[#This Row],[EffectiveEndDate]]&gt;=Settings!$A$2),1,0)</f>
        <v>0</v>
      </c>
      <c r="AB261" s="46">
        <f ca="1">IF(AND(Table1[[#This Row],[SubscriptionStart]]&lt;=Settings!$B$2,Table1[[#This Row],[EffectiveEndDate]]&gt;=Settings!$B$2),1,0)</f>
        <v>0</v>
      </c>
      <c r="AC261" s="46">
        <f ca="1">IF(AND(Table1[[#This Row],[SubscriptionStart]]&lt;=Settings!$C$2,Table1[[#This Row],[EffectiveEndDate]]&gt;=Settings!$C$2),1,0)</f>
        <v>1</v>
      </c>
      <c r="AD261" s="46">
        <f ca="1">IF(AND(Table1[[#This Row],[SubscriptionStart]]&lt;=Settings!$D$2,Table1[[#This Row],[EffectiveEndDate]]&gt;=Settings!$D$2),1,0)</f>
        <v>1</v>
      </c>
      <c r="AE261" s="46">
        <f ca="1">IF(AND(Table1[[#This Row],[SubscriptionStart]]&lt;=Settings!$E$2,Table1[[#This Row],[EffectiveEndDate]]&gt;=Settings!$E$2),1,0)</f>
        <v>0</v>
      </c>
      <c r="AF261"/>
      <c r="AG261"/>
      <c r="AH261"/>
      <c r="AI261"/>
      <c r="AJ261"/>
      <c r="AK261"/>
    </row>
    <row r="262" spans="1:37">
      <c r="A262" s="3" t="s">
        <v>722</v>
      </c>
      <c r="B262" s="3">
        <v>31</v>
      </c>
      <c r="C262" s="3" t="s">
        <v>37</v>
      </c>
      <c r="D262" s="5">
        <v>44835</v>
      </c>
      <c r="E262" s="5">
        <v>45195</v>
      </c>
      <c r="F262" s="3">
        <f ca="1">TODAY() - Table1[[#This Row],[SubscriptionStart]]</f>
        <v>1146</v>
      </c>
      <c r="G262" s="4">
        <v>12</v>
      </c>
      <c r="H262" s="3" t="s">
        <v>24</v>
      </c>
      <c r="I262" s="3" t="s">
        <v>25</v>
      </c>
      <c r="J262" s="7" cm="1">
        <f t="array" ref="J262">_xlfn.IFS(Table1[[#This Row],[Tier]]="Basic",10,Table1[[#This Row],[Tier]]="Standard",18,Table1[[#This Row],[Tier]]="Premium",25)</f>
        <v>25</v>
      </c>
      <c r="K262" s="7" cm="1">
        <f t="array" ref="K26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262" s="7" cm="1">
        <f t="array" ref="L26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262" s="3" t="str" cm="1">
        <f t="array" ref="M26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62" s="3" t="s">
        <v>52</v>
      </c>
      <c r="O262" s="3" t="s">
        <v>43</v>
      </c>
      <c r="P262" s="3" t="s">
        <v>44</v>
      </c>
      <c r="Q262" s="3" t="str" cm="1">
        <f t="array" ref="Q262">_xlfn.IFS(Table1[[#This Row],[TotalRevenue]]&lt;100,"Low",Table1[[#This Row],[TotalRevenue]]&lt;300,"Medium",Table1[[#This Row],[TotalRevenue]]&lt;600,"High",TRUE,"Very High")</f>
        <v>Medium</v>
      </c>
      <c r="R262" s="3" t="str" cm="1">
        <f t="array" ref="R26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62" s="3" t="str">
        <f>IF(Table1[[#This Row],[NextBillingDate]]="","Cancelled",IF(Table1[[#This Row],[CancellationDate]]&lt;&gt;"","Cancelled","Active"))</f>
        <v>Cancelled</v>
      </c>
      <c r="T262" s="7" cm="1">
        <f t="array" ref="T26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262" s="5">
        <v>45195</v>
      </c>
      <c r="W262" s="5">
        <v>45195</v>
      </c>
      <c r="X262" s="3">
        <v>0</v>
      </c>
      <c r="Y262" s="5">
        <f ca="1">IF(Table1[[#This Row],[ChurnStatus]]="Cancelled",Table1[[#This Row],[CancellationDate]],TODAY())</f>
        <v>45195</v>
      </c>
      <c r="Z262" s="46">
        <f ca="1">IF(AND(Table1[[#This Row],[SubscriptionStart]] &lt;= TODAY(), Table1[[#This Row],[EffectiveEndDate]] &gt;= TODAY()),1,0)</f>
        <v>0</v>
      </c>
      <c r="AA262" s="46">
        <f ca="1">IF(AND(Table1[[#This Row],[SubscriptionStart]]&lt;=Settings!$A$2,Table1[[#This Row],[EffectiveEndDate]]&gt;=Settings!$A$2),1,0)</f>
        <v>0</v>
      </c>
      <c r="AB262" s="46">
        <f ca="1">IF(AND(Table1[[#This Row],[SubscriptionStart]]&lt;=Settings!$B$2,Table1[[#This Row],[EffectiveEndDate]]&gt;=Settings!$B$2),1,0)</f>
        <v>0</v>
      </c>
      <c r="AC262" s="46">
        <f ca="1">IF(AND(Table1[[#This Row],[SubscriptionStart]]&lt;=Settings!$C$2,Table1[[#This Row],[EffectiveEndDate]]&gt;=Settings!$C$2),1,0)</f>
        <v>1</v>
      </c>
      <c r="AD262" s="46">
        <f ca="1">IF(AND(Table1[[#This Row],[SubscriptionStart]]&lt;=Settings!$D$2,Table1[[#This Row],[EffectiveEndDate]]&gt;=Settings!$D$2),1,0)</f>
        <v>1</v>
      </c>
      <c r="AE262" s="46">
        <f ca="1">IF(AND(Table1[[#This Row],[SubscriptionStart]]&lt;=Settings!$E$2,Table1[[#This Row],[EffectiveEndDate]]&gt;=Settings!$E$2),1,0)</f>
        <v>0</v>
      </c>
      <c r="AF262"/>
      <c r="AG262"/>
      <c r="AH262"/>
      <c r="AI262"/>
      <c r="AJ262"/>
      <c r="AK262"/>
    </row>
    <row r="263" spans="1:37">
      <c r="A263" s="3" t="s">
        <v>566</v>
      </c>
      <c r="B263" s="3">
        <v>43</v>
      </c>
      <c r="C263" s="3" t="s">
        <v>37</v>
      </c>
      <c r="D263" s="5">
        <v>44835</v>
      </c>
      <c r="F263" s="3">
        <f ca="1">TODAY() - Table1[[#This Row],[SubscriptionStart]]</f>
        <v>1146</v>
      </c>
      <c r="G263" s="4">
        <v>39</v>
      </c>
      <c r="H263" s="3" t="s">
        <v>29</v>
      </c>
      <c r="I263" s="3" t="s">
        <v>39</v>
      </c>
      <c r="J263" s="7" cm="1">
        <f t="array" ref="J263">_xlfn.IFS(Table1[[#This Row],[Tier]]="Basic",10,Table1[[#This Row],[Tier]]="Standard",18,Table1[[#This Row],[Tier]]="Premium",25)</f>
        <v>18</v>
      </c>
      <c r="K263" s="7" cm="1">
        <f t="array" ref="K26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263" s="7" cm="1">
        <f t="array" ref="L26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664.2</v>
      </c>
      <c r="M263" s="3" t="str" cm="1">
        <f t="array" ref="M26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63" s="3" t="s">
        <v>26</v>
      </c>
      <c r="O263" s="3" t="s">
        <v>43</v>
      </c>
      <c r="Q263" s="3" t="str" cm="1">
        <f t="array" ref="Q263">_xlfn.IFS(Table1[[#This Row],[TotalRevenue]]&lt;100,"Low",Table1[[#This Row],[TotalRevenue]]&lt;300,"Medium",Table1[[#This Row],[TotalRevenue]]&lt;600,"High",TRUE,"Very High")</f>
        <v>Very High</v>
      </c>
      <c r="R263" s="3" t="str" cm="1">
        <f t="array" ref="R26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63" s="3" t="str">
        <f>IF(Table1[[#This Row],[NextBillingDate]]="","Cancelled",IF(Table1[[#This Row],[CancellationDate]]&lt;&gt;"","Cancelled","Active"))</f>
        <v>Active</v>
      </c>
      <c r="T263" s="7" cm="1">
        <f t="array" ref="T26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682.2</v>
      </c>
      <c r="V263" s="5">
        <v>46005</v>
      </c>
      <c r="W263" s="5">
        <v>46005</v>
      </c>
      <c r="X263" s="3">
        <v>38</v>
      </c>
      <c r="Y263" s="5">
        <f ca="1">IF(Table1[[#This Row],[ChurnStatus]]="Cancelled",Table1[[#This Row],[CancellationDate]],TODAY())</f>
        <v>45981</v>
      </c>
      <c r="Z263" s="46">
        <f ca="1">IF(AND(Table1[[#This Row],[SubscriptionStart]] &lt;= TODAY(), Table1[[#This Row],[EffectiveEndDate]] &gt;= TODAY()),1,0)</f>
        <v>1</v>
      </c>
      <c r="AA263" s="46">
        <f ca="1">IF(AND(Table1[[#This Row],[SubscriptionStart]]&lt;=Settings!$A$2,Table1[[#This Row],[EffectiveEndDate]]&gt;=Settings!$A$2),1,0)</f>
        <v>0</v>
      </c>
      <c r="AB263" s="46">
        <f ca="1">IF(AND(Table1[[#This Row],[SubscriptionStart]]&lt;=Settings!$B$2,Table1[[#This Row],[EffectiveEndDate]]&gt;=Settings!$B$2),1,0)</f>
        <v>0</v>
      </c>
      <c r="AC263" s="46">
        <f ca="1">IF(AND(Table1[[#This Row],[SubscriptionStart]]&lt;=Settings!$C$2,Table1[[#This Row],[EffectiveEndDate]]&gt;=Settings!$C$2),1,0)</f>
        <v>1</v>
      </c>
      <c r="AD263" s="46">
        <f ca="1">IF(AND(Table1[[#This Row],[SubscriptionStart]]&lt;=Settings!$D$2,Table1[[#This Row],[EffectiveEndDate]]&gt;=Settings!$D$2),1,0)</f>
        <v>1</v>
      </c>
      <c r="AE263" s="46">
        <f ca="1">IF(AND(Table1[[#This Row],[SubscriptionStart]]&lt;=Settings!$E$2,Table1[[#This Row],[EffectiveEndDate]]&gt;=Settings!$E$2),1,0)</f>
        <v>1</v>
      </c>
      <c r="AF263"/>
      <c r="AG263"/>
      <c r="AH263"/>
      <c r="AI263"/>
      <c r="AJ263"/>
      <c r="AK263"/>
    </row>
    <row r="264" spans="1:37">
      <c r="A264" s="3" t="s">
        <v>676</v>
      </c>
      <c r="B264" s="3">
        <v>36</v>
      </c>
      <c r="C264" s="3" t="s">
        <v>23</v>
      </c>
      <c r="D264" s="5">
        <v>44837</v>
      </c>
      <c r="E264" s="5">
        <v>45017</v>
      </c>
      <c r="F264" s="3">
        <f ca="1">TODAY() - Table1[[#This Row],[SubscriptionStart]]</f>
        <v>1144</v>
      </c>
      <c r="G264" s="4">
        <v>6</v>
      </c>
      <c r="H264" s="3" t="s">
        <v>38</v>
      </c>
      <c r="I264" s="3" t="s">
        <v>30</v>
      </c>
      <c r="J264" s="7" cm="1">
        <f t="array" ref="J264">_xlfn.IFS(Table1[[#This Row],[Tier]]="Basic",10,Table1[[#This Row],[Tier]]="Standard",18,Table1[[#This Row],[Tier]]="Premium",25)</f>
        <v>10</v>
      </c>
      <c r="K264" s="7" cm="1">
        <f t="array" ref="K26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264" s="7" cm="1">
        <f t="array" ref="L26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264" s="3" t="str" cm="1">
        <f t="array" ref="M26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64" s="3" t="s">
        <v>34</v>
      </c>
      <c r="O264" s="3" t="s">
        <v>40</v>
      </c>
      <c r="P264" s="3" t="s">
        <v>47</v>
      </c>
      <c r="Q264" s="3" t="str" cm="1">
        <f t="array" ref="Q264">_xlfn.IFS(Table1[[#This Row],[TotalRevenue]]&lt;100,"Low",Table1[[#This Row],[TotalRevenue]]&lt;300,"Medium",Table1[[#This Row],[TotalRevenue]]&lt;600,"High",TRUE,"Very High")</f>
        <v>Low</v>
      </c>
      <c r="R264" s="3" t="str" cm="1">
        <f t="array" ref="R26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64" s="3" t="str">
        <f>IF(Table1[[#This Row],[NextBillingDate]]="","Cancelled",IF(Table1[[#This Row],[CancellationDate]]&lt;&gt;"","Cancelled","Active"))</f>
        <v>Cancelled</v>
      </c>
      <c r="T264" s="7" cm="1">
        <f t="array" ref="T26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264" s="5">
        <v>45017</v>
      </c>
      <c r="W264" s="5">
        <v>45017</v>
      </c>
      <c r="X264" s="3">
        <v>0</v>
      </c>
      <c r="Y264" s="5">
        <f ca="1">IF(Table1[[#This Row],[ChurnStatus]]="Cancelled",Table1[[#This Row],[CancellationDate]],TODAY())</f>
        <v>45017</v>
      </c>
      <c r="Z264" s="46">
        <f ca="1">IF(AND(Table1[[#This Row],[SubscriptionStart]] &lt;= TODAY(), Table1[[#This Row],[EffectiveEndDate]] &gt;= TODAY()),1,0)</f>
        <v>0</v>
      </c>
      <c r="AA264" s="46">
        <f ca="1">IF(AND(Table1[[#This Row],[SubscriptionStart]]&lt;=Settings!$A$2,Table1[[#This Row],[EffectiveEndDate]]&gt;=Settings!$A$2),1,0)</f>
        <v>0</v>
      </c>
      <c r="AB264" s="46">
        <f ca="1">IF(AND(Table1[[#This Row],[SubscriptionStart]]&lt;=Settings!$B$2,Table1[[#This Row],[EffectiveEndDate]]&gt;=Settings!$B$2),1,0)</f>
        <v>0</v>
      </c>
      <c r="AC264" s="46">
        <f ca="1">IF(AND(Table1[[#This Row],[SubscriptionStart]]&lt;=Settings!$C$2,Table1[[#This Row],[EffectiveEndDate]]&gt;=Settings!$C$2),1,0)</f>
        <v>1</v>
      </c>
      <c r="AD264" s="46">
        <f ca="1">IF(AND(Table1[[#This Row],[SubscriptionStart]]&lt;=Settings!$D$2,Table1[[#This Row],[EffectiveEndDate]]&gt;=Settings!$D$2),1,0)</f>
        <v>0</v>
      </c>
      <c r="AE264" s="46">
        <f ca="1">IF(AND(Table1[[#This Row],[SubscriptionStart]]&lt;=Settings!$E$2,Table1[[#This Row],[EffectiveEndDate]]&gt;=Settings!$E$2),1,0)</f>
        <v>0</v>
      </c>
      <c r="AF264"/>
      <c r="AG264"/>
      <c r="AH264"/>
      <c r="AI264"/>
      <c r="AJ264"/>
      <c r="AK264"/>
    </row>
    <row r="265" spans="1:37">
      <c r="A265" s="3" t="s">
        <v>726</v>
      </c>
      <c r="B265" s="3">
        <v>42</v>
      </c>
      <c r="C265" s="3" t="s">
        <v>23</v>
      </c>
      <c r="D265" s="5">
        <v>44837</v>
      </c>
      <c r="E265" s="5">
        <v>45017</v>
      </c>
      <c r="F265" s="3">
        <f ca="1">TODAY() - Table1[[#This Row],[SubscriptionStart]]</f>
        <v>1144</v>
      </c>
      <c r="G265" s="4">
        <v>6</v>
      </c>
      <c r="H265" s="3" t="s">
        <v>38</v>
      </c>
      <c r="I265" s="3" t="s">
        <v>25</v>
      </c>
      <c r="J265" s="7" cm="1">
        <f t="array" ref="J265">_xlfn.IFS(Table1[[#This Row],[Tier]]="Basic",10,Table1[[#This Row],[Tier]]="Standard",18,Table1[[#This Row],[Tier]]="Premium",25)</f>
        <v>25</v>
      </c>
      <c r="K265" s="7" cm="1">
        <f t="array" ref="K26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265" s="7" cm="1">
        <f t="array" ref="L26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265" s="3" t="str" cm="1">
        <f t="array" ref="M26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65" s="3" t="s">
        <v>34</v>
      </c>
      <c r="O265" s="3" t="s">
        <v>49</v>
      </c>
      <c r="P265" s="3" t="s">
        <v>47</v>
      </c>
      <c r="Q265" s="3" t="str" cm="1">
        <f t="array" ref="Q265">_xlfn.IFS(Table1[[#This Row],[TotalRevenue]]&lt;100,"Low",Table1[[#This Row],[TotalRevenue]]&lt;300,"Medium",Table1[[#This Row],[TotalRevenue]]&lt;600,"High",TRUE,"Very High")</f>
        <v>Medium</v>
      </c>
      <c r="R265" s="3" t="str" cm="1">
        <f t="array" ref="R26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65" s="3" t="str">
        <f>IF(Table1[[#This Row],[NextBillingDate]]="","Cancelled",IF(Table1[[#This Row],[CancellationDate]]&lt;&gt;"","Cancelled","Active"))</f>
        <v>Cancelled</v>
      </c>
      <c r="T265" s="7" cm="1">
        <f t="array" ref="T26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265" s="5">
        <v>45017</v>
      </c>
      <c r="W265" s="5">
        <v>45017</v>
      </c>
      <c r="X265" s="3">
        <v>0</v>
      </c>
      <c r="Y265" s="5">
        <f ca="1">IF(Table1[[#This Row],[ChurnStatus]]="Cancelled",Table1[[#This Row],[CancellationDate]],TODAY())</f>
        <v>45017</v>
      </c>
      <c r="Z265" s="46">
        <f ca="1">IF(AND(Table1[[#This Row],[SubscriptionStart]] &lt;= TODAY(), Table1[[#This Row],[EffectiveEndDate]] &gt;= TODAY()),1,0)</f>
        <v>0</v>
      </c>
      <c r="AA265" s="46">
        <f ca="1">IF(AND(Table1[[#This Row],[SubscriptionStart]]&lt;=Settings!$A$2,Table1[[#This Row],[EffectiveEndDate]]&gt;=Settings!$A$2),1,0)</f>
        <v>0</v>
      </c>
      <c r="AB265" s="46">
        <f ca="1">IF(AND(Table1[[#This Row],[SubscriptionStart]]&lt;=Settings!$B$2,Table1[[#This Row],[EffectiveEndDate]]&gt;=Settings!$B$2),1,0)</f>
        <v>0</v>
      </c>
      <c r="AC265" s="46">
        <f ca="1">IF(AND(Table1[[#This Row],[SubscriptionStart]]&lt;=Settings!$C$2,Table1[[#This Row],[EffectiveEndDate]]&gt;=Settings!$C$2),1,0)</f>
        <v>1</v>
      </c>
      <c r="AD265" s="46">
        <f ca="1">IF(AND(Table1[[#This Row],[SubscriptionStart]]&lt;=Settings!$D$2,Table1[[#This Row],[EffectiveEndDate]]&gt;=Settings!$D$2),1,0)</f>
        <v>0</v>
      </c>
      <c r="AE265" s="46">
        <f ca="1">IF(AND(Table1[[#This Row],[SubscriptionStart]]&lt;=Settings!$E$2,Table1[[#This Row],[EffectiveEndDate]]&gt;=Settings!$E$2),1,0)</f>
        <v>0</v>
      </c>
      <c r="AF265"/>
      <c r="AG265"/>
      <c r="AH265"/>
      <c r="AI265"/>
      <c r="AJ265"/>
      <c r="AK265"/>
    </row>
    <row r="266" spans="1:37">
      <c r="A266" s="3" t="s">
        <v>462</v>
      </c>
      <c r="B266" s="3">
        <v>37</v>
      </c>
      <c r="C266" s="3" t="s">
        <v>37</v>
      </c>
      <c r="D266" s="5">
        <v>44837</v>
      </c>
      <c r="E266" s="5">
        <v>45197</v>
      </c>
      <c r="F266" s="3">
        <f ca="1">TODAY() - Table1[[#This Row],[SubscriptionStart]]</f>
        <v>1144</v>
      </c>
      <c r="G266" s="4">
        <v>12</v>
      </c>
      <c r="H266" s="3" t="s">
        <v>24</v>
      </c>
      <c r="I266" s="3" t="s">
        <v>25</v>
      </c>
      <c r="J266" s="7" cm="1">
        <f t="array" ref="J266">_xlfn.IFS(Table1[[#This Row],[Tier]]="Basic",10,Table1[[#This Row],[Tier]]="Standard",18,Table1[[#This Row],[Tier]]="Premium",25)</f>
        <v>25</v>
      </c>
      <c r="K266" s="7" cm="1">
        <f t="array" ref="K26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266" s="7" cm="1">
        <f t="array" ref="L26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266" s="3" t="str" cm="1">
        <f t="array" ref="M26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66" s="3" t="s">
        <v>52</v>
      </c>
      <c r="O266" s="3" t="s">
        <v>40</v>
      </c>
      <c r="P266" s="3" t="s">
        <v>35</v>
      </c>
      <c r="Q266" s="3" t="str" cm="1">
        <f t="array" ref="Q266">_xlfn.IFS(Table1[[#This Row],[TotalRevenue]]&lt;100,"Low",Table1[[#This Row],[TotalRevenue]]&lt;300,"Medium",Table1[[#This Row],[TotalRevenue]]&lt;600,"High",TRUE,"Very High")</f>
        <v>Medium</v>
      </c>
      <c r="R266" s="3" t="str" cm="1">
        <f t="array" ref="R26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66" s="3" t="str">
        <f>IF(Table1[[#This Row],[NextBillingDate]]="","Cancelled",IF(Table1[[#This Row],[CancellationDate]]&lt;&gt;"","Cancelled","Active"))</f>
        <v>Cancelled</v>
      </c>
      <c r="T266" s="7" cm="1">
        <f t="array" ref="T26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266" s="5">
        <v>45197</v>
      </c>
      <c r="W266" s="5">
        <v>45197</v>
      </c>
      <c r="X266" s="3">
        <v>0</v>
      </c>
      <c r="Y266" s="5">
        <f ca="1">IF(Table1[[#This Row],[ChurnStatus]]="Cancelled",Table1[[#This Row],[CancellationDate]],TODAY())</f>
        <v>45197</v>
      </c>
      <c r="Z266" s="46">
        <f ca="1">IF(AND(Table1[[#This Row],[SubscriptionStart]] &lt;= TODAY(), Table1[[#This Row],[EffectiveEndDate]] &gt;= TODAY()),1,0)</f>
        <v>0</v>
      </c>
      <c r="AA266" s="46">
        <f ca="1">IF(AND(Table1[[#This Row],[SubscriptionStart]]&lt;=Settings!$A$2,Table1[[#This Row],[EffectiveEndDate]]&gt;=Settings!$A$2),1,0)</f>
        <v>0</v>
      </c>
      <c r="AB266" s="46">
        <f ca="1">IF(AND(Table1[[#This Row],[SubscriptionStart]]&lt;=Settings!$B$2,Table1[[#This Row],[EffectiveEndDate]]&gt;=Settings!$B$2),1,0)</f>
        <v>0</v>
      </c>
      <c r="AC266" s="46">
        <f ca="1">IF(AND(Table1[[#This Row],[SubscriptionStart]]&lt;=Settings!$C$2,Table1[[#This Row],[EffectiveEndDate]]&gt;=Settings!$C$2),1,0)</f>
        <v>1</v>
      </c>
      <c r="AD266" s="46">
        <f ca="1">IF(AND(Table1[[#This Row],[SubscriptionStart]]&lt;=Settings!$D$2,Table1[[#This Row],[EffectiveEndDate]]&gt;=Settings!$D$2),1,0)</f>
        <v>1</v>
      </c>
      <c r="AE266" s="46">
        <f ca="1">IF(AND(Table1[[#This Row],[SubscriptionStart]]&lt;=Settings!$E$2,Table1[[#This Row],[EffectiveEndDate]]&gt;=Settings!$E$2),1,0)</f>
        <v>0</v>
      </c>
      <c r="AF266"/>
      <c r="AG266"/>
      <c r="AH266"/>
      <c r="AI266"/>
      <c r="AJ266"/>
      <c r="AK266"/>
    </row>
    <row r="267" spans="1:37">
      <c r="A267" s="3" t="s">
        <v>424</v>
      </c>
      <c r="B267" s="3">
        <v>23</v>
      </c>
      <c r="C267" s="3" t="s">
        <v>37</v>
      </c>
      <c r="D267" s="5">
        <v>44839</v>
      </c>
      <c r="E267" s="5">
        <v>45199</v>
      </c>
      <c r="F267" s="3">
        <f ca="1">TODAY() - Table1[[#This Row],[SubscriptionStart]]</f>
        <v>1142</v>
      </c>
      <c r="G267" s="4">
        <v>12</v>
      </c>
      <c r="H267" s="3" t="s">
        <v>24</v>
      </c>
      <c r="I267" s="3" t="s">
        <v>30</v>
      </c>
      <c r="J267" s="7" cm="1">
        <f t="array" ref="J267">_xlfn.IFS(Table1[[#This Row],[Tier]]="Basic",10,Table1[[#This Row],[Tier]]="Standard",18,Table1[[#This Row],[Tier]]="Premium",25)</f>
        <v>10</v>
      </c>
      <c r="K267" s="7" cm="1">
        <f t="array" ref="K26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67" s="7" cm="1">
        <f t="array" ref="L26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67" s="3" t="str" cm="1">
        <f t="array" ref="M267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267" s="3" t="s">
        <v>52</v>
      </c>
      <c r="O267" s="3" t="s">
        <v>49</v>
      </c>
      <c r="P267" s="3" t="s">
        <v>50</v>
      </c>
      <c r="Q267" s="3" t="str" cm="1">
        <f t="array" ref="Q267">_xlfn.IFS(Table1[[#This Row],[TotalRevenue]]&lt;100,"Low",Table1[[#This Row],[TotalRevenue]]&lt;300,"Medium",Table1[[#This Row],[TotalRevenue]]&lt;600,"High",TRUE,"Very High")</f>
        <v>Low</v>
      </c>
      <c r="R267" s="3" t="str" cm="1">
        <f t="array" ref="R267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267" s="3" t="str">
        <f>IF(Table1[[#This Row],[NextBillingDate]]="","Cancelled",IF(Table1[[#This Row],[CancellationDate]]&lt;&gt;"","Cancelled","Active"))</f>
        <v>Cancelled</v>
      </c>
      <c r="T267" s="7" cm="1">
        <f t="array" ref="T26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67" s="5">
        <v>45199</v>
      </c>
      <c r="W267" s="5">
        <v>45199</v>
      </c>
      <c r="X267" s="3">
        <v>0</v>
      </c>
      <c r="Y267" s="5">
        <f ca="1">IF(Table1[[#This Row],[ChurnStatus]]="Cancelled",Table1[[#This Row],[CancellationDate]],TODAY())</f>
        <v>45199</v>
      </c>
      <c r="Z267" s="46">
        <f ca="1">IF(AND(Table1[[#This Row],[SubscriptionStart]] &lt;= TODAY(), Table1[[#This Row],[EffectiveEndDate]] &gt;= TODAY()),1,0)</f>
        <v>0</v>
      </c>
      <c r="AA267" s="46">
        <f ca="1">IF(AND(Table1[[#This Row],[SubscriptionStart]]&lt;=Settings!$A$2,Table1[[#This Row],[EffectiveEndDate]]&gt;=Settings!$A$2),1,0)</f>
        <v>0</v>
      </c>
      <c r="AB267" s="46">
        <f ca="1">IF(AND(Table1[[#This Row],[SubscriptionStart]]&lt;=Settings!$B$2,Table1[[#This Row],[EffectiveEndDate]]&gt;=Settings!$B$2),1,0)</f>
        <v>0</v>
      </c>
      <c r="AC267" s="46">
        <f ca="1">IF(AND(Table1[[#This Row],[SubscriptionStart]]&lt;=Settings!$C$2,Table1[[#This Row],[EffectiveEndDate]]&gt;=Settings!$C$2),1,0)</f>
        <v>1</v>
      </c>
      <c r="AD267" s="46">
        <f ca="1">IF(AND(Table1[[#This Row],[SubscriptionStart]]&lt;=Settings!$D$2,Table1[[#This Row],[EffectiveEndDate]]&gt;=Settings!$D$2),1,0)</f>
        <v>1</v>
      </c>
      <c r="AE267" s="46">
        <f ca="1">IF(AND(Table1[[#This Row],[SubscriptionStart]]&lt;=Settings!$E$2,Table1[[#This Row],[EffectiveEndDate]]&gt;=Settings!$E$2),1,0)</f>
        <v>0</v>
      </c>
      <c r="AF267"/>
      <c r="AG267"/>
      <c r="AH267"/>
      <c r="AI267"/>
      <c r="AJ267"/>
      <c r="AK267"/>
    </row>
    <row r="268" spans="1:37">
      <c r="A268" s="3" t="s">
        <v>670</v>
      </c>
      <c r="B268" s="3">
        <v>74</v>
      </c>
      <c r="C268" s="3" t="s">
        <v>23</v>
      </c>
      <c r="D268" s="5">
        <v>44839</v>
      </c>
      <c r="E268" s="5">
        <v>45199</v>
      </c>
      <c r="F268" s="3">
        <f ca="1">TODAY() - Table1[[#This Row],[SubscriptionStart]]</f>
        <v>1142</v>
      </c>
      <c r="G268" s="4">
        <v>12</v>
      </c>
      <c r="H268" s="3" t="s">
        <v>24</v>
      </c>
      <c r="I268" s="3" t="s">
        <v>30</v>
      </c>
      <c r="J268" s="7" cm="1">
        <f t="array" ref="J268">_xlfn.IFS(Table1[[#This Row],[Tier]]="Basic",10,Table1[[#This Row],[Tier]]="Standard",18,Table1[[#This Row],[Tier]]="Premium",25)</f>
        <v>10</v>
      </c>
      <c r="K268" s="7" cm="1">
        <f t="array" ref="K26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68" s="7" cm="1">
        <f t="array" ref="L26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68" s="3" t="str" cm="1">
        <f t="array" ref="M268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268" s="3" t="s">
        <v>52</v>
      </c>
      <c r="O268" s="3" t="s">
        <v>32</v>
      </c>
      <c r="P268" s="3" t="s">
        <v>41</v>
      </c>
      <c r="Q268" s="3" t="str" cm="1">
        <f t="array" ref="Q268">_xlfn.IFS(Table1[[#This Row],[TotalRevenue]]&lt;100,"Low",Table1[[#This Row],[TotalRevenue]]&lt;300,"Medium",Table1[[#This Row],[TotalRevenue]]&lt;600,"High",TRUE,"Very High")</f>
        <v>Low</v>
      </c>
      <c r="R268" s="3" t="str" cm="1">
        <f t="array" ref="R268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268" s="3" t="str">
        <f>IF(Table1[[#This Row],[NextBillingDate]]="","Cancelled",IF(Table1[[#This Row],[CancellationDate]]&lt;&gt;"","Cancelled","Active"))</f>
        <v>Cancelled</v>
      </c>
      <c r="T268" s="7" cm="1">
        <f t="array" ref="T26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68" s="5">
        <v>45199</v>
      </c>
      <c r="W268" s="5">
        <v>45199</v>
      </c>
      <c r="X268" s="3">
        <v>0</v>
      </c>
      <c r="Y268" s="5">
        <f ca="1">IF(Table1[[#This Row],[ChurnStatus]]="Cancelled",Table1[[#This Row],[CancellationDate]],TODAY())</f>
        <v>45199</v>
      </c>
      <c r="Z268" s="46">
        <f ca="1">IF(AND(Table1[[#This Row],[SubscriptionStart]] &lt;= TODAY(), Table1[[#This Row],[EffectiveEndDate]] &gt;= TODAY()),1,0)</f>
        <v>0</v>
      </c>
      <c r="AA268" s="46">
        <f ca="1">IF(AND(Table1[[#This Row],[SubscriptionStart]]&lt;=Settings!$A$2,Table1[[#This Row],[EffectiveEndDate]]&gt;=Settings!$A$2),1,0)</f>
        <v>0</v>
      </c>
      <c r="AB268" s="46">
        <f ca="1">IF(AND(Table1[[#This Row],[SubscriptionStart]]&lt;=Settings!$B$2,Table1[[#This Row],[EffectiveEndDate]]&gt;=Settings!$B$2),1,0)</f>
        <v>0</v>
      </c>
      <c r="AC268" s="46">
        <f ca="1">IF(AND(Table1[[#This Row],[SubscriptionStart]]&lt;=Settings!$C$2,Table1[[#This Row],[EffectiveEndDate]]&gt;=Settings!$C$2),1,0)</f>
        <v>1</v>
      </c>
      <c r="AD268" s="46">
        <f ca="1">IF(AND(Table1[[#This Row],[SubscriptionStart]]&lt;=Settings!$D$2,Table1[[#This Row],[EffectiveEndDate]]&gt;=Settings!$D$2),1,0)</f>
        <v>1</v>
      </c>
      <c r="AE268" s="46">
        <f ca="1">IF(AND(Table1[[#This Row],[SubscriptionStart]]&lt;=Settings!$E$2,Table1[[#This Row],[EffectiveEndDate]]&gt;=Settings!$E$2),1,0)</f>
        <v>0</v>
      </c>
      <c r="AF268"/>
      <c r="AG268"/>
      <c r="AH268"/>
      <c r="AI268"/>
      <c r="AJ268"/>
      <c r="AK268"/>
    </row>
    <row r="269" spans="1:37">
      <c r="A269" s="3" t="s">
        <v>648</v>
      </c>
      <c r="B269" s="3">
        <v>25</v>
      </c>
      <c r="C269" s="3" t="s">
        <v>23</v>
      </c>
      <c r="D269" s="5">
        <v>44841</v>
      </c>
      <c r="E269" s="5">
        <v>45021</v>
      </c>
      <c r="F269" s="3">
        <f ca="1">TODAY() - Table1[[#This Row],[SubscriptionStart]]</f>
        <v>1140</v>
      </c>
      <c r="G269" s="4">
        <v>6</v>
      </c>
      <c r="H269" s="3" t="s">
        <v>38</v>
      </c>
      <c r="I269" s="3" t="s">
        <v>39</v>
      </c>
      <c r="J269" s="7" cm="1">
        <f t="array" ref="J269">_xlfn.IFS(Table1[[#This Row],[Tier]]="Basic",10,Table1[[#This Row],[Tier]]="Standard",18,Table1[[#This Row],[Tier]]="Premium",25)</f>
        <v>18</v>
      </c>
      <c r="K269" s="7" cm="1">
        <f t="array" ref="K26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269" s="7" cm="1">
        <f t="array" ref="L26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269" s="3" t="str" cm="1">
        <f t="array" ref="M269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269" s="3" t="s">
        <v>52</v>
      </c>
      <c r="O269" s="3" t="s">
        <v>27</v>
      </c>
      <c r="P269" s="3" t="s">
        <v>47</v>
      </c>
      <c r="Q269" s="3" t="str" cm="1">
        <f t="array" ref="Q269">_xlfn.IFS(Table1[[#This Row],[TotalRevenue]]&lt;100,"Low",Table1[[#This Row],[TotalRevenue]]&lt;300,"Medium",Table1[[#This Row],[TotalRevenue]]&lt;600,"High",TRUE,"Very High")</f>
        <v>Low</v>
      </c>
      <c r="R269" s="3" t="str" cm="1">
        <f t="array" ref="R269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269" s="3" t="str">
        <f>IF(Table1[[#This Row],[NextBillingDate]]="","Cancelled",IF(Table1[[#This Row],[CancellationDate]]&lt;&gt;"","Cancelled","Active"))</f>
        <v>Cancelled</v>
      </c>
      <c r="T269" s="7" cm="1">
        <f t="array" ref="T26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269" s="5">
        <v>45021</v>
      </c>
      <c r="W269" s="5">
        <v>45021</v>
      </c>
      <c r="X269" s="3">
        <v>0</v>
      </c>
      <c r="Y269" s="5">
        <f ca="1">IF(Table1[[#This Row],[ChurnStatus]]="Cancelled",Table1[[#This Row],[CancellationDate]],TODAY())</f>
        <v>45021</v>
      </c>
      <c r="Z269" s="46">
        <f ca="1">IF(AND(Table1[[#This Row],[SubscriptionStart]] &lt;= TODAY(), Table1[[#This Row],[EffectiveEndDate]] &gt;= TODAY()),1,0)</f>
        <v>0</v>
      </c>
      <c r="AA269" s="46">
        <f ca="1">IF(AND(Table1[[#This Row],[SubscriptionStart]]&lt;=Settings!$A$2,Table1[[#This Row],[EffectiveEndDate]]&gt;=Settings!$A$2),1,0)</f>
        <v>0</v>
      </c>
      <c r="AB269" s="46">
        <f ca="1">IF(AND(Table1[[#This Row],[SubscriptionStart]]&lt;=Settings!$B$2,Table1[[#This Row],[EffectiveEndDate]]&gt;=Settings!$B$2),1,0)</f>
        <v>0</v>
      </c>
      <c r="AC269" s="46">
        <f ca="1">IF(AND(Table1[[#This Row],[SubscriptionStart]]&lt;=Settings!$C$2,Table1[[#This Row],[EffectiveEndDate]]&gt;=Settings!$C$2),1,0)</f>
        <v>1</v>
      </c>
      <c r="AD269" s="46">
        <f ca="1">IF(AND(Table1[[#This Row],[SubscriptionStart]]&lt;=Settings!$D$2,Table1[[#This Row],[EffectiveEndDate]]&gt;=Settings!$D$2),1,0)</f>
        <v>0</v>
      </c>
      <c r="AE269" s="46">
        <f ca="1">IF(AND(Table1[[#This Row],[SubscriptionStart]]&lt;=Settings!$E$2,Table1[[#This Row],[EffectiveEndDate]]&gt;=Settings!$E$2),1,0)</f>
        <v>0</v>
      </c>
      <c r="AF269"/>
      <c r="AG269"/>
      <c r="AH269"/>
      <c r="AI269"/>
      <c r="AJ269"/>
      <c r="AK269"/>
    </row>
    <row r="270" spans="1:37">
      <c r="A270" s="3" t="s">
        <v>489</v>
      </c>
      <c r="B270" s="3">
        <v>19</v>
      </c>
      <c r="C270" s="3" t="s">
        <v>37</v>
      </c>
      <c r="D270" s="5">
        <v>44844</v>
      </c>
      <c r="E270" s="5">
        <v>45204</v>
      </c>
      <c r="F270" s="3">
        <f ca="1">TODAY() - Table1[[#This Row],[SubscriptionStart]]</f>
        <v>1137</v>
      </c>
      <c r="G270" s="4">
        <v>12</v>
      </c>
      <c r="H270" s="3" t="s">
        <v>24</v>
      </c>
      <c r="I270" s="3" t="s">
        <v>30</v>
      </c>
      <c r="J270" s="7" cm="1">
        <f t="array" ref="J270">_xlfn.IFS(Table1[[#This Row],[Tier]]="Basic",10,Table1[[#This Row],[Tier]]="Standard",18,Table1[[#This Row],[Tier]]="Premium",25)</f>
        <v>10</v>
      </c>
      <c r="K270" s="7" cm="1">
        <f t="array" ref="K27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70" s="7" cm="1">
        <f t="array" ref="L27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70" s="3" t="str" cm="1">
        <f t="array" ref="M270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270" s="3" t="s">
        <v>52</v>
      </c>
      <c r="O270" s="3" t="s">
        <v>27</v>
      </c>
      <c r="P270" s="3" t="s">
        <v>47</v>
      </c>
      <c r="Q270" s="3" t="str" cm="1">
        <f t="array" ref="Q270">_xlfn.IFS(Table1[[#This Row],[TotalRevenue]]&lt;100,"Low",Table1[[#This Row],[TotalRevenue]]&lt;300,"Medium",Table1[[#This Row],[TotalRevenue]]&lt;600,"High",TRUE,"Very High")</f>
        <v>Low</v>
      </c>
      <c r="R270" s="3" t="str" cm="1">
        <f t="array" ref="R270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270" s="3" t="str">
        <f>IF(Table1[[#This Row],[NextBillingDate]]="","Cancelled",IF(Table1[[#This Row],[CancellationDate]]&lt;&gt;"","Cancelled","Active"))</f>
        <v>Cancelled</v>
      </c>
      <c r="T270" s="7" cm="1">
        <f t="array" ref="T27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70" s="5">
        <v>45204</v>
      </c>
      <c r="W270" s="5">
        <v>45204</v>
      </c>
      <c r="X270" s="3">
        <v>0</v>
      </c>
      <c r="Y270" s="5">
        <f ca="1">IF(Table1[[#This Row],[ChurnStatus]]="Cancelled",Table1[[#This Row],[CancellationDate]],TODAY())</f>
        <v>45204</v>
      </c>
      <c r="Z270" s="46">
        <f ca="1">IF(AND(Table1[[#This Row],[SubscriptionStart]] &lt;= TODAY(), Table1[[#This Row],[EffectiveEndDate]] &gt;= TODAY()),1,0)</f>
        <v>0</v>
      </c>
      <c r="AA270" s="46">
        <f ca="1">IF(AND(Table1[[#This Row],[SubscriptionStart]]&lt;=Settings!$A$2,Table1[[#This Row],[EffectiveEndDate]]&gt;=Settings!$A$2),1,0)</f>
        <v>0</v>
      </c>
      <c r="AB270" s="46">
        <f ca="1">IF(AND(Table1[[#This Row],[SubscriptionStart]]&lt;=Settings!$B$2,Table1[[#This Row],[EffectiveEndDate]]&gt;=Settings!$B$2),1,0)</f>
        <v>0</v>
      </c>
      <c r="AC270" s="46">
        <f ca="1">IF(AND(Table1[[#This Row],[SubscriptionStart]]&lt;=Settings!$C$2,Table1[[#This Row],[EffectiveEndDate]]&gt;=Settings!$C$2),1,0)</f>
        <v>1</v>
      </c>
      <c r="AD270" s="46">
        <f ca="1">IF(AND(Table1[[#This Row],[SubscriptionStart]]&lt;=Settings!$D$2,Table1[[#This Row],[EffectiveEndDate]]&gt;=Settings!$D$2),1,0)</f>
        <v>1</v>
      </c>
      <c r="AE270" s="46">
        <f ca="1">IF(AND(Table1[[#This Row],[SubscriptionStart]]&lt;=Settings!$E$2,Table1[[#This Row],[EffectiveEndDate]]&gt;=Settings!$E$2),1,0)</f>
        <v>0</v>
      </c>
      <c r="AF270"/>
      <c r="AG270"/>
      <c r="AH270"/>
      <c r="AI270"/>
      <c r="AJ270"/>
      <c r="AK270"/>
    </row>
    <row r="271" spans="1:37">
      <c r="A271" s="3" t="s">
        <v>388</v>
      </c>
      <c r="B271" s="3">
        <v>72</v>
      </c>
      <c r="C271" s="3" t="s">
        <v>37</v>
      </c>
      <c r="D271" s="5">
        <v>44845</v>
      </c>
      <c r="E271" s="5">
        <v>45025</v>
      </c>
      <c r="F271" s="3">
        <f ca="1">TODAY() - Table1[[#This Row],[SubscriptionStart]]</f>
        <v>1136</v>
      </c>
      <c r="G271" s="4">
        <v>6</v>
      </c>
      <c r="H271" s="3" t="s">
        <v>38</v>
      </c>
      <c r="I271" s="3" t="s">
        <v>39</v>
      </c>
      <c r="J271" s="7" cm="1">
        <f t="array" ref="J271">_xlfn.IFS(Table1[[#This Row],[Tier]]="Basic",10,Table1[[#This Row],[Tier]]="Standard",18,Table1[[#This Row],[Tier]]="Premium",25)</f>
        <v>18</v>
      </c>
      <c r="K271" s="7" cm="1">
        <f t="array" ref="K27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271" s="7" cm="1">
        <f t="array" ref="L27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271" s="3" t="str" cm="1">
        <f t="array" ref="M271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271" s="3" t="s">
        <v>26</v>
      </c>
      <c r="O271" s="3" t="s">
        <v>43</v>
      </c>
      <c r="P271" s="3" t="s">
        <v>47</v>
      </c>
      <c r="Q271" s="3" t="str" cm="1">
        <f t="array" ref="Q271">_xlfn.IFS(Table1[[#This Row],[TotalRevenue]]&lt;100,"Low",Table1[[#This Row],[TotalRevenue]]&lt;300,"Medium",Table1[[#This Row],[TotalRevenue]]&lt;600,"High",TRUE,"Very High")</f>
        <v>Low</v>
      </c>
      <c r="R271" s="3" t="str" cm="1">
        <f t="array" ref="R271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271" s="3" t="str">
        <f>IF(Table1[[#This Row],[NextBillingDate]]="","Cancelled",IF(Table1[[#This Row],[CancellationDate]]&lt;&gt;"","Cancelled","Active"))</f>
        <v>Cancelled</v>
      </c>
      <c r="T271" s="7" cm="1">
        <f t="array" ref="T27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271" s="5">
        <v>45025</v>
      </c>
      <c r="W271" s="5">
        <v>45025</v>
      </c>
      <c r="X271" s="3">
        <v>0</v>
      </c>
      <c r="Y271" s="5">
        <f ca="1">IF(Table1[[#This Row],[ChurnStatus]]="Cancelled",Table1[[#This Row],[CancellationDate]],TODAY())</f>
        <v>45025</v>
      </c>
      <c r="Z271" s="46">
        <f ca="1">IF(AND(Table1[[#This Row],[SubscriptionStart]] &lt;= TODAY(), Table1[[#This Row],[EffectiveEndDate]] &gt;= TODAY()),1,0)</f>
        <v>0</v>
      </c>
      <c r="AA271" s="46">
        <f ca="1">IF(AND(Table1[[#This Row],[SubscriptionStart]]&lt;=Settings!$A$2,Table1[[#This Row],[EffectiveEndDate]]&gt;=Settings!$A$2),1,0)</f>
        <v>0</v>
      </c>
      <c r="AB271" s="46">
        <f ca="1">IF(AND(Table1[[#This Row],[SubscriptionStart]]&lt;=Settings!$B$2,Table1[[#This Row],[EffectiveEndDate]]&gt;=Settings!$B$2),1,0)</f>
        <v>0</v>
      </c>
      <c r="AC271" s="46">
        <f ca="1">IF(AND(Table1[[#This Row],[SubscriptionStart]]&lt;=Settings!$C$2,Table1[[#This Row],[EffectiveEndDate]]&gt;=Settings!$C$2),1,0)</f>
        <v>1</v>
      </c>
      <c r="AD271" s="46">
        <f ca="1">IF(AND(Table1[[#This Row],[SubscriptionStart]]&lt;=Settings!$D$2,Table1[[#This Row],[EffectiveEndDate]]&gt;=Settings!$D$2),1,0)</f>
        <v>0</v>
      </c>
      <c r="AE271" s="46">
        <f ca="1">IF(AND(Table1[[#This Row],[SubscriptionStart]]&lt;=Settings!$E$2,Table1[[#This Row],[EffectiveEndDate]]&gt;=Settings!$E$2),1,0)</f>
        <v>0</v>
      </c>
      <c r="AF271"/>
      <c r="AG271"/>
      <c r="AH271"/>
      <c r="AI271"/>
      <c r="AJ271"/>
      <c r="AK271"/>
    </row>
    <row r="272" spans="1:37">
      <c r="A272" s="3" t="s">
        <v>126</v>
      </c>
      <c r="B272" s="3">
        <v>71</v>
      </c>
      <c r="C272" s="3" t="s">
        <v>23</v>
      </c>
      <c r="D272" s="5">
        <v>44845</v>
      </c>
      <c r="E272" s="5">
        <v>45205</v>
      </c>
      <c r="F272" s="3">
        <f ca="1">TODAY() - Table1[[#This Row],[SubscriptionStart]]</f>
        <v>1136</v>
      </c>
      <c r="G272" s="4">
        <v>12</v>
      </c>
      <c r="H272" s="3" t="s">
        <v>24</v>
      </c>
      <c r="I272" s="3" t="s">
        <v>25</v>
      </c>
      <c r="J272" s="7" cm="1">
        <f t="array" ref="J272">_xlfn.IFS(Table1[[#This Row],[Tier]]="Basic",10,Table1[[#This Row],[Tier]]="Standard",18,Table1[[#This Row],[Tier]]="Premium",25)</f>
        <v>25</v>
      </c>
      <c r="K272" s="7" cm="1">
        <f t="array" ref="K27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272" s="7" cm="1">
        <f t="array" ref="L27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272" s="3" t="str" cm="1">
        <f t="array" ref="M272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272" s="3" t="s">
        <v>26</v>
      </c>
      <c r="O272" s="3" t="s">
        <v>49</v>
      </c>
      <c r="P272" s="3" t="s">
        <v>50</v>
      </c>
      <c r="Q272" s="3" t="str" cm="1">
        <f t="array" ref="Q272">_xlfn.IFS(Table1[[#This Row],[TotalRevenue]]&lt;100,"Low",Table1[[#This Row],[TotalRevenue]]&lt;300,"Medium",Table1[[#This Row],[TotalRevenue]]&lt;600,"High",TRUE,"Very High")</f>
        <v>Medium</v>
      </c>
      <c r="R272" s="3" t="str" cm="1">
        <f t="array" ref="R272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272" s="3" t="str">
        <f>IF(Table1[[#This Row],[NextBillingDate]]="","Cancelled",IF(Table1[[#This Row],[CancellationDate]]&lt;&gt;"","Cancelled","Active"))</f>
        <v>Cancelled</v>
      </c>
      <c r="T272" s="7" cm="1">
        <f t="array" ref="T27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272" s="5">
        <v>45205</v>
      </c>
      <c r="W272" s="5">
        <v>45205</v>
      </c>
      <c r="X272" s="3">
        <v>0</v>
      </c>
      <c r="Y272" s="5">
        <f ca="1">IF(Table1[[#This Row],[ChurnStatus]]="Cancelled",Table1[[#This Row],[CancellationDate]],TODAY())</f>
        <v>45205</v>
      </c>
      <c r="Z272" s="46">
        <f ca="1">IF(AND(Table1[[#This Row],[SubscriptionStart]] &lt;= TODAY(), Table1[[#This Row],[EffectiveEndDate]] &gt;= TODAY()),1,0)</f>
        <v>0</v>
      </c>
      <c r="AA272" s="46">
        <f ca="1">IF(AND(Table1[[#This Row],[SubscriptionStart]]&lt;=Settings!$A$2,Table1[[#This Row],[EffectiveEndDate]]&gt;=Settings!$A$2),1,0)</f>
        <v>0</v>
      </c>
      <c r="AB272" s="46">
        <f ca="1">IF(AND(Table1[[#This Row],[SubscriptionStart]]&lt;=Settings!$B$2,Table1[[#This Row],[EffectiveEndDate]]&gt;=Settings!$B$2),1,0)</f>
        <v>0</v>
      </c>
      <c r="AC272" s="46">
        <f ca="1">IF(AND(Table1[[#This Row],[SubscriptionStart]]&lt;=Settings!$C$2,Table1[[#This Row],[EffectiveEndDate]]&gt;=Settings!$C$2),1,0)</f>
        <v>1</v>
      </c>
      <c r="AD272" s="46">
        <f ca="1">IF(AND(Table1[[#This Row],[SubscriptionStart]]&lt;=Settings!$D$2,Table1[[#This Row],[EffectiveEndDate]]&gt;=Settings!$D$2),1,0)</f>
        <v>1</v>
      </c>
      <c r="AE272" s="46">
        <f ca="1">IF(AND(Table1[[#This Row],[SubscriptionStart]]&lt;=Settings!$E$2,Table1[[#This Row],[EffectiveEndDate]]&gt;=Settings!$E$2),1,0)</f>
        <v>0</v>
      </c>
      <c r="AF272"/>
      <c r="AG272"/>
      <c r="AH272"/>
      <c r="AI272"/>
      <c r="AJ272"/>
      <c r="AK272"/>
    </row>
    <row r="273" spans="1:37">
      <c r="A273" s="3" t="s">
        <v>313</v>
      </c>
      <c r="B273" s="3">
        <v>60</v>
      </c>
      <c r="C273" s="3" t="s">
        <v>23</v>
      </c>
      <c r="D273" s="5">
        <v>44846</v>
      </c>
      <c r="E273" s="5">
        <v>45026</v>
      </c>
      <c r="F273" s="3">
        <f ca="1">TODAY() - Table1[[#This Row],[SubscriptionStart]]</f>
        <v>1135</v>
      </c>
      <c r="G273" s="4">
        <v>6</v>
      </c>
      <c r="H273" s="3" t="s">
        <v>38</v>
      </c>
      <c r="I273" s="3" t="s">
        <v>25</v>
      </c>
      <c r="J273" s="7" cm="1">
        <f t="array" ref="J273">_xlfn.IFS(Table1[[#This Row],[Tier]]="Basic",10,Table1[[#This Row],[Tier]]="Standard",18,Table1[[#This Row],[Tier]]="Premium",25)</f>
        <v>25</v>
      </c>
      <c r="K273" s="7" cm="1">
        <f t="array" ref="K27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273" s="7" cm="1">
        <f t="array" ref="L27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273" s="3" t="str" cm="1">
        <f t="array" ref="M273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73" s="3" t="s">
        <v>34</v>
      </c>
      <c r="O273" s="3" t="s">
        <v>49</v>
      </c>
      <c r="P273" s="3" t="s">
        <v>35</v>
      </c>
      <c r="Q273" s="3" t="str" cm="1">
        <f t="array" ref="Q273">_xlfn.IFS(Table1[[#This Row],[TotalRevenue]]&lt;100,"Low",Table1[[#This Row],[TotalRevenue]]&lt;300,"Medium",Table1[[#This Row],[TotalRevenue]]&lt;600,"High",TRUE,"Very High")</f>
        <v>Medium</v>
      </c>
      <c r="R273" s="3" t="str" cm="1">
        <f t="array" ref="R273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73" s="3" t="str">
        <f>IF(Table1[[#This Row],[NextBillingDate]]="","Cancelled",IF(Table1[[#This Row],[CancellationDate]]&lt;&gt;"","Cancelled","Active"))</f>
        <v>Cancelled</v>
      </c>
      <c r="T273" s="7" cm="1">
        <f t="array" ref="T27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273" s="5">
        <v>45026</v>
      </c>
      <c r="W273" s="5">
        <v>45026</v>
      </c>
      <c r="X273" s="3">
        <v>0</v>
      </c>
      <c r="Y273" s="5">
        <f ca="1">IF(Table1[[#This Row],[ChurnStatus]]="Cancelled",Table1[[#This Row],[CancellationDate]],TODAY())</f>
        <v>45026</v>
      </c>
      <c r="Z273" s="46">
        <f ca="1">IF(AND(Table1[[#This Row],[SubscriptionStart]] &lt;= TODAY(), Table1[[#This Row],[EffectiveEndDate]] &gt;= TODAY()),1,0)</f>
        <v>0</v>
      </c>
      <c r="AA273" s="46">
        <f ca="1">IF(AND(Table1[[#This Row],[SubscriptionStart]]&lt;=Settings!$A$2,Table1[[#This Row],[EffectiveEndDate]]&gt;=Settings!$A$2),1,0)</f>
        <v>0</v>
      </c>
      <c r="AB273" s="46">
        <f ca="1">IF(AND(Table1[[#This Row],[SubscriptionStart]]&lt;=Settings!$B$2,Table1[[#This Row],[EffectiveEndDate]]&gt;=Settings!$B$2),1,0)</f>
        <v>0</v>
      </c>
      <c r="AC273" s="46">
        <f ca="1">IF(AND(Table1[[#This Row],[SubscriptionStart]]&lt;=Settings!$C$2,Table1[[#This Row],[EffectiveEndDate]]&gt;=Settings!$C$2),1,0)</f>
        <v>1</v>
      </c>
      <c r="AD273" s="46">
        <f ca="1">IF(AND(Table1[[#This Row],[SubscriptionStart]]&lt;=Settings!$D$2,Table1[[#This Row],[EffectiveEndDate]]&gt;=Settings!$D$2),1,0)</f>
        <v>0</v>
      </c>
      <c r="AE273" s="46">
        <f ca="1">IF(AND(Table1[[#This Row],[SubscriptionStart]]&lt;=Settings!$E$2,Table1[[#This Row],[EffectiveEndDate]]&gt;=Settings!$E$2),1,0)</f>
        <v>0</v>
      </c>
      <c r="AF273"/>
      <c r="AG273"/>
      <c r="AH273"/>
      <c r="AI273"/>
      <c r="AJ273"/>
      <c r="AK273"/>
    </row>
    <row r="274" spans="1:37">
      <c r="A274" s="3" t="s">
        <v>423</v>
      </c>
      <c r="B274" s="3">
        <v>75</v>
      </c>
      <c r="C274" s="3" t="s">
        <v>23</v>
      </c>
      <c r="D274" s="5">
        <v>44847</v>
      </c>
      <c r="E274" s="5">
        <v>45207</v>
      </c>
      <c r="F274" s="3">
        <f ca="1">TODAY() - Table1[[#This Row],[SubscriptionStart]]</f>
        <v>1134</v>
      </c>
      <c r="G274" s="4">
        <v>12</v>
      </c>
      <c r="H274" s="3" t="s">
        <v>24</v>
      </c>
      <c r="I274" s="3" t="s">
        <v>30</v>
      </c>
      <c r="J274" s="7" cm="1">
        <f t="array" ref="J274">_xlfn.IFS(Table1[[#This Row],[Tier]]="Basic",10,Table1[[#This Row],[Tier]]="Standard",18,Table1[[#This Row],[Tier]]="Premium",25)</f>
        <v>10</v>
      </c>
      <c r="K274" s="7" cm="1">
        <f t="array" ref="K27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74" s="7" cm="1">
        <f t="array" ref="L27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74" s="3" t="str" cm="1">
        <f t="array" ref="M274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274" s="3" t="s">
        <v>52</v>
      </c>
      <c r="O274" s="3" t="s">
        <v>32</v>
      </c>
      <c r="P274" s="3" t="s">
        <v>35</v>
      </c>
      <c r="Q274" s="3" t="str" cm="1">
        <f t="array" ref="Q274">_xlfn.IFS(Table1[[#This Row],[TotalRevenue]]&lt;100,"Low",Table1[[#This Row],[TotalRevenue]]&lt;300,"Medium",Table1[[#This Row],[TotalRevenue]]&lt;600,"High",TRUE,"Very High")</f>
        <v>Low</v>
      </c>
      <c r="R274" s="3" t="str" cm="1">
        <f t="array" ref="R274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274" s="3" t="str">
        <f>IF(Table1[[#This Row],[NextBillingDate]]="","Cancelled",IF(Table1[[#This Row],[CancellationDate]]&lt;&gt;"","Cancelled","Active"))</f>
        <v>Cancelled</v>
      </c>
      <c r="T274" s="7" cm="1">
        <f t="array" ref="T27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74" s="5">
        <v>45207</v>
      </c>
      <c r="W274" s="5">
        <v>45207</v>
      </c>
      <c r="X274" s="3">
        <v>0</v>
      </c>
      <c r="Y274" s="5">
        <f ca="1">IF(Table1[[#This Row],[ChurnStatus]]="Cancelled",Table1[[#This Row],[CancellationDate]],TODAY())</f>
        <v>45207</v>
      </c>
      <c r="Z274" s="46">
        <f ca="1">IF(AND(Table1[[#This Row],[SubscriptionStart]] &lt;= TODAY(), Table1[[#This Row],[EffectiveEndDate]] &gt;= TODAY()),1,0)</f>
        <v>0</v>
      </c>
      <c r="AA274" s="46">
        <f ca="1">IF(AND(Table1[[#This Row],[SubscriptionStart]]&lt;=Settings!$A$2,Table1[[#This Row],[EffectiveEndDate]]&gt;=Settings!$A$2),1,0)</f>
        <v>0</v>
      </c>
      <c r="AB274" s="46">
        <f ca="1">IF(AND(Table1[[#This Row],[SubscriptionStart]]&lt;=Settings!$B$2,Table1[[#This Row],[EffectiveEndDate]]&gt;=Settings!$B$2),1,0)</f>
        <v>0</v>
      </c>
      <c r="AC274" s="46">
        <f ca="1">IF(AND(Table1[[#This Row],[SubscriptionStart]]&lt;=Settings!$C$2,Table1[[#This Row],[EffectiveEndDate]]&gt;=Settings!$C$2),1,0)</f>
        <v>1</v>
      </c>
      <c r="AD274" s="46">
        <f ca="1">IF(AND(Table1[[#This Row],[SubscriptionStart]]&lt;=Settings!$D$2,Table1[[#This Row],[EffectiveEndDate]]&gt;=Settings!$D$2),1,0)</f>
        <v>1</v>
      </c>
      <c r="AE274" s="46">
        <f ca="1">IF(AND(Table1[[#This Row],[SubscriptionStart]]&lt;=Settings!$E$2,Table1[[#This Row],[EffectiveEndDate]]&gt;=Settings!$E$2),1,0)</f>
        <v>0</v>
      </c>
      <c r="AF274"/>
      <c r="AG274"/>
      <c r="AH274"/>
      <c r="AI274"/>
      <c r="AJ274"/>
      <c r="AK274"/>
    </row>
    <row r="275" spans="1:37">
      <c r="A275" s="3" t="s">
        <v>550</v>
      </c>
      <c r="B275" s="3">
        <v>44</v>
      </c>
      <c r="C275" s="3" t="s">
        <v>37</v>
      </c>
      <c r="D275" s="5">
        <v>44848</v>
      </c>
      <c r="E275" s="5">
        <v>45208</v>
      </c>
      <c r="F275" s="3">
        <f ca="1">TODAY() - Table1[[#This Row],[SubscriptionStart]]</f>
        <v>1133</v>
      </c>
      <c r="G275" s="4">
        <v>12</v>
      </c>
      <c r="H275" s="3" t="s">
        <v>24</v>
      </c>
      <c r="I275" s="3" t="s">
        <v>25</v>
      </c>
      <c r="J275" s="7" cm="1">
        <f t="array" ref="J275">_xlfn.IFS(Table1[[#This Row],[Tier]]="Basic",10,Table1[[#This Row],[Tier]]="Standard",18,Table1[[#This Row],[Tier]]="Premium",25)</f>
        <v>25</v>
      </c>
      <c r="K275" s="7" cm="1">
        <f t="array" ref="K27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275" s="7" cm="1">
        <f t="array" ref="L27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275" s="3" t="str" cm="1">
        <f t="array" ref="M27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75" s="3" t="s">
        <v>26</v>
      </c>
      <c r="O275" s="3" t="s">
        <v>43</v>
      </c>
      <c r="P275" s="3" t="s">
        <v>50</v>
      </c>
      <c r="Q275" s="3" t="str" cm="1">
        <f t="array" ref="Q275">_xlfn.IFS(Table1[[#This Row],[TotalRevenue]]&lt;100,"Low",Table1[[#This Row],[TotalRevenue]]&lt;300,"Medium",Table1[[#This Row],[TotalRevenue]]&lt;600,"High",TRUE,"Very High")</f>
        <v>Medium</v>
      </c>
      <c r="R275" s="3" t="str" cm="1">
        <f t="array" ref="R27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75" s="3" t="str">
        <f>IF(Table1[[#This Row],[NextBillingDate]]="","Cancelled",IF(Table1[[#This Row],[CancellationDate]]&lt;&gt;"","Cancelled","Active"))</f>
        <v>Cancelled</v>
      </c>
      <c r="T275" s="7" cm="1">
        <f t="array" ref="T27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275" s="5">
        <v>45208</v>
      </c>
      <c r="W275" s="5">
        <v>45208</v>
      </c>
      <c r="X275" s="3">
        <v>0</v>
      </c>
      <c r="Y275" s="5">
        <f ca="1">IF(Table1[[#This Row],[ChurnStatus]]="Cancelled",Table1[[#This Row],[CancellationDate]],TODAY())</f>
        <v>45208</v>
      </c>
      <c r="Z275" s="46">
        <f ca="1">IF(AND(Table1[[#This Row],[SubscriptionStart]] &lt;= TODAY(), Table1[[#This Row],[EffectiveEndDate]] &gt;= TODAY()),1,0)</f>
        <v>0</v>
      </c>
      <c r="AA275" s="46">
        <f ca="1">IF(AND(Table1[[#This Row],[SubscriptionStart]]&lt;=Settings!$A$2,Table1[[#This Row],[EffectiveEndDate]]&gt;=Settings!$A$2),1,0)</f>
        <v>0</v>
      </c>
      <c r="AB275" s="46">
        <f ca="1">IF(AND(Table1[[#This Row],[SubscriptionStart]]&lt;=Settings!$B$2,Table1[[#This Row],[EffectiveEndDate]]&gt;=Settings!$B$2),1,0)</f>
        <v>0</v>
      </c>
      <c r="AC275" s="46">
        <f ca="1">IF(AND(Table1[[#This Row],[SubscriptionStart]]&lt;=Settings!$C$2,Table1[[#This Row],[EffectiveEndDate]]&gt;=Settings!$C$2),1,0)</f>
        <v>1</v>
      </c>
      <c r="AD275" s="46">
        <f ca="1">IF(AND(Table1[[#This Row],[SubscriptionStart]]&lt;=Settings!$D$2,Table1[[#This Row],[EffectiveEndDate]]&gt;=Settings!$D$2),1,0)</f>
        <v>1</v>
      </c>
      <c r="AE275" s="46">
        <f ca="1">IF(AND(Table1[[#This Row],[SubscriptionStart]]&lt;=Settings!$E$2,Table1[[#This Row],[EffectiveEndDate]]&gt;=Settings!$E$2),1,0)</f>
        <v>0</v>
      </c>
      <c r="AF275"/>
      <c r="AG275"/>
      <c r="AH275"/>
      <c r="AI275"/>
      <c r="AJ275"/>
      <c r="AK275"/>
    </row>
    <row r="276" spans="1:37">
      <c r="A276" s="3" t="s">
        <v>386</v>
      </c>
      <c r="B276" s="3">
        <v>63</v>
      </c>
      <c r="C276" s="3" t="s">
        <v>23</v>
      </c>
      <c r="D276" s="5">
        <v>44849</v>
      </c>
      <c r="E276" s="5">
        <v>45029</v>
      </c>
      <c r="F276" s="3">
        <f ca="1">TODAY() - Table1[[#This Row],[SubscriptionStart]]</f>
        <v>1132</v>
      </c>
      <c r="G276" s="4">
        <v>6</v>
      </c>
      <c r="H276" s="3" t="s">
        <v>38</v>
      </c>
      <c r="I276" s="3" t="s">
        <v>25</v>
      </c>
      <c r="J276" s="7" cm="1">
        <f t="array" ref="J276">_xlfn.IFS(Table1[[#This Row],[Tier]]="Basic",10,Table1[[#This Row],[Tier]]="Standard",18,Table1[[#This Row],[Tier]]="Premium",25)</f>
        <v>25</v>
      </c>
      <c r="K276" s="7" cm="1">
        <f t="array" ref="K27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276" s="7" cm="1">
        <f t="array" ref="L27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276" s="3" t="str" cm="1">
        <f t="array" ref="M276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76" s="3" t="s">
        <v>31</v>
      </c>
      <c r="O276" s="3" t="s">
        <v>40</v>
      </c>
      <c r="P276" s="3" t="s">
        <v>35</v>
      </c>
      <c r="Q276" s="3" t="str" cm="1">
        <f t="array" ref="Q276">_xlfn.IFS(Table1[[#This Row],[TotalRevenue]]&lt;100,"Low",Table1[[#This Row],[TotalRevenue]]&lt;300,"Medium",Table1[[#This Row],[TotalRevenue]]&lt;600,"High",TRUE,"Very High")</f>
        <v>Medium</v>
      </c>
      <c r="R276" s="3" t="str" cm="1">
        <f t="array" ref="R276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76" s="3" t="str">
        <f>IF(Table1[[#This Row],[NextBillingDate]]="","Cancelled",IF(Table1[[#This Row],[CancellationDate]]&lt;&gt;"","Cancelled","Active"))</f>
        <v>Cancelled</v>
      </c>
      <c r="T276" s="7" cm="1">
        <f t="array" ref="T27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276" s="5">
        <v>45029</v>
      </c>
      <c r="W276" s="5">
        <v>45029</v>
      </c>
      <c r="X276" s="3">
        <v>0</v>
      </c>
      <c r="Y276" s="5">
        <f ca="1">IF(Table1[[#This Row],[ChurnStatus]]="Cancelled",Table1[[#This Row],[CancellationDate]],TODAY())</f>
        <v>45029</v>
      </c>
      <c r="Z276" s="46">
        <f ca="1">IF(AND(Table1[[#This Row],[SubscriptionStart]] &lt;= TODAY(), Table1[[#This Row],[EffectiveEndDate]] &gt;= TODAY()),1,0)</f>
        <v>0</v>
      </c>
      <c r="AA276" s="46">
        <f ca="1">IF(AND(Table1[[#This Row],[SubscriptionStart]]&lt;=Settings!$A$2,Table1[[#This Row],[EffectiveEndDate]]&gt;=Settings!$A$2),1,0)</f>
        <v>0</v>
      </c>
      <c r="AB276" s="46">
        <f ca="1">IF(AND(Table1[[#This Row],[SubscriptionStart]]&lt;=Settings!$B$2,Table1[[#This Row],[EffectiveEndDate]]&gt;=Settings!$B$2),1,0)</f>
        <v>0</v>
      </c>
      <c r="AC276" s="46">
        <f ca="1">IF(AND(Table1[[#This Row],[SubscriptionStart]]&lt;=Settings!$C$2,Table1[[#This Row],[EffectiveEndDate]]&gt;=Settings!$C$2),1,0)</f>
        <v>1</v>
      </c>
      <c r="AD276" s="46">
        <f ca="1">IF(AND(Table1[[#This Row],[SubscriptionStart]]&lt;=Settings!$D$2,Table1[[#This Row],[EffectiveEndDate]]&gt;=Settings!$D$2),1,0)</f>
        <v>0</v>
      </c>
      <c r="AE276" s="46">
        <f ca="1">IF(AND(Table1[[#This Row],[SubscriptionStart]]&lt;=Settings!$E$2,Table1[[#This Row],[EffectiveEndDate]]&gt;=Settings!$E$2),1,0)</f>
        <v>0</v>
      </c>
      <c r="AF276"/>
      <c r="AG276"/>
      <c r="AH276"/>
      <c r="AI276"/>
      <c r="AJ276"/>
      <c r="AK276"/>
    </row>
    <row r="277" spans="1:37">
      <c r="A277" s="3" t="s">
        <v>740</v>
      </c>
      <c r="B277" s="3">
        <v>56</v>
      </c>
      <c r="C277" s="3" t="s">
        <v>37</v>
      </c>
      <c r="D277" s="5">
        <v>44850</v>
      </c>
      <c r="E277" s="5">
        <v>44880</v>
      </c>
      <c r="F277" s="3">
        <f ca="1">TODAY() - Table1[[#This Row],[SubscriptionStart]]</f>
        <v>1131</v>
      </c>
      <c r="G277" s="4">
        <v>1</v>
      </c>
      <c r="H277" s="3" t="s">
        <v>29</v>
      </c>
      <c r="I277" s="3" t="s">
        <v>39</v>
      </c>
      <c r="J277" s="7" cm="1">
        <f t="array" ref="J277">_xlfn.IFS(Table1[[#This Row],[Tier]]="Basic",10,Table1[[#This Row],[Tier]]="Standard",18,Table1[[#This Row],[Tier]]="Premium",25)</f>
        <v>18</v>
      </c>
      <c r="K277" s="7" cm="1">
        <f t="array" ref="K27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277" s="7" cm="1">
        <f t="array" ref="L27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277" s="3" t="str" cm="1">
        <f t="array" ref="M27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77" s="3" t="s">
        <v>34</v>
      </c>
      <c r="O277" s="3" t="s">
        <v>40</v>
      </c>
      <c r="P277" s="3" t="s">
        <v>47</v>
      </c>
      <c r="Q277" s="3" t="str" cm="1">
        <f t="array" ref="Q277">_xlfn.IFS(Table1[[#This Row],[TotalRevenue]]&lt;100,"Low",Table1[[#This Row],[TotalRevenue]]&lt;300,"Medium",Table1[[#This Row],[TotalRevenue]]&lt;600,"High",TRUE,"Very High")</f>
        <v>Low</v>
      </c>
      <c r="R277" s="3" t="str" cm="1">
        <f t="array" ref="R27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77" s="3" t="str">
        <f>IF(Table1[[#This Row],[NextBillingDate]]="","Cancelled",IF(Table1[[#This Row],[CancellationDate]]&lt;&gt;"","Cancelled","Active"))</f>
        <v>Cancelled</v>
      </c>
      <c r="T277" s="7" cm="1">
        <f t="array" ref="T27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277" s="5">
        <v>44880</v>
      </c>
      <c r="W277" s="5">
        <v>44880</v>
      </c>
      <c r="X277" s="3">
        <v>0</v>
      </c>
      <c r="Y277" s="5">
        <f ca="1">IF(Table1[[#This Row],[ChurnStatus]]="Cancelled",Table1[[#This Row],[CancellationDate]],TODAY())</f>
        <v>44880</v>
      </c>
      <c r="Z277" s="46">
        <f ca="1">IF(AND(Table1[[#This Row],[SubscriptionStart]] &lt;= TODAY(), Table1[[#This Row],[EffectiveEndDate]] &gt;= TODAY()),1,0)</f>
        <v>0</v>
      </c>
      <c r="AA277" s="46">
        <f ca="1">IF(AND(Table1[[#This Row],[SubscriptionStart]]&lt;=Settings!$A$2,Table1[[#This Row],[EffectiveEndDate]]&gt;=Settings!$A$2),1,0)</f>
        <v>0</v>
      </c>
      <c r="AB277" s="46">
        <f ca="1">IF(AND(Table1[[#This Row],[SubscriptionStart]]&lt;=Settings!$B$2,Table1[[#This Row],[EffectiveEndDate]]&gt;=Settings!$B$2),1,0)</f>
        <v>0</v>
      </c>
      <c r="AC277" s="46">
        <f ca="1">IF(AND(Table1[[#This Row],[SubscriptionStart]]&lt;=Settings!$C$2,Table1[[#This Row],[EffectiveEndDate]]&gt;=Settings!$C$2),1,0)</f>
        <v>0</v>
      </c>
      <c r="AD277" s="46">
        <f ca="1">IF(AND(Table1[[#This Row],[SubscriptionStart]]&lt;=Settings!$D$2,Table1[[#This Row],[EffectiveEndDate]]&gt;=Settings!$D$2),1,0)</f>
        <v>0</v>
      </c>
      <c r="AE277" s="46">
        <f ca="1">IF(AND(Table1[[#This Row],[SubscriptionStart]]&lt;=Settings!$E$2,Table1[[#This Row],[EffectiveEndDate]]&gt;=Settings!$E$2),1,0)</f>
        <v>0</v>
      </c>
      <c r="AF277"/>
      <c r="AG277"/>
      <c r="AH277"/>
      <c r="AI277"/>
      <c r="AJ277"/>
      <c r="AK277"/>
    </row>
    <row r="278" spans="1:37">
      <c r="A278" s="3" t="s">
        <v>586</v>
      </c>
      <c r="B278" s="3">
        <v>53</v>
      </c>
      <c r="C278" s="3" t="s">
        <v>23</v>
      </c>
      <c r="D278" s="5">
        <v>44850</v>
      </c>
      <c r="F278" s="3">
        <f ca="1">TODAY() - Table1[[#This Row],[SubscriptionStart]]</f>
        <v>1131</v>
      </c>
      <c r="G278" s="4">
        <v>48</v>
      </c>
      <c r="H278" s="3" t="s">
        <v>24</v>
      </c>
      <c r="I278" s="3" t="s">
        <v>30</v>
      </c>
      <c r="J278" s="7" cm="1">
        <f t="array" ref="J278">_xlfn.IFS(Table1[[#This Row],[Tier]]="Basic",10,Table1[[#This Row],[Tier]]="Standard",18,Table1[[#This Row],[Tier]]="Premium",25)</f>
        <v>10</v>
      </c>
      <c r="K278" s="7" cm="1">
        <f t="array" ref="K27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278" s="7" cm="1">
        <f t="array" ref="L27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312</v>
      </c>
      <c r="M278" s="3" t="str" cm="1">
        <f t="array" ref="M27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78" s="3" t="s">
        <v>31</v>
      </c>
      <c r="O278" s="3" t="s">
        <v>49</v>
      </c>
      <c r="Q278" s="3" t="str" cm="1">
        <f t="array" ref="Q278">_xlfn.IFS(Table1[[#This Row],[TotalRevenue]]&lt;100,"Low",Table1[[#This Row],[TotalRevenue]]&lt;300,"Medium",Table1[[#This Row],[TotalRevenue]]&lt;600,"High",TRUE,"Very High")</f>
        <v>High</v>
      </c>
      <c r="R278" s="3" t="str" cm="1">
        <f t="array" ref="R27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78" s="3" t="str">
        <f>IF(Table1[[#This Row],[NextBillingDate]]="","Cancelled",IF(Table1[[#This Row],[CancellationDate]]&lt;&gt;"","Cancelled","Active"))</f>
        <v>Active</v>
      </c>
      <c r="T278" s="7" cm="1">
        <f t="array" ref="T27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392</v>
      </c>
      <c r="V278" s="5">
        <v>46290</v>
      </c>
      <c r="W278" s="5">
        <v>46290</v>
      </c>
      <c r="X278" s="3">
        <v>3</v>
      </c>
      <c r="Y278" s="5">
        <f ca="1">IF(Table1[[#This Row],[ChurnStatus]]="Cancelled",Table1[[#This Row],[CancellationDate]],TODAY())</f>
        <v>45981</v>
      </c>
      <c r="Z278" s="46">
        <f ca="1">IF(AND(Table1[[#This Row],[SubscriptionStart]] &lt;= TODAY(), Table1[[#This Row],[EffectiveEndDate]] &gt;= TODAY()),1,0)</f>
        <v>1</v>
      </c>
      <c r="AA278" s="46">
        <f ca="1">IF(AND(Table1[[#This Row],[SubscriptionStart]]&lt;=Settings!$A$2,Table1[[#This Row],[EffectiveEndDate]]&gt;=Settings!$A$2),1,0)</f>
        <v>0</v>
      </c>
      <c r="AB278" s="46">
        <f ca="1">IF(AND(Table1[[#This Row],[SubscriptionStart]]&lt;=Settings!$B$2,Table1[[#This Row],[EffectiveEndDate]]&gt;=Settings!$B$2),1,0)</f>
        <v>0</v>
      </c>
      <c r="AC278" s="46">
        <f ca="1">IF(AND(Table1[[#This Row],[SubscriptionStart]]&lt;=Settings!$C$2,Table1[[#This Row],[EffectiveEndDate]]&gt;=Settings!$C$2),1,0)</f>
        <v>1</v>
      </c>
      <c r="AD278" s="46">
        <f ca="1">IF(AND(Table1[[#This Row],[SubscriptionStart]]&lt;=Settings!$D$2,Table1[[#This Row],[EffectiveEndDate]]&gt;=Settings!$D$2),1,0)</f>
        <v>1</v>
      </c>
      <c r="AE278" s="46">
        <f ca="1">IF(AND(Table1[[#This Row],[SubscriptionStart]]&lt;=Settings!$E$2,Table1[[#This Row],[EffectiveEndDate]]&gt;=Settings!$E$2),1,0)</f>
        <v>1</v>
      </c>
      <c r="AF278"/>
      <c r="AG278"/>
      <c r="AH278"/>
      <c r="AI278"/>
      <c r="AJ278"/>
      <c r="AK278"/>
    </row>
    <row r="279" spans="1:37">
      <c r="A279" s="3" t="s">
        <v>208</v>
      </c>
      <c r="B279" s="3">
        <v>38</v>
      </c>
      <c r="C279" s="3" t="s">
        <v>37</v>
      </c>
      <c r="D279" s="5">
        <v>44850</v>
      </c>
      <c r="F279" s="3">
        <f ca="1">TODAY() - Table1[[#This Row],[SubscriptionStart]]</f>
        <v>1131</v>
      </c>
      <c r="G279" s="4">
        <v>38</v>
      </c>
      <c r="H279" s="3" t="s">
        <v>29</v>
      </c>
      <c r="I279" s="3" t="s">
        <v>39</v>
      </c>
      <c r="J279" s="7" cm="1">
        <f t="array" ref="J279">_xlfn.IFS(Table1[[#This Row],[Tier]]="Basic",10,Table1[[#This Row],[Tier]]="Standard",18,Table1[[#This Row],[Tier]]="Premium",25)</f>
        <v>18</v>
      </c>
      <c r="K279" s="7" cm="1">
        <f t="array" ref="K27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279" s="7" cm="1">
        <f t="array" ref="L27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646.20000000000005</v>
      </c>
      <c r="M279" s="3" t="str" cm="1">
        <f t="array" ref="M27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79" s="3" t="s">
        <v>26</v>
      </c>
      <c r="O279" s="3" t="s">
        <v>49</v>
      </c>
      <c r="Q279" s="3" t="str" cm="1">
        <f t="array" ref="Q279">_xlfn.IFS(Table1[[#This Row],[TotalRevenue]]&lt;100,"Low",Table1[[#This Row],[TotalRevenue]]&lt;300,"Medium",Table1[[#This Row],[TotalRevenue]]&lt;600,"High",TRUE,"Very High")</f>
        <v>Very High</v>
      </c>
      <c r="R279" s="3" t="str" cm="1">
        <f t="array" ref="R27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79" s="3" t="str">
        <f>IF(Table1[[#This Row],[NextBillingDate]]="","Cancelled",IF(Table1[[#This Row],[CancellationDate]]&lt;&gt;"","Cancelled","Active"))</f>
        <v>Active</v>
      </c>
      <c r="T279" s="7" cm="1">
        <f t="array" ref="T27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664.2</v>
      </c>
      <c r="V279" s="5">
        <v>45990</v>
      </c>
      <c r="W279" s="5">
        <v>45990</v>
      </c>
      <c r="X279" s="3">
        <v>37</v>
      </c>
      <c r="Y279" s="5">
        <f ca="1">IF(Table1[[#This Row],[ChurnStatus]]="Cancelled",Table1[[#This Row],[CancellationDate]],TODAY())</f>
        <v>45981</v>
      </c>
      <c r="Z279" s="46">
        <f ca="1">IF(AND(Table1[[#This Row],[SubscriptionStart]] &lt;= TODAY(), Table1[[#This Row],[EffectiveEndDate]] &gt;= TODAY()),1,0)</f>
        <v>1</v>
      </c>
      <c r="AA279" s="46">
        <f ca="1">IF(AND(Table1[[#This Row],[SubscriptionStart]]&lt;=Settings!$A$2,Table1[[#This Row],[EffectiveEndDate]]&gt;=Settings!$A$2),1,0)</f>
        <v>0</v>
      </c>
      <c r="AB279" s="46">
        <f ca="1">IF(AND(Table1[[#This Row],[SubscriptionStart]]&lt;=Settings!$B$2,Table1[[#This Row],[EffectiveEndDate]]&gt;=Settings!$B$2),1,0)</f>
        <v>0</v>
      </c>
      <c r="AC279" s="46">
        <f ca="1">IF(AND(Table1[[#This Row],[SubscriptionStart]]&lt;=Settings!$C$2,Table1[[#This Row],[EffectiveEndDate]]&gt;=Settings!$C$2),1,0)</f>
        <v>1</v>
      </c>
      <c r="AD279" s="46">
        <f ca="1">IF(AND(Table1[[#This Row],[SubscriptionStart]]&lt;=Settings!$D$2,Table1[[#This Row],[EffectiveEndDate]]&gt;=Settings!$D$2),1,0)</f>
        <v>1</v>
      </c>
      <c r="AE279" s="46">
        <f ca="1">IF(AND(Table1[[#This Row],[SubscriptionStart]]&lt;=Settings!$E$2,Table1[[#This Row],[EffectiveEndDate]]&gt;=Settings!$E$2),1,0)</f>
        <v>1</v>
      </c>
      <c r="AF279"/>
      <c r="AG279"/>
      <c r="AH279"/>
      <c r="AI279"/>
      <c r="AJ279"/>
      <c r="AK279"/>
    </row>
    <row r="280" spans="1:37">
      <c r="A280" s="3" t="s">
        <v>139</v>
      </c>
      <c r="B280" s="3">
        <v>20</v>
      </c>
      <c r="C280" s="3" t="s">
        <v>37</v>
      </c>
      <c r="D280" s="5">
        <v>44851</v>
      </c>
      <c r="E280" s="5">
        <v>45211</v>
      </c>
      <c r="F280" s="3">
        <f ca="1">TODAY() - Table1[[#This Row],[SubscriptionStart]]</f>
        <v>1130</v>
      </c>
      <c r="G280" s="4">
        <v>12</v>
      </c>
      <c r="H280" s="3" t="s">
        <v>24</v>
      </c>
      <c r="I280" s="3" t="s">
        <v>25</v>
      </c>
      <c r="J280" s="7" cm="1">
        <f t="array" ref="J280">_xlfn.IFS(Table1[[#This Row],[Tier]]="Basic",10,Table1[[#This Row],[Tier]]="Standard",18,Table1[[#This Row],[Tier]]="Premium",25)</f>
        <v>25</v>
      </c>
      <c r="K280" s="7" cm="1">
        <f t="array" ref="K28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280" s="7" cm="1">
        <f t="array" ref="L28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280" s="3" t="str" cm="1">
        <f t="array" ref="M280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280" s="3" t="s">
        <v>34</v>
      </c>
      <c r="O280" s="3" t="s">
        <v>27</v>
      </c>
      <c r="P280" s="3" t="s">
        <v>44</v>
      </c>
      <c r="Q280" s="3" t="str" cm="1">
        <f t="array" ref="Q280">_xlfn.IFS(Table1[[#This Row],[TotalRevenue]]&lt;100,"Low",Table1[[#This Row],[TotalRevenue]]&lt;300,"Medium",Table1[[#This Row],[TotalRevenue]]&lt;600,"High",TRUE,"Very High")</f>
        <v>Medium</v>
      </c>
      <c r="R280" s="3" t="str" cm="1">
        <f t="array" ref="R280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280" s="3" t="str">
        <f>IF(Table1[[#This Row],[NextBillingDate]]="","Cancelled",IF(Table1[[#This Row],[CancellationDate]]&lt;&gt;"","Cancelled","Active"))</f>
        <v>Cancelled</v>
      </c>
      <c r="T280" s="7" cm="1">
        <f t="array" ref="T28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280" s="5">
        <v>45211</v>
      </c>
      <c r="W280" s="5">
        <v>45211</v>
      </c>
      <c r="X280" s="3">
        <v>0</v>
      </c>
      <c r="Y280" s="5">
        <f ca="1">IF(Table1[[#This Row],[ChurnStatus]]="Cancelled",Table1[[#This Row],[CancellationDate]],TODAY())</f>
        <v>45211</v>
      </c>
      <c r="Z280" s="46">
        <f ca="1">IF(AND(Table1[[#This Row],[SubscriptionStart]] &lt;= TODAY(), Table1[[#This Row],[EffectiveEndDate]] &gt;= TODAY()),1,0)</f>
        <v>0</v>
      </c>
      <c r="AA280" s="46">
        <f ca="1">IF(AND(Table1[[#This Row],[SubscriptionStart]]&lt;=Settings!$A$2,Table1[[#This Row],[EffectiveEndDate]]&gt;=Settings!$A$2),1,0)</f>
        <v>0</v>
      </c>
      <c r="AB280" s="46">
        <f ca="1">IF(AND(Table1[[#This Row],[SubscriptionStart]]&lt;=Settings!$B$2,Table1[[#This Row],[EffectiveEndDate]]&gt;=Settings!$B$2),1,0)</f>
        <v>0</v>
      </c>
      <c r="AC280" s="46">
        <f ca="1">IF(AND(Table1[[#This Row],[SubscriptionStart]]&lt;=Settings!$C$2,Table1[[#This Row],[EffectiveEndDate]]&gt;=Settings!$C$2),1,0)</f>
        <v>1</v>
      </c>
      <c r="AD280" s="46">
        <f ca="1">IF(AND(Table1[[#This Row],[SubscriptionStart]]&lt;=Settings!$D$2,Table1[[#This Row],[EffectiveEndDate]]&gt;=Settings!$D$2),1,0)</f>
        <v>1</v>
      </c>
      <c r="AE280" s="46">
        <f ca="1">IF(AND(Table1[[#This Row],[SubscriptionStart]]&lt;=Settings!$E$2,Table1[[#This Row],[EffectiveEndDate]]&gt;=Settings!$E$2),1,0)</f>
        <v>0</v>
      </c>
      <c r="AF280"/>
      <c r="AG280"/>
      <c r="AH280"/>
      <c r="AI280"/>
      <c r="AJ280"/>
      <c r="AK280"/>
    </row>
    <row r="281" spans="1:37">
      <c r="A281" s="3" t="s">
        <v>186</v>
      </c>
      <c r="B281" s="3">
        <v>44</v>
      </c>
      <c r="C281" s="3" t="s">
        <v>23</v>
      </c>
      <c r="D281" s="5">
        <v>44853</v>
      </c>
      <c r="E281" s="5">
        <v>44883</v>
      </c>
      <c r="F281" s="3">
        <f ca="1">TODAY() - Table1[[#This Row],[SubscriptionStart]]</f>
        <v>1128</v>
      </c>
      <c r="G281" s="4">
        <v>1</v>
      </c>
      <c r="H281" s="3" t="s">
        <v>29</v>
      </c>
      <c r="I281" s="3" t="s">
        <v>30</v>
      </c>
      <c r="J281" s="7" cm="1">
        <f t="array" ref="J281">_xlfn.IFS(Table1[[#This Row],[Tier]]="Basic",10,Table1[[#This Row],[Tier]]="Standard",18,Table1[[#This Row],[Tier]]="Premium",25)</f>
        <v>10</v>
      </c>
      <c r="K281" s="7" cm="1">
        <f t="array" ref="K28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281" s="7" cm="1">
        <f t="array" ref="L28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281" s="3" t="str" cm="1">
        <f t="array" ref="M28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81" s="3" t="s">
        <v>26</v>
      </c>
      <c r="O281" s="3" t="s">
        <v>43</v>
      </c>
      <c r="P281" s="3" t="s">
        <v>41</v>
      </c>
      <c r="Q281" s="3" t="str" cm="1">
        <f t="array" ref="Q281">_xlfn.IFS(Table1[[#This Row],[TotalRevenue]]&lt;100,"Low",Table1[[#This Row],[TotalRevenue]]&lt;300,"Medium",Table1[[#This Row],[TotalRevenue]]&lt;600,"High",TRUE,"Very High")</f>
        <v>Low</v>
      </c>
      <c r="R281" s="3" t="str" cm="1">
        <f t="array" ref="R28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81" s="3" t="str">
        <f>IF(Table1[[#This Row],[NextBillingDate]]="","Cancelled",IF(Table1[[#This Row],[CancellationDate]]&lt;&gt;"","Cancelled","Active"))</f>
        <v>Cancelled</v>
      </c>
      <c r="T281" s="7" cm="1">
        <f t="array" ref="T28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281" s="5">
        <v>44883</v>
      </c>
      <c r="W281" s="5">
        <v>44883</v>
      </c>
      <c r="X281" s="3">
        <v>0</v>
      </c>
      <c r="Y281" s="5">
        <f ca="1">IF(Table1[[#This Row],[ChurnStatus]]="Cancelled",Table1[[#This Row],[CancellationDate]],TODAY())</f>
        <v>44883</v>
      </c>
      <c r="Z281" s="46">
        <f ca="1">IF(AND(Table1[[#This Row],[SubscriptionStart]] &lt;= TODAY(), Table1[[#This Row],[EffectiveEndDate]] &gt;= TODAY()),1,0)</f>
        <v>0</v>
      </c>
      <c r="AA281" s="46">
        <f ca="1">IF(AND(Table1[[#This Row],[SubscriptionStart]]&lt;=Settings!$A$2,Table1[[#This Row],[EffectiveEndDate]]&gt;=Settings!$A$2),1,0)</f>
        <v>0</v>
      </c>
      <c r="AB281" s="46">
        <f ca="1">IF(AND(Table1[[#This Row],[SubscriptionStart]]&lt;=Settings!$B$2,Table1[[#This Row],[EffectiveEndDate]]&gt;=Settings!$B$2),1,0)</f>
        <v>0</v>
      </c>
      <c r="AC281" s="46">
        <f ca="1">IF(AND(Table1[[#This Row],[SubscriptionStart]]&lt;=Settings!$C$2,Table1[[#This Row],[EffectiveEndDate]]&gt;=Settings!$C$2),1,0)</f>
        <v>0</v>
      </c>
      <c r="AD281" s="46">
        <f ca="1">IF(AND(Table1[[#This Row],[SubscriptionStart]]&lt;=Settings!$D$2,Table1[[#This Row],[EffectiveEndDate]]&gt;=Settings!$D$2),1,0)</f>
        <v>0</v>
      </c>
      <c r="AE281" s="46">
        <f ca="1">IF(AND(Table1[[#This Row],[SubscriptionStart]]&lt;=Settings!$E$2,Table1[[#This Row],[EffectiveEndDate]]&gt;=Settings!$E$2),1,0)</f>
        <v>0</v>
      </c>
      <c r="AF281"/>
      <c r="AG281"/>
      <c r="AH281"/>
      <c r="AI281"/>
      <c r="AJ281"/>
      <c r="AK281"/>
    </row>
    <row r="282" spans="1:37">
      <c r="A282" s="3" t="s">
        <v>195</v>
      </c>
      <c r="B282" s="3">
        <v>21</v>
      </c>
      <c r="C282" s="3" t="s">
        <v>23</v>
      </c>
      <c r="D282" s="5">
        <v>44855</v>
      </c>
      <c r="E282" s="5">
        <v>45215</v>
      </c>
      <c r="F282" s="3">
        <f ca="1">TODAY() - Table1[[#This Row],[SubscriptionStart]]</f>
        <v>1126</v>
      </c>
      <c r="G282" s="4">
        <v>12</v>
      </c>
      <c r="H282" s="3" t="s">
        <v>24</v>
      </c>
      <c r="I282" s="3" t="s">
        <v>25</v>
      </c>
      <c r="J282" s="7" cm="1">
        <f t="array" ref="J282">_xlfn.IFS(Table1[[#This Row],[Tier]]="Basic",10,Table1[[#This Row],[Tier]]="Standard",18,Table1[[#This Row],[Tier]]="Premium",25)</f>
        <v>25</v>
      </c>
      <c r="K282" s="7" cm="1">
        <f t="array" ref="K28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282" s="7" cm="1">
        <f t="array" ref="L28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282" s="3" t="str" cm="1">
        <f t="array" ref="M282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282" s="3" t="s">
        <v>26</v>
      </c>
      <c r="O282" s="3" t="s">
        <v>32</v>
      </c>
      <c r="P282" s="3" t="s">
        <v>47</v>
      </c>
      <c r="Q282" s="3" t="str" cm="1">
        <f t="array" ref="Q282">_xlfn.IFS(Table1[[#This Row],[TotalRevenue]]&lt;100,"Low",Table1[[#This Row],[TotalRevenue]]&lt;300,"Medium",Table1[[#This Row],[TotalRevenue]]&lt;600,"High",TRUE,"Very High")</f>
        <v>Medium</v>
      </c>
      <c r="R282" s="3" t="str" cm="1">
        <f t="array" ref="R282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282" s="3" t="str">
        <f>IF(Table1[[#This Row],[NextBillingDate]]="","Cancelled",IF(Table1[[#This Row],[CancellationDate]]&lt;&gt;"","Cancelled","Active"))</f>
        <v>Cancelled</v>
      </c>
      <c r="T282" s="7" cm="1">
        <f t="array" ref="T28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282" s="5">
        <v>45215</v>
      </c>
      <c r="W282" s="5">
        <v>45215</v>
      </c>
      <c r="X282" s="3">
        <v>0</v>
      </c>
      <c r="Y282" s="5">
        <f ca="1">IF(Table1[[#This Row],[ChurnStatus]]="Cancelled",Table1[[#This Row],[CancellationDate]],TODAY())</f>
        <v>45215</v>
      </c>
      <c r="Z282" s="46">
        <f ca="1">IF(AND(Table1[[#This Row],[SubscriptionStart]] &lt;= TODAY(), Table1[[#This Row],[EffectiveEndDate]] &gt;= TODAY()),1,0)</f>
        <v>0</v>
      </c>
      <c r="AA282" s="46">
        <f ca="1">IF(AND(Table1[[#This Row],[SubscriptionStart]]&lt;=Settings!$A$2,Table1[[#This Row],[EffectiveEndDate]]&gt;=Settings!$A$2),1,0)</f>
        <v>0</v>
      </c>
      <c r="AB282" s="46">
        <f ca="1">IF(AND(Table1[[#This Row],[SubscriptionStart]]&lt;=Settings!$B$2,Table1[[#This Row],[EffectiveEndDate]]&gt;=Settings!$B$2),1,0)</f>
        <v>0</v>
      </c>
      <c r="AC282" s="46">
        <f ca="1">IF(AND(Table1[[#This Row],[SubscriptionStart]]&lt;=Settings!$C$2,Table1[[#This Row],[EffectiveEndDate]]&gt;=Settings!$C$2),1,0)</f>
        <v>1</v>
      </c>
      <c r="AD282" s="46">
        <f ca="1">IF(AND(Table1[[#This Row],[SubscriptionStart]]&lt;=Settings!$D$2,Table1[[#This Row],[EffectiveEndDate]]&gt;=Settings!$D$2),1,0)</f>
        <v>1</v>
      </c>
      <c r="AE282" s="46">
        <f ca="1">IF(AND(Table1[[#This Row],[SubscriptionStart]]&lt;=Settings!$E$2,Table1[[#This Row],[EffectiveEndDate]]&gt;=Settings!$E$2),1,0)</f>
        <v>0</v>
      </c>
      <c r="AF282"/>
      <c r="AG282"/>
      <c r="AH282"/>
      <c r="AI282"/>
      <c r="AJ282"/>
      <c r="AK282"/>
    </row>
    <row r="283" spans="1:37">
      <c r="A283" s="3" t="s">
        <v>599</v>
      </c>
      <c r="B283" s="3">
        <v>57</v>
      </c>
      <c r="C283" s="3" t="s">
        <v>23</v>
      </c>
      <c r="D283" s="5">
        <v>44855</v>
      </c>
      <c r="F283" s="3">
        <f ca="1">TODAY() - Table1[[#This Row],[SubscriptionStart]]</f>
        <v>1126</v>
      </c>
      <c r="G283" s="4">
        <v>48</v>
      </c>
      <c r="H283" s="3" t="s">
        <v>24</v>
      </c>
      <c r="I283" s="3" t="s">
        <v>30</v>
      </c>
      <c r="J283" s="7" cm="1">
        <f t="array" ref="J283">_xlfn.IFS(Table1[[#This Row],[Tier]]="Basic",10,Table1[[#This Row],[Tier]]="Standard",18,Table1[[#This Row],[Tier]]="Premium",25)</f>
        <v>10</v>
      </c>
      <c r="K283" s="7" cm="1">
        <f t="array" ref="K28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283" s="7" cm="1">
        <f t="array" ref="L28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312</v>
      </c>
      <c r="M283" s="3" t="str" cm="1">
        <f t="array" ref="M28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83" s="3" t="s">
        <v>34</v>
      </c>
      <c r="O283" s="3" t="s">
        <v>43</v>
      </c>
      <c r="Q283" s="3" t="str" cm="1">
        <f t="array" ref="Q283">_xlfn.IFS(Table1[[#This Row],[TotalRevenue]]&lt;100,"Low",Table1[[#This Row],[TotalRevenue]]&lt;300,"Medium",Table1[[#This Row],[TotalRevenue]]&lt;600,"High",TRUE,"Very High")</f>
        <v>High</v>
      </c>
      <c r="R283" s="3" t="str" cm="1">
        <f t="array" ref="R28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83" s="3" t="str">
        <f>IF(Table1[[#This Row],[NextBillingDate]]="","Cancelled",IF(Table1[[#This Row],[CancellationDate]]&lt;&gt;"","Cancelled","Active"))</f>
        <v>Active</v>
      </c>
      <c r="T283" s="7" cm="1">
        <f t="array" ref="T28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392</v>
      </c>
      <c r="V283" s="5">
        <v>46295</v>
      </c>
      <c r="W283" s="5">
        <v>46295</v>
      </c>
      <c r="X283" s="3">
        <v>3</v>
      </c>
      <c r="Y283" s="5">
        <f ca="1">IF(Table1[[#This Row],[ChurnStatus]]="Cancelled",Table1[[#This Row],[CancellationDate]],TODAY())</f>
        <v>45981</v>
      </c>
      <c r="Z283" s="46">
        <f ca="1">IF(AND(Table1[[#This Row],[SubscriptionStart]] &lt;= TODAY(), Table1[[#This Row],[EffectiveEndDate]] &gt;= TODAY()),1,0)</f>
        <v>1</v>
      </c>
      <c r="AA283" s="46">
        <f ca="1">IF(AND(Table1[[#This Row],[SubscriptionStart]]&lt;=Settings!$A$2,Table1[[#This Row],[EffectiveEndDate]]&gt;=Settings!$A$2),1,0)</f>
        <v>0</v>
      </c>
      <c r="AB283" s="46">
        <f ca="1">IF(AND(Table1[[#This Row],[SubscriptionStart]]&lt;=Settings!$B$2,Table1[[#This Row],[EffectiveEndDate]]&gt;=Settings!$B$2),1,0)</f>
        <v>0</v>
      </c>
      <c r="AC283" s="46">
        <f ca="1">IF(AND(Table1[[#This Row],[SubscriptionStart]]&lt;=Settings!$C$2,Table1[[#This Row],[EffectiveEndDate]]&gt;=Settings!$C$2),1,0)</f>
        <v>1</v>
      </c>
      <c r="AD283" s="46">
        <f ca="1">IF(AND(Table1[[#This Row],[SubscriptionStart]]&lt;=Settings!$D$2,Table1[[#This Row],[EffectiveEndDate]]&gt;=Settings!$D$2),1,0)</f>
        <v>1</v>
      </c>
      <c r="AE283" s="46">
        <f ca="1">IF(AND(Table1[[#This Row],[SubscriptionStart]]&lt;=Settings!$E$2,Table1[[#This Row],[EffectiveEndDate]]&gt;=Settings!$E$2),1,0)</f>
        <v>1</v>
      </c>
      <c r="AF283"/>
      <c r="AG283"/>
      <c r="AH283"/>
      <c r="AI283"/>
      <c r="AJ283"/>
      <c r="AK283"/>
    </row>
    <row r="284" spans="1:37">
      <c r="A284" s="3" t="s">
        <v>780</v>
      </c>
      <c r="B284" s="3">
        <v>60</v>
      </c>
      <c r="C284" s="3" t="s">
        <v>37</v>
      </c>
      <c r="D284" s="5">
        <v>44856</v>
      </c>
      <c r="E284" s="5">
        <v>44886</v>
      </c>
      <c r="F284" s="3">
        <f ca="1">TODAY() - Table1[[#This Row],[SubscriptionStart]]</f>
        <v>1125</v>
      </c>
      <c r="G284" s="4">
        <v>1</v>
      </c>
      <c r="H284" s="3" t="s">
        <v>29</v>
      </c>
      <c r="I284" s="3" t="s">
        <v>39</v>
      </c>
      <c r="J284" s="7" cm="1">
        <f t="array" ref="J284">_xlfn.IFS(Table1[[#This Row],[Tier]]="Basic",10,Table1[[#This Row],[Tier]]="Standard",18,Table1[[#This Row],[Tier]]="Premium",25)</f>
        <v>18</v>
      </c>
      <c r="K284" s="7" cm="1">
        <f t="array" ref="K28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284" s="7" cm="1">
        <f t="array" ref="L28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284" s="3" t="str" cm="1">
        <f t="array" ref="M28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84" s="3" t="s">
        <v>52</v>
      </c>
      <c r="O284" s="3" t="s">
        <v>32</v>
      </c>
      <c r="P284" s="3" t="s">
        <v>35</v>
      </c>
      <c r="Q284" s="3" t="str" cm="1">
        <f t="array" ref="Q284">_xlfn.IFS(Table1[[#This Row],[TotalRevenue]]&lt;100,"Low",Table1[[#This Row],[TotalRevenue]]&lt;300,"Medium",Table1[[#This Row],[TotalRevenue]]&lt;600,"High",TRUE,"Very High")</f>
        <v>Low</v>
      </c>
      <c r="R284" s="3" t="str" cm="1">
        <f t="array" ref="R28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84" s="3" t="str">
        <f>IF(Table1[[#This Row],[NextBillingDate]]="","Cancelled",IF(Table1[[#This Row],[CancellationDate]]&lt;&gt;"","Cancelled","Active"))</f>
        <v>Cancelled</v>
      </c>
      <c r="T284" s="7" cm="1">
        <f t="array" ref="T28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284" s="5">
        <v>44886</v>
      </c>
      <c r="W284" s="5">
        <v>44886</v>
      </c>
      <c r="X284" s="3">
        <v>0</v>
      </c>
      <c r="Y284" s="5">
        <f ca="1">IF(Table1[[#This Row],[ChurnStatus]]="Cancelled",Table1[[#This Row],[CancellationDate]],TODAY())</f>
        <v>44886</v>
      </c>
      <c r="Z284" s="46">
        <f ca="1">IF(AND(Table1[[#This Row],[SubscriptionStart]] &lt;= TODAY(), Table1[[#This Row],[EffectiveEndDate]] &gt;= TODAY()),1,0)</f>
        <v>0</v>
      </c>
      <c r="AA284" s="46">
        <f ca="1">IF(AND(Table1[[#This Row],[SubscriptionStart]]&lt;=Settings!$A$2,Table1[[#This Row],[EffectiveEndDate]]&gt;=Settings!$A$2),1,0)</f>
        <v>0</v>
      </c>
      <c r="AB284" s="46">
        <f ca="1">IF(AND(Table1[[#This Row],[SubscriptionStart]]&lt;=Settings!$B$2,Table1[[#This Row],[EffectiveEndDate]]&gt;=Settings!$B$2),1,0)</f>
        <v>0</v>
      </c>
      <c r="AC284" s="46">
        <f ca="1">IF(AND(Table1[[#This Row],[SubscriptionStart]]&lt;=Settings!$C$2,Table1[[#This Row],[EffectiveEndDate]]&gt;=Settings!$C$2),1,0)</f>
        <v>0</v>
      </c>
      <c r="AD284" s="46">
        <f ca="1">IF(AND(Table1[[#This Row],[SubscriptionStart]]&lt;=Settings!$D$2,Table1[[#This Row],[EffectiveEndDate]]&gt;=Settings!$D$2),1,0)</f>
        <v>0</v>
      </c>
      <c r="AE284" s="46">
        <f ca="1">IF(AND(Table1[[#This Row],[SubscriptionStart]]&lt;=Settings!$E$2,Table1[[#This Row],[EffectiveEndDate]]&gt;=Settings!$E$2),1,0)</f>
        <v>0</v>
      </c>
      <c r="AF284"/>
      <c r="AG284"/>
      <c r="AH284"/>
      <c r="AI284"/>
      <c r="AJ284"/>
      <c r="AK284"/>
    </row>
    <row r="285" spans="1:37">
      <c r="A285" s="3" t="s">
        <v>112</v>
      </c>
      <c r="B285" s="3">
        <v>41</v>
      </c>
      <c r="C285" s="3" t="s">
        <v>23</v>
      </c>
      <c r="D285" s="5">
        <v>44856</v>
      </c>
      <c r="E285" s="5">
        <v>45216</v>
      </c>
      <c r="F285" s="3">
        <f ca="1">TODAY() - Table1[[#This Row],[SubscriptionStart]]</f>
        <v>1125</v>
      </c>
      <c r="G285" s="4">
        <v>12</v>
      </c>
      <c r="H285" s="3" t="s">
        <v>24</v>
      </c>
      <c r="I285" s="3" t="s">
        <v>25</v>
      </c>
      <c r="J285" s="7" cm="1">
        <f t="array" ref="J285">_xlfn.IFS(Table1[[#This Row],[Tier]]="Basic",10,Table1[[#This Row],[Tier]]="Standard",18,Table1[[#This Row],[Tier]]="Premium",25)</f>
        <v>25</v>
      </c>
      <c r="K285" s="7" cm="1">
        <f t="array" ref="K28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285" s="7" cm="1">
        <f t="array" ref="L28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285" s="3" t="str" cm="1">
        <f t="array" ref="M28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85" s="3" t="s">
        <v>34</v>
      </c>
      <c r="O285" s="3" t="s">
        <v>27</v>
      </c>
      <c r="P285" s="3" t="s">
        <v>44</v>
      </c>
      <c r="Q285" s="3" t="str" cm="1">
        <f t="array" ref="Q285">_xlfn.IFS(Table1[[#This Row],[TotalRevenue]]&lt;100,"Low",Table1[[#This Row],[TotalRevenue]]&lt;300,"Medium",Table1[[#This Row],[TotalRevenue]]&lt;600,"High",TRUE,"Very High")</f>
        <v>Medium</v>
      </c>
      <c r="R285" s="3" t="str" cm="1">
        <f t="array" ref="R28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85" s="3" t="str">
        <f>IF(Table1[[#This Row],[NextBillingDate]]="","Cancelled",IF(Table1[[#This Row],[CancellationDate]]&lt;&gt;"","Cancelled","Active"))</f>
        <v>Cancelled</v>
      </c>
      <c r="T285" s="7" cm="1">
        <f t="array" ref="T28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285" s="5">
        <v>45216</v>
      </c>
      <c r="W285" s="5">
        <v>45216</v>
      </c>
      <c r="X285" s="3">
        <v>0</v>
      </c>
      <c r="Y285" s="5">
        <f ca="1">IF(Table1[[#This Row],[ChurnStatus]]="Cancelled",Table1[[#This Row],[CancellationDate]],TODAY())</f>
        <v>45216</v>
      </c>
      <c r="Z285" s="46">
        <f ca="1">IF(AND(Table1[[#This Row],[SubscriptionStart]] &lt;= TODAY(), Table1[[#This Row],[EffectiveEndDate]] &gt;= TODAY()),1,0)</f>
        <v>0</v>
      </c>
      <c r="AA285" s="46">
        <f ca="1">IF(AND(Table1[[#This Row],[SubscriptionStart]]&lt;=Settings!$A$2,Table1[[#This Row],[EffectiveEndDate]]&gt;=Settings!$A$2),1,0)</f>
        <v>0</v>
      </c>
      <c r="AB285" s="46">
        <f ca="1">IF(AND(Table1[[#This Row],[SubscriptionStart]]&lt;=Settings!$B$2,Table1[[#This Row],[EffectiveEndDate]]&gt;=Settings!$B$2),1,0)</f>
        <v>0</v>
      </c>
      <c r="AC285" s="46">
        <f ca="1">IF(AND(Table1[[#This Row],[SubscriptionStart]]&lt;=Settings!$C$2,Table1[[#This Row],[EffectiveEndDate]]&gt;=Settings!$C$2),1,0)</f>
        <v>1</v>
      </c>
      <c r="AD285" s="46">
        <f ca="1">IF(AND(Table1[[#This Row],[SubscriptionStart]]&lt;=Settings!$D$2,Table1[[#This Row],[EffectiveEndDate]]&gt;=Settings!$D$2),1,0)</f>
        <v>1</v>
      </c>
      <c r="AE285" s="46">
        <f ca="1">IF(AND(Table1[[#This Row],[SubscriptionStart]]&lt;=Settings!$E$2,Table1[[#This Row],[EffectiveEndDate]]&gt;=Settings!$E$2),1,0)</f>
        <v>0</v>
      </c>
      <c r="AF285"/>
      <c r="AG285"/>
      <c r="AH285"/>
      <c r="AI285"/>
      <c r="AJ285"/>
      <c r="AK285"/>
    </row>
    <row r="286" spans="1:37">
      <c r="A286" s="3" t="s">
        <v>395</v>
      </c>
      <c r="B286" s="3">
        <v>69</v>
      </c>
      <c r="C286" s="3" t="s">
        <v>23</v>
      </c>
      <c r="D286" s="5">
        <v>44857</v>
      </c>
      <c r="E286" s="5">
        <v>44887</v>
      </c>
      <c r="F286" s="3">
        <f ca="1">TODAY() - Table1[[#This Row],[SubscriptionStart]]</f>
        <v>1124</v>
      </c>
      <c r="G286" s="4">
        <v>1</v>
      </c>
      <c r="H286" s="3" t="s">
        <v>29</v>
      </c>
      <c r="I286" s="3" t="s">
        <v>25</v>
      </c>
      <c r="J286" s="7" cm="1">
        <f t="array" ref="J286">_xlfn.IFS(Table1[[#This Row],[Tier]]="Basic",10,Table1[[#This Row],[Tier]]="Standard",18,Table1[[#This Row],[Tier]]="Premium",25)</f>
        <v>25</v>
      </c>
      <c r="K286" s="7" cm="1">
        <f t="array" ref="K28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286" s="7" cm="1">
        <f t="array" ref="L28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286" s="3" t="str" cm="1">
        <f t="array" ref="M286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86" s="3" t="s">
        <v>31</v>
      </c>
      <c r="O286" s="3" t="s">
        <v>43</v>
      </c>
      <c r="P286" s="3" t="s">
        <v>41</v>
      </c>
      <c r="Q286" s="3" t="str" cm="1">
        <f t="array" ref="Q286">_xlfn.IFS(Table1[[#This Row],[TotalRevenue]]&lt;100,"Low",Table1[[#This Row],[TotalRevenue]]&lt;300,"Medium",Table1[[#This Row],[TotalRevenue]]&lt;600,"High",TRUE,"Very High")</f>
        <v>Low</v>
      </c>
      <c r="R286" s="3" t="str" cm="1">
        <f t="array" ref="R286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86" s="3" t="str">
        <f>IF(Table1[[#This Row],[NextBillingDate]]="","Cancelled",IF(Table1[[#This Row],[CancellationDate]]&lt;&gt;"","Cancelled","Active"))</f>
        <v>Cancelled</v>
      </c>
      <c r="T286" s="7" cm="1">
        <f t="array" ref="T28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286" s="5">
        <v>44887</v>
      </c>
      <c r="W286" s="5">
        <v>44887</v>
      </c>
      <c r="X286" s="3">
        <v>0</v>
      </c>
      <c r="Y286" s="5">
        <f ca="1">IF(Table1[[#This Row],[ChurnStatus]]="Cancelled",Table1[[#This Row],[CancellationDate]],TODAY())</f>
        <v>44887</v>
      </c>
      <c r="Z286" s="46">
        <f ca="1">IF(AND(Table1[[#This Row],[SubscriptionStart]] &lt;= TODAY(), Table1[[#This Row],[EffectiveEndDate]] &gt;= TODAY()),1,0)</f>
        <v>0</v>
      </c>
      <c r="AA286" s="46">
        <f ca="1">IF(AND(Table1[[#This Row],[SubscriptionStart]]&lt;=Settings!$A$2,Table1[[#This Row],[EffectiveEndDate]]&gt;=Settings!$A$2),1,0)</f>
        <v>0</v>
      </c>
      <c r="AB286" s="46">
        <f ca="1">IF(AND(Table1[[#This Row],[SubscriptionStart]]&lt;=Settings!$B$2,Table1[[#This Row],[EffectiveEndDate]]&gt;=Settings!$B$2),1,0)</f>
        <v>0</v>
      </c>
      <c r="AC286" s="46">
        <f ca="1">IF(AND(Table1[[#This Row],[SubscriptionStart]]&lt;=Settings!$C$2,Table1[[#This Row],[EffectiveEndDate]]&gt;=Settings!$C$2),1,0)</f>
        <v>0</v>
      </c>
      <c r="AD286" s="46">
        <f ca="1">IF(AND(Table1[[#This Row],[SubscriptionStart]]&lt;=Settings!$D$2,Table1[[#This Row],[EffectiveEndDate]]&gt;=Settings!$D$2),1,0)</f>
        <v>0</v>
      </c>
      <c r="AE286" s="46">
        <f ca="1">IF(AND(Table1[[#This Row],[SubscriptionStart]]&lt;=Settings!$E$2,Table1[[#This Row],[EffectiveEndDate]]&gt;=Settings!$E$2),1,0)</f>
        <v>0</v>
      </c>
      <c r="AF286"/>
      <c r="AG286"/>
      <c r="AH286"/>
      <c r="AI286"/>
      <c r="AJ286"/>
      <c r="AK286"/>
    </row>
    <row r="287" spans="1:37">
      <c r="A287" s="3" t="s">
        <v>155</v>
      </c>
      <c r="B287" s="3">
        <v>59</v>
      </c>
      <c r="C287" s="3" t="s">
        <v>37</v>
      </c>
      <c r="D287" s="5">
        <v>44857</v>
      </c>
      <c r="E287" s="5">
        <v>45037</v>
      </c>
      <c r="F287" s="3">
        <f ca="1">TODAY() - Table1[[#This Row],[SubscriptionStart]]</f>
        <v>1124</v>
      </c>
      <c r="G287" s="4">
        <v>6</v>
      </c>
      <c r="H287" s="3" t="s">
        <v>38</v>
      </c>
      <c r="I287" s="3" t="s">
        <v>30</v>
      </c>
      <c r="J287" s="7" cm="1">
        <f t="array" ref="J287">_xlfn.IFS(Table1[[#This Row],[Tier]]="Basic",10,Table1[[#This Row],[Tier]]="Standard",18,Table1[[#This Row],[Tier]]="Premium",25)</f>
        <v>10</v>
      </c>
      <c r="K287" s="7" cm="1">
        <f t="array" ref="K28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287" s="7" cm="1">
        <f t="array" ref="L28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287" s="3" t="str" cm="1">
        <f t="array" ref="M28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87" s="3" t="s">
        <v>34</v>
      </c>
      <c r="O287" s="3" t="s">
        <v>40</v>
      </c>
      <c r="P287" s="3" t="s">
        <v>44</v>
      </c>
      <c r="Q287" s="3" t="str" cm="1">
        <f t="array" ref="Q287">_xlfn.IFS(Table1[[#This Row],[TotalRevenue]]&lt;100,"Low",Table1[[#This Row],[TotalRevenue]]&lt;300,"Medium",Table1[[#This Row],[TotalRevenue]]&lt;600,"High",TRUE,"Very High")</f>
        <v>Low</v>
      </c>
      <c r="R287" s="3" t="str" cm="1">
        <f t="array" ref="R28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87" s="3" t="str">
        <f>IF(Table1[[#This Row],[NextBillingDate]]="","Cancelled",IF(Table1[[#This Row],[CancellationDate]]&lt;&gt;"","Cancelled","Active"))</f>
        <v>Cancelled</v>
      </c>
      <c r="T287" s="7" cm="1">
        <f t="array" ref="T28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287" s="5">
        <v>45037</v>
      </c>
      <c r="W287" s="5">
        <v>45037</v>
      </c>
      <c r="X287" s="3">
        <v>0</v>
      </c>
      <c r="Y287" s="5">
        <f ca="1">IF(Table1[[#This Row],[ChurnStatus]]="Cancelled",Table1[[#This Row],[CancellationDate]],TODAY())</f>
        <v>45037</v>
      </c>
      <c r="Z287" s="46">
        <f ca="1">IF(AND(Table1[[#This Row],[SubscriptionStart]] &lt;= TODAY(), Table1[[#This Row],[EffectiveEndDate]] &gt;= TODAY()),1,0)</f>
        <v>0</v>
      </c>
      <c r="AA287" s="46">
        <f ca="1">IF(AND(Table1[[#This Row],[SubscriptionStart]]&lt;=Settings!$A$2,Table1[[#This Row],[EffectiveEndDate]]&gt;=Settings!$A$2),1,0)</f>
        <v>0</v>
      </c>
      <c r="AB287" s="46">
        <f ca="1">IF(AND(Table1[[#This Row],[SubscriptionStart]]&lt;=Settings!$B$2,Table1[[#This Row],[EffectiveEndDate]]&gt;=Settings!$B$2),1,0)</f>
        <v>0</v>
      </c>
      <c r="AC287" s="46">
        <f ca="1">IF(AND(Table1[[#This Row],[SubscriptionStart]]&lt;=Settings!$C$2,Table1[[#This Row],[EffectiveEndDate]]&gt;=Settings!$C$2),1,0)</f>
        <v>1</v>
      </c>
      <c r="AD287" s="46">
        <f ca="1">IF(AND(Table1[[#This Row],[SubscriptionStart]]&lt;=Settings!$D$2,Table1[[#This Row],[EffectiveEndDate]]&gt;=Settings!$D$2),1,0)</f>
        <v>0</v>
      </c>
      <c r="AE287" s="46">
        <f ca="1">IF(AND(Table1[[#This Row],[SubscriptionStart]]&lt;=Settings!$E$2,Table1[[#This Row],[EffectiveEndDate]]&gt;=Settings!$E$2),1,0)</f>
        <v>0</v>
      </c>
      <c r="AF287"/>
      <c r="AG287"/>
      <c r="AH287"/>
      <c r="AI287"/>
      <c r="AJ287"/>
      <c r="AK287"/>
    </row>
    <row r="288" spans="1:37">
      <c r="A288" s="3" t="s">
        <v>794</v>
      </c>
      <c r="B288" s="3">
        <v>35</v>
      </c>
      <c r="C288" s="3" t="s">
        <v>23</v>
      </c>
      <c r="D288" s="5">
        <v>44857</v>
      </c>
      <c r="F288" s="3">
        <f ca="1">TODAY() - Table1[[#This Row],[SubscriptionStart]]</f>
        <v>1124</v>
      </c>
      <c r="G288" s="4">
        <v>42</v>
      </c>
      <c r="H288" s="3" t="s">
        <v>38</v>
      </c>
      <c r="I288" s="3" t="s">
        <v>30</v>
      </c>
      <c r="J288" s="7" cm="1">
        <f t="array" ref="J288">_xlfn.IFS(Table1[[#This Row],[Tier]]="Basic",10,Table1[[#This Row],[Tier]]="Standard",18,Table1[[#This Row],[Tier]]="Premium",25)</f>
        <v>10</v>
      </c>
      <c r="K288" s="7" cm="1">
        <f t="array" ref="K28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288" s="7" cm="1">
        <f t="array" ref="L28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306</v>
      </c>
      <c r="M288" s="3" t="str" cm="1">
        <f t="array" ref="M28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88" s="3" t="s">
        <v>26</v>
      </c>
      <c r="O288" s="3" t="s">
        <v>32</v>
      </c>
      <c r="Q288" s="3" t="str" cm="1">
        <f t="array" ref="Q288">_xlfn.IFS(Table1[[#This Row],[TotalRevenue]]&lt;100,"Low",Table1[[#This Row],[TotalRevenue]]&lt;300,"Medium",Table1[[#This Row],[TotalRevenue]]&lt;600,"High",TRUE,"Very High")</f>
        <v>High</v>
      </c>
      <c r="R288" s="3" t="str" cm="1">
        <f t="array" ref="R28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88" s="3" t="str">
        <f>IF(Table1[[#This Row],[NextBillingDate]]="","Cancelled",IF(Table1[[#This Row],[CancellationDate]]&lt;&gt;"","Cancelled","Active"))</f>
        <v>Active</v>
      </c>
      <c r="T288" s="7" cm="1">
        <f t="array" ref="T28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351</v>
      </c>
      <c r="V288" s="5">
        <v>46117</v>
      </c>
      <c r="W288" s="5">
        <v>46117</v>
      </c>
      <c r="X288" s="3">
        <v>6</v>
      </c>
      <c r="Y288" s="5">
        <f ca="1">IF(Table1[[#This Row],[ChurnStatus]]="Cancelled",Table1[[#This Row],[CancellationDate]],TODAY())</f>
        <v>45981</v>
      </c>
      <c r="Z288" s="46">
        <f ca="1">IF(AND(Table1[[#This Row],[SubscriptionStart]] &lt;= TODAY(), Table1[[#This Row],[EffectiveEndDate]] &gt;= TODAY()),1,0)</f>
        <v>1</v>
      </c>
      <c r="AA288" s="46">
        <f ca="1">IF(AND(Table1[[#This Row],[SubscriptionStart]]&lt;=Settings!$A$2,Table1[[#This Row],[EffectiveEndDate]]&gt;=Settings!$A$2),1,0)</f>
        <v>0</v>
      </c>
      <c r="AB288" s="46">
        <f ca="1">IF(AND(Table1[[#This Row],[SubscriptionStart]]&lt;=Settings!$B$2,Table1[[#This Row],[EffectiveEndDate]]&gt;=Settings!$B$2),1,0)</f>
        <v>0</v>
      </c>
      <c r="AC288" s="46">
        <f ca="1">IF(AND(Table1[[#This Row],[SubscriptionStart]]&lt;=Settings!$C$2,Table1[[#This Row],[EffectiveEndDate]]&gt;=Settings!$C$2),1,0)</f>
        <v>1</v>
      </c>
      <c r="AD288" s="46">
        <f ca="1">IF(AND(Table1[[#This Row],[SubscriptionStart]]&lt;=Settings!$D$2,Table1[[#This Row],[EffectiveEndDate]]&gt;=Settings!$D$2),1,0)</f>
        <v>1</v>
      </c>
      <c r="AE288" s="46">
        <f ca="1">IF(AND(Table1[[#This Row],[SubscriptionStart]]&lt;=Settings!$E$2,Table1[[#This Row],[EffectiveEndDate]]&gt;=Settings!$E$2),1,0)</f>
        <v>1</v>
      </c>
      <c r="AF288"/>
      <c r="AG288"/>
      <c r="AH288"/>
      <c r="AI288"/>
      <c r="AJ288"/>
      <c r="AK288"/>
    </row>
    <row r="289" spans="1:37">
      <c r="A289" s="3" t="s">
        <v>421</v>
      </c>
      <c r="B289" s="3">
        <v>44</v>
      </c>
      <c r="C289" s="3" t="s">
        <v>23</v>
      </c>
      <c r="D289" s="5">
        <v>44858</v>
      </c>
      <c r="E289" s="5">
        <v>45218</v>
      </c>
      <c r="F289" s="3">
        <f ca="1">TODAY() - Table1[[#This Row],[SubscriptionStart]]</f>
        <v>1123</v>
      </c>
      <c r="G289" s="4">
        <v>12</v>
      </c>
      <c r="H289" s="3" t="s">
        <v>24</v>
      </c>
      <c r="I289" s="3" t="s">
        <v>30</v>
      </c>
      <c r="J289" s="7" cm="1">
        <f t="array" ref="J289">_xlfn.IFS(Table1[[#This Row],[Tier]]="Basic",10,Table1[[#This Row],[Tier]]="Standard",18,Table1[[#This Row],[Tier]]="Premium",25)</f>
        <v>10</v>
      </c>
      <c r="K289" s="7" cm="1">
        <f t="array" ref="K28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89" s="7" cm="1">
        <f t="array" ref="L28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89" s="3" t="str" cm="1">
        <f t="array" ref="M28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89" s="3" t="s">
        <v>52</v>
      </c>
      <c r="O289" s="3" t="s">
        <v>40</v>
      </c>
      <c r="P289" s="3" t="s">
        <v>41</v>
      </c>
      <c r="Q289" s="3" t="str" cm="1">
        <f t="array" ref="Q289">_xlfn.IFS(Table1[[#This Row],[TotalRevenue]]&lt;100,"Low",Table1[[#This Row],[TotalRevenue]]&lt;300,"Medium",Table1[[#This Row],[TotalRevenue]]&lt;600,"High",TRUE,"Very High")</f>
        <v>Low</v>
      </c>
      <c r="R289" s="3" t="str" cm="1">
        <f t="array" ref="R28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89" s="3" t="str">
        <f>IF(Table1[[#This Row],[NextBillingDate]]="","Cancelled",IF(Table1[[#This Row],[CancellationDate]]&lt;&gt;"","Cancelled","Active"))</f>
        <v>Cancelled</v>
      </c>
      <c r="T289" s="7" cm="1">
        <f t="array" ref="T28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89" s="5">
        <v>45218</v>
      </c>
      <c r="W289" s="5">
        <v>45218</v>
      </c>
      <c r="X289" s="3">
        <v>0</v>
      </c>
      <c r="Y289" s="5">
        <f ca="1">IF(Table1[[#This Row],[ChurnStatus]]="Cancelled",Table1[[#This Row],[CancellationDate]],TODAY())</f>
        <v>45218</v>
      </c>
      <c r="Z289" s="46">
        <f ca="1">IF(AND(Table1[[#This Row],[SubscriptionStart]] &lt;= TODAY(), Table1[[#This Row],[EffectiveEndDate]] &gt;= TODAY()),1,0)</f>
        <v>0</v>
      </c>
      <c r="AA289" s="46">
        <f ca="1">IF(AND(Table1[[#This Row],[SubscriptionStart]]&lt;=Settings!$A$2,Table1[[#This Row],[EffectiveEndDate]]&gt;=Settings!$A$2),1,0)</f>
        <v>0</v>
      </c>
      <c r="AB289" s="46">
        <f ca="1">IF(AND(Table1[[#This Row],[SubscriptionStart]]&lt;=Settings!$B$2,Table1[[#This Row],[EffectiveEndDate]]&gt;=Settings!$B$2),1,0)</f>
        <v>0</v>
      </c>
      <c r="AC289" s="46">
        <f ca="1">IF(AND(Table1[[#This Row],[SubscriptionStart]]&lt;=Settings!$C$2,Table1[[#This Row],[EffectiveEndDate]]&gt;=Settings!$C$2),1,0)</f>
        <v>1</v>
      </c>
      <c r="AD289" s="46">
        <f ca="1">IF(AND(Table1[[#This Row],[SubscriptionStart]]&lt;=Settings!$D$2,Table1[[#This Row],[EffectiveEndDate]]&gt;=Settings!$D$2),1,0)</f>
        <v>1</v>
      </c>
      <c r="AE289" s="46">
        <f ca="1">IF(AND(Table1[[#This Row],[SubscriptionStart]]&lt;=Settings!$E$2,Table1[[#This Row],[EffectiveEndDate]]&gt;=Settings!$E$2),1,0)</f>
        <v>0</v>
      </c>
      <c r="AF289"/>
      <c r="AG289"/>
      <c r="AH289"/>
      <c r="AI289"/>
      <c r="AJ289"/>
      <c r="AK289"/>
    </row>
    <row r="290" spans="1:37">
      <c r="A290" s="3" t="s">
        <v>248</v>
      </c>
      <c r="B290" s="3">
        <v>68</v>
      </c>
      <c r="C290" s="3" t="s">
        <v>37</v>
      </c>
      <c r="D290" s="5">
        <v>44859</v>
      </c>
      <c r="F290" s="3">
        <f ca="1">TODAY() - Table1[[#This Row],[SubscriptionStart]]</f>
        <v>1122</v>
      </c>
      <c r="G290" s="4">
        <v>38</v>
      </c>
      <c r="H290" s="3" t="s">
        <v>29</v>
      </c>
      <c r="I290" s="3" t="s">
        <v>25</v>
      </c>
      <c r="J290" s="7" cm="1">
        <f t="array" ref="J290">_xlfn.IFS(Table1[[#This Row],[Tier]]="Basic",10,Table1[[#This Row],[Tier]]="Standard",18,Table1[[#This Row],[Tier]]="Premium",25)</f>
        <v>25</v>
      </c>
      <c r="K290" s="7" cm="1">
        <f t="array" ref="K29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290" s="7" cm="1">
        <f t="array" ref="L29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897.5</v>
      </c>
      <c r="M290" s="3" t="str" cm="1">
        <f t="array" ref="M290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90" s="3" t="s">
        <v>34</v>
      </c>
      <c r="O290" s="3" t="s">
        <v>27</v>
      </c>
      <c r="Q290" s="3" t="str" cm="1">
        <f t="array" ref="Q290">_xlfn.IFS(Table1[[#This Row],[TotalRevenue]]&lt;100,"Low",Table1[[#This Row],[TotalRevenue]]&lt;300,"Medium",Table1[[#This Row],[TotalRevenue]]&lt;600,"High",TRUE,"Very High")</f>
        <v>Very High</v>
      </c>
      <c r="R290" s="3" t="str" cm="1">
        <f t="array" ref="R290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90" s="3" t="str">
        <f>IF(Table1[[#This Row],[NextBillingDate]]="","Cancelled",IF(Table1[[#This Row],[CancellationDate]]&lt;&gt;"","Cancelled","Active"))</f>
        <v>Active</v>
      </c>
      <c r="T290" s="7" cm="1">
        <f t="array" ref="T29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922.5</v>
      </c>
      <c r="V290" s="5">
        <v>45999</v>
      </c>
      <c r="W290" s="5">
        <v>45999</v>
      </c>
      <c r="X290" s="3">
        <v>37</v>
      </c>
      <c r="Y290" s="5">
        <f ca="1">IF(Table1[[#This Row],[ChurnStatus]]="Cancelled",Table1[[#This Row],[CancellationDate]],TODAY())</f>
        <v>45981</v>
      </c>
      <c r="Z290" s="46">
        <f ca="1">IF(AND(Table1[[#This Row],[SubscriptionStart]] &lt;= TODAY(), Table1[[#This Row],[EffectiveEndDate]] &gt;= TODAY()),1,0)</f>
        <v>1</v>
      </c>
      <c r="AA290" s="46">
        <f ca="1">IF(AND(Table1[[#This Row],[SubscriptionStart]]&lt;=Settings!$A$2,Table1[[#This Row],[EffectiveEndDate]]&gt;=Settings!$A$2),1,0)</f>
        <v>0</v>
      </c>
      <c r="AB290" s="46">
        <f ca="1">IF(AND(Table1[[#This Row],[SubscriptionStart]]&lt;=Settings!$B$2,Table1[[#This Row],[EffectiveEndDate]]&gt;=Settings!$B$2),1,0)</f>
        <v>0</v>
      </c>
      <c r="AC290" s="46">
        <f ca="1">IF(AND(Table1[[#This Row],[SubscriptionStart]]&lt;=Settings!$C$2,Table1[[#This Row],[EffectiveEndDate]]&gt;=Settings!$C$2),1,0)</f>
        <v>1</v>
      </c>
      <c r="AD290" s="46">
        <f ca="1">IF(AND(Table1[[#This Row],[SubscriptionStart]]&lt;=Settings!$D$2,Table1[[#This Row],[EffectiveEndDate]]&gt;=Settings!$D$2),1,0)</f>
        <v>1</v>
      </c>
      <c r="AE290" s="46">
        <f ca="1">IF(AND(Table1[[#This Row],[SubscriptionStart]]&lt;=Settings!$E$2,Table1[[#This Row],[EffectiveEndDate]]&gt;=Settings!$E$2),1,0)</f>
        <v>1</v>
      </c>
      <c r="AF290"/>
      <c r="AG290"/>
      <c r="AH290"/>
      <c r="AI290"/>
      <c r="AJ290"/>
      <c r="AK290"/>
    </row>
    <row r="291" spans="1:37">
      <c r="A291" s="3" t="s">
        <v>530</v>
      </c>
      <c r="B291" s="3">
        <v>51</v>
      </c>
      <c r="C291" s="3" t="s">
        <v>37</v>
      </c>
      <c r="D291" s="5">
        <v>44860</v>
      </c>
      <c r="F291" s="3">
        <f ca="1">TODAY() - Table1[[#This Row],[SubscriptionStart]]</f>
        <v>1121</v>
      </c>
      <c r="G291" s="4">
        <v>38</v>
      </c>
      <c r="H291" s="3" t="s">
        <v>29</v>
      </c>
      <c r="I291" s="3" t="s">
        <v>39</v>
      </c>
      <c r="J291" s="7" cm="1">
        <f t="array" ref="J291">_xlfn.IFS(Table1[[#This Row],[Tier]]="Basic",10,Table1[[#This Row],[Tier]]="Standard",18,Table1[[#This Row],[Tier]]="Premium",25)</f>
        <v>18</v>
      </c>
      <c r="K291" s="7" cm="1">
        <f t="array" ref="K29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291" s="7" cm="1">
        <f t="array" ref="L29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646.20000000000005</v>
      </c>
      <c r="M291" s="3" t="str" cm="1">
        <f t="array" ref="M291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91" s="3" t="s">
        <v>52</v>
      </c>
      <c r="O291" s="3" t="s">
        <v>43</v>
      </c>
      <c r="Q291" s="3" t="str" cm="1">
        <f t="array" ref="Q291">_xlfn.IFS(Table1[[#This Row],[TotalRevenue]]&lt;100,"Low",Table1[[#This Row],[TotalRevenue]]&lt;300,"Medium",Table1[[#This Row],[TotalRevenue]]&lt;600,"High",TRUE,"Very High")</f>
        <v>Very High</v>
      </c>
      <c r="R291" s="3" t="str" cm="1">
        <f t="array" ref="R29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91" s="3" t="str">
        <f>IF(Table1[[#This Row],[NextBillingDate]]="","Cancelled",IF(Table1[[#This Row],[CancellationDate]]&lt;&gt;"","Cancelled","Active"))</f>
        <v>Active</v>
      </c>
      <c r="T291" s="7" cm="1">
        <f t="array" ref="T29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664.2</v>
      </c>
      <c r="V291" s="5">
        <v>46000</v>
      </c>
      <c r="W291" s="5">
        <v>46000</v>
      </c>
      <c r="X291" s="3">
        <v>37</v>
      </c>
      <c r="Y291" s="5">
        <f ca="1">IF(Table1[[#This Row],[ChurnStatus]]="Cancelled",Table1[[#This Row],[CancellationDate]],TODAY())</f>
        <v>45981</v>
      </c>
      <c r="Z291" s="46">
        <f ca="1">IF(AND(Table1[[#This Row],[SubscriptionStart]] &lt;= TODAY(), Table1[[#This Row],[EffectiveEndDate]] &gt;= TODAY()),1,0)</f>
        <v>1</v>
      </c>
      <c r="AA291" s="46">
        <f ca="1">IF(AND(Table1[[#This Row],[SubscriptionStart]]&lt;=Settings!$A$2,Table1[[#This Row],[EffectiveEndDate]]&gt;=Settings!$A$2),1,0)</f>
        <v>0</v>
      </c>
      <c r="AB291" s="46">
        <f ca="1">IF(AND(Table1[[#This Row],[SubscriptionStart]]&lt;=Settings!$B$2,Table1[[#This Row],[EffectiveEndDate]]&gt;=Settings!$B$2),1,0)</f>
        <v>0</v>
      </c>
      <c r="AC291" s="46">
        <f ca="1">IF(AND(Table1[[#This Row],[SubscriptionStart]]&lt;=Settings!$C$2,Table1[[#This Row],[EffectiveEndDate]]&gt;=Settings!$C$2),1,0)</f>
        <v>1</v>
      </c>
      <c r="AD291" s="46">
        <f ca="1">IF(AND(Table1[[#This Row],[SubscriptionStart]]&lt;=Settings!$D$2,Table1[[#This Row],[EffectiveEndDate]]&gt;=Settings!$D$2),1,0)</f>
        <v>1</v>
      </c>
      <c r="AE291" s="46">
        <f ca="1">IF(AND(Table1[[#This Row],[SubscriptionStart]]&lt;=Settings!$E$2,Table1[[#This Row],[EffectiveEndDate]]&gt;=Settings!$E$2),1,0)</f>
        <v>1</v>
      </c>
      <c r="AF291"/>
      <c r="AG291"/>
      <c r="AH291"/>
      <c r="AI291"/>
      <c r="AJ291"/>
      <c r="AK291"/>
    </row>
    <row r="292" spans="1:37">
      <c r="A292" s="3" t="s">
        <v>622</v>
      </c>
      <c r="B292" s="3">
        <v>68</v>
      </c>
      <c r="C292" s="3" t="s">
        <v>23</v>
      </c>
      <c r="D292" s="5">
        <v>44861</v>
      </c>
      <c r="E292" s="5">
        <v>44891</v>
      </c>
      <c r="F292" s="3">
        <f ca="1">TODAY() - Table1[[#This Row],[SubscriptionStart]]</f>
        <v>1120</v>
      </c>
      <c r="G292" s="4">
        <v>1</v>
      </c>
      <c r="H292" s="3" t="s">
        <v>29</v>
      </c>
      <c r="I292" s="3" t="s">
        <v>25</v>
      </c>
      <c r="J292" s="7" cm="1">
        <f t="array" ref="J292">_xlfn.IFS(Table1[[#This Row],[Tier]]="Basic",10,Table1[[#This Row],[Tier]]="Standard",18,Table1[[#This Row],[Tier]]="Premium",25)</f>
        <v>25</v>
      </c>
      <c r="K292" s="7" cm="1">
        <f t="array" ref="K29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292" s="7" cm="1">
        <f t="array" ref="L29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292" s="3" t="str" cm="1">
        <f t="array" ref="M292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92" s="3" t="s">
        <v>34</v>
      </c>
      <c r="O292" s="3" t="s">
        <v>40</v>
      </c>
      <c r="P292" s="3" t="s">
        <v>35</v>
      </c>
      <c r="Q292" s="3" t="str" cm="1">
        <f t="array" ref="Q292">_xlfn.IFS(Table1[[#This Row],[TotalRevenue]]&lt;100,"Low",Table1[[#This Row],[TotalRevenue]]&lt;300,"Medium",Table1[[#This Row],[TotalRevenue]]&lt;600,"High",TRUE,"Very High")</f>
        <v>Low</v>
      </c>
      <c r="R292" s="3" t="str" cm="1">
        <f t="array" ref="R292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92" s="3" t="str">
        <f>IF(Table1[[#This Row],[NextBillingDate]]="","Cancelled",IF(Table1[[#This Row],[CancellationDate]]&lt;&gt;"","Cancelled","Active"))</f>
        <v>Cancelled</v>
      </c>
      <c r="T292" s="7" cm="1">
        <f t="array" ref="T29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292" s="5">
        <v>44891</v>
      </c>
      <c r="W292" s="5">
        <v>44891</v>
      </c>
      <c r="X292" s="3">
        <v>0</v>
      </c>
      <c r="Y292" s="5">
        <f ca="1">IF(Table1[[#This Row],[ChurnStatus]]="Cancelled",Table1[[#This Row],[CancellationDate]],TODAY())</f>
        <v>44891</v>
      </c>
      <c r="Z292" s="46">
        <f ca="1">IF(AND(Table1[[#This Row],[SubscriptionStart]] &lt;= TODAY(), Table1[[#This Row],[EffectiveEndDate]] &gt;= TODAY()),1,0)</f>
        <v>0</v>
      </c>
      <c r="AA292" s="46">
        <f ca="1">IF(AND(Table1[[#This Row],[SubscriptionStart]]&lt;=Settings!$A$2,Table1[[#This Row],[EffectiveEndDate]]&gt;=Settings!$A$2),1,0)</f>
        <v>0</v>
      </c>
      <c r="AB292" s="46">
        <f ca="1">IF(AND(Table1[[#This Row],[SubscriptionStart]]&lt;=Settings!$B$2,Table1[[#This Row],[EffectiveEndDate]]&gt;=Settings!$B$2),1,0)</f>
        <v>0</v>
      </c>
      <c r="AC292" s="46">
        <f ca="1">IF(AND(Table1[[#This Row],[SubscriptionStart]]&lt;=Settings!$C$2,Table1[[#This Row],[EffectiveEndDate]]&gt;=Settings!$C$2),1,0)</f>
        <v>0</v>
      </c>
      <c r="AD292" s="46">
        <f ca="1">IF(AND(Table1[[#This Row],[SubscriptionStart]]&lt;=Settings!$D$2,Table1[[#This Row],[EffectiveEndDate]]&gt;=Settings!$D$2),1,0)</f>
        <v>0</v>
      </c>
      <c r="AE292" s="46">
        <f ca="1">IF(AND(Table1[[#This Row],[SubscriptionStart]]&lt;=Settings!$E$2,Table1[[#This Row],[EffectiveEndDate]]&gt;=Settings!$E$2),1,0)</f>
        <v>0</v>
      </c>
      <c r="AF292"/>
      <c r="AG292"/>
      <c r="AH292"/>
      <c r="AI292"/>
      <c r="AJ292"/>
      <c r="AK292"/>
    </row>
    <row r="293" spans="1:37">
      <c r="A293" s="3" t="s">
        <v>494</v>
      </c>
      <c r="B293" s="3">
        <v>42</v>
      </c>
      <c r="C293" s="3" t="s">
        <v>23</v>
      </c>
      <c r="D293" s="5">
        <v>44861</v>
      </c>
      <c r="E293" s="5">
        <v>45041</v>
      </c>
      <c r="F293" s="3">
        <f ca="1">TODAY() - Table1[[#This Row],[SubscriptionStart]]</f>
        <v>1120</v>
      </c>
      <c r="G293" s="4">
        <v>6</v>
      </c>
      <c r="H293" s="3" t="s">
        <v>38</v>
      </c>
      <c r="I293" s="3" t="s">
        <v>25</v>
      </c>
      <c r="J293" s="7" cm="1">
        <f t="array" ref="J293">_xlfn.IFS(Table1[[#This Row],[Tier]]="Basic",10,Table1[[#This Row],[Tier]]="Standard",18,Table1[[#This Row],[Tier]]="Premium",25)</f>
        <v>25</v>
      </c>
      <c r="K293" s="7" cm="1">
        <f t="array" ref="K29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293" s="7" cm="1">
        <f t="array" ref="L29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293" s="3" t="str" cm="1">
        <f t="array" ref="M29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93" s="3" t="s">
        <v>26</v>
      </c>
      <c r="O293" s="3" t="s">
        <v>27</v>
      </c>
      <c r="P293" s="3" t="s">
        <v>41</v>
      </c>
      <c r="Q293" s="3" t="str" cm="1">
        <f t="array" ref="Q293">_xlfn.IFS(Table1[[#This Row],[TotalRevenue]]&lt;100,"Low",Table1[[#This Row],[TotalRevenue]]&lt;300,"Medium",Table1[[#This Row],[TotalRevenue]]&lt;600,"High",TRUE,"Very High")</f>
        <v>Medium</v>
      </c>
      <c r="R293" s="3" t="str" cm="1">
        <f t="array" ref="R29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93" s="3" t="str">
        <f>IF(Table1[[#This Row],[NextBillingDate]]="","Cancelled",IF(Table1[[#This Row],[CancellationDate]]&lt;&gt;"","Cancelled","Active"))</f>
        <v>Cancelled</v>
      </c>
      <c r="T293" s="7" cm="1">
        <f t="array" ref="T29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293" s="5">
        <v>45041</v>
      </c>
      <c r="W293" s="5">
        <v>45041</v>
      </c>
      <c r="X293" s="3">
        <v>0</v>
      </c>
      <c r="Y293" s="5">
        <f ca="1">IF(Table1[[#This Row],[ChurnStatus]]="Cancelled",Table1[[#This Row],[CancellationDate]],TODAY())</f>
        <v>45041</v>
      </c>
      <c r="Z293" s="46">
        <f ca="1">IF(AND(Table1[[#This Row],[SubscriptionStart]] &lt;= TODAY(), Table1[[#This Row],[EffectiveEndDate]] &gt;= TODAY()),1,0)</f>
        <v>0</v>
      </c>
      <c r="AA293" s="46">
        <f ca="1">IF(AND(Table1[[#This Row],[SubscriptionStart]]&lt;=Settings!$A$2,Table1[[#This Row],[EffectiveEndDate]]&gt;=Settings!$A$2),1,0)</f>
        <v>0</v>
      </c>
      <c r="AB293" s="46">
        <f ca="1">IF(AND(Table1[[#This Row],[SubscriptionStart]]&lt;=Settings!$B$2,Table1[[#This Row],[EffectiveEndDate]]&gt;=Settings!$B$2),1,0)</f>
        <v>0</v>
      </c>
      <c r="AC293" s="46">
        <f ca="1">IF(AND(Table1[[#This Row],[SubscriptionStart]]&lt;=Settings!$C$2,Table1[[#This Row],[EffectiveEndDate]]&gt;=Settings!$C$2),1,0)</f>
        <v>1</v>
      </c>
      <c r="AD293" s="46">
        <f ca="1">IF(AND(Table1[[#This Row],[SubscriptionStart]]&lt;=Settings!$D$2,Table1[[#This Row],[EffectiveEndDate]]&gt;=Settings!$D$2),1,0)</f>
        <v>0</v>
      </c>
      <c r="AE293" s="46">
        <f ca="1">IF(AND(Table1[[#This Row],[SubscriptionStart]]&lt;=Settings!$E$2,Table1[[#This Row],[EffectiveEndDate]]&gt;=Settings!$E$2),1,0)</f>
        <v>0</v>
      </c>
      <c r="AF293"/>
      <c r="AG293"/>
      <c r="AH293"/>
      <c r="AI293"/>
      <c r="AJ293"/>
      <c r="AK293"/>
    </row>
    <row r="294" spans="1:37">
      <c r="A294" s="3" t="s">
        <v>678</v>
      </c>
      <c r="B294" s="3">
        <v>64</v>
      </c>
      <c r="C294" s="3" t="s">
        <v>37</v>
      </c>
      <c r="D294" s="5">
        <v>44861</v>
      </c>
      <c r="E294" s="5">
        <v>45041</v>
      </c>
      <c r="F294" s="3">
        <f ca="1">TODAY() - Table1[[#This Row],[SubscriptionStart]]</f>
        <v>1120</v>
      </c>
      <c r="G294" s="4">
        <v>6</v>
      </c>
      <c r="H294" s="3" t="s">
        <v>38</v>
      </c>
      <c r="I294" s="3" t="s">
        <v>25</v>
      </c>
      <c r="J294" s="7" cm="1">
        <f t="array" ref="J294">_xlfn.IFS(Table1[[#This Row],[Tier]]="Basic",10,Table1[[#This Row],[Tier]]="Standard",18,Table1[[#This Row],[Tier]]="Premium",25)</f>
        <v>25</v>
      </c>
      <c r="K294" s="7" cm="1">
        <f t="array" ref="K29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294" s="7" cm="1">
        <f t="array" ref="L29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294" s="3" t="str" cm="1">
        <f t="array" ref="M29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94" s="3" t="s">
        <v>52</v>
      </c>
      <c r="O294" s="3" t="s">
        <v>43</v>
      </c>
      <c r="P294" s="3" t="s">
        <v>41</v>
      </c>
      <c r="Q294" s="3" t="str" cm="1">
        <f t="array" ref="Q294">_xlfn.IFS(Table1[[#This Row],[TotalRevenue]]&lt;100,"Low",Table1[[#This Row],[TotalRevenue]]&lt;300,"Medium",Table1[[#This Row],[TotalRevenue]]&lt;600,"High",TRUE,"Very High")</f>
        <v>Medium</v>
      </c>
      <c r="R294" s="3" t="str" cm="1">
        <f t="array" ref="R29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94" s="3" t="str">
        <f>IF(Table1[[#This Row],[NextBillingDate]]="","Cancelled",IF(Table1[[#This Row],[CancellationDate]]&lt;&gt;"","Cancelled","Active"))</f>
        <v>Cancelled</v>
      </c>
      <c r="T294" s="7" cm="1">
        <f t="array" ref="T29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294" s="5">
        <v>45041</v>
      </c>
      <c r="W294" s="5">
        <v>45041</v>
      </c>
      <c r="X294" s="3">
        <v>0</v>
      </c>
      <c r="Y294" s="5">
        <f ca="1">IF(Table1[[#This Row],[ChurnStatus]]="Cancelled",Table1[[#This Row],[CancellationDate]],TODAY())</f>
        <v>45041</v>
      </c>
      <c r="Z294" s="46">
        <f ca="1">IF(AND(Table1[[#This Row],[SubscriptionStart]] &lt;= TODAY(), Table1[[#This Row],[EffectiveEndDate]] &gt;= TODAY()),1,0)</f>
        <v>0</v>
      </c>
      <c r="AA294" s="46">
        <f ca="1">IF(AND(Table1[[#This Row],[SubscriptionStart]]&lt;=Settings!$A$2,Table1[[#This Row],[EffectiveEndDate]]&gt;=Settings!$A$2),1,0)</f>
        <v>0</v>
      </c>
      <c r="AB294" s="46">
        <f ca="1">IF(AND(Table1[[#This Row],[SubscriptionStart]]&lt;=Settings!$B$2,Table1[[#This Row],[EffectiveEndDate]]&gt;=Settings!$B$2),1,0)</f>
        <v>0</v>
      </c>
      <c r="AC294" s="46">
        <f ca="1">IF(AND(Table1[[#This Row],[SubscriptionStart]]&lt;=Settings!$C$2,Table1[[#This Row],[EffectiveEndDate]]&gt;=Settings!$C$2),1,0)</f>
        <v>1</v>
      </c>
      <c r="AD294" s="46">
        <f ca="1">IF(AND(Table1[[#This Row],[SubscriptionStart]]&lt;=Settings!$D$2,Table1[[#This Row],[EffectiveEndDate]]&gt;=Settings!$D$2),1,0)</f>
        <v>0</v>
      </c>
      <c r="AE294" s="46">
        <f ca="1">IF(AND(Table1[[#This Row],[SubscriptionStart]]&lt;=Settings!$E$2,Table1[[#This Row],[EffectiveEndDate]]&gt;=Settings!$E$2),1,0)</f>
        <v>0</v>
      </c>
      <c r="AF294"/>
      <c r="AG294"/>
      <c r="AH294"/>
      <c r="AI294"/>
      <c r="AJ294"/>
      <c r="AK294"/>
    </row>
    <row r="295" spans="1:37">
      <c r="A295" s="3" t="s">
        <v>418</v>
      </c>
      <c r="B295" s="3">
        <v>23</v>
      </c>
      <c r="C295" s="3" t="s">
        <v>23</v>
      </c>
      <c r="D295" s="5">
        <v>44862</v>
      </c>
      <c r="F295" s="3">
        <f ca="1">TODAY() - Table1[[#This Row],[SubscriptionStart]]</f>
        <v>1119</v>
      </c>
      <c r="G295" s="4">
        <v>38</v>
      </c>
      <c r="H295" s="3" t="s">
        <v>29</v>
      </c>
      <c r="I295" s="3" t="s">
        <v>39</v>
      </c>
      <c r="J295" s="7" cm="1">
        <f t="array" ref="J295">_xlfn.IFS(Table1[[#This Row],[Tier]]="Basic",10,Table1[[#This Row],[Tier]]="Standard",18,Table1[[#This Row],[Tier]]="Premium",25)</f>
        <v>18</v>
      </c>
      <c r="K295" s="7" cm="1">
        <f t="array" ref="K29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295" s="7" cm="1">
        <f t="array" ref="L29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646.20000000000005</v>
      </c>
      <c r="M295" s="3" t="str" cm="1">
        <f t="array" ref="M295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295" s="3" t="s">
        <v>26</v>
      </c>
      <c r="O295" s="3" t="s">
        <v>27</v>
      </c>
      <c r="Q295" s="3" t="str" cm="1">
        <f t="array" ref="Q295">_xlfn.IFS(Table1[[#This Row],[TotalRevenue]]&lt;100,"Low",Table1[[#This Row],[TotalRevenue]]&lt;300,"Medium",Table1[[#This Row],[TotalRevenue]]&lt;600,"High",TRUE,"Very High")</f>
        <v>Very High</v>
      </c>
      <c r="R295" s="3" t="str" cm="1">
        <f t="array" ref="R295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295" s="3" t="str">
        <f>IF(Table1[[#This Row],[NextBillingDate]]="","Cancelled",IF(Table1[[#This Row],[CancellationDate]]&lt;&gt;"","Cancelled","Active"))</f>
        <v>Active</v>
      </c>
      <c r="T295" s="7" cm="1">
        <f t="array" ref="T29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664.2</v>
      </c>
      <c r="V295" s="5">
        <v>46002</v>
      </c>
      <c r="W295" s="5">
        <v>46002</v>
      </c>
      <c r="X295" s="3">
        <v>37</v>
      </c>
      <c r="Y295" s="5">
        <f ca="1">IF(Table1[[#This Row],[ChurnStatus]]="Cancelled",Table1[[#This Row],[CancellationDate]],TODAY())</f>
        <v>45981</v>
      </c>
      <c r="Z295" s="46">
        <f ca="1">IF(AND(Table1[[#This Row],[SubscriptionStart]] &lt;= TODAY(), Table1[[#This Row],[EffectiveEndDate]] &gt;= TODAY()),1,0)</f>
        <v>1</v>
      </c>
      <c r="AA295" s="46">
        <f ca="1">IF(AND(Table1[[#This Row],[SubscriptionStart]]&lt;=Settings!$A$2,Table1[[#This Row],[EffectiveEndDate]]&gt;=Settings!$A$2),1,0)</f>
        <v>0</v>
      </c>
      <c r="AB295" s="46">
        <f ca="1">IF(AND(Table1[[#This Row],[SubscriptionStart]]&lt;=Settings!$B$2,Table1[[#This Row],[EffectiveEndDate]]&gt;=Settings!$B$2),1,0)</f>
        <v>0</v>
      </c>
      <c r="AC295" s="46">
        <f ca="1">IF(AND(Table1[[#This Row],[SubscriptionStart]]&lt;=Settings!$C$2,Table1[[#This Row],[EffectiveEndDate]]&gt;=Settings!$C$2),1,0)</f>
        <v>1</v>
      </c>
      <c r="AD295" s="46">
        <f ca="1">IF(AND(Table1[[#This Row],[SubscriptionStart]]&lt;=Settings!$D$2,Table1[[#This Row],[EffectiveEndDate]]&gt;=Settings!$D$2),1,0)</f>
        <v>1</v>
      </c>
      <c r="AE295" s="46">
        <f ca="1">IF(AND(Table1[[#This Row],[SubscriptionStart]]&lt;=Settings!$E$2,Table1[[#This Row],[EffectiveEndDate]]&gt;=Settings!$E$2),1,0)</f>
        <v>1</v>
      </c>
      <c r="AF295"/>
      <c r="AG295"/>
      <c r="AH295"/>
      <c r="AI295"/>
      <c r="AJ295"/>
      <c r="AK295"/>
    </row>
    <row r="296" spans="1:37">
      <c r="A296" s="3" t="s">
        <v>345</v>
      </c>
      <c r="B296" s="3">
        <v>37</v>
      </c>
      <c r="C296" s="3" t="s">
        <v>23</v>
      </c>
      <c r="D296" s="5">
        <v>44863</v>
      </c>
      <c r="E296" s="5">
        <v>45043</v>
      </c>
      <c r="F296" s="3">
        <f ca="1">TODAY() - Table1[[#This Row],[SubscriptionStart]]</f>
        <v>1118</v>
      </c>
      <c r="G296" s="4">
        <v>6</v>
      </c>
      <c r="H296" s="3" t="s">
        <v>38</v>
      </c>
      <c r="I296" s="3" t="s">
        <v>25</v>
      </c>
      <c r="J296" s="7" cm="1">
        <f t="array" ref="J296">_xlfn.IFS(Table1[[#This Row],[Tier]]="Basic",10,Table1[[#This Row],[Tier]]="Standard",18,Table1[[#This Row],[Tier]]="Premium",25)</f>
        <v>25</v>
      </c>
      <c r="K296" s="7" cm="1">
        <f t="array" ref="K29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296" s="7" cm="1">
        <f t="array" ref="L29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296" s="3" t="str" cm="1">
        <f t="array" ref="M29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96" s="3" t="s">
        <v>52</v>
      </c>
      <c r="O296" s="3" t="s">
        <v>49</v>
      </c>
      <c r="P296" s="3" t="s">
        <v>35</v>
      </c>
      <c r="Q296" s="3" t="str" cm="1">
        <f t="array" ref="Q296">_xlfn.IFS(Table1[[#This Row],[TotalRevenue]]&lt;100,"Low",Table1[[#This Row],[TotalRevenue]]&lt;300,"Medium",Table1[[#This Row],[TotalRevenue]]&lt;600,"High",TRUE,"Very High")</f>
        <v>Medium</v>
      </c>
      <c r="R296" s="3" t="str" cm="1">
        <f t="array" ref="R29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96" s="3" t="str">
        <f>IF(Table1[[#This Row],[NextBillingDate]]="","Cancelled",IF(Table1[[#This Row],[CancellationDate]]&lt;&gt;"","Cancelled","Active"))</f>
        <v>Cancelled</v>
      </c>
      <c r="T296" s="7" cm="1">
        <f t="array" ref="T29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296" s="5">
        <v>45043</v>
      </c>
      <c r="W296" s="5">
        <v>45043</v>
      </c>
      <c r="X296" s="3">
        <v>0</v>
      </c>
      <c r="Y296" s="5">
        <f ca="1">IF(Table1[[#This Row],[ChurnStatus]]="Cancelled",Table1[[#This Row],[CancellationDate]],TODAY())</f>
        <v>45043</v>
      </c>
      <c r="Z296" s="46">
        <f ca="1">IF(AND(Table1[[#This Row],[SubscriptionStart]] &lt;= TODAY(), Table1[[#This Row],[EffectiveEndDate]] &gt;= TODAY()),1,0)</f>
        <v>0</v>
      </c>
      <c r="AA296" s="46">
        <f ca="1">IF(AND(Table1[[#This Row],[SubscriptionStart]]&lt;=Settings!$A$2,Table1[[#This Row],[EffectiveEndDate]]&gt;=Settings!$A$2),1,0)</f>
        <v>0</v>
      </c>
      <c r="AB296" s="46">
        <f ca="1">IF(AND(Table1[[#This Row],[SubscriptionStart]]&lt;=Settings!$B$2,Table1[[#This Row],[EffectiveEndDate]]&gt;=Settings!$B$2),1,0)</f>
        <v>0</v>
      </c>
      <c r="AC296" s="46">
        <f ca="1">IF(AND(Table1[[#This Row],[SubscriptionStart]]&lt;=Settings!$C$2,Table1[[#This Row],[EffectiveEndDate]]&gt;=Settings!$C$2),1,0)</f>
        <v>1</v>
      </c>
      <c r="AD296" s="46">
        <f ca="1">IF(AND(Table1[[#This Row],[SubscriptionStart]]&lt;=Settings!$D$2,Table1[[#This Row],[EffectiveEndDate]]&gt;=Settings!$D$2),1,0)</f>
        <v>0</v>
      </c>
      <c r="AE296" s="46">
        <f ca="1">IF(AND(Table1[[#This Row],[SubscriptionStart]]&lt;=Settings!$E$2,Table1[[#This Row],[EffectiveEndDate]]&gt;=Settings!$E$2),1,0)</f>
        <v>0</v>
      </c>
      <c r="AF296"/>
      <c r="AG296"/>
      <c r="AH296"/>
      <c r="AI296"/>
      <c r="AJ296"/>
      <c r="AK296"/>
    </row>
    <row r="297" spans="1:37">
      <c r="A297" s="3" t="s">
        <v>559</v>
      </c>
      <c r="B297" s="3">
        <v>56</v>
      </c>
      <c r="C297" s="3" t="s">
        <v>23</v>
      </c>
      <c r="D297" s="5">
        <v>44863</v>
      </c>
      <c r="F297" s="3">
        <f ca="1">TODAY() - Table1[[#This Row],[SubscriptionStart]]</f>
        <v>1118</v>
      </c>
      <c r="G297" s="4">
        <v>48</v>
      </c>
      <c r="H297" s="3" t="s">
        <v>24</v>
      </c>
      <c r="I297" s="3" t="s">
        <v>39</v>
      </c>
      <c r="J297" s="7" cm="1">
        <f t="array" ref="J297">_xlfn.IFS(Table1[[#This Row],[Tier]]="Basic",10,Table1[[#This Row],[Tier]]="Standard",18,Table1[[#This Row],[Tier]]="Premium",25)</f>
        <v>18</v>
      </c>
      <c r="K297" s="7" cm="1">
        <f t="array" ref="K29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297" s="7" cm="1">
        <f t="array" ref="L29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561.6</v>
      </c>
      <c r="M297" s="3" t="str" cm="1">
        <f t="array" ref="M29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297" s="3" t="s">
        <v>31</v>
      </c>
      <c r="O297" s="3" t="s">
        <v>40</v>
      </c>
      <c r="Q297" s="3" t="str" cm="1">
        <f t="array" ref="Q297">_xlfn.IFS(Table1[[#This Row],[TotalRevenue]]&lt;100,"Low",Table1[[#This Row],[TotalRevenue]]&lt;300,"Medium",Table1[[#This Row],[TotalRevenue]]&lt;600,"High",TRUE,"Very High")</f>
        <v>High</v>
      </c>
      <c r="R297" s="3" t="str" cm="1">
        <f t="array" ref="R29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97" s="3" t="str">
        <f>IF(Table1[[#This Row],[NextBillingDate]]="","Cancelled",IF(Table1[[#This Row],[CancellationDate]]&lt;&gt;"","Cancelled","Active"))</f>
        <v>Active</v>
      </c>
      <c r="T297" s="7" cm="1">
        <f t="array" ref="T29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705.6</v>
      </c>
      <c r="V297" s="5">
        <v>46303</v>
      </c>
      <c r="W297" s="5">
        <v>46303</v>
      </c>
      <c r="X297" s="3">
        <v>3</v>
      </c>
      <c r="Y297" s="5">
        <f ca="1">IF(Table1[[#This Row],[ChurnStatus]]="Cancelled",Table1[[#This Row],[CancellationDate]],TODAY())</f>
        <v>45981</v>
      </c>
      <c r="Z297" s="46">
        <f ca="1">IF(AND(Table1[[#This Row],[SubscriptionStart]] &lt;= TODAY(), Table1[[#This Row],[EffectiveEndDate]] &gt;= TODAY()),1,0)</f>
        <v>1</v>
      </c>
      <c r="AA297" s="46">
        <f ca="1">IF(AND(Table1[[#This Row],[SubscriptionStart]]&lt;=Settings!$A$2,Table1[[#This Row],[EffectiveEndDate]]&gt;=Settings!$A$2),1,0)</f>
        <v>0</v>
      </c>
      <c r="AB297" s="46">
        <f ca="1">IF(AND(Table1[[#This Row],[SubscriptionStart]]&lt;=Settings!$B$2,Table1[[#This Row],[EffectiveEndDate]]&gt;=Settings!$B$2),1,0)</f>
        <v>0</v>
      </c>
      <c r="AC297" s="46">
        <f ca="1">IF(AND(Table1[[#This Row],[SubscriptionStart]]&lt;=Settings!$C$2,Table1[[#This Row],[EffectiveEndDate]]&gt;=Settings!$C$2),1,0)</f>
        <v>1</v>
      </c>
      <c r="AD297" s="46">
        <f ca="1">IF(AND(Table1[[#This Row],[SubscriptionStart]]&lt;=Settings!$D$2,Table1[[#This Row],[EffectiveEndDate]]&gt;=Settings!$D$2),1,0)</f>
        <v>1</v>
      </c>
      <c r="AE297" s="46">
        <f ca="1">IF(AND(Table1[[#This Row],[SubscriptionStart]]&lt;=Settings!$E$2,Table1[[#This Row],[EffectiveEndDate]]&gt;=Settings!$E$2),1,0)</f>
        <v>1</v>
      </c>
      <c r="AF297"/>
      <c r="AG297"/>
      <c r="AH297"/>
      <c r="AI297"/>
      <c r="AJ297"/>
      <c r="AK297"/>
    </row>
    <row r="298" spans="1:37">
      <c r="A298" s="3" t="s">
        <v>764</v>
      </c>
      <c r="B298" s="3">
        <v>60</v>
      </c>
      <c r="C298" s="3" t="s">
        <v>23</v>
      </c>
      <c r="D298" s="5">
        <v>44864</v>
      </c>
      <c r="E298" s="5">
        <v>45224</v>
      </c>
      <c r="F298" s="3">
        <f ca="1">TODAY() - Table1[[#This Row],[SubscriptionStart]]</f>
        <v>1117</v>
      </c>
      <c r="G298" s="4">
        <v>12</v>
      </c>
      <c r="H298" s="3" t="s">
        <v>24</v>
      </c>
      <c r="I298" s="3" t="s">
        <v>30</v>
      </c>
      <c r="J298" s="7" cm="1">
        <f t="array" ref="J298">_xlfn.IFS(Table1[[#This Row],[Tier]]="Basic",10,Table1[[#This Row],[Tier]]="Standard",18,Table1[[#This Row],[Tier]]="Premium",25)</f>
        <v>10</v>
      </c>
      <c r="K298" s="7" cm="1">
        <f t="array" ref="K29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298" s="7" cm="1">
        <f t="array" ref="L29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298" s="3" t="str" cm="1">
        <f t="array" ref="M298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298" s="3" t="s">
        <v>31</v>
      </c>
      <c r="O298" s="3" t="s">
        <v>43</v>
      </c>
      <c r="P298" s="3" t="s">
        <v>44</v>
      </c>
      <c r="Q298" s="3" t="str" cm="1">
        <f t="array" ref="Q298">_xlfn.IFS(Table1[[#This Row],[TotalRevenue]]&lt;100,"Low",Table1[[#This Row],[TotalRevenue]]&lt;300,"Medium",Table1[[#This Row],[TotalRevenue]]&lt;600,"High",TRUE,"Very High")</f>
        <v>Low</v>
      </c>
      <c r="R298" s="3" t="str" cm="1">
        <f t="array" ref="R298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298" s="3" t="str">
        <f>IF(Table1[[#This Row],[NextBillingDate]]="","Cancelled",IF(Table1[[#This Row],[CancellationDate]]&lt;&gt;"","Cancelled","Active"))</f>
        <v>Cancelled</v>
      </c>
      <c r="T298" s="7" cm="1">
        <f t="array" ref="T29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298" s="5">
        <v>45224</v>
      </c>
      <c r="W298" s="5">
        <v>45224</v>
      </c>
      <c r="X298" s="3">
        <v>0</v>
      </c>
      <c r="Y298" s="5">
        <f ca="1">IF(Table1[[#This Row],[ChurnStatus]]="Cancelled",Table1[[#This Row],[CancellationDate]],TODAY())</f>
        <v>45224</v>
      </c>
      <c r="Z298" s="46">
        <f ca="1">IF(AND(Table1[[#This Row],[SubscriptionStart]] &lt;= TODAY(), Table1[[#This Row],[EffectiveEndDate]] &gt;= TODAY()),1,0)</f>
        <v>0</v>
      </c>
      <c r="AA298" s="46">
        <f ca="1">IF(AND(Table1[[#This Row],[SubscriptionStart]]&lt;=Settings!$A$2,Table1[[#This Row],[EffectiveEndDate]]&gt;=Settings!$A$2),1,0)</f>
        <v>0</v>
      </c>
      <c r="AB298" s="46">
        <f ca="1">IF(AND(Table1[[#This Row],[SubscriptionStart]]&lt;=Settings!$B$2,Table1[[#This Row],[EffectiveEndDate]]&gt;=Settings!$B$2),1,0)</f>
        <v>0</v>
      </c>
      <c r="AC298" s="46">
        <f ca="1">IF(AND(Table1[[#This Row],[SubscriptionStart]]&lt;=Settings!$C$2,Table1[[#This Row],[EffectiveEndDate]]&gt;=Settings!$C$2),1,0)</f>
        <v>1</v>
      </c>
      <c r="AD298" s="46">
        <f ca="1">IF(AND(Table1[[#This Row],[SubscriptionStart]]&lt;=Settings!$D$2,Table1[[#This Row],[EffectiveEndDate]]&gt;=Settings!$D$2),1,0)</f>
        <v>1</v>
      </c>
      <c r="AE298" s="46">
        <f ca="1">IF(AND(Table1[[#This Row],[SubscriptionStart]]&lt;=Settings!$E$2,Table1[[#This Row],[EffectiveEndDate]]&gt;=Settings!$E$2),1,0)</f>
        <v>0</v>
      </c>
      <c r="AF298"/>
      <c r="AG298"/>
      <c r="AH298"/>
      <c r="AI298"/>
      <c r="AJ298"/>
      <c r="AK298"/>
    </row>
    <row r="299" spans="1:37">
      <c r="A299" s="3" t="s">
        <v>411</v>
      </c>
      <c r="B299" s="3">
        <v>35</v>
      </c>
      <c r="C299" s="3" t="s">
        <v>37</v>
      </c>
      <c r="D299" s="5">
        <v>44866</v>
      </c>
      <c r="E299" s="5">
        <v>45226</v>
      </c>
      <c r="F299" s="3">
        <f ca="1">TODAY() - Table1[[#This Row],[SubscriptionStart]]</f>
        <v>1115</v>
      </c>
      <c r="G299" s="4">
        <v>12</v>
      </c>
      <c r="H299" s="3" t="s">
        <v>24</v>
      </c>
      <c r="I299" s="3" t="s">
        <v>25</v>
      </c>
      <c r="J299" s="7" cm="1">
        <f t="array" ref="J299">_xlfn.IFS(Table1[[#This Row],[Tier]]="Basic",10,Table1[[#This Row],[Tier]]="Standard",18,Table1[[#This Row],[Tier]]="Premium",25)</f>
        <v>25</v>
      </c>
      <c r="K299" s="7" cm="1">
        <f t="array" ref="K29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299" s="7" cm="1">
        <f t="array" ref="L29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299" s="3" t="str" cm="1">
        <f t="array" ref="M29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299" s="3" t="s">
        <v>31</v>
      </c>
      <c r="O299" s="3" t="s">
        <v>40</v>
      </c>
      <c r="P299" s="3" t="s">
        <v>35</v>
      </c>
      <c r="Q299" s="3" t="str" cm="1">
        <f t="array" ref="Q299">_xlfn.IFS(Table1[[#This Row],[TotalRevenue]]&lt;100,"Low",Table1[[#This Row],[TotalRevenue]]&lt;300,"Medium",Table1[[#This Row],[TotalRevenue]]&lt;600,"High",TRUE,"Very High")</f>
        <v>Medium</v>
      </c>
      <c r="R299" s="3" t="str" cm="1">
        <f t="array" ref="R29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299" s="3" t="str">
        <f>IF(Table1[[#This Row],[NextBillingDate]]="","Cancelled",IF(Table1[[#This Row],[CancellationDate]]&lt;&gt;"","Cancelled","Active"))</f>
        <v>Cancelled</v>
      </c>
      <c r="T299" s="7" cm="1">
        <f t="array" ref="T29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299" s="5">
        <v>45226</v>
      </c>
      <c r="W299" s="5">
        <v>45226</v>
      </c>
      <c r="X299" s="3">
        <v>0</v>
      </c>
      <c r="Y299" s="5">
        <f ca="1">IF(Table1[[#This Row],[ChurnStatus]]="Cancelled",Table1[[#This Row],[CancellationDate]],TODAY())</f>
        <v>45226</v>
      </c>
      <c r="Z299" s="46">
        <f ca="1">IF(AND(Table1[[#This Row],[SubscriptionStart]] &lt;= TODAY(), Table1[[#This Row],[EffectiveEndDate]] &gt;= TODAY()),1,0)</f>
        <v>0</v>
      </c>
      <c r="AA299" s="46">
        <f ca="1">IF(AND(Table1[[#This Row],[SubscriptionStart]]&lt;=Settings!$A$2,Table1[[#This Row],[EffectiveEndDate]]&gt;=Settings!$A$2),1,0)</f>
        <v>0</v>
      </c>
      <c r="AB299" s="46">
        <f ca="1">IF(AND(Table1[[#This Row],[SubscriptionStart]]&lt;=Settings!$B$2,Table1[[#This Row],[EffectiveEndDate]]&gt;=Settings!$B$2),1,0)</f>
        <v>0</v>
      </c>
      <c r="AC299" s="46">
        <f ca="1">IF(AND(Table1[[#This Row],[SubscriptionStart]]&lt;=Settings!$C$2,Table1[[#This Row],[EffectiveEndDate]]&gt;=Settings!$C$2),1,0)</f>
        <v>1</v>
      </c>
      <c r="AD299" s="46">
        <f ca="1">IF(AND(Table1[[#This Row],[SubscriptionStart]]&lt;=Settings!$D$2,Table1[[#This Row],[EffectiveEndDate]]&gt;=Settings!$D$2),1,0)</f>
        <v>1</v>
      </c>
      <c r="AE299" s="46">
        <f ca="1">IF(AND(Table1[[#This Row],[SubscriptionStart]]&lt;=Settings!$E$2,Table1[[#This Row],[EffectiveEndDate]]&gt;=Settings!$E$2),1,0)</f>
        <v>0</v>
      </c>
      <c r="AF299"/>
      <c r="AG299"/>
      <c r="AH299"/>
      <c r="AI299"/>
      <c r="AJ299"/>
      <c r="AK299"/>
    </row>
    <row r="300" spans="1:37">
      <c r="A300" s="3" t="s">
        <v>727</v>
      </c>
      <c r="B300" s="3">
        <v>47</v>
      </c>
      <c r="C300" s="3" t="s">
        <v>23</v>
      </c>
      <c r="D300" s="5">
        <v>44867</v>
      </c>
      <c r="E300" s="5">
        <v>45227</v>
      </c>
      <c r="F300" s="3">
        <f ca="1">TODAY() - Table1[[#This Row],[SubscriptionStart]]</f>
        <v>1114</v>
      </c>
      <c r="G300" s="4">
        <v>12</v>
      </c>
      <c r="H300" s="3" t="s">
        <v>24</v>
      </c>
      <c r="I300" s="3" t="s">
        <v>39</v>
      </c>
      <c r="J300" s="7" cm="1">
        <f t="array" ref="J300">_xlfn.IFS(Table1[[#This Row],[Tier]]="Basic",10,Table1[[#This Row],[Tier]]="Standard",18,Table1[[#This Row],[Tier]]="Premium",25)</f>
        <v>18</v>
      </c>
      <c r="K300" s="7" cm="1">
        <f t="array" ref="K30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00" s="7" cm="1">
        <f t="array" ref="L30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00" s="3" t="str" cm="1">
        <f t="array" ref="M30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00" s="3" t="s">
        <v>26</v>
      </c>
      <c r="O300" s="3" t="s">
        <v>43</v>
      </c>
      <c r="P300" s="3" t="s">
        <v>47</v>
      </c>
      <c r="Q300" s="3" t="str" cm="1">
        <f t="array" ref="Q300">_xlfn.IFS(Table1[[#This Row],[TotalRevenue]]&lt;100,"Low",Table1[[#This Row],[TotalRevenue]]&lt;300,"Medium",Table1[[#This Row],[TotalRevenue]]&lt;600,"High",TRUE,"Very High")</f>
        <v>Medium</v>
      </c>
      <c r="R300" s="3" t="str" cm="1">
        <f t="array" ref="R30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00" s="3" t="str">
        <f>IF(Table1[[#This Row],[NextBillingDate]]="","Cancelled",IF(Table1[[#This Row],[CancellationDate]]&lt;&gt;"","Cancelled","Active"))</f>
        <v>Cancelled</v>
      </c>
      <c r="T300" s="7" cm="1">
        <f t="array" ref="T30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00" s="5">
        <v>45227</v>
      </c>
      <c r="W300" s="5">
        <v>45227</v>
      </c>
      <c r="X300" s="3">
        <v>0</v>
      </c>
      <c r="Y300" s="5">
        <f ca="1">IF(Table1[[#This Row],[ChurnStatus]]="Cancelled",Table1[[#This Row],[CancellationDate]],TODAY())</f>
        <v>45227</v>
      </c>
      <c r="Z300" s="46">
        <f ca="1">IF(AND(Table1[[#This Row],[SubscriptionStart]] &lt;= TODAY(), Table1[[#This Row],[EffectiveEndDate]] &gt;= TODAY()),1,0)</f>
        <v>0</v>
      </c>
      <c r="AA300" s="46">
        <f ca="1">IF(AND(Table1[[#This Row],[SubscriptionStart]]&lt;=Settings!$A$2,Table1[[#This Row],[EffectiveEndDate]]&gt;=Settings!$A$2),1,0)</f>
        <v>0</v>
      </c>
      <c r="AB300" s="46">
        <f ca="1">IF(AND(Table1[[#This Row],[SubscriptionStart]]&lt;=Settings!$B$2,Table1[[#This Row],[EffectiveEndDate]]&gt;=Settings!$B$2),1,0)</f>
        <v>0</v>
      </c>
      <c r="AC300" s="46">
        <f ca="1">IF(AND(Table1[[#This Row],[SubscriptionStart]]&lt;=Settings!$C$2,Table1[[#This Row],[EffectiveEndDate]]&gt;=Settings!$C$2),1,0)</f>
        <v>1</v>
      </c>
      <c r="AD300" s="46">
        <f ca="1">IF(AND(Table1[[#This Row],[SubscriptionStart]]&lt;=Settings!$D$2,Table1[[#This Row],[EffectiveEndDate]]&gt;=Settings!$D$2),1,0)</f>
        <v>1</v>
      </c>
      <c r="AE300" s="46">
        <f ca="1">IF(AND(Table1[[#This Row],[SubscriptionStart]]&lt;=Settings!$E$2,Table1[[#This Row],[EffectiveEndDate]]&gt;=Settings!$E$2),1,0)</f>
        <v>0</v>
      </c>
      <c r="AF300"/>
      <c r="AG300"/>
      <c r="AH300"/>
      <c r="AI300"/>
      <c r="AJ300"/>
      <c r="AK300"/>
    </row>
    <row r="301" spans="1:37">
      <c r="A301" s="3" t="s">
        <v>369</v>
      </c>
      <c r="B301" s="3">
        <v>33</v>
      </c>
      <c r="C301" s="3" t="s">
        <v>37</v>
      </c>
      <c r="D301" s="5">
        <v>44867</v>
      </c>
      <c r="F301" s="3">
        <f ca="1">TODAY() - Table1[[#This Row],[SubscriptionStart]]</f>
        <v>1114</v>
      </c>
      <c r="G301" s="4">
        <v>42</v>
      </c>
      <c r="H301" s="3" t="s">
        <v>38</v>
      </c>
      <c r="I301" s="3" t="s">
        <v>25</v>
      </c>
      <c r="J301" s="7" cm="1">
        <f t="array" ref="J301">_xlfn.IFS(Table1[[#This Row],[Tier]]="Basic",10,Table1[[#This Row],[Tier]]="Standard",18,Table1[[#This Row],[Tier]]="Premium",25)</f>
        <v>25</v>
      </c>
      <c r="K301" s="7" cm="1">
        <f t="array" ref="K30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18.75</v>
      </c>
      <c r="L301" s="7" cm="1">
        <f t="array" ref="L30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765</v>
      </c>
      <c r="M301" s="3" t="str" cm="1">
        <f t="array" ref="M30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01" s="3" t="s">
        <v>26</v>
      </c>
      <c r="O301" s="3" t="s">
        <v>43</v>
      </c>
      <c r="Q301" s="3" t="str" cm="1">
        <f t="array" ref="Q301">_xlfn.IFS(Table1[[#This Row],[TotalRevenue]]&lt;100,"Low",Table1[[#This Row],[TotalRevenue]]&lt;300,"Medium",Table1[[#This Row],[TotalRevenue]]&lt;600,"High",TRUE,"Very High")</f>
        <v>Very High</v>
      </c>
      <c r="R301" s="3" t="str" cm="1">
        <f t="array" ref="R30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01" s="3" t="str">
        <f>IF(Table1[[#This Row],[NextBillingDate]]="","Cancelled",IF(Table1[[#This Row],[CancellationDate]]&lt;&gt;"","Cancelled","Active"))</f>
        <v>Active</v>
      </c>
      <c r="T301" s="7" cm="1">
        <f t="array" ref="T30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877.5</v>
      </c>
      <c r="V301" s="5">
        <v>46127</v>
      </c>
      <c r="W301" s="5">
        <v>46127</v>
      </c>
      <c r="X301" s="3">
        <v>6</v>
      </c>
      <c r="Y301" s="5">
        <f ca="1">IF(Table1[[#This Row],[ChurnStatus]]="Cancelled",Table1[[#This Row],[CancellationDate]],TODAY())</f>
        <v>45981</v>
      </c>
      <c r="Z301" s="46">
        <f ca="1">IF(AND(Table1[[#This Row],[SubscriptionStart]] &lt;= TODAY(), Table1[[#This Row],[EffectiveEndDate]] &gt;= TODAY()),1,0)</f>
        <v>1</v>
      </c>
      <c r="AA301" s="46">
        <f ca="1">IF(AND(Table1[[#This Row],[SubscriptionStart]]&lt;=Settings!$A$2,Table1[[#This Row],[EffectiveEndDate]]&gt;=Settings!$A$2),1,0)</f>
        <v>0</v>
      </c>
      <c r="AB301" s="46">
        <f ca="1">IF(AND(Table1[[#This Row],[SubscriptionStart]]&lt;=Settings!$B$2,Table1[[#This Row],[EffectiveEndDate]]&gt;=Settings!$B$2),1,0)</f>
        <v>0</v>
      </c>
      <c r="AC301" s="46">
        <f ca="1">IF(AND(Table1[[#This Row],[SubscriptionStart]]&lt;=Settings!$C$2,Table1[[#This Row],[EffectiveEndDate]]&gt;=Settings!$C$2),1,0)</f>
        <v>1</v>
      </c>
      <c r="AD301" s="46">
        <f ca="1">IF(AND(Table1[[#This Row],[SubscriptionStart]]&lt;=Settings!$D$2,Table1[[#This Row],[EffectiveEndDate]]&gt;=Settings!$D$2),1,0)</f>
        <v>1</v>
      </c>
      <c r="AE301" s="46">
        <f ca="1">IF(AND(Table1[[#This Row],[SubscriptionStart]]&lt;=Settings!$E$2,Table1[[#This Row],[EffectiveEndDate]]&gt;=Settings!$E$2),1,0)</f>
        <v>1</v>
      </c>
      <c r="AF301"/>
      <c r="AG301"/>
      <c r="AH301"/>
      <c r="AI301"/>
      <c r="AJ301"/>
      <c r="AK301"/>
    </row>
    <row r="302" spans="1:37">
      <c r="A302" s="3" t="s">
        <v>766</v>
      </c>
      <c r="B302" s="3">
        <v>33</v>
      </c>
      <c r="C302" s="3" t="s">
        <v>37</v>
      </c>
      <c r="D302" s="5">
        <v>44867</v>
      </c>
      <c r="F302" s="3">
        <f ca="1">TODAY() - Table1[[#This Row],[SubscriptionStart]]</f>
        <v>1114</v>
      </c>
      <c r="G302" s="4">
        <v>42</v>
      </c>
      <c r="H302" s="3" t="s">
        <v>38</v>
      </c>
      <c r="I302" s="3" t="s">
        <v>39</v>
      </c>
      <c r="J302" s="7" cm="1">
        <f t="array" ref="J302">_xlfn.IFS(Table1[[#This Row],[Tier]]="Basic",10,Table1[[#This Row],[Tier]]="Standard",18,Table1[[#This Row],[Tier]]="Premium",25)</f>
        <v>18</v>
      </c>
      <c r="K302" s="7" cm="1">
        <f t="array" ref="K30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302" s="7" cm="1">
        <f t="array" ref="L30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550.79999999999995</v>
      </c>
      <c r="M302" s="3" t="str" cm="1">
        <f t="array" ref="M30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02" s="3" t="s">
        <v>31</v>
      </c>
      <c r="O302" s="3" t="s">
        <v>32</v>
      </c>
      <c r="Q302" s="3" t="str" cm="1">
        <f t="array" ref="Q302">_xlfn.IFS(Table1[[#This Row],[TotalRevenue]]&lt;100,"Low",Table1[[#This Row],[TotalRevenue]]&lt;300,"Medium",Table1[[#This Row],[TotalRevenue]]&lt;600,"High",TRUE,"Very High")</f>
        <v>High</v>
      </c>
      <c r="R302" s="3" t="str" cm="1">
        <f t="array" ref="R30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02" s="3" t="str">
        <f>IF(Table1[[#This Row],[NextBillingDate]]="","Cancelled",IF(Table1[[#This Row],[CancellationDate]]&lt;&gt;"","Cancelled","Active"))</f>
        <v>Active</v>
      </c>
      <c r="T302" s="7" cm="1">
        <f t="array" ref="T30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631.79999999999995</v>
      </c>
      <c r="V302" s="5">
        <v>46127</v>
      </c>
      <c r="W302" s="5">
        <v>46127</v>
      </c>
      <c r="X302" s="3">
        <v>6</v>
      </c>
      <c r="Y302" s="5">
        <f ca="1">IF(Table1[[#This Row],[ChurnStatus]]="Cancelled",Table1[[#This Row],[CancellationDate]],TODAY())</f>
        <v>45981</v>
      </c>
      <c r="Z302" s="46">
        <f ca="1">IF(AND(Table1[[#This Row],[SubscriptionStart]] &lt;= TODAY(), Table1[[#This Row],[EffectiveEndDate]] &gt;= TODAY()),1,0)</f>
        <v>1</v>
      </c>
      <c r="AA302" s="46">
        <f ca="1">IF(AND(Table1[[#This Row],[SubscriptionStart]]&lt;=Settings!$A$2,Table1[[#This Row],[EffectiveEndDate]]&gt;=Settings!$A$2),1,0)</f>
        <v>0</v>
      </c>
      <c r="AB302" s="46">
        <f ca="1">IF(AND(Table1[[#This Row],[SubscriptionStart]]&lt;=Settings!$B$2,Table1[[#This Row],[EffectiveEndDate]]&gt;=Settings!$B$2),1,0)</f>
        <v>0</v>
      </c>
      <c r="AC302" s="46">
        <f ca="1">IF(AND(Table1[[#This Row],[SubscriptionStart]]&lt;=Settings!$C$2,Table1[[#This Row],[EffectiveEndDate]]&gt;=Settings!$C$2),1,0)</f>
        <v>1</v>
      </c>
      <c r="AD302" s="46">
        <f ca="1">IF(AND(Table1[[#This Row],[SubscriptionStart]]&lt;=Settings!$D$2,Table1[[#This Row],[EffectiveEndDate]]&gt;=Settings!$D$2),1,0)</f>
        <v>1</v>
      </c>
      <c r="AE302" s="46">
        <f ca="1">IF(AND(Table1[[#This Row],[SubscriptionStart]]&lt;=Settings!$E$2,Table1[[#This Row],[EffectiveEndDate]]&gt;=Settings!$E$2),1,0)</f>
        <v>1</v>
      </c>
      <c r="AF302"/>
      <c r="AG302"/>
      <c r="AH302"/>
      <c r="AI302"/>
      <c r="AJ302"/>
      <c r="AK302"/>
    </row>
    <row r="303" spans="1:37">
      <c r="A303" s="3" t="s">
        <v>82</v>
      </c>
      <c r="B303" s="3">
        <v>75</v>
      </c>
      <c r="C303" s="3" t="s">
        <v>37</v>
      </c>
      <c r="D303" s="5">
        <v>44869</v>
      </c>
      <c r="E303" s="5">
        <v>45049</v>
      </c>
      <c r="F303" s="3">
        <f ca="1">TODAY() - Table1[[#This Row],[SubscriptionStart]]</f>
        <v>1112</v>
      </c>
      <c r="G303" s="4">
        <v>6</v>
      </c>
      <c r="H303" s="3" t="s">
        <v>38</v>
      </c>
      <c r="I303" s="3" t="s">
        <v>39</v>
      </c>
      <c r="J303" s="7" cm="1">
        <f t="array" ref="J303">_xlfn.IFS(Table1[[#This Row],[Tier]]="Basic",10,Table1[[#This Row],[Tier]]="Standard",18,Table1[[#This Row],[Tier]]="Premium",25)</f>
        <v>18</v>
      </c>
      <c r="K303" s="7" cm="1">
        <f t="array" ref="K30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303" s="7" cm="1">
        <f t="array" ref="L30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303" s="3" t="str" cm="1">
        <f t="array" ref="M303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303" s="3" t="s">
        <v>52</v>
      </c>
      <c r="O303" s="3" t="s">
        <v>32</v>
      </c>
      <c r="P303" s="3" t="s">
        <v>44</v>
      </c>
      <c r="Q303" s="3" t="str" cm="1">
        <f t="array" ref="Q303">_xlfn.IFS(Table1[[#This Row],[TotalRevenue]]&lt;100,"Low",Table1[[#This Row],[TotalRevenue]]&lt;300,"Medium",Table1[[#This Row],[TotalRevenue]]&lt;600,"High",TRUE,"Very High")</f>
        <v>Low</v>
      </c>
      <c r="R303" s="3" t="str" cm="1">
        <f t="array" ref="R303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303" s="3" t="str">
        <f>IF(Table1[[#This Row],[NextBillingDate]]="","Cancelled",IF(Table1[[#This Row],[CancellationDate]]&lt;&gt;"","Cancelled","Active"))</f>
        <v>Cancelled</v>
      </c>
      <c r="T303" s="7" cm="1">
        <f t="array" ref="T30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303" s="5">
        <v>45049</v>
      </c>
      <c r="W303" s="5">
        <v>45049</v>
      </c>
      <c r="X303" s="3">
        <v>0</v>
      </c>
      <c r="Y303" s="5">
        <f ca="1">IF(Table1[[#This Row],[ChurnStatus]]="Cancelled",Table1[[#This Row],[CancellationDate]],TODAY())</f>
        <v>45049</v>
      </c>
      <c r="Z303" s="46">
        <f ca="1">IF(AND(Table1[[#This Row],[SubscriptionStart]] &lt;= TODAY(), Table1[[#This Row],[EffectiveEndDate]] &gt;= TODAY()),1,0)</f>
        <v>0</v>
      </c>
      <c r="AA303" s="46">
        <f ca="1">IF(AND(Table1[[#This Row],[SubscriptionStart]]&lt;=Settings!$A$2,Table1[[#This Row],[EffectiveEndDate]]&gt;=Settings!$A$2),1,0)</f>
        <v>0</v>
      </c>
      <c r="AB303" s="46">
        <f ca="1">IF(AND(Table1[[#This Row],[SubscriptionStart]]&lt;=Settings!$B$2,Table1[[#This Row],[EffectiveEndDate]]&gt;=Settings!$B$2),1,0)</f>
        <v>0</v>
      </c>
      <c r="AC303" s="46">
        <f ca="1">IF(AND(Table1[[#This Row],[SubscriptionStart]]&lt;=Settings!$C$2,Table1[[#This Row],[EffectiveEndDate]]&gt;=Settings!$C$2),1,0)</f>
        <v>1</v>
      </c>
      <c r="AD303" s="46">
        <f ca="1">IF(AND(Table1[[#This Row],[SubscriptionStart]]&lt;=Settings!$D$2,Table1[[#This Row],[EffectiveEndDate]]&gt;=Settings!$D$2),1,0)</f>
        <v>0</v>
      </c>
      <c r="AE303" s="46">
        <f ca="1">IF(AND(Table1[[#This Row],[SubscriptionStart]]&lt;=Settings!$E$2,Table1[[#This Row],[EffectiveEndDate]]&gt;=Settings!$E$2),1,0)</f>
        <v>0</v>
      </c>
      <c r="AF303"/>
      <c r="AG303"/>
      <c r="AH303"/>
      <c r="AI303"/>
      <c r="AJ303"/>
      <c r="AK303"/>
    </row>
    <row r="304" spans="1:37">
      <c r="A304" s="3" t="s">
        <v>372</v>
      </c>
      <c r="B304" s="3">
        <v>50</v>
      </c>
      <c r="C304" s="3" t="s">
        <v>37</v>
      </c>
      <c r="D304" s="5">
        <v>44870</v>
      </c>
      <c r="E304" s="5">
        <v>44900</v>
      </c>
      <c r="F304" s="3">
        <f ca="1">TODAY() - Table1[[#This Row],[SubscriptionStart]]</f>
        <v>1111</v>
      </c>
      <c r="G304" s="4">
        <v>1</v>
      </c>
      <c r="H304" s="3" t="s">
        <v>29</v>
      </c>
      <c r="I304" s="3" t="s">
        <v>39</v>
      </c>
      <c r="J304" s="7" cm="1">
        <f t="array" ref="J304">_xlfn.IFS(Table1[[#This Row],[Tier]]="Basic",10,Table1[[#This Row],[Tier]]="Standard",18,Table1[[#This Row],[Tier]]="Premium",25)</f>
        <v>18</v>
      </c>
      <c r="K304" s="7" cm="1">
        <f t="array" ref="K30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304" s="7" cm="1">
        <f t="array" ref="L30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304" s="3" t="str" cm="1">
        <f t="array" ref="M304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04" s="3" t="s">
        <v>34</v>
      </c>
      <c r="O304" s="3" t="s">
        <v>32</v>
      </c>
      <c r="P304" s="3" t="s">
        <v>47</v>
      </c>
      <c r="Q304" s="3" t="str" cm="1">
        <f t="array" ref="Q304">_xlfn.IFS(Table1[[#This Row],[TotalRevenue]]&lt;100,"Low",Table1[[#This Row],[TotalRevenue]]&lt;300,"Medium",Table1[[#This Row],[TotalRevenue]]&lt;600,"High",TRUE,"Very High")</f>
        <v>Low</v>
      </c>
      <c r="R304" s="3" t="str" cm="1">
        <f t="array" ref="R30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04" s="3" t="str">
        <f>IF(Table1[[#This Row],[NextBillingDate]]="","Cancelled",IF(Table1[[#This Row],[CancellationDate]]&lt;&gt;"","Cancelled","Active"))</f>
        <v>Cancelled</v>
      </c>
      <c r="T304" s="7" cm="1">
        <f t="array" ref="T30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304" s="5">
        <v>44900</v>
      </c>
      <c r="W304" s="5">
        <v>44900</v>
      </c>
      <c r="X304" s="3">
        <v>0</v>
      </c>
      <c r="Y304" s="5">
        <f ca="1">IF(Table1[[#This Row],[ChurnStatus]]="Cancelled",Table1[[#This Row],[CancellationDate]],TODAY())</f>
        <v>44900</v>
      </c>
      <c r="Z304" s="46">
        <f ca="1">IF(AND(Table1[[#This Row],[SubscriptionStart]] &lt;= TODAY(), Table1[[#This Row],[EffectiveEndDate]] &gt;= TODAY()),1,0)</f>
        <v>0</v>
      </c>
      <c r="AA304" s="46">
        <f ca="1">IF(AND(Table1[[#This Row],[SubscriptionStart]]&lt;=Settings!$A$2,Table1[[#This Row],[EffectiveEndDate]]&gt;=Settings!$A$2),1,0)</f>
        <v>0</v>
      </c>
      <c r="AB304" s="46">
        <f ca="1">IF(AND(Table1[[#This Row],[SubscriptionStart]]&lt;=Settings!$B$2,Table1[[#This Row],[EffectiveEndDate]]&gt;=Settings!$B$2),1,0)</f>
        <v>0</v>
      </c>
      <c r="AC304" s="46">
        <f ca="1">IF(AND(Table1[[#This Row],[SubscriptionStart]]&lt;=Settings!$C$2,Table1[[#This Row],[EffectiveEndDate]]&gt;=Settings!$C$2),1,0)</f>
        <v>0</v>
      </c>
      <c r="AD304" s="46">
        <f ca="1">IF(AND(Table1[[#This Row],[SubscriptionStart]]&lt;=Settings!$D$2,Table1[[#This Row],[EffectiveEndDate]]&gt;=Settings!$D$2),1,0)</f>
        <v>0</v>
      </c>
      <c r="AE304" s="46">
        <f ca="1">IF(AND(Table1[[#This Row],[SubscriptionStart]]&lt;=Settings!$E$2,Table1[[#This Row],[EffectiveEndDate]]&gt;=Settings!$E$2),1,0)</f>
        <v>0</v>
      </c>
      <c r="AF304"/>
      <c r="AG304"/>
      <c r="AH304"/>
      <c r="AI304"/>
      <c r="AJ304"/>
      <c r="AK304"/>
    </row>
    <row r="305" spans="1:37">
      <c r="A305" s="3" t="s">
        <v>610</v>
      </c>
      <c r="B305" s="3">
        <v>53</v>
      </c>
      <c r="C305" s="3" t="s">
        <v>23</v>
      </c>
      <c r="D305" s="5">
        <v>44870</v>
      </c>
      <c r="E305" s="5">
        <v>45230</v>
      </c>
      <c r="F305" s="3">
        <f ca="1">TODAY() - Table1[[#This Row],[SubscriptionStart]]</f>
        <v>1111</v>
      </c>
      <c r="G305" s="4">
        <v>12</v>
      </c>
      <c r="H305" s="3" t="s">
        <v>24</v>
      </c>
      <c r="I305" s="3" t="s">
        <v>25</v>
      </c>
      <c r="J305" s="7" cm="1">
        <f t="array" ref="J305">_xlfn.IFS(Table1[[#This Row],[Tier]]="Basic",10,Table1[[#This Row],[Tier]]="Standard",18,Table1[[#This Row],[Tier]]="Premium",25)</f>
        <v>25</v>
      </c>
      <c r="K305" s="7" cm="1">
        <f t="array" ref="K30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05" s="7" cm="1">
        <f t="array" ref="L30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05" s="3" t="str" cm="1">
        <f t="array" ref="M305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05" s="3" t="s">
        <v>31</v>
      </c>
      <c r="O305" s="3" t="s">
        <v>49</v>
      </c>
      <c r="P305" s="3" t="s">
        <v>50</v>
      </c>
      <c r="Q305" s="3" t="str" cm="1">
        <f t="array" ref="Q305">_xlfn.IFS(Table1[[#This Row],[TotalRevenue]]&lt;100,"Low",Table1[[#This Row],[TotalRevenue]]&lt;300,"Medium",Table1[[#This Row],[TotalRevenue]]&lt;600,"High",TRUE,"Very High")</f>
        <v>Medium</v>
      </c>
      <c r="R305" s="3" t="str" cm="1">
        <f t="array" ref="R30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05" s="3" t="str">
        <f>IF(Table1[[#This Row],[NextBillingDate]]="","Cancelled",IF(Table1[[#This Row],[CancellationDate]]&lt;&gt;"","Cancelled","Active"))</f>
        <v>Cancelled</v>
      </c>
      <c r="T305" s="7" cm="1">
        <f t="array" ref="T30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05" s="5">
        <v>45230</v>
      </c>
      <c r="W305" s="5">
        <v>45230</v>
      </c>
      <c r="X305" s="3">
        <v>0</v>
      </c>
      <c r="Y305" s="5">
        <f ca="1">IF(Table1[[#This Row],[ChurnStatus]]="Cancelled",Table1[[#This Row],[CancellationDate]],TODAY())</f>
        <v>45230</v>
      </c>
      <c r="Z305" s="46">
        <f ca="1">IF(AND(Table1[[#This Row],[SubscriptionStart]] &lt;= TODAY(), Table1[[#This Row],[EffectiveEndDate]] &gt;= TODAY()),1,0)</f>
        <v>0</v>
      </c>
      <c r="AA305" s="46">
        <f ca="1">IF(AND(Table1[[#This Row],[SubscriptionStart]]&lt;=Settings!$A$2,Table1[[#This Row],[EffectiveEndDate]]&gt;=Settings!$A$2),1,0)</f>
        <v>0</v>
      </c>
      <c r="AB305" s="46">
        <f ca="1">IF(AND(Table1[[#This Row],[SubscriptionStart]]&lt;=Settings!$B$2,Table1[[#This Row],[EffectiveEndDate]]&gt;=Settings!$B$2),1,0)</f>
        <v>0</v>
      </c>
      <c r="AC305" s="46">
        <f ca="1">IF(AND(Table1[[#This Row],[SubscriptionStart]]&lt;=Settings!$C$2,Table1[[#This Row],[EffectiveEndDate]]&gt;=Settings!$C$2),1,0)</f>
        <v>1</v>
      </c>
      <c r="AD305" s="46">
        <f ca="1">IF(AND(Table1[[#This Row],[SubscriptionStart]]&lt;=Settings!$D$2,Table1[[#This Row],[EffectiveEndDate]]&gt;=Settings!$D$2),1,0)</f>
        <v>1</v>
      </c>
      <c r="AE305" s="46">
        <f ca="1">IF(AND(Table1[[#This Row],[SubscriptionStart]]&lt;=Settings!$E$2,Table1[[#This Row],[EffectiveEndDate]]&gt;=Settings!$E$2),1,0)</f>
        <v>0</v>
      </c>
      <c r="AF305"/>
      <c r="AG305"/>
      <c r="AH305"/>
      <c r="AI305"/>
      <c r="AJ305"/>
      <c r="AK305"/>
    </row>
    <row r="306" spans="1:37">
      <c r="A306" s="3" t="s">
        <v>75</v>
      </c>
      <c r="B306" s="3">
        <v>71</v>
      </c>
      <c r="C306" s="3" t="s">
        <v>23</v>
      </c>
      <c r="D306" s="5">
        <v>44871</v>
      </c>
      <c r="E306" s="5">
        <v>45051</v>
      </c>
      <c r="F306" s="3">
        <f ca="1">TODAY() - Table1[[#This Row],[SubscriptionStart]]</f>
        <v>1110</v>
      </c>
      <c r="G306" s="4">
        <v>6</v>
      </c>
      <c r="H306" s="3" t="s">
        <v>38</v>
      </c>
      <c r="I306" s="3" t="s">
        <v>30</v>
      </c>
      <c r="J306" s="7" cm="1">
        <f t="array" ref="J306">_xlfn.IFS(Table1[[#This Row],[Tier]]="Basic",10,Table1[[#This Row],[Tier]]="Standard",18,Table1[[#This Row],[Tier]]="Premium",25)</f>
        <v>10</v>
      </c>
      <c r="K306" s="7" cm="1">
        <f t="array" ref="K30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306" s="7" cm="1">
        <f t="array" ref="L30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306" s="3" t="str" cm="1">
        <f t="array" ref="M306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306" s="3" t="s">
        <v>34</v>
      </c>
      <c r="O306" s="3" t="s">
        <v>40</v>
      </c>
      <c r="P306" s="3" t="s">
        <v>47</v>
      </c>
      <c r="Q306" s="3" t="str" cm="1">
        <f t="array" ref="Q306">_xlfn.IFS(Table1[[#This Row],[TotalRevenue]]&lt;100,"Low",Table1[[#This Row],[TotalRevenue]]&lt;300,"Medium",Table1[[#This Row],[TotalRevenue]]&lt;600,"High",TRUE,"Very High")</f>
        <v>Low</v>
      </c>
      <c r="R306" s="3" t="str" cm="1">
        <f t="array" ref="R306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306" s="3" t="str">
        <f>IF(Table1[[#This Row],[NextBillingDate]]="","Cancelled",IF(Table1[[#This Row],[CancellationDate]]&lt;&gt;"","Cancelled","Active"))</f>
        <v>Cancelled</v>
      </c>
      <c r="T306" s="7" cm="1">
        <f t="array" ref="T30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306" s="5">
        <v>45051</v>
      </c>
      <c r="W306" s="5">
        <v>45051</v>
      </c>
      <c r="X306" s="3">
        <v>0</v>
      </c>
      <c r="Y306" s="5">
        <f ca="1">IF(Table1[[#This Row],[ChurnStatus]]="Cancelled",Table1[[#This Row],[CancellationDate]],TODAY())</f>
        <v>45051</v>
      </c>
      <c r="Z306" s="46">
        <f ca="1">IF(AND(Table1[[#This Row],[SubscriptionStart]] &lt;= TODAY(), Table1[[#This Row],[EffectiveEndDate]] &gt;= TODAY()),1,0)</f>
        <v>0</v>
      </c>
      <c r="AA306" s="46">
        <f ca="1">IF(AND(Table1[[#This Row],[SubscriptionStart]]&lt;=Settings!$A$2,Table1[[#This Row],[EffectiveEndDate]]&gt;=Settings!$A$2),1,0)</f>
        <v>0</v>
      </c>
      <c r="AB306" s="46">
        <f ca="1">IF(AND(Table1[[#This Row],[SubscriptionStart]]&lt;=Settings!$B$2,Table1[[#This Row],[EffectiveEndDate]]&gt;=Settings!$B$2),1,0)</f>
        <v>0</v>
      </c>
      <c r="AC306" s="46">
        <f ca="1">IF(AND(Table1[[#This Row],[SubscriptionStart]]&lt;=Settings!$C$2,Table1[[#This Row],[EffectiveEndDate]]&gt;=Settings!$C$2),1,0)</f>
        <v>1</v>
      </c>
      <c r="AD306" s="46">
        <f ca="1">IF(AND(Table1[[#This Row],[SubscriptionStart]]&lt;=Settings!$D$2,Table1[[#This Row],[EffectiveEndDate]]&gt;=Settings!$D$2),1,0)</f>
        <v>0</v>
      </c>
      <c r="AE306" s="46">
        <f ca="1">IF(AND(Table1[[#This Row],[SubscriptionStart]]&lt;=Settings!$E$2,Table1[[#This Row],[EffectiveEndDate]]&gt;=Settings!$E$2),1,0)</f>
        <v>0</v>
      </c>
      <c r="AF306"/>
      <c r="AG306"/>
      <c r="AH306"/>
      <c r="AI306"/>
      <c r="AJ306"/>
      <c r="AK306"/>
    </row>
    <row r="307" spans="1:37">
      <c r="A307" s="3" t="s">
        <v>183</v>
      </c>
      <c r="B307" s="3">
        <v>46</v>
      </c>
      <c r="C307" s="3" t="s">
        <v>37</v>
      </c>
      <c r="D307" s="5">
        <v>44872</v>
      </c>
      <c r="E307" s="5">
        <v>45232</v>
      </c>
      <c r="F307" s="3">
        <f ca="1">TODAY() - Table1[[#This Row],[SubscriptionStart]]</f>
        <v>1109</v>
      </c>
      <c r="G307" s="4">
        <v>12</v>
      </c>
      <c r="H307" s="3" t="s">
        <v>24</v>
      </c>
      <c r="I307" s="3" t="s">
        <v>39</v>
      </c>
      <c r="J307" s="7" cm="1">
        <f t="array" ref="J307">_xlfn.IFS(Table1[[#This Row],[Tier]]="Basic",10,Table1[[#This Row],[Tier]]="Standard",18,Table1[[#This Row],[Tier]]="Premium",25)</f>
        <v>18</v>
      </c>
      <c r="K307" s="7" cm="1">
        <f t="array" ref="K30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07" s="7" cm="1">
        <f t="array" ref="L30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07" s="3" t="str" cm="1">
        <f t="array" ref="M30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07" s="3" t="s">
        <v>34</v>
      </c>
      <c r="O307" s="3" t="s">
        <v>40</v>
      </c>
      <c r="P307" s="3" t="s">
        <v>50</v>
      </c>
      <c r="Q307" s="3" t="str" cm="1">
        <f t="array" ref="Q307">_xlfn.IFS(Table1[[#This Row],[TotalRevenue]]&lt;100,"Low",Table1[[#This Row],[TotalRevenue]]&lt;300,"Medium",Table1[[#This Row],[TotalRevenue]]&lt;600,"High",TRUE,"Very High")</f>
        <v>Medium</v>
      </c>
      <c r="R307" s="3" t="str" cm="1">
        <f t="array" ref="R30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07" s="3" t="str">
        <f>IF(Table1[[#This Row],[NextBillingDate]]="","Cancelled",IF(Table1[[#This Row],[CancellationDate]]&lt;&gt;"","Cancelled","Active"))</f>
        <v>Cancelled</v>
      </c>
      <c r="T307" s="7" cm="1">
        <f t="array" ref="T30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07" s="5">
        <v>45232</v>
      </c>
      <c r="W307" s="5">
        <v>45232</v>
      </c>
      <c r="X307" s="3">
        <v>0</v>
      </c>
      <c r="Y307" s="5">
        <f ca="1">IF(Table1[[#This Row],[ChurnStatus]]="Cancelled",Table1[[#This Row],[CancellationDate]],TODAY())</f>
        <v>45232</v>
      </c>
      <c r="Z307" s="46">
        <f ca="1">IF(AND(Table1[[#This Row],[SubscriptionStart]] &lt;= TODAY(), Table1[[#This Row],[EffectiveEndDate]] &gt;= TODAY()),1,0)</f>
        <v>0</v>
      </c>
      <c r="AA307" s="46">
        <f ca="1">IF(AND(Table1[[#This Row],[SubscriptionStart]]&lt;=Settings!$A$2,Table1[[#This Row],[EffectiveEndDate]]&gt;=Settings!$A$2),1,0)</f>
        <v>0</v>
      </c>
      <c r="AB307" s="46">
        <f ca="1">IF(AND(Table1[[#This Row],[SubscriptionStart]]&lt;=Settings!$B$2,Table1[[#This Row],[EffectiveEndDate]]&gt;=Settings!$B$2),1,0)</f>
        <v>0</v>
      </c>
      <c r="AC307" s="46">
        <f ca="1">IF(AND(Table1[[#This Row],[SubscriptionStart]]&lt;=Settings!$C$2,Table1[[#This Row],[EffectiveEndDate]]&gt;=Settings!$C$2),1,0)</f>
        <v>1</v>
      </c>
      <c r="AD307" s="46">
        <f ca="1">IF(AND(Table1[[#This Row],[SubscriptionStart]]&lt;=Settings!$D$2,Table1[[#This Row],[EffectiveEndDate]]&gt;=Settings!$D$2),1,0)</f>
        <v>1</v>
      </c>
      <c r="AE307" s="46">
        <f ca="1">IF(AND(Table1[[#This Row],[SubscriptionStart]]&lt;=Settings!$E$2,Table1[[#This Row],[EffectiveEndDate]]&gt;=Settings!$E$2),1,0)</f>
        <v>0</v>
      </c>
      <c r="AF307"/>
      <c r="AG307"/>
      <c r="AH307"/>
      <c r="AI307"/>
      <c r="AJ307"/>
      <c r="AK307"/>
    </row>
    <row r="308" spans="1:37">
      <c r="A308" s="3" t="s">
        <v>668</v>
      </c>
      <c r="B308" s="3">
        <v>21</v>
      </c>
      <c r="C308" s="3" t="s">
        <v>23</v>
      </c>
      <c r="D308" s="5">
        <v>44873</v>
      </c>
      <c r="E308" s="5">
        <v>45233</v>
      </c>
      <c r="F308" s="3">
        <f ca="1">TODAY() - Table1[[#This Row],[SubscriptionStart]]</f>
        <v>1108</v>
      </c>
      <c r="G308" s="4">
        <v>12</v>
      </c>
      <c r="H308" s="3" t="s">
        <v>24</v>
      </c>
      <c r="I308" s="3" t="s">
        <v>30</v>
      </c>
      <c r="J308" s="7" cm="1">
        <f t="array" ref="J308">_xlfn.IFS(Table1[[#This Row],[Tier]]="Basic",10,Table1[[#This Row],[Tier]]="Standard",18,Table1[[#This Row],[Tier]]="Premium",25)</f>
        <v>10</v>
      </c>
      <c r="K308" s="7" cm="1">
        <f t="array" ref="K30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308" s="7" cm="1">
        <f t="array" ref="L30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308" s="3" t="str" cm="1">
        <f t="array" ref="M308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308" s="3" t="s">
        <v>52</v>
      </c>
      <c r="O308" s="3" t="s">
        <v>43</v>
      </c>
      <c r="P308" s="3" t="s">
        <v>35</v>
      </c>
      <c r="Q308" s="3" t="str" cm="1">
        <f t="array" ref="Q308">_xlfn.IFS(Table1[[#This Row],[TotalRevenue]]&lt;100,"Low",Table1[[#This Row],[TotalRevenue]]&lt;300,"Medium",Table1[[#This Row],[TotalRevenue]]&lt;600,"High",TRUE,"Very High")</f>
        <v>Low</v>
      </c>
      <c r="R308" s="3" t="str" cm="1">
        <f t="array" ref="R308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308" s="3" t="str">
        <f>IF(Table1[[#This Row],[NextBillingDate]]="","Cancelled",IF(Table1[[#This Row],[CancellationDate]]&lt;&gt;"","Cancelled","Active"))</f>
        <v>Cancelled</v>
      </c>
      <c r="T308" s="7" cm="1">
        <f t="array" ref="T30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308" s="5">
        <v>45233</v>
      </c>
      <c r="W308" s="5">
        <v>45233</v>
      </c>
      <c r="X308" s="3">
        <v>0</v>
      </c>
      <c r="Y308" s="5">
        <f ca="1">IF(Table1[[#This Row],[ChurnStatus]]="Cancelled",Table1[[#This Row],[CancellationDate]],TODAY())</f>
        <v>45233</v>
      </c>
      <c r="Z308" s="46">
        <f ca="1">IF(AND(Table1[[#This Row],[SubscriptionStart]] &lt;= TODAY(), Table1[[#This Row],[EffectiveEndDate]] &gt;= TODAY()),1,0)</f>
        <v>0</v>
      </c>
      <c r="AA308" s="46">
        <f ca="1">IF(AND(Table1[[#This Row],[SubscriptionStart]]&lt;=Settings!$A$2,Table1[[#This Row],[EffectiveEndDate]]&gt;=Settings!$A$2),1,0)</f>
        <v>0</v>
      </c>
      <c r="AB308" s="46">
        <f ca="1">IF(AND(Table1[[#This Row],[SubscriptionStart]]&lt;=Settings!$B$2,Table1[[#This Row],[EffectiveEndDate]]&gt;=Settings!$B$2),1,0)</f>
        <v>0</v>
      </c>
      <c r="AC308" s="46">
        <f ca="1">IF(AND(Table1[[#This Row],[SubscriptionStart]]&lt;=Settings!$C$2,Table1[[#This Row],[EffectiveEndDate]]&gt;=Settings!$C$2),1,0)</f>
        <v>1</v>
      </c>
      <c r="AD308" s="46">
        <f ca="1">IF(AND(Table1[[#This Row],[SubscriptionStart]]&lt;=Settings!$D$2,Table1[[#This Row],[EffectiveEndDate]]&gt;=Settings!$D$2),1,0)</f>
        <v>1</v>
      </c>
      <c r="AE308" s="46">
        <f ca="1">IF(AND(Table1[[#This Row],[SubscriptionStart]]&lt;=Settings!$E$2,Table1[[#This Row],[EffectiveEndDate]]&gt;=Settings!$E$2),1,0)</f>
        <v>0</v>
      </c>
      <c r="AF308"/>
      <c r="AG308"/>
      <c r="AH308"/>
      <c r="AI308"/>
      <c r="AJ308"/>
      <c r="AK308"/>
    </row>
    <row r="309" spans="1:37">
      <c r="A309" s="3" t="s">
        <v>83</v>
      </c>
      <c r="B309" s="3">
        <v>49</v>
      </c>
      <c r="C309" s="3" t="s">
        <v>37</v>
      </c>
      <c r="D309" s="5">
        <v>44874</v>
      </c>
      <c r="E309" s="5">
        <v>45054</v>
      </c>
      <c r="F309" s="3">
        <f ca="1">TODAY() - Table1[[#This Row],[SubscriptionStart]]</f>
        <v>1107</v>
      </c>
      <c r="G309" s="4">
        <v>6</v>
      </c>
      <c r="H309" s="3" t="s">
        <v>38</v>
      </c>
      <c r="I309" s="3" t="s">
        <v>39</v>
      </c>
      <c r="J309" s="7" cm="1">
        <f t="array" ref="J309">_xlfn.IFS(Table1[[#This Row],[Tier]]="Basic",10,Table1[[#This Row],[Tier]]="Standard",18,Table1[[#This Row],[Tier]]="Premium",25)</f>
        <v>18</v>
      </c>
      <c r="K309" s="7" cm="1">
        <f t="array" ref="K30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309" s="7" cm="1">
        <f t="array" ref="L30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309" s="3" t="str" cm="1">
        <f t="array" ref="M30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09" s="3" t="s">
        <v>26</v>
      </c>
      <c r="O309" s="3" t="s">
        <v>27</v>
      </c>
      <c r="P309" s="3" t="s">
        <v>47</v>
      </c>
      <c r="Q309" s="3" t="str" cm="1">
        <f t="array" ref="Q309">_xlfn.IFS(Table1[[#This Row],[TotalRevenue]]&lt;100,"Low",Table1[[#This Row],[TotalRevenue]]&lt;300,"Medium",Table1[[#This Row],[TotalRevenue]]&lt;600,"High",TRUE,"Very High")</f>
        <v>Low</v>
      </c>
      <c r="R309" s="3" t="str" cm="1">
        <f t="array" ref="R30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09" s="3" t="str">
        <f>IF(Table1[[#This Row],[NextBillingDate]]="","Cancelled",IF(Table1[[#This Row],[CancellationDate]]&lt;&gt;"","Cancelled","Active"))</f>
        <v>Cancelled</v>
      </c>
      <c r="T309" s="7" cm="1">
        <f t="array" ref="T30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309" s="5">
        <v>45054</v>
      </c>
      <c r="W309" s="5">
        <v>45054</v>
      </c>
      <c r="X309" s="3">
        <v>0</v>
      </c>
      <c r="Y309" s="5">
        <f ca="1">IF(Table1[[#This Row],[ChurnStatus]]="Cancelled",Table1[[#This Row],[CancellationDate]],TODAY())</f>
        <v>45054</v>
      </c>
      <c r="Z309" s="46">
        <f ca="1">IF(AND(Table1[[#This Row],[SubscriptionStart]] &lt;= TODAY(), Table1[[#This Row],[EffectiveEndDate]] &gt;= TODAY()),1,0)</f>
        <v>0</v>
      </c>
      <c r="AA309" s="46">
        <f ca="1">IF(AND(Table1[[#This Row],[SubscriptionStart]]&lt;=Settings!$A$2,Table1[[#This Row],[EffectiveEndDate]]&gt;=Settings!$A$2),1,0)</f>
        <v>0</v>
      </c>
      <c r="AB309" s="46">
        <f ca="1">IF(AND(Table1[[#This Row],[SubscriptionStart]]&lt;=Settings!$B$2,Table1[[#This Row],[EffectiveEndDate]]&gt;=Settings!$B$2),1,0)</f>
        <v>0</v>
      </c>
      <c r="AC309" s="46">
        <f ca="1">IF(AND(Table1[[#This Row],[SubscriptionStart]]&lt;=Settings!$C$2,Table1[[#This Row],[EffectiveEndDate]]&gt;=Settings!$C$2),1,0)</f>
        <v>1</v>
      </c>
      <c r="AD309" s="46">
        <f ca="1">IF(AND(Table1[[#This Row],[SubscriptionStart]]&lt;=Settings!$D$2,Table1[[#This Row],[EffectiveEndDate]]&gt;=Settings!$D$2),1,0)</f>
        <v>0</v>
      </c>
      <c r="AE309" s="46">
        <f ca="1">IF(AND(Table1[[#This Row],[SubscriptionStart]]&lt;=Settings!$E$2,Table1[[#This Row],[EffectiveEndDate]]&gt;=Settings!$E$2),1,0)</f>
        <v>0</v>
      </c>
      <c r="AF309"/>
      <c r="AG309"/>
      <c r="AH309"/>
      <c r="AI309"/>
      <c r="AJ309"/>
      <c r="AK309"/>
    </row>
    <row r="310" spans="1:37">
      <c r="A310" s="3" t="s">
        <v>627</v>
      </c>
      <c r="B310" s="3">
        <v>33</v>
      </c>
      <c r="C310" s="3" t="s">
        <v>23</v>
      </c>
      <c r="D310" s="5">
        <v>44875</v>
      </c>
      <c r="E310" s="5">
        <v>45235</v>
      </c>
      <c r="F310" s="3">
        <f ca="1">TODAY() - Table1[[#This Row],[SubscriptionStart]]</f>
        <v>1106</v>
      </c>
      <c r="G310" s="4">
        <v>12</v>
      </c>
      <c r="H310" s="3" t="s">
        <v>24</v>
      </c>
      <c r="I310" s="3" t="s">
        <v>25</v>
      </c>
      <c r="J310" s="7" cm="1">
        <f t="array" ref="J310">_xlfn.IFS(Table1[[#This Row],[Tier]]="Basic",10,Table1[[#This Row],[Tier]]="Standard",18,Table1[[#This Row],[Tier]]="Premium",25)</f>
        <v>25</v>
      </c>
      <c r="K310" s="7" cm="1">
        <f t="array" ref="K31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10" s="7" cm="1">
        <f t="array" ref="L31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10" s="3" t="str" cm="1">
        <f t="array" ref="M31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10" s="3" t="s">
        <v>31</v>
      </c>
      <c r="O310" s="3" t="s">
        <v>49</v>
      </c>
      <c r="P310" s="3" t="s">
        <v>47</v>
      </c>
      <c r="Q310" s="3" t="str" cm="1">
        <f t="array" ref="Q310">_xlfn.IFS(Table1[[#This Row],[TotalRevenue]]&lt;100,"Low",Table1[[#This Row],[TotalRevenue]]&lt;300,"Medium",Table1[[#This Row],[TotalRevenue]]&lt;600,"High",TRUE,"Very High")</f>
        <v>Medium</v>
      </c>
      <c r="R310" s="3" t="str" cm="1">
        <f t="array" ref="R31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10" s="3" t="str">
        <f>IF(Table1[[#This Row],[NextBillingDate]]="","Cancelled",IF(Table1[[#This Row],[CancellationDate]]&lt;&gt;"","Cancelled","Active"))</f>
        <v>Cancelled</v>
      </c>
      <c r="T310" s="7" cm="1">
        <f t="array" ref="T31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10" s="5">
        <v>45235</v>
      </c>
      <c r="W310" s="5">
        <v>45235</v>
      </c>
      <c r="X310" s="3">
        <v>0</v>
      </c>
      <c r="Y310" s="5">
        <f ca="1">IF(Table1[[#This Row],[ChurnStatus]]="Cancelled",Table1[[#This Row],[CancellationDate]],TODAY())</f>
        <v>45235</v>
      </c>
      <c r="Z310" s="46">
        <f ca="1">IF(AND(Table1[[#This Row],[SubscriptionStart]] &lt;= TODAY(), Table1[[#This Row],[EffectiveEndDate]] &gt;= TODAY()),1,0)</f>
        <v>0</v>
      </c>
      <c r="AA310" s="46">
        <f ca="1">IF(AND(Table1[[#This Row],[SubscriptionStart]]&lt;=Settings!$A$2,Table1[[#This Row],[EffectiveEndDate]]&gt;=Settings!$A$2),1,0)</f>
        <v>0</v>
      </c>
      <c r="AB310" s="46">
        <f ca="1">IF(AND(Table1[[#This Row],[SubscriptionStart]]&lt;=Settings!$B$2,Table1[[#This Row],[EffectiveEndDate]]&gt;=Settings!$B$2),1,0)</f>
        <v>0</v>
      </c>
      <c r="AC310" s="46">
        <f ca="1">IF(AND(Table1[[#This Row],[SubscriptionStart]]&lt;=Settings!$C$2,Table1[[#This Row],[EffectiveEndDate]]&gt;=Settings!$C$2),1,0)</f>
        <v>1</v>
      </c>
      <c r="AD310" s="46">
        <f ca="1">IF(AND(Table1[[#This Row],[SubscriptionStart]]&lt;=Settings!$D$2,Table1[[#This Row],[EffectiveEndDate]]&gt;=Settings!$D$2),1,0)</f>
        <v>1</v>
      </c>
      <c r="AE310" s="46">
        <f ca="1">IF(AND(Table1[[#This Row],[SubscriptionStart]]&lt;=Settings!$E$2,Table1[[#This Row],[EffectiveEndDate]]&gt;=Settings!$E$2),1,0)</f>
        <v>0</v>
      </c>
      <c r="AF310"/>
      <c r="AG310"/>
      <c r="AH310"/>
      <c r="AI310"/>
      <c r="AJ310"/>
      <c r="AK310"/>
    </row>
    <row r="311" spans="1:37">
      <c r="A311" s="3" t="s">
        <v>389</v>
      </c>
      <c r="B311" s="3">
        <v>31</v>
      </c>
      <c r="C311" s="3" t="s">
        <v>23</v>
      </c>
      <c r="D311" s="5">
        <v>44876</v>
      </c>
      <c r="E311" s="5">
        <v>45236</v>
      </c>
      <c r="F311" s="3">
        <f ca="1">TODAY() - Table1[[#This Row],[SubscriptionStart]]</f>
        <v>1105</v>
      </c>
      <c r="G311" s="4">
        <v>12</v>
      </c>
      <c r="H311" s="3" t="s">
        <v>24</v>
      </c>
      <c r="I311" s="3" t="s">
        <v>30</v>
      </c>
      <c r="J311" s="7" cm="1">
        <f t="array" ref="J311">_xlfn.IFS(Table1[[#This Row],[Tier]]="Basic",10,Table1[[#This Row],[Tier]]="Standard",18,Table1[[#This Row],[Tier]]="Premium",25)</f>
        <v>10</v>
      </c>
      <c r="K311" s="7" cm="1">
        <f t="array" ref="K31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311" s="7" cm="1">
        <f t="array" ref="L31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311" s="3" t="str" cm="1">
        <f t="array" ref="M31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11" s="3" t="s">
        <v>31</v>
      </c>
      <c r="O311" s="3" t="s">
        <v>43</v>
      </c>
      <c r="P311" s="3" t="s">
        <v>35</v>
      </c>
      <c r="Q311" s="3" t="str" cm="1">
        <f t="array" ref="Q311">_xlfn.IFS(Table1[[#This Row],[TotalRevenue]]&lt;100,"Low",Table1[[#This Row],[TotalRevenue]]&lt;300,"Medium",Table1[[#This Row],[TotalRevenue]]&lt;600,"High",TRUE,"Very High")</f>
        <v>Low</v>
      </c>
      <c r="R311" s="3" t="str" cm="1">
        <f t="array" ref="R31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11" s="3" t="str">
        <f>IF(Table1[[#This Row],[NextBillingDate]]="","Cancelled",IF(Table1[[#This Row],[CancellationDate]]&lt;&gt;"","Cancelled","Active"))</f>
        <v>Cancelled</v>
      </c>
      <c r="T311" s="7" cm="1">
        <f t="array" ref="T31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311" s="5">
        <v>45236</v>
      </c>
      <c r="W311" s="5">
        <v>45236</v>
      </c>
      <c r="X311" s="3">
        <v>0</v>
      </c>
      <c r="Y311" s="5">
        <f ca="1">IF(Table1[[#This Row],[ChurnStatus]]="Cancelled",Table1[[#This Row],[CancellationDate]],TODAY())</f>
        <v>45236</v>
      </c>
      <c r="Z311" s="46">
        <f ca="1">IF(AND(Table1[[#This Row],[SubscriptionStart]] &lt;= TODAY(), Table1[[#This Row],[EffectiveEndDate]] &gt;= TODAY()),1,0)</f>
        <v>0</v>
      </c>
      <c r="AA311" s="46">
        <f ca="1">IF(AND(Table1[[#This Row],[SubscriptionStart]]&lt;=Settings!$A$2,Table1[[#This Row],[EffectiveEndDate]]&gt;=Settings!$A$2),1,0)</f>
        <v>0</v>
      </c>
      <c r="AB311" s="46">
        <f ca="1">IF(AND(Table1[[#This Row],[SubscriptionStart]]&lt;=Settings!$B$2,Table1[[#This Row],[EffectiveEndDate]]&gt;=Settings!$B$2),1,0)</f>
        <v>0</v>
      </c>
      <c r="AC311" s="46">
        <f ca="1">IF(AND(Table1[[#This Row],[SubscriptionStart]]&lt;=Settings!$C$2,Table1[[#This Row],[EffectiveEndDate]]&gt;=Settings!$C$2),1,0)</f>
        <v>1</v>
      </c>
      <c r="AD311" s="46">
        <f ca="1">IF(AND(Table1[[#This Row],[SubscriptionStart]]&lt;=Settings!$D$2,Table1[[#This Row],[EffectiveEndDate]]&gt;=Settings!$D$2),1,0)</f>
        <v>1</v>
      </c>
      <c r="AE311" s="46">
        <f ca="1">IF(AND(Table1[[#This Row],[SubscriptionStart]]&lt;=Settings!$E$2,Table1[[#This Row],[EffectiveEndDate]]&gt;=Settings!$E$2),1,0)</f>
        <v>0</v>
      </c>
      <c r="AF311"/>
      <c r="AG311"/>
      <c r="AH311"/>
      <c r="AI311"/>
      <c r="AJ311"/>
      <c r="AK311"/>
    </row>
    <row r="312" spans="1:37">
      <c r="A312" s="3" t="s">
        <v>457</v>
      </c>
      <c r="B312" s="3">
        <v>47</v>
      </c>
      <c r="C312" s="3" t="s">
        <v>37</v>
      </c>
      <c r="D312" s="5">
        <v>44876</v>
      </c>
      <c r="E312" s="5">
        <v>45236</v>
      </c>
      <c r="F312" s="3">
        <f ca="1">TODAY() - Table1[[#This Row],[SubscriptionStart]]</f>
        <v>1105</v>
      </c>
      <c r="G312" s="4">
        <v>12</v>
      </c>
      <c r="H312" s="3" t="s">
        <v>24</v>
      </c>
      <c r="I312" s="3" t="s">
        <v>39</v>
      </c>
      <c r="J312" s="7" cm="1">
        <f t="array" ref="J312">_xlfn.IFS(Table1[[#This Row],[Tier]]="Basic",10,Table1[[#This Row],[Tier]]="Standard",18,Table1[[#This Row],[Tier]]="Premium",25)</f>
        <v>18</v>
      </c>
      <c r="K312" s="7" cm="1">
        <f t="array" ref="K31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12" s="7" cm="1">
        <f t="array" ref="L31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12" s="3" t="str" cm="1">
        <f t="array" ref="M31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12" s="3" t="s">
        <v>31</v>
      </c>
      <c r="O312" s="3" t="s">
        <v>40</v>
      </c>
      <c r="P312" s="3" t="s">
        <v>35</v>
      </c>
      <c r="Q312" s="3" t="str" cm="1">
        <f t="array" ref="Q312">_xlfn.IFS(Table1[[#This Row],[TotalRevenue]]&lt;100,"Low",Table1[[#This Row],[TotalRevenue]]&lt;300,"Medium",Table1[[#This Row],[TotalRevenue]]&lt;600,"High",TRUE,"Very High")</f>
        <v>Medium</v>
      </c>
      <c r="R312" s="3" t="str" cm="1">
        <f t="array" ref="R31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12" s="3" t="str">
        <f>IF(Table1[[#This Row],[NextBillingDate]]="","Cancelled",IF(Table1[[#This Row],[CancellationDate]]&lt;&gt;"","Cancelled","Active"))</f>
        <v>Cancelled</v>
      </c>
      <c r="T312" s="7" cm="1">
        <f t="array" ref="T31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12" s="5">
        <v>45236</v>
      </c>
      <c r="W312" s="5">
        <v>45236</v>
      </c>
      <c r="X312" s="3">
        <v>0</v>
      </c>
      <c r="Y312" s="5">
        <f ca="1">IF(Table1[[#This Row],[ChurnStatus]]="Cancelled",Table1[[#This Row],[CancellationDate]],TODAY())</f>
        <v>45236</v>
      </c>
      <c r="Z312" s="46">
        <f ca="1">IF(AND(Table1[[#This Row],[SubscriptionStart]] &lt;= TODAY(), Table1[[#This Row],[EffectiveEndDate]] &gt;= TODAY()),1,0)</f>
        <v>0</v>
      </c>
      <c r="AA312" s="46">
        <f ca="1">IF(AND(Table1[[#This Row],[SubscriptionStart]]&lt;=Settings!$A$2,Table1[[#This Row],[EffectiveEndDate]]&gt;=Settings!$A$2),1,0)</f>
        <v>0</v>
      </c>
      <c r="AB312" s="46">
        <f ca="1">IF(AND(Table1[[#This Row],[SubscriptionStart]]&lt;=Settings!$B$2,Table1[[#This Row],[EffectiveEndDate]]&gt;=Settings!$B$2),1,0)</f>
        <v>0</v>
      </c>
      <c r="AC312" s="46">
        <f ca="1">IF(AND(Table1[[#This Row],[SubscriptionStart]]&lt;=Settings!$C$2,Table1[[#This Row],[EffectiveEndDate]]&gt;=Settings!$C$2),1,0)</f>
        <v>1</v>
      </c>
      <c r="AD312" s="46">
        <f ca="1">IF(AND(Table1[[#This Row],[SubscriptionStart]]&lt;=Settings!$D$2,Table1[[#This Row],[EffectiveEndDate]]&gt;=Settings!$D$2),1,0)</f>
        <v>1</v>
      </c>
      <c r="AE312" s="46">
        <f ca="1">IF(AND(Table1[[#This Row],[SubscriptionStart]]&lt;=Settings!$E$2,Table1[[#This Row],[EffectiveEndDate]]&gt;=Settings!$E$2),1,0)</f>
        <v>0</v>
      </c>
      <c r="AF312"/>
      <c r="AG312"/>
      <c r="AH312"/>
      <c r="AI312"/>
      <c r="AJ312"/>
      <c r="AK312"/>
    </row>
    <row r="313" spans="1:37">
      <c r="A313" s="3" t="s">
        <v>748</v>
      </c>
      <c r="B313" s="3">
        <v>57</v>
      </c>
      <c r="C313" s="3" t="s">
        <v>23</v>
      </c>
      <c r="D313" s="5">
        <v>44878</v>
      </c>
      <c r="F313" s="3">
        <f ca="1">TODAY() - Table1[[#This Row],[SubscriptionStart]]</f>
        <v>1103</v>
      </c>
      <c r="G313" s="4">
        <v>42</v>
      </c>
      <c r="H313" s="3" t="s">
        <v>38</v>
      </c>
      <c r="I313" s="3" t="s">
        <v>39</v>
      </c>
      <c r="J313" s="7" cm="1">
        <f t="array" ref="J313">_xlfn.IFS(Table1[[#This Row],[Tier]]="Basic",10,Table1[[#This Row],[Tier]]="Standard",18,Table1[[#This Row],[Tier]]="Premium",25)</f>
        <v>18</v>
      </c>
      <c r="K313" s="7" cm="1">
        <f t="array" ref="K31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313" s="7" cm="1">
        <f t="array" ref="L31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550.79999999999995</v>
      </c>
      <c r="M313" s="3" t="str" cm="1">
        <f t="array" ref="M31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13" s="3" t="s">
        <v>31</v>
      </c>
      <c r="O313" s="3" t="s">
        <v>27</v>
      </c>
      <c r="Q313" s="3" t="str" cm="1">
        <f t="array" ref="Q313">_xlfn.IFS(Table1[[#This Row],[TotalRevenue]]&lt;100,"Low",Table1[[#This Row],[TotalRevenue]]&lt;300,"Medium",Table1[[#This Row],[TotalRevenue]]&lt;600,"High",TRUE,"Very High")</f>
        <v>High</v>
      </c>
      <c r="R313" s="3" t="str" cm="1">
        <f t="array" ref="R31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13" s="3" t="str">
        <f>IF(Table1[[#This Row],[NextBillingDate]]="","Cancelled",IF(Table1[[#This Row],[CancellationDate]]&lt;&gt;"","Cancelled","Active"))</f>
        <v>Active</v>
      </c>
      <c r="T313" s="7" cm="1">
        <f t="array" ref="T31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631.79999999999995</v>
      </c>
      <c r="V313" s="5">
        <v>46138</v>
      </c>
      <c r="W313" s="5">
        <v>46138</v>
      </c>
      <c r="X313" s="3">
        <v>6</v>
      </c>
      <c r="Y313" s="5">
        <f ca="1">IF(Table1[[#This Row],[ChurnStatus]]="Cancelled",Table1[[#This Row],[CancellationDate]],TODAY())</f>
        <v>45981</v>
      </c>
      <c r="Z313" s="46">
        <f ca="1">IF(AND(Table1[[#This Row],[SubscriptionStart]] &lt;= TODAY(), Table1[[#This Row],[EffectiveEndDate]] &gt;= TODAY()),1,0)</f>
        <v>1</v>
      </c>
      <c r="AA313" s="46">
        <f ca="1">IF(AND(Table1[[#This Row],[SubscriptionStart]]&lt;=Settings!$A$2,Table1[[#This Row],[EffectiveEndDate]]&gt;=Settings!$A$2),1,0)</f>
        <v>0</v>
      </c>
      <c r="AB313" s="46">
        <f ca="1">IF(AND(Table1[[#This Row],[SubscriptionStart]]&lt;=Settings!$B$2,Table1[[#This Row],[EffectiveEndDate]]&gt;=Settings!$B$2),1,0)</f>
        <v>0</v>
      </c>
      <c r="AC313" s="46">
        <f ca="1">IF(AND(Table1[[#This Row],[SubscriptionStart]]&lt;=Settings!$C$2,Table1[[#This Row],[EffectiveEndDate]]&gt;=Settings!$C$2),1,0)</f>
        <v>1</v>
      </c>
      <c r="AD313" s="46">
        <f ca="1">IF(AND(Table1[[#This Row],[SubscriptionStart]]&lt;=Settings!$D$2,Table1[[#This Row],[EffectiveEndDate]]&gt;=Settings!$D$2),1,0)</f>
        <v>1</v>
      </c>
      <c r="AE313" s="46">
        <f ca="1">IF(AND(Table1[[#This Row],[SubscriptionStart]]&lt;=Settings!$E$2,Table1[[#This Row],[EffectiveEndDate]]&gt;=Settings!$E$2),1,0)</f>
        <v>1</v>
      </c>
      <c r="AF313"/>
      <c r="AG313"/>
      <c r="AH313"/>
      <c r="AI313"/>
      <c r="AJ313"/>
      <c r="AK313"/>
    </row>
    <row r="314" spans="1:37">
      <c r="A314" s="3" t="s">
        <v>506</v>
      </c>
      <c r="B314" s="3">
        <v>61</v>
      </c>
      <c r="C314" s="3" t="s">
        <v>37</v>
      </c>
      <c r="D314" s="5">
        <v>44879</v>
      </c>
      <c r="E314" s="5">
        <v>45239</v>
      </c>
      <c r="F314" s="3">
        <f ca="1">TODAY() - Table1[[#This Row],[SubscriptionStart]]</f>
        <v>1102</v>
      </c>
      <c r="G314" s="4">
        <v>12</v>
      </c>
      <c r="H314" s="3" t="s">
        <v>24</v>
      </c>
      <c r="I314" s="3" t="s">
        <v>25</v>
      </c>
      <c r="J314" s="7" cm="1">
        <f t="array" ref="J314">_xlfn.IFS(Table1[[#This Row],[Tier]]="Basic",10,Table1[[#This Row],[Tier]]="Standard",18,Table1[[#This Row],[Tier]]="Premium",25)</f>
        <v>25</v>
      </c>
      <c r="K314" s="7" cm="1">
        <f t="array" ref="K31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14" s="7" cm="1">
        <f t="array" ref="L31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14" s="3" t="str" cm="1">
        <f t="array" ref="M31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314" s="3" t="s">
        <v>34</v>
      </c>
      <c r="O314" s="3" t="s">
        <v>43</v>
      </c>
      <c r="P314" s="3" t="s">
        <v>47</v>
      </c>
      <c r="Q314" s="3" t="str" cm="1">
        <f t="array" ref="Q314">_xlfn.IFS(Table1[[#This Row],[TotalRevenue]]&lt;100,"Low",Table1[[#This Row],[TotalRevenue]]&lt;300,"Medium",Table1[[#This Row],[TotalRevenue]]&lt;600,"High",TRUE,"Very High")</f>
        <v>Medium</v>
      </c>
      <c r="R314" s="3" t="str" cm="1">
        <f t="array" ref="R31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314" s="3" t="str">
        <f>IF(Table1[[#This Row],[NextBillingDate]]="","Cancelled",IF(Table1[[#This Row],[CancellationDate]]&lt;&gt;"","Cancelled","Active"))</f>
        <v>Cancelled</v>
      </c>
      <c r="T314" s="7" cm="1">
        <f t="array" ref="T31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14" s="5">
        <v>45239</v>
      </c>
      <c r="W314" s="5">
        <v>45239</v>
      </c>
      <c r="X314" s="3">
        <v>0</v>
      </c>
      <c r="Y314" s="5">
        <f ca="1">IF(Table1[[#This Row],[ChurnStatus]]="Cancelled",Table1[[#This Row],[CancellationDate]],TODAY())</f>
        <v>45239</v>
      </c>
      <c r="Z314" s="46">
        <f ca="1">IF(AND(Table1[[#This Row],[SubscriptionStart]] &lt;= TODAY(), Table1[[#This Row],[EffectiveEndDate]] &gt;= TODAY()),1,0)</f>
        <v>0</v>
      </c>
      <c r="AA314" s="46">
        <f ca="1">IF(AND(Table1[[#This Row],[SubscriptionStart]]&lt;=Settings!$A$2,Table1[[#This Row],[EffectiveEndDate]]&gt;=Settings!$A$2),1,0)</f>
        <v>0</v>
      </c>
      <c r="AB314" s="46">
        <f ca="1">IF(AND(Table1[[#This Row],[SubscriptionStart]]&lt;=Settings!$B$2,Table1[[#This Row],[EffectiveEndDate]]&gt;=Settings!$B$2),1,0)</f>
        <v>0</v>
      </c>
      <c r="AC314" s="46">
        <f ca="1">IF(AND(Table1[[#This Row],[SubscriptionStart]]&lt;=Settings!$C$2,Table1[[#This Row],[EffectiveEndDate]]&gt;=Settings!$C$2),1,0)</f>
        <v>1</v>
      </c>
      <c r="AD314" s="46">
        <f ca="1">IF(AND(Table1[[#This Row],[SubscriptionStart]]&lt;=Settings!$D$2,Table1[[#This Row],[EffectiveEndDate]]&gt;=Settings!$D$2),1,0)</f>
        <v>1</v>
      </c>
      <c r="AE314" s="46">
        <f ca="1">IF(AND(Table1[[#This Row],[SubscriptionStart]]&lt;=Settings!$E$2,Table1[[#This Row],[EffectiveEndDate]]&gt;=Settings!$E$2),1,0)</f>
        <v>0</v>
      </c>
      <c r="AF314"/>
      <c r="AG314"/>
      <c r="AH314"/>
      <c r="AI314"/>
      <c r="AJ314"/>
      <c r="AK314"/>
    </row>
    <row r="315" spans="1:37">
      <c r="A315" s="3" t="s">
        <v>829</v>
      </c>
      <c r="B315" s="3">
        <v>73</v>
      </c>
      <c r="C315" s="3" t="s">
        <v>37</v>
      </c>
      <c r="D315" s="5">
        <v>44880</v>
      </c>
      <c r="F315" s="3">
        <f ca="1">TODAY() - Table1[[#This Row],[SubscriptionStart]]</f>
        <v>1101</v>
      </c>
      <c r="G315" s="4">
        <v>48</v>
      </c>
      <c r="H315" s="3" t="s">
        <v>24</v>
      </c>
      <c r="I315" s="3" t="s">
        <v>39</v>
      </c>
      <c r="J315" s="7" cm="1">
        <f t="array" ref="J315">_xlfn.IFS(Table1[[#This Row],[Tier]]="Basic",10,Table1[[#This Row],[Tier]]="Standard",18,Table1[[#This Row],[Tier]]="Premium",25)</f>
        <v>18</v>
      </c>
      <c r="K315" s="7" cm="1">
        <f t="array" ref="K31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315" s="7" cm="1">
        <f t="array" ref="L31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561.6</v>
      </c>
      <c r="M315" s="3" t="str" cm="1">
        <f t="array" ref="M315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315" s="3" t="s">
        <v>34</v>
      </c>
      <c r="O315" s="3" t="s">
        <v>49</v>
      </c>
      <c r="Q315" s="3" t="str" cm="1">
        <f t="array" ref="Q315">_xlfn.IFS(Table1[[#This Row],[TotalRevenue]]&lt;100,"Low",Table1[[#This Row],[TotalRevenue]]&lt;300,"Medium",Table1[[#This Row],[TotalRevenue]]&lt;600,"High",TRUE,"Very High")</f>
        <v>High</v>
      </c>
      <c r="R315" s="3" t="str" cm="1">
        <f t="array" ref="R315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315" s="3" t="str">
        <f>IF(Table1[[#This Row],[NextBillingDate]]="","Cancelled",IF(Table1[[#This Row],[CancellationDate]]&lt;&gt;"","Cancelled","Active"))</f>
        <v>Active</v>
      </c>
      <c r="T315" s="7" cm="1">
        <f t="array" ref="T31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705.6</v>
      </c>
      <c r="V315" s="5">
        <v>46320</v>
      </c>
      <c r="W315" s="5">
        <v>46320</v>
      </c>
      <c r="X315" s="3">
        <v>3</v>
      </c>
      <c r="Y315" s="5">
        <f ca="1">IF(Table1[[#This Row],[ChurnStatus]]="Cancelled",Table1[[#This Row],[CancellationDate]],TODAY())</f>
        <v>45981</v>
      </c>
      <c r="Z315" s="46">
        <f ca="1">IF(AND(Table1[[#This Row],[SubscriptionStart]] &lt;= TODAY(), Table1[[#This Row],[EffectiveEndDate]] &gt;= TODAY()),1,0)</f>
        <v>1</v>
      </c>
      <c r="AA315" s="46">
        <f ca="1">IF(AND(Table1[[#This Row],[SubscriptionStart]]&lt;=Settings!$A$2,Table1[[#This Row],[EffectiveEndDate]]&gt;=Settings!$A$2),1,0)</f>
        <v>0</v>
      </c>
      <c r="AB315" s="46">
        <f ca="1">IF(AND(Table1[[#This Row],[SubscriptionStart]]&lt;=Settings!$B$2,Table1[[#This Row],[EffectiveEndDate]]&gt;=Settings!$B$2),1,0)</f>
        <v>0</v>
      </c>
      <c r="AC315" s="46">
        <f ca="1">IF(AND(Table1[[#This Row],[SubscriptionStart]]&lt;=Settings!$C$2,Table1[[#This Row],[EffectiveEndDate]]&gt;=Settings!$C$2),1,0)</f>
        <v>1</v>
      </c>
      <c r="AD315" s="46">
        <f ca="1">IF(AND(Table1[[#This Row],[SubscriptionStart]]&lt;=Settings!$D$2,Table1[[#This Row],[EffectiveEndDate]]&gt;=Settings!$D$2),1,0)</f>
        <v>1</v>
      </c>
      <c r="AE315" s="46">
        <f ca="1">IF(AND(Table1[[#This Row],[SubscriptionStart]]&lt;=Settings!$E$2,Table1[[#This Row],[EffectiveEndDate]]&gt;=Settings!$E$2),1,0)</f>
        <v>1</v>
      </c>
      <c r="AF315"/>
      <c r="AG315"/>
      <c r="AH315"/>
      <c r="AI315"/>
      <c r="AJ315"/>
      <c r="AK315"/>
    </row>
    <row r="316" spans="1:37">
      <c r="A316" s="3" t="s">
        <v>474</v>
      </c>
      <c r="B316" s="3">
        <v>18</v>
      </c>
      <c r="C316" s="3" t="s">
        <v>23</v>
      </c>
      <c r="D316" s="5">
        <v>44880</v>
      </c>
      <c r="F316" s="3">
        <f ca="1">TODAY() - Table1[[#This Row],[SubscriptionStart]]</f>
        <v>1101</v>
      </c>
      <c r="G316" s="4">
        <v>37</v>
      </c>
      <c r="H316" s="3" t="s">
        <v>29</v>
      </c>
      <c r="I316" s="3" t="s">
        <v>25</v>
      </c>
      <c r="J316" s="7" cm="1">
        <f t="array" ref="J316">_xlfn.IFS(Table1[[#This Row],[Tier]]="Basic",10,Table1[[#This Row],[Tier]]="Standard",18,Table1[[#This Row],[Tier]]="Premium",25)</f>
        <v>25</v>
      </c>
      <c r="K316" s="7" cm="1">
        <f t="array" ref="K31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316" s="7" cm="1">
        <f t="array" ref="L31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872.5</v>
      </c>
      <c r="M316" s="3" t="str" cm="1">
        <f t="array" ref="M316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316" s="3" t="s">
        <v>31</v>
      </c>
      <c r="O316" s="3" t="s">
        <v>49</v>
      </c>
      <c r="Q316" s="3" t="str" cm="1">
        <f t="array" ref="Q316">_xlfn.IFS(Table1[[#This Row],[TotalRevenue]]&lt;100,"Low",Table1[[#This Row],[TotalRevenue]]&lt;300,"Medium",Table1[[#This Row],[TotalRevenue]]&lt;600,"High",TRUE,"Very High")</f>
        <v>Very High</v>
      </c>
      <c r="R316" s="3" t="str" cm="1">
        <f t="array" ref="R316">_xlfn.IFS(Table1[[#This Row],[Age]]&gt;69,"Elderly",Table1[[#This Row],[Age]]&gt;59,"Mature Adult",Table1[[#This Row],[Age]]&gt;25,"Adult",Table1[[#This Row],[Age]]&gt;18,"Young Adult",Table1[[#This Row],[Age]]&gt;=12,"Teenager")</f>
        <v>Teenager</v>
      </c>
      <c r="S316" s="3" t="str">
        <f>IF(Table1[[#This Row],[NextBillingDate]]="","Cancelled",IF(Table1[[#This Row],[CancellationDate]]&lt;&gt;"","Cancelled","Active"))</f>
        <v>Active</v>
      </c>
      <c r="T316" s="7" cm="1">
        <f t="array" ref="T31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897.5</v>
      </c>
      <c r="V316" s="5">
        <v>45990</v>
      </c>
      <c r="W316" s="5">
        <v>45990</v>
      </c>
      <c r="X316" s="3">
        <v>36</v>
      </c>
      <c r="Y316" s="5">
        <f ca="1">IF(Table1[[#This Row],[ChurnStatus]]="Cancelled",Table1[[#This Row],[CancellationDate]],TODAY())</f>
        <v>45981</v>
      </c>
      <c r="Z316" s="46">
        <f ca="1">IF(AND(Table1[[#This Row],[SubscriptionStart]] &lt;= TODAY(), Table1[[#This Row],[EffectiveEndDate]] &gt;= TODAY()),1,0)</f>
        <v>1</v>
      </c>
      <c r="AA316" s="46">
        <f ca="1">IF(AND(Table1[[#This Row],[SubscriptionStart]]&lt;=Settings!$A$2,Table1[[#This Row],[EffectiveEndDate]]&gt;=Settings!$A$2),1,0)</f>
        <v>0</v>
      </c>
      <c r="AB316" s="46">
        <f ca="1">IF(AND(Table1[[#This Row],[SubscriptionStart]]&lt;=Settings!$B$2,Table1[[#This Row],[EffectiveEndDate]]&gt;=Settings!$B$2),1,0)</f>
        <v>0</v>
      </c>
      <c r="AC316" s="46">
        <f ca="1">IF(AND(Table1[[#This Row],[SubscriptionStart]]&lt;=Settings!$C$2,Table1[[#This Row],[EffectiveEndDate]]&gt;=Settings!$C$2),1,0)</f>
        <v>1</v>
      </c>
      <c r="AD316" s="46">
        <f ca="1">IF(AND(Table1[[#This Row],[SubscriptionStart]]&lt;=Settings!$D$2,Table1[[#This Row],[EffectiveEndDate]]&gt;=Settings!$D$2),1,0)</f>
        <v>1</v>
      </c>
      <c r="AE316" s="46">
        <f ca="1">IF(AND(Table1[[#This Row],[SubscriptionStart]]&lt;=Settings!$E$2,Table1[[#This Row],[EffectiveEndDate]]&gt;=Settings!$E$2),1,0)</f>
        <v>1</v>
      </c>
      <c r="AF316"/>
      <c r="AG316"/>
      <c r="AH316"/>
      <c r="AI316"/>
      <c r="AJ316"/>
      <c r="AK316"/>
    </row>
    <row r="317" spans="1:37">
      <c r="A317" s="3" t="s">
        <v>555</v>
      </c>
      <c r="B317" s="3">
        <v>68</v>
      </c>
      <c r="C317" s="3" t="s">
        <v>37</v>
      </c>
      <c r="D317" s="5">
        <v>44882</v>
      </c>
      <c r="E317" s="5">
        <v>45242</v>
      </c>
      <c r="F317" s="3">
        <f ca="1">TODAY() - Table1[[#This Row],[SubscriptionStart]]</f>
        <v>1099</v>
      </c>
      <c r="G317" s="4">
        <v>12</v>
      </c>
      <c r="H317" s="3" t="s">
        <v>24</v>
      </c>
      <c r="I317" s="3" t="s">
        <v>39</v>
      </c>
      <c r="J317" s="7" cm="1">
        <f t="array" ref="J317">_xlfn.IFS(Table1[[#This Row],[Tier]]="Basic",10,Table1[[#This Row],[Tier]]="Standard",18,Table1[[#This Row],[Tier]]="Premium",25)</f>
        <v>18</v>
      </c>
      <c r="K317" s="7" cm="1">
        <f t="array" ref="K31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17" s="7" cm="1">
        <f t="array" ref="L31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17" s="3" t="str" cm="1">
        <f t="array" ref="M317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317" s="3" t="s">
        <v>26</v>
      </c>
      <c r="O317" s="3" t="s">
        <v>43</v>
      </c>
      <c r="P317" s="3" t="s">
        <v>47</v>
      </c>
      <c r="Q317" s="3" t="str" cm="1">
        <f t="array" ref="Q317">_xlfn.IFS(Table1[[#This Row],[TotalRevenue]]&lt;100,"Low",Table1[[#This Row],[TotalRevenue]]&lt;300,"Medium",Table1[[#This Row],[TotalRevenue]]&lt;600,"High",TRUE,"Very High")</f>
        <v>Medium</v>
      </c>
      <c r="R317" s="3" t="str" cm="1">
        <f t="array" ref="R317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317" s="3" t="str">
        <f>IF(Table1[[#This Row],[NextBillingDate]]="","Cancelled",IF(Table1[[#This Row],[CancellationDate]]&lt;&gt;"","Cancelled","Active"))</f>
        <v>Cancelled</v>
      </c>
      <c r="T317" s="7" cm="1">
        <f t="array" ref="T31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17" s="5">
        <v>45242</v>
      </c>
      <c r="W317" s="5">
        <v>45242</v>
      </c>
      <c r="X317" s="3">
        <v>0</v>
      </c>
      <c r="Y317" s="5">
        <f ca="1">IF(Table1[[#This Row],[ChurnStatus]]="Cancelled",Table1[[#This Row],[CancellationDate]],TODAY())</f>
        <v>45242</v>
      </c>
      <c r="Z317" s="46">
        <f ca="1">IF(AND(Table1[[#This Row],[SubscriptionStart]] &lt;= TODAY(), Table1[[#This Row],[EffectiveEndDate]] &gt;= TODAY()),1,0)</f>
        <v>0</v>
      </c>
      <c r="AA317" s="46">
        <f ca="1">IF(AND(Table1[[#This Row],[SubscriptionStart]]&lt;=Settings!$A$2,Table1[[#This Row],[EffectiveEndDate]]&gt;=Settings!$A$2),1,0)</f>
        <v>0</v>
      </c>
      <c r="AB317" s="46">
        <f ca="1">IF(AND(Table1[[#This Row],[SubscriptionStart]]&lt;=Settings!$B$2,Table1[[#This Row],[EffectiveEndDate]]&gt;=Settings!$B$2),1,0)</f>
        <v>0</v>
      </c>
      <c r="AC317" s="46">
        <f ca="1">IF(AND(Table1[[#This Row],[SubscriptionStart]]&lt;=Settings!$C$2,Table1[[#This Row],[EffectiveEndDate]]&gt;=Settings!$C$2),1,0)</f>
        <v>1</v>
      </c>
      <c r="AD317" s="46">
        <f ca="1">IF(AND(Table1[[#This Row],[SubscriptionStart]]&lt;=Settings!$D$2,Table1[[#This Row],[EffectiveEndDate]]&gt;=Settings!$D$2),1,0)</f>
        <v>1</v>
      </c>
      <c r="AE317" s="46">
        <f ca="1">IF(AND(Table1[[#This Row],[SubscriptionStart]]&lt;=Settings!$E$2,Table1[[#This Row],[EffectiveEndDate]]&gt;=Settings!$E$2),1,0)</f>
        <v>0</v>
      </c>
      <c r="AF317"/>
      <c r="AG317"/>
      <c r="AH317"/>
      <c r="AI317"/>
      <c r="AJ317"/>
      <c r="AK317"/>
    </row>
    <row r="318" spans="1:37">
      <c r="A318" s="3" t="s">
        <v>704</v>
      </c>
      <c r="B318" s="3">
        <v>48</v>
      </c>
      <c r="C318" s="3" t="s">
        <v>23</v>
      </c>
      <c r="D318" s="5">
        <v>44883</v>
      </c>
      <c r="F318" s="3">
        <f ca="1">TODAY() - Table1[[#This Row],[SubscriptionStart]]</f>
        <v>1098</v>
      </c>
      <c r="G318" s="4">
        <v>48</v>
      </c>
      <c r="H318" s="3" t="s">
        <v>24</v>
      </c>
      <c r="I318" s="3" t="s">
        <v>30</v>
      </c>
      <c r="J318" s="7" cm="1">
        <f t="array" ref="J318">_xlfn.IFS(Table1[[#This Row],[Tier]]="Basic",10,Table1[[#This Row],[Tier]]="Standard",18,Table1[[#This Row],[Tier]]="Premium",25)</f>
        <v>10</v>
      </c>
      <c r="K318" s="7" cm="1">
        <f t="array" ref="K31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318" s="7" cm="1">
        <f t="array" ref="L31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312</v>
      </c>
      <c r="M318" s="3" t="str" cm="1">
        <f t="array" ref="M31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18" s="3" t="s">
        <v>31</v>
      </c>
      <c r="O318" s="3" t="s">
        <v>49</v>
      </c>
      <c r="Q318" s="3" t="str" cm="1">
        <f t="array" ref="Q318">_xlfn.IFS(Table1[[#This Row],[TotalRevenue]]&lt;100,"Low",Table1[[#This Row],[TotalRevenue]]&lt;300,"Medium",Table1[[#This Row],[TotalRevenue]]&lt;600,"High",TRUE,"Very High")</f>
        <v>High</v>
      </c>
      <c r="R318" s="3" t="str" cm="1">
        <f t="array" ref="R31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18" s="3" t="str">
        <f>IF(Table1[[#This Row],[NextBillingDate]]="","Cancelled",IF(Table1[[#This Row],[CancellationDate]]&lt;&gt;"","Cancelled","Active"))</f>
        <v>Active</v>
      </c>
      <c r="T318" s="7" cm="1">
        <f t="array" ref="T31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392</v>
      </c>
      <c r="V318" s="5">
        <v>46323</v>
      </c>
      <c r="W318" s="5">
        <v>46323</v>
      </c>
      <c r="X318" s="3">
        <v>3</v>
      </c>
      <c r="Y318" s="5">
        <f ca="1">IF(Table1[[#This Row],[ChurnStatus]]="Cancelled",Table1[[#This Row],[CancellationDate]],TODAY())</f>
        <v>45981</v>
      </c>
      <c r="Z318" s="46">
        <f ca="1">IF(AND(Table1[[#This Row],[SubscriptionStart]] &lt;= TODAY(), Table1[[#This Row],[EffectiveEndDate]] &gt;= TODAY()),1,0)</f>
        <v>1</v>
      </c>
      <c r="AA318" s="46">
        <f ca="1">IF(AND(Table1[[#This Row],[SubscriptionStart]]&lt;=Settings!$A$2,Table1[[#This Row],[EffectiveEndDate]]&gt;=Settings!$A$2),1,0)</f>
        <v>0</v>
      </c>
      <c r="AB318" s="46">
        <f ca="1">IF(AND(Table1[[#This Row],[SubscriptionStart]]&lt;=Settings!$B$2,Table1[[#This Row],[EffectiveEndDate]]&gt;=Settings!$B$2),1,0)</f>
        <v>0</v>
      </c>
      <c r="AC318" s="46">
        <f ca="1">IF(AND(Table1[[#This Row],[SubscriptionStart]]&lt;=Settings!$C$2,Table1[[#This Row],[EffectiveEndDate]]&gt;=Settings!$C$2),1,0)</f>
        <v>1</v>
      </c>
      <c r="AD318" s="46">
        <f ca="1">IF(AND(Table1[[#This Row],[SubscriptionStart]]&lt;=Settings!$D$2,Table1[[#This Row],[EffectiveEndDate]]&gt;=Settings!$D$2),1,0)</f>
        <v>1</v>
      </c>
      <c r="AE318" s="46">
        <f ca="1">IF(AND(Table1[[#This Row],[SubscriptionStart]]&lt;=Settings!$E$2,Table1[[#This Row],[EffectiveEndDate]]&gt;=Settings!$E$2),1,0)</f>
        <v>1</v>
      </c>
      <c r="AF318"/>
      <c r="AG318"/>
      <c r="AH318"/>
      <c r="AI318"/>
      <c r="AJ318"/>
      <c r="AK318"/>
    </row>
    <row r="319" spans="1:37">
      <c r="A319" s="3" t="s">
        <v>415</v>
      </c>
      <c r="B319" s="3">
        <v>50</v>
      </c>
      <c r="C319" s="3" t="s">
        <v>37</v>
      </c>
      <c r="D319" s="5">
        <v>44884</v>
      </c>
      <c r="E319" s="5">
        <v>44914</v>
      </c>
      <c r="F319" s="3">
        <f ca="1">TODAY() - Table1[[#This Row],[SubscriptionStart]]</f>
        <v>1097</v>
      </c>
      <c r="G319" s="4">
        <v>1</v>
      </c>
      <c r="H319" s="3" t="s">
        <v>29</v>
      </c>
      <c r="I319" s="3" t="s">
        <v>25</v>
      </c>
      <c r="J319" s="7" cm="1">
        <f t="array" ref="J319">_xlfn.IFS(Table1[[#This Row],[Tier]]="Basic",10,Table1[[#This Row],[Tier]]="Standard",18,Table1[[#This Row],[Tier]]="Premium",25)</f>
        <v>25</v>
      </c>
      <c r="K319" s="7" cm="1">
        <f t="array" ref="K31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319" s="7" cm="1">
        <f t="array" ref="L31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319" s="3" t="str" cm="1">
        <f t="array" ref="M319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19" s="3" t="s">
        <v>26</v>
      </c>
      <c r="O319" s="3" t="s">
        <v>27</v>
      </c>
      <c r="P319" s="3" t="s">
        <v>41</v>
      </c>
      <c r="Q319" s="3" t="str" cm="1">
        <f t="array" ref="Q319">_xlfn.IFS(Table1[[#This Row],[TotalRevenue]]&lt;100,"Low",Table1[[#This Row],[TotalRevenue]]&lt;300,"Medium",Table1[[#This Row],[TotalRevenue]]&lt;600,"High",TRUE,"Very High")</f>
        <v>Low</v>
      </c>
      <c r="R319" s="3" t="str" cm="1">
        <f t="array" ref="R31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19" s="3" t="str">
        <f>IF(Table1[[#This Row],[NextBillingDate]]="","Cancelled",IF(Table1[[#This Row],[CancellationDate]]&lt;&gt;"","Cancelled","Active"))</f>
        <v>Cancelled</v>
      </c>
      <c r="T319" s="7" cm="1">
        <f t="array" ref="T31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319" s="5">
        <v>44914</v>
      </c>
      <c r="W319" s="5">
        <v>44914</v>
      </c>
      <c r="X319" s="3">
        <v>0</v>
      </c>
      <c r="Y319" s="5">
        <f ca="1">IF(Table1[[#This Row],[ChurnStatus]]="Cancelled",Table1[[#This Row],[CancellationDate]],TODAY())</f>
        <v>44914</v>
      </c>
      <c r="Z319" s="46">
        <f ca="1">IF(AND(Table1[[#This Row],[SubscriptionStart]] &lt;= TODAY(), Table1[[#This Row],[EffectiveEndDate]] &gt;= TODAY()),1,0)</f>
        <v>0</v>
      </c>
      <c r="AA319" s="46">
        <f ca="1">IF(AND(Table1[[#This Row],[SubscriptionStart]]&lt;=Settings!$A$2,Table1[[#This Row],[EffectiveEndDate]]&gt;=Settings!$A$2),1,0)</f>
        <v>0</v>
      </c>
      <c r="AB319" s="46">
        <f ca="1">IF(AND(Table1[[#This Row],[SubscriptionStart]]&lt;=Settings!$B$2,Table1[[#This Row],[EffectiveEndDate]]&gt;=Settings!$B$2),1,0)</f>
        <v>0</v>
      </c>
      <c r="AC319" s="46">
        <f ca="1">IF(AND(Table1[[#This Row],[SubscriptionStart]]&lt;=Settings!$C$2,Table1[[#This Row],[EffectiveEndDate]]&gt;=Settings!$C$2),1,0)</f>
        <v>0</v>
      </c>
      <c r="AD319" s="46">
        <f ca="1">IF(AND(Table1[[#This Row],[SubscriptionStart]]&lt;=Settings!$D$2,Table1[[#This Row],[EffectiveEndDate]]&gt;=Settings!$D$2),1,0)</f>
        <v>0</v>
      </c>
      <c r="AE319" s="46">
        <f ca="1">IF(AND(Table1[[#This Row],[SubscriptionStart]]&lt;=Settings!$E$2,Table1[[#This Row],[EffectiveEndDate]]&gt;=Settings!$E$2),1,0)</f>
        <v>0</v>
      </c>
      <c r="AF319"/>
      <c r="AG319"/>
      <c r="AH319"/>
      <c r="AI319"/>
      <c r="AJ319"/>
      <c r="AK319"/>
    </row>
    <row r="320" spans="1:37">
      <c r="A320" s="3" t="s">
        <v>446</v>
      </c>
      <c r="B320" s="3">
        <v>50</v>
      </c>
      <c r="C320" s="3" t="s">
        <v>37</v>
      </c>
      <c r="D320" s="5">
        <v>44884</v>
      </c>
      <c r="F320" s="3">
        <f ca="1">TODAY() - Table1[[#This Row],[SubscriptionStart]]</f>
        <v>1097</v>
      </c>
      <c r="G320" s="4">
        <v>42</v>
      </c>
      <c r="H320" s="3" t="s">
        <v>38</v>
      </c>
      <c r="I320" s="3" t="s">
        <v>25</v>
      </c>
      <c r="J320" s="7" cm="1">
        <f t="array" ref="J320">_xlfn.IFS(Table1[[#This Row],[Tier]]="Basic",10,Table1[[#This Row],[Tier]]="Standard",18,Table1[[#This Row],[Tier]]="Premium",25)</f>
        <v>25</v>
      </c>
      <c r="K320" s="7" cm="1">
        <f t="array" ref="K32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18.75</v>
      </c>
      <c r="L320" s="7" cm="1">
        <f t="array" ref="L32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765</v>
      </c>
      <c r="M320" s="3" t="str" cm="1">
        <f t="array" ref="M32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20" s="3" t="s">
        <v>31</v>
      </c>
      <c r="O320" s="3" t="s">
        <v>49</v>
      </c>
      <c r="Q320" s="3" t="str" cm="1">
        <f t="array" ref="Q320">_xlfn.IFS(Table1[[#This Row],[TotalRevenue]]&lt;100,"Low",Table1[[#This Row],[TotalRevenue]]&lt;300,"Medium",Table1[[#This Row],[TotalRevenue]]&lt;600,"High",TRUE,"Very High")</f>
        <v>Very High</v>
      </c>
      <c r="R320" s="3" t="str" cm="1">
        <f t="array" ref="R32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20" s="3" t="str">
        <f>IF(Table1[[#This Row],[NextBillingDate]]="","Cancelled",IF(Table1[[#This Row],[CancellationDate]]&lt;&gt;"","Cancelled","Active"))</f>
        <v>Active</v>
      </c>
      <c r="T320" s="7" cm="1">
        <f t="array" ref="T32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877.5</v>
      </c>
      <c r="V320" s="5">
        <v>46144</v>
      </c>
      <c r="W320" s="5">
        <v>46144</v>
      </c>
      <c r="X320" s="3">
        <v>6</v>
      </c>
      <c r="Y320" s="5">
        <f ca="1">IF(Table1[[#This Row],[ChurnStatus]]="Cancelled",Table1[[#This Row],[CancellationDate]],TODAY())</f>
        <v>45981</v>
      </c>
      <c r="Z320" s="46">
        <f ca="1">IF(AND(Table1[[#This Row],[SubscriptionStart]] &lt;= TODAY(), Table1[[#This Row],[EffectiveEndDate]] &gt;= TODAY()),1,0)</f>
        <v>1</v>
      </c>
      <c r="AA320" s="46">
        <f ca="1">IF(AND(Table1[[#This Row],[SubscriptionStart]]&lt;=Settings!$A$2,Table1[[#This Row],[EffectiveEndDate]]&gt;=Settings!$A$2),1,0)</f>
        <v>0</v>
      </c>
      <c r="AB320" s="46">
        <f ca="1">IF(AND(Table1[[#This Row],[SubscriptionStart]]&lt;=Settings!$B$2,Table1[[#This Row],[EffectiveEndDate]]&gt;=Settings!$B$2),1,0)</f>
        <v>0</v>
      </c>
      <c r="AC320" s="46">
        <f ca="1">IF(AND(Table1[[#This Row],[SubscriptionStart]]&lt;=Settings!$C$2,Table1[[#This Row],[EffectiveEndDate]]&gt;=Settings!$C$2),1,0)</f>
        <v>1</v>
      </c>
      <c r="AD320" s="46">
        <f ca="1">IF(AND(Table1[[#This Row],[SubscriptionStart]]&lt;=Settings!$D$2,Table1[[#This Row],[EffectiveEndDate]]&gt;=Settings!$D$2),1,0)</f>
        <v>1</v>
      </c>
      <c r="AE320" s="46">
        <f ca="1">IF(AND(Table1[[#This Row],[SubscriptionStart]]&lt;=Settings!$E$2,Table1[[#This Row],[EffectiveEndDate]]&gt;=Settings!$E$2),1,0)</f>
        <v>1</v>
      </c>
      <c r="AF320"/>
      <c r="AG320"/>
      <c r="AH320"/>
      <c r="AI320"/>
      <c r="AJ320"/>
      <c r="AK320"/>
    </row>
    <row r="321" spans="1:37">
      <c r="A321" s="3" t="s">
        <v>265</v>
      </c>
      <c r="B321" s="3">
        <v>49</v>
      </c>
      <c r="C321" s="3" t="s">
        <v>37</v>
      </c>
      <c r="D321" s="5">
        <v>44885</v>
      </c>
      <c r="F321" s="3">
        <f ca="1">TODAY() - Table1[[#This Row],[SubscriptionStart]]</f>
        <v>1096</v>
      </c>
      <c r="G321" s="4">
        <v>42</v>
      </c>
      <c r="H321" s="3" t="s">
        <v>38</v>
      </c>
      <c r="I321" s="3" t="s">
        <v>39</v>
      </c>
      <c r="J321" s="7" cm="1">
        <f t="array" ref="J321">_xlfn.IFS(Table1[[#This Row],[Tier]]="Basic",10,Table1[[#This Row],[Tier]]="Standard",18,Table1[[#This Row],[Tier]]="Premium",25)</f>
        <v>18</v>
      </c>
      <c r="K321" s="7" cm="1">
        <f t="array" ref="K32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321" s="7" cm="1">
        <f t="array" ref="L32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550.79999999999995</v>
      </c>
      <c r="M321" s="3" t="str" cm="1">
        <f t="array" ref="M32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21" s="3" t="s">
        <v>26</v>
      </c>
      <c r="O321" s="3" t="s">
        <v>40</v>
      </c>
      <c r="Q321" s="3" t="str" cm="1">
        <f t="array" ref="Q321">_xlfn.IFS(Table1[[#This Row],[TotalRevenue]]&lt;100,"Low",Table1[[#This Row],[TotalRevenue]]&lt;300,"Medium",Table1[[#This Row],[TotalRevenue]]&lt;600,"High",TRUE,"Very High")</f>
        <v>High</v>
      </c>
      <c r="R321" s="3" t="str" cm="1">
        <f t="array" ref="R32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21" s="3" t="str">
        <f>IF(Table1[[#This Row],[NextBillingDate]]="","Cancelled",IF(Table1[[#This Row],[CancellationDate]]&lt;&gt;"","Cancelled","Active"))</f>
        <v>Active</v>
      </c>
      <c r="T321" s="7" cm="1">
        <f t="array" ref="T32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631.79999999999995</v>
      </c>
      <c r="V321" s="5">
        <v>46145</v>
      </c>
      <c r="W321" s="5">
        <v>46145</v>
      </c>
      <c r="X321" s="3">
        <v>6</v>
      </c>
      <c r="Y321" s="5">
        <f ca="1">IF(Table1[[#This Row],[ChurnStatus]]="Cancelled",Table1[[#This Row],[CancellationDate]],TODAY())</f>
        <v>45981</v>
      </c>
      <c r="Z321" s="46">
        <f ca="1">IF(AND(Table1[[#This Row],[SubscriptionStart]] &lt;= TODAY(), Table1[[#This Row],[EffectiveEndDate]] &gt;= TODAY()),1,0)</f>
        <v>1</v>
      </c>
      <c r="AA321" s="46">
        <f ca="1">IF(AND(Table1[[#This Row],[SubscriptionStart]]&lt;=Settings!$A$2,Table1[[#This Row],[EffectiveEndDate]]&gt;=Settings!$A$2),1,0)</f>
        <v>0</v>
      </c>
      <c r="AB321" s="46">
        <f ca="1">IF(AND(Table1[[#This Row],[SubscriptionStart]]&lt;=Settings!$B$2,Table1[[#This Row],[EffectiveEndDate]]&gt;=Settings!$B$2),1,0)</f>
        <v>0</v>
      </c>
      <c r="AC321" s="46">
        <f ca="1">IF(AND(Table1[[#This Row],[SubscriptionStart]]&lt;=Settings!$C$2,Table1[[#This Row],[EffectiveEndDate]]&gt;=Settings!$C$2),1,0)</f>
        <v>1</v>
      </c>
      <c r="AD321" s="46">
        <f ca="1">IF(AND(Table1[[#This Row],[SubscriptionStart]]&lt;=Settings!$D$2,Table1[[#This Row],[EffectiveEndDate]]&gt;=Settings!$D$2),1,0)</f>
        <v>1</v>
      </c>
      <c r="AE321" s="46">
        <f ca="1">IF(AND(Table1[[#This Row],[SubscriptionStart]]&lt;=Settings!$E$2,Table1[[#This Row],[EffectiveEndDate]]&gt;=Settings!$E$2),1,0)</f>
        <v>1</v>
      </c>
      <c r="AF321"/>
      <c r="AG321"/>
      <c r="AH321"/>
      <c r="AI321"/>
      <c r="AJ321"/>
      <c r="AK321"/>
    </row>
    <row r="322" spans="1:37">
      <c r="A322" s="3" t="s">
        <v>129</v>
      </c>
      <c r="B322" s="3">
        <v>23</v>
      </c>
      <c r="C322" s="3" t="s">
        <v>23</v>
      </c>
      <c r="D322" s="5">
        <v>44886</v>
      </c>
      <c r="E322" s="5">
        <v>45246</v>
      </c>
      <c r="F322" s="3">
        <f ca="1">TODAY() - Table1[[#This Row],[SubscriptionStart]]</f>
        <v>1095</v>
      </c>
      <c r="G322" s="4">
        <v>12</v>
      </c>
      <c r="H322" s="3" t="s">
        <v>24</v>
      </c>
      <c r="I322" s="3" t="s">
        <v>25</v>
      </c>
      <c r="J322" s="7" cm="1">
        <f t="array" ref="J322">_xlfn.IFS(Table1[[#This Row],[Tier]]="Basic",10,Table1[[#This Row],[Tier]]="Standard",18,Table1[[#This Row],[Tier]]="Premium",25)</f>
        <v>25</v>
      </c>
      <c r="K322" s="7" cm="1">
        <f t="array" ref="K32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22" s="7" cm="1">
        <f t="array" ref="L32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22" s="3" t="str" cm="1">
        <f t="array" ref="M322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322" s="3" t="s">
        <v>26</v>
      </c>
      <c r="O322" s="3" t="s">
        <v>32</v>
      </c>
      <c r="P322" s="3" t="s">
        <v>47</v>
      </c>
      <c r="Q322" s="3" t="str" cm="1">
        <f t="array" ref="Q322">_xlfn.IFS(Table1[[#This Row],[TotalRevenue]]&lt;100,"Low",Table1[[#This Row],[TotalRevenue]]&lt;300,"Medium",Table1[[#This Row],[TotalRevenue]]&lt;600,"High",TRUE,"Very High")</f>
        <v>Medium</v>
      </c>
      <c r="R322" s="3" t="str" cm="1">
        <f t="array" ref="R322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322" s="3" t="str">
        <f>IF(Table1[[#This Row],[NextBillingDate]]="","Cancelled",IF(Table1[[#This Row],[CancellationDate]]&lt;&gt;"","Cancelled","Active"))</f>
        <v>Cancelled</v>
      </c>
      <c r="T322" s="7" cm="1">
        <f t="array" ref="T32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22" s="5">
        <v>45246</v>
      </c>
      <c r="W322" s="5">
        <v>45246</v>
      </c>
      <c r="X322" s="3">
        <v>0</v>
      </c>
      <c r="Y322" s="5">
        <f ca="1">IF(Table1[[#This Row],[ChurnStatus]]="Cancelled",Table1[[#This Row],[CancellationDate]],TODAY())</f>
        <v>45246</v>
      </c>
      <c r="Z322" s="46">
        <f ca="1">IF(AND(Table1[[#This Row],[SubscriptionStart]] &lt;= TODAY(), Table1[[#This Row],[EffectiveEndDate]] &gt;= TODAY()),1,0)</f>
        <v>0</v>
      </c>
      <c r="AA322" s="46">
        <f ca="1">IF(AND(Table1[[#This Row],[SubscriptionStart]]&lt;=Settings!$A$2,Table1[[#This Row],[EffectiveEndDate]]&gt;=Settings!$A$2),1,0)</f>
        <v>0</v>
      </c>
      <c r="AB322" s="46">
        <f ca="1">IF(AND(Table1[[#This Row],[SubscriptionStart]]&lt;=Settings!$B$2,Table1[[#This Row],[EffectiveEndDate]]&gt;=Settings!$B$2),1,0)</f>
        <v>0</v>
      </c>
      <c r="AC322" s="46">
        <f ca="1">IF(AND(Table1[[#This Row],[SubscriptionStart]]&lt;=Settings!$C$2,Table1[[#This Row],[EffectiveEndDate]]&gt;=Settings!$C$2),1,0)</f>
        <v>1</v>
      </c>
      <c r="AD322" s="46">
        <f ca="1">IF(AND(Table1[[#This Row],[SubscriptionStart]]&lt;=Settings!$D$2,Table1[[#This Row],[EffectiveEndDate]]&gt;=Settings!$D$2),1,0)</f>
        <v>1</v>
      </c>
      <c r="AE322" s="46">
        <f ca="1">IF(AND(Table1[[#This Row],[SubscriptionStart]]&lt;=Settings!$E$2,Table1[[#This Row],[EffectiveEndDate]]&gt;=Settings!$E$2),1,0)</f>
        <v>0</v>
      </c>
      <c r="AF322"/>
      <c r="AG322"/>
      <c r="AH322"/>
      <c r="AI322"/>
      <c r="AJ322"/>
      <c r="AK322"/>
    </row>
    <row r="323" spans="1:37">
      <c r="A323" s="3" t="s">
        <v>617</v>
      </c>
      <c r="B323" s="3">
        <v>73</v>
      </c>
      <c r="C323" s="3" t="s">
        <v>37</v>
      </c>
      <c r="D323" s="5">
        <v>44886</v>
      </c>
      <c r="E323" s="5">
        <v>45246</v>
      </c>
      <c r="F323" s="3">
        <f ca="1">TODAY() - Table1[[#This Row],[SubscriptionStart]]</f>
        <v>1095</v>
      </c>
      <c r="G323" s="4">
        <v>12</v>
      </c>
      <c r="H323" s="3" t="s">
        <v>24</v>
      </c>
      <c r="I323" s="3" t="s">
        <v>30</v>
      </c>
      <c r="J323" s="7" cm="1">
        <f t="array" ref="J323">_xlfn.IFS(Table1[[#This Row],[Tier]]="Basic",10,Table1[[#This Row],[Tier]]="Standard",18,Table1[[#This Row],[Tier]]="Premium",25)</f>
        <v>10</v>
      </c>
      <c r="K323" s="7" cm="1">
        <f t="array" ref="K32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323" s="7" cm="1">
        <f t="array" ref="L32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323" s="3" t="str" cm="1">
        <f t="array" ref="M323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323" s="3" t="s">
        <v>26</v>
      </c>
      <c r="O323" s="3" t="s">
        <v>49</v>
      </c>
      <c r="P323" s="3" t="s">
        <v>44</v>
      </c>
      <c r="Q323" s="3" t="str" cm="1">
        <f t="array" ref="Q323">_xlfn.IFS(Table1[[#This Row],[TotalRevenue]]&lt;100,"Low",Table1[[#This Row],[TotalRevenue]]&lt;300,"Medium",Table1[[#This Row],[TotalRevenue]]&lt;600,"High",TRUE,"Very High")</f>
        <v>Low</v>
      </c>
      <c r="R323" s="3" t="str" cm="1">
        <f t="array" ref="R323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323" s="3" t="str">
        <f>IF(Table1[[#This Row],[NextBillingDate]]="","Cancelled",IF(Table1[[#This Row],[CancellationDate]]&lt;&gt;"","Cancelled","Active"))</f>
        <v>Cancelled</v>
      </c>
      <c r="T323" s="7" cm="1">
        <f t="array" ref="T32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323" s="5">
        <v>45246</v>
      </c>
      <c r="W323" s="5">
        <v>45246</v>
      </c>
      <c r="X323" s="3">
        <v>0</v>
      </c>
      <c r="Y323" s="5">
        <f ca="1">IF(Table1[[#This Row],[ChurnStatus]]="Cancelled",Table1[[#This Row],[CancellationDate]],TODAY())</f>
        <v>45246</v>
      </c>
      <c r="Z323" s="46">
        <f ca="1">IF(AND(Table1[[#This Row],[SubscriptionStart]] &lt;= TODAY(), Table1[[#This Row],[EffectiveEndDate]] &gt;= TODAY()),1,0)</f>
        <v>0</v>
      </c>
      <c r="AA323" s="46">
        <f ca="1">IF(AND(Table1[[#This Row],[SubscriptionStart]]&lt;=Settings!$A$2,Table1[[#This Row],[EffectiveEndDate]]&gt;=Settings!$A$2),1,0)</f>
        <v>0</v>
      </c>
      <c r="AB323" s="46">
        <f ca="1">IF(AND(Table1[[#This Row],[SubscriptionStart]]&lt;=Settings!$B$2,Table1[[#This Row],[EffectiveEndDate]]&gt;=Settings!$B$2),1,0)</f>
        <v>0</v>
      </c>
      <c r="AC323" s="46">
        <f ca="1">IF(AND(Table1[[#This Row],[SubscriptionStart]]&lt;=Settings!$C$2,Table1[[#This Row],[EffectiveEndDate]]&gt;=Settings!$C$2),1,0)</f>
        <v>1</v>
      </c>
      <c r="AD323" s="46">
        <f ca="1">IF(AND(Table1[[#This Row],[SubscriptionStart]]&lt;=Settings!$D$2,Table1[[#This Row],[EffectiveEndDate]]&gt;=Settings!$D$2),1,0)</f>
        <v>1</v>
      </c>
      <c r="AE323" s="46">
        <f ca="1">IF(AND(Table1[[#This Row],[SubscriptionStart]]&lt;=Settings!$E$2,Table1[[#This Row],[EffectiveEndDate]]&gt;=Settings!$E$2),1,0)</f>
        <v>0</v>
      </c>
      <c r="AF323"/>
      <c r="AG323"/>
      <c r="AH323"/>
      <c r="AI323"/>
      <c r="AJ323"/>
      <c r="AK323"/>
    </row>
    <row r="324" spans="1:37">
      <c r="A324" s="3" t="s">
        <v>653</v>
      </c>
      <c r="B324" s="3">
        <v>47</v>
      </c>
      <c r="C324" s="3" t="s">
        <v>37</v>
      </c>
      <c r="D324" s="5">
        <v>44886</v>
      </c>
      <c r="E324" s="5">
        <v>45246</v>
      </c>
      <c r="F324" s="3">
        <f ca="1">TODAY() - Table1[[#This Row],[SubscriptionStart]]</f>
        <v>1095</v>
      </c>
      <c r="G324" s="4">
        <v>12</v>
      </c>
      <c r="H324" s="3" t="s">
        <v>24</v>
      </c>
      <c r="I324" s="3" t="s">
        <v>30</v>
      </c>
      <c r="J324" s="7" cm="1">
        <f t="array" ref="J324">_xlfn.IFS(Table1[[#This Row],[Tier]]="Basic",10,Table1[[#This Row],[Tier]]="Standard",18,Table1[[#This Row],[Tier]]="Premium",25)</f>
        <v>10</v>
      </c>
      <c r="K324" s="7" cm="1">
        <f t="array" ref="K32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324" s="7" cm="1">
        <f t="array" ref="L32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324" s="3" t="str" cm="1">
        <f t="array" ref="M32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24" s="3" t="s">
        <v>34</v>
      </c>
      <c r="O324" s="3" t="s">
        <v>49</v>
      </c>
      <c r="P324" s="3" t="s">
        <v>41</v>
      </c>
      <c r="Q324" s="3" t="str" cm="1">
        <f t="array" ref="Q324">_xlfn.IFS(Table1[[#This Row],[TotalRevenue]]&lt;100,"Low",Table1[[#This Row],[TotalRevenue]]&lt;300,"Medium",Table1[[#This Row],[TotalRevenue]]&lt;600,"High",TRUE,"Very High")</f>
        <v>Low</v>
      </c>
      <c r="R324" s="3" t="str" cm="1">
        <f t="array" ref="R32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24" s="3" t="str">
        <f>IF(Table1[[#This Row],[NextBillingDate]]="","Cancelled",IF(Table1[[#This Row],[CancellationDate]]&lt;&gt;"","Cancelled","Active"))</f>
        <v>Cancelled</v>
      </c>
      <c r="T324" s="7" cm="1">
        <f t="array" ref="T32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324" s="5">
        <v>45246</v>
      </c>
      <c r="W324" s="5">
        <v>45246</v>
      </c>
      <c r="X324" s="3">
        <v>0</v>
      </c>
      <c r="Y324" s="5">
        <f ca="1">IF(Table1[[#This Row],[ChurnStatus]]="Cancelled",Table1[[#This Row],[CancellationDate]],TODAY())</f>
        <v>45246</v>
      </c>
      <c r="Z324" s="46">
        <f ca="1">IF(AND(Table1[[#This Row],[SubscriptionStart]] &lt;= TODAY(), Table1[[#This Row],[EffectiveEndDate]] &gt;= TODAY()),1,0)</f>
        <v>0</v>
      </c>
      <c r="AA324" s="46">
        <f ca="1">IF(AND(Table1[[#This Row],[SubscriptionStart]]&lt;=Settings!$A$2,Table1[[#This Row],[EffectiveEndDate]]&gt;=Settings!$A$2),1,0)</f>
        <v>0</v>
      </c>
      <c r="AB324" s="46">
        <f ca="1">IF(AND(Table1[[#This Row],[SubscriptionStart]]&lt;=Settings!$B$2,Table1[[#This Row],[EffectiveEndDate]]&gt;=Settings!$B$2),1,0)</f>
        <v>0</v>
      </c>
      <c r="AC324" s="46">
        <f ca="1">IF(AND(Table1[[#This Row],[SubscriptionStart]]&lt;=Settings!$C$2,Table1[[#This Row],[EffectiveEndDate]]&gt;=Settings!$C$2),1,0)</f>
        <v>1</v>
      </c>
      <c r="AD324" s="46">
        <f ca="1">IF(AND(Table1[[#This Row],[SubscriptionStart]]&lt;=Settings!$D$2,Table1[[#This Row],[EffectiveEndDate]]&gt;=Settings!$D$2),1,0)</f>
        <v>1</v>
      </c>
      <c r="AE324" s="46">
        <f ca="1">IF(AND(Table1[[#This Row],[SubscriptionStart]]&lt;=Settings!$E$2,Table1[[#This Row],[EffectiveEndDate]]&gt;=Settings!$E$2),1,0)</f>
        <v>0</v>
      </c>
      <c r="AF324"/>
      <c r="AG324"/>
      <c r="AH324"/>
      <c r="AI324"/>
      <c r="AJ324"/>
      <c r="AK324"/>
    </row>
    <row r="325" spans="1:37">
      <c r="A325" s="3" t="s">
        <v>374</v>
      </c>
      <c r="B325" s="3">
        <v>38</v>
      </c>
      <c r="C325" s="3" t="s">
        <v>37</v>
      </c>
      <c r="D325" s="5">
        <v>44886</v>
      </c>
      <c r="F325" s="3">
        <f ca="1">TODAY() - Table1[[#This Row],[SubscriptionStart]]</f>
        <v>1095</v>
      </c>
      <c r="G325" s="4">
        <v>37</v>
      </c>
      <c r="H325" s="3" t="s">
        <v>29</v>
      </c>
      <c r="I325" s="3" t="s">
        <v>25</v>
      </c>
      <c r="J325" s="7" cm="1">
        <f t="array" ref="J325">_xlfn.IFS(Table1[[#This Row],[Tier]]="Basic",10,Table1[[#This Row],[Tier]]="Standard",18,Table1[[#This Row],[Tier]]="Premium",25)</f>
        <v>25</v>
      </c>
      <c r="K325" s="7" cm="1">
        <f t="array" ref="K32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325" s="7" cm="1">
        <f t="array" ref="L32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872.5</v>
      </c>
      <c r="M325" s="3" t="str" cm="1">
        <f t="array" ref="M32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25" s="3" t="s">
        <v>34</v>
      </c>
      <c r="O325" s="3" t="s">
        <v>40</v>
      </c>
      <c r="Q325" s="3" t="str" cm="1">
        <f t="array" ref="Q325">_xlfn.IFS(Table1[[#This Row],[TotalRevenue]]&lt;100,"Low",Table1[[#This Row],[TotalRevenue]]&lt;300,"Medium",Table1[[#This Row],[TotalRevenue]]&lt;600,"High",TRUE,"Very High")</f>
        <v>Very High</v>
      </c>
      <c r="R325" s="3" t="str" cm="1">
        <f t="array" ref="R32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25" s="3" t="str">
        <f>IF(Table1[[#This Row],[NextBillingDate]]="","Cancelled",IF(Table1[[#This Row],[CancellationDate]]&lt;&gt;"","Cancelled","Active"))</f>
        <v>Active</v>
      </c>
      <c r="T325" s="7" cm="1">
        <f t="array" ref="T32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897.5</v>
      </c>
      <c r="V325" s="5">
        <v>45996</v>
      </c>
      <c r="W325" s="5">
        <v>45996</v>
      </c>
      <c r="X325" s="3">
        <v>36</v>
      </c>
      <c r="Y325" s="5">
        <f ca="1">IF(Table1[[#This Row],[ChurnStatus]]="Cancelled",Table1[[#This Row],[CancellationDate]],TODAY())</f>
        <v>45981</v>
      </c>
      <c r="Z325" s="46">
        <f ca="1">IF(AND(Table1[[#This Row],[SubscriptionStart]] &lt;= TODAY(), Table1[[#This Row],[EffectiveEndDate]] &gt;= TODAY()),1,0)</f>
        <v>1</v>
      </c>
      <c r="AA325" s="46">
        <f ca="1">IF(AND(Table1[[#This Row],[SubscriptionStart]]&lt;=Settings!$A$2,Table1[[#This Row],[EffectiveEndDate]]&gt;=Settings!$A$2),1,0)</f>
        <v>0</v>
      </c>
      <c r="AB325" s="46">
        <f ca="1">IF(AND(Table1[[#This Row],[SubscriptionStart]]&lt;=Settings!$B$2,Table1[[#This Row],[EffectiveEndDate]]&gt;=Settings!$B$2),1,0)</f>
        <v>0</v>
      </c>
      <c r="AC325" s="46">
        <f ca="1">IF(AND(Table1[[#This Row],[SubscriptionStart]]&lt;=Settings!$C$2,Table1[[#This Row],[EffectiveEndDate]]&gt;=Settings!$C$2),1,0)</f>
        <v>1</v>
      </c>
      <c r="AD325" s="46">
        <f ca="1">IF(AND(Table1[[#This Row],[SubscriptionStart]]&lt;=Settings!$D$2,Table1[[#This Row],[EffectiveEndDate]]&gt;=Settings!$D$2),1,0)</f>
        <v>1</v>
      </c>
      <c r="AE325" s="46">
        <f ca="1">IF(AND(Table1[[#This Row],[SubscriptionStart]]&lt;=Settings!$E$2,Table1[[#This Row],[EffectiveEndDate]]&gt;=Settings!$E$2),1,0)</f>
        <v>1</v>
      </c>
      <c r="AF325"/>
      <c r="AG325"/>
      <c r="AH325"/>
      <c r="AI325"/>
      <c r="AJ325"/>
      <c r="AK325"/>
    </row>
    <row r="326" spans="1:37">
      <c r="A326" s="3" t="s">
        <v>149</v>
      </c>
      <c r="B326" s="3">
        <v>31</v>
      </c>
      <c r="C326" s="3" t="s">
        <v>23</v>
      </c>
      <c r="D326" s="5">
        <v>44887</v>
      </c>
      <c r="E326" s="5">
        <v>45247</v>
      </c>
      <c r="F326" s="3">
        <f ca="1">TODAY() - Table1[[#This Row],[SubscriptionStart]]</f>
        <v>1094</v>
      </c>
      <c r="G326" s="4">
        <v>12</v>
      </c>
      <c r="H326" s="3" t="s">
        <v>24</v>
      </c>
      <c r="I326" s="3" t="s">
        <v>39</v>
      </c>
      <c r="J326" s="7" cm="1">
        <f t="array" ref="J326">_xlfn.IFS(Table1[[#This Row],[Tier]]="Basic",10,Table1[[#This Row],[Tier]]="Standard",18,Table1[[#This Row],[Tier]]="Premium",25)</f>
        <v>18</v>
      </c>
      <c r="K326" s="7" cm="1">
        <f t="array" ref="K32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26" s="7" cm="1">
        <f t="array" ref="L32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26" s="3" t="str" cm="1">
        <f t="array" ref="M32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26" s="3" t="s">
        <v>26</v>
      </c>
      <c r="O326" s="3" t="s">
        <v>43</v>
      </c>
      <c r="P326" s="3" t="s">
        <v>41</v>
      </c>
      <c r="Q326" s="3" t="str" cm="1">
        <f t="array" ref="Q326">_xlfn.IFS(Table1[[#This Row],[TotalRevenue]]&lt;100,"Low",Table1[[#This Row],[TotalRevenue]]&lt;300,"Medium",Table1[[#This Row],[TotalRevenue]]&lt;600,"High",TRUE,"Very High")</f>
        <v>Medium</v>
      </c>
      <c r="R326" s="3" t="str" cm="1">
        <f t="array" ref="R32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26" s="3" t="str">
        <f>IF(Table1[[#This Row],[NextBillingDate]]="","Cancelled",IF(Table1[[#This Row],[CancellationDate]]&lt;&gt;"","Cancelled","Active"))</f>
        <v>Cancelled</v>
      </c>
      <c r="T326" s="7" cm="1">
        <f t="array" ref="T32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26" s="5">
        <v>45247</v>
      </c>
      <c r="W326" s="5">
        <v>45247</v>
      </c>
      <c r="X326" s="3">
        <v>0</v>
      </c>
      <c r="Y326" s="5">
        <f ca="1">IF(Table1[[#This Row],[ChurnStatus]]="Cancelled",Table1[[#This Row],[CancellationDate]],TODAY())</f>
        <v>45247</v>
      </c>
      <c r="Z326" s="46">
        <f ca="1">IF(AND(Table1[[#This Row],[SubscriptionStart]] &lt;= TODAY(), Table1[[#This Row],[EffectiveEndDate]] &gt;= TODAY()),1,0)</f>
        <v>0</v>
      </c>
      <c r="AA326" s="46">
        <f ca="1">IF(AND(Table1[[#This Row],[SubscriptionStart]]&lt;=Settings!$A$2,Table1[[#This Row],[EffectiveEndDate]]&gt;=Settings!$A$2),1,0)</f>
        <v>0</v>
      </c>
      <c r="AB326" s="46">
        <f ca="1">IF(AND(Table1[[#This Row],[SubscriptionStart]]&lt;=Settings!$B$2,Table1[[#This Row],[EffectiveEndDate]]&gt;=Settings!$B$2),1,0)</f>
        <v>0</v>
      </c>
      <c r="AC326" s="46">
        <f ca="1">IF(AND(Table1[[#This Row],[SubscriptionStart]]&lt;=Settings!$C$2,Table1[[#This Row],[EffectiveEndDate]]&gt;=Settings!$C$2),1,0)</f>
        <v>1</v>
      </c>
      <c r="AD326" s="46">
        <f ca="1">IF(AND(Table1[[#This Row],[SubscriptionStart]]&lt;=Settings!$D$2,Table1[[#This Row],[EffectiveEndDate]]&gt;=Settings!$D$2),1,0)</f>
        <v>1</v>
      </c>
      <c r="AE326" s="46">
        <f ca="1">IF(AND(Table1[[#This Row],[SubscriptionStart]]&lt;=Settings!$E$2,Table1[[#This Row],[EffectiveEndDate]]&gt;=Settings!$E$2),1,0)</f>
        <v>0</v>
      </c>
      <c r="AF326"/>
      <c r="AG326"/>
      <c r="AH326"/>
      <c r="AI326"/>
      <c r="AJ326"/>
      <c r="AK326"/>
    </row>
    <row r="327" spans="1:37">
      <c r="A327" s="3" t="s">
        <v>485</v>
      </c>
      <c r="B327" s="3">
        <v>68</v>
      </c>
      <c r="C327" s="3" t="s">
        <v>23</v>
      </c>
      <c r="D327" s="5">
        <v>44887</v>
      </c>
      <c r="F327" s="3">
        <f ca="1">TODAY() - Table1[[#This Row],[SubscriptionStart]]</f>
        <v>1094</v>
      </c>
      <c r="G327" s="4">
        <v>42</v>
      </c>
      <c r="H327" s="3" t="s">
        <v>38</v>
      </c>
      <c r="I327" s="3" t="s">
        <v>39</v>
      </c>
      <c r="J327" s="7" cm="1">
        <f t="array" ref="J327">_xlfn.IFS(Table1[[#This Row],[Tier]]="Basic",10,Table1[[#This Row],[Tier]]="Standard",18,Table1[[#This Row],[Tier]]="Premium",25)</f>
        <v>18</v>
      </c>
      <c r="K327" s="7" cm="1">
        <f t="array" ref="K32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327" s="7" cm="1">
        <f t="array" ref="L32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550.79999999999995</v>
      </c>
      <c r="M327" s="3" t="str" cm="1">
        <f t="array" ref="M327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327" s="3" t="s">
        <v>26</v>
      </c>
      <c r="O327" s="3" t="s">
        <v>49</v>
      </c>
      <c r="Q327" s="3" t="str" cm="1">
        <f t="array" ref="Q327">_xlfn.IFS(Table1[[#This Row],[TotalRevenue]]&lt;100,"Low",Table1[[#This Row],[TotalRevenue]]&lt;300,"Medium",Table1[[#This Row],[TotalRevenue]]&lt;600,"High",TRUE,"Very High")</f>
        <v>High</v>
      </c>
      <c r="R327" s="3" t="str" cm="1">
        <f t="array" ref="R327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327" s="3" t="str">
        <f>IF(Table1[[#This Row],[NextBillingDate]]="","Cancelled",IF(Table1[[#This Row],[CancellationDate]]&lt;&gt;"","Cancelled","Active"))</f>
        <v>Active</v>
      </c>
      <c r="T327" s="7" cm="1">
        <f t="array" ref="T32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631.79999999999995</v>
      </c>
      <c r="V327" s="5">
        <v>46147</v>
      </c>
      <c r="W327" s="5">
        <v>46147</v>
      </c>
      <c r="X327" s="3">
        <v>6</v>
      </c>
      <c r="Y327" s="5">
        <f ca="1">IF(Table1[[#This Row],[ChurnStatus]]="Cancelled",Table1[[#This Row],[CancellationDate]],TODAY())</f>
        <v>45981</v>
      </c>
      <c r="Z327" s="46">
        <f ca="1">IF(AND(Table1[[#This Row],[SubscriptionStart]] &lt;= TODAY(), Table1[[#This Row],[EffectiveEndDate]] &gt;= TODAY()),1,0)</f>
        <v>1</v>
      </c>
      <c r="AA327" s="46">
        <f ca="1">IF(AND(Table1[[#This Row],[SubscriptionStart]]&lt;=Settings!$A$2,Table1[[#This Row],[EffectiveEndDate]]&gt;=Settings!$A$2),1,0)</f>
        <v>0</v>
      </c>
      <c r="AB327" s="46">
        <f ca="1">IF(AND(Table1[[#This Row],[SubscriptionStart]]&lt;=Settings!$B$2,Table1[[#This Row],[EffectiveEndDate]]&gt;=Settings!$B$2),1,0)</f>
        <v>0</v>
      </c>
      <c r="AC327" s="46">
        <f ca="1">IF(AND(Table1[[#This Row],[SubscriptionStart]]&lt;=Settings!$C$2,Table1[[#This Row],[EffectiveEndDate]]&gt;=Settings!$C$2),1,0)</f>
        <v>1</v>
      </c>
      <c r="AD327" s="46">
        <f ca="1">IF(AND(Table1[[#This Row],[SubscriptionStart]]&lt;=Settings!$D$2,Table1[[#This Row],[EffectiveEndDate]]&gt;=Settings!$D$2),1,0)</f>
        <v>1</v>
      </c>
      <c r="AE327" s="46">
        <f ca="1">IF(AND(Table1[[#This Row],[SubscriptionStart]]&lt;=Settings!$E$2,Table1[[#This Row],[EffectiveEndDate]]&gt;=Settings!$E$2),1,0)</f>
        <v>1</v>
      </c>
      <c r="AF327"/>
      <c r="AG327"/>
      <c r="AH327"/>
      <c r="AI327"/>
      <c r="AJ327"/>
      <c r="AK327"/>
    </row>
    <row r="328" spans="1:37">
      <c r="A328" s="3" t="s">
        <v>69</v>
      </c>
      <c r="B328" s="3">
        <v>32</v>
      </c>
      <c r="C328" s="3" t="s">
        <v>23</v>
      </c>
      <c r="D328" s="5">
        <v>44888</v>
      </c>
      <c r="E328" s="5">
        <v>45068</v>
      </c>
      <c r="F328" s="3">
        <f ca="1">TODAY() - Table1[[#This Row],[SubscriptionStart]]</f>
        <v>1093</v>
      </c>
      <c r="G328" s="4">
        <v>6</v>
      </c>
      <c r="H328" s="3" t="s">
        <v>38</v>
      </c>
      <c r="I328" s="3" t="s">
        <v>39</v>
      </c>
      <c r="J328" s="7" cm="1">
        <f t="array" ref="J328">_xlfn.IFS(Table1[[#This Row],[Tier]]="Basic",10,Table1[[#This Row],[Tier]]="Standard",18,Table1[[#This Row],[Tier]]="Premium",25)</f>
        <v>18</v>
      </c>
      <c r="K328" s="7" cm="1">
        <f t="array" ref="K32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328" s="7" cm="1">
        <f t="array" ref="L32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328" s="3" t="str" cm="1">
        <f t="array" ref="M32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28" s="3" t="s">
        <v>31</v>
      </c>
      <c r="O328" s="3" t="s">
        <v>40</v>
      </c>
      <c r="P328" s="3" t="s">
        <v>47</v>
      </c>
      <c r="Q328" s="3" t="str" cm="1">
        <f t="array" ref="Q328">_xlfn.IFS(Table1[[#This Row],[TotalRevenue]]&lt;100,"Low",Table1[[#This Row],[TotalRevenue]]&lt;300,"Medium",Table1[[#This Row],[TotalRevenue]]&lt;600,"High",TRUE,"Very High")</f>
        <v>Low</v>
      </c>
      <c r="R328" s="3" t="str" cm="1">
        <f t="array" ref="R32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28" s="3" t="str">
        <f>IF(Table1[[#This Row],[NextBillingDate]]="","Cancelled",IF(Table1[[#This Row],[CancellationDate]]&lt;&gt;"","Cancelled","Active"))</f>
        <v>Cancelled</v>
      </c>
      <c r="T328" s="7" cm="1">
        <f t="array" ref="T32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328" s="5">
        <v>45068</v>
      </c>
      <c r="W328" s="5">
        <v>45068</v>
      </c>
      <c r="X328" s="3">
        <v>0</v>
      </c>
      <c r="Y328" s="5">
        <f ca="1">IF(Table1[[#This Row],[ChurnStatus]]="Cancelled",Table1[[#This Row],[CancellationDate]],TODAY())</f>
        <v>45068</v>
      </c>
      <c r="Z328" s="46">
        <f ca="1">IF(AND(Table1[[#This Row],[SubscriptionStart]] &lt;= TODAY(), Table1[[#This Row],[EffectiveEndDate]] &gt;= TODAY()),1,0)</f>
        <v>0</v>
      </c>
      <c r="AA328" s="46">
        <f ca="1">IF(AND(Table1[[#This Row],[SubscriptionStart]]&lt;=Settings!$A$2,Table1[[#This Row],[EffectiveEndDate]]&gt;=Settings!$A$2),1,0)</f>
        <v>0</v>
      </c>
      <c r="AB328" s="46">
        <f ca="1">IF(AND(Table1[[#This Row],[SubscriptionStart]]&lt;=Settings!$B$2,Table1[[#This Row],[EffectiveEndDate]]&gt;=Settings!$B$2),1,0)</f>
        <v>0</v>
      </c>
      <c r="AC328" s="46">
        <f ca="1">IF(AND(Table1[[#This Row],[SubscriptionStart]]&lt;=Settings!$C$2,Table1[[#This Row],[EffectiveEndDate]]&gt;=Settings!$C$2),1,0)</f>
        <v>1</v>
      </c>
      <c r="AD328" s="46">
        <f ca="1">IF(AND(Table1[[#This Row],[SubscriptionStart]]&lt;=Settings!$D$2,Table1[[#This Row],[EffectiveEndDate]]&gt;=Settings!$D$2),1,0)</f>
        <v>0</v>
      </c>
      <c r="AE328" s="46">
        <f ca="1">IF(AND(Table1[[#This Row],[SubscriptionStart]]&lt;=Settings!$E$2,Table1[[#This Row],[EffectiveEndDate]]&gt;=Settings!$E$2),1,0)</f>
        <v>0</v>
      </c>
      <c r="AF328"/>
      <c r="AG328"/>
      <c r="AH328"/>
      <c r="AI328"/>
      <c r="AJ328"/>
      <c r="AK328"/>
    </row>
    <row r="329" spans="1:37">
      <c r="A329" s="3" t="s">
        <v>223</v>
      </c>
      <c r="B329" s="3">
        <v>63</v>
      </c>
      <c r="C329" s="3" t="s">
        <v>23</v>
      </c>
      <c r="D329" s="5">
        <v>44889</v>
      </c>
      <c r="E329" s="5">
        <v>45249</v>
      </c>
      <c r="F329" s="3">
        <f ca="1">TODAY() - Table1[[#This Row],[SubscriptionStart]]</f>
        <v>1092</v>
      </c>
      <c r="G329" s="4">
        <v>12</v>
      </c>
      <c r="H329" s="3" t="s">
        <v>24</v>
      </c>
      <c r="I329" s="3" t="s">
        <v>30</v>
      </c>
      <c r="J329" s="7" cm="1">
        <f t="array" ref="J329">_xlfn.IFS(Table1[[#This Row],[Tier]]="Basic",10,Table1[[#This Row],[Tier]]="Standard",18,Table1[[#This Row],[Tier]]="Premium",25)</f>
        <v>10</v>
      </c>
      <c r="K329" s="7" cm="1">
        <f t="array" ref="K32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329" s="7" cm="1">
        <f t="array" ref="L32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329" s="3" t="str" cm="1">
        <f t="array" ref="M32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329" s="3" t="s">
        <v>52</v>
      </c>
      <c r="O329" s="3" t="s">
        <v>32</v>
      </c>
      <c r="P329" s="3" t="s">
        <v>35</v>
      </c>
      <c r="Q329" s="3" t="str" cm="1">
        <f t="array" ref="Q329">_xlfn.IFS(Table1[[#This Row],[TotalRevenue]]&lt;100,"Low",Table1[[#This Row],[TotalRevenue]]&lt;300,"Medium",Table1[[#This Row],[TotalRevenue]]&lt;600,"High",TRUE,"Very High")</f>
        <v>Low</v>
      </c>
      <c r="R329" s="3" t="str" cm="1">
        <f t="array" ref="R32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329" s="3" t="str">
        <f>IF(Table1[[#This Row],[NextBillingDate]]="","Cancelled",IF(Table1[[#This Row],[CancellationDate]]&lt;&gt;"","Cancelled","Active"))</f>
        <v>Cancelled</v>
      </c>
      <c r="T329" s="7" cm="1">
        <f t="array" ref="T32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329" s="5">
        <v>45249</v>
      </c>
      <c r="W329" s="5">
        <v>45249</v>
      </c>
      <c r="X329" s="3">
        <v>0</v>
      </c>
      <c r="Y329" s="5">
        <f ca="1">IF(Table1[[#This Row],[ChurnStatus]]="Cancelled",Table1[[#This Row],[CancellationDate]],TODAY())</f>
        <v>45249</v>
      </c>
      <c r="Z329" s="46">
        <f ca="1">IF(AND(Table1[[#This Row],[SubscriptionStart]] &lt;= TODAY(), Table1[[#This Row],[EffectiveEndDate]] &gt;= TODAY()),1,0)</f>
        <v>0</v>
      </c>
      <c r="AA329" s="46">
        <f ca="1">IF(AND(Table1[[#This Row],[SubscriptionStart]]&lt;=Settings!$A$2,Table1[[#This Row],[EffectiveEndDate]]&gt;=Settings!$A$2),1,0)</f>
        <v>0</v>
      </c>
      <c r="AB329" s="46">
        <f ca="1">IF(AND(Table1[[#This Row],[SubscriptionStart]]&lt;=Settings!$B$2,Table1[[#This Row],[EffectiveEndDate]]&gt;=Settings!$B$2),1,0)</f>
        <v>0</v>
      </c>
      <c r="AC329" s="46">
        <f ca="1">IF(AND(Table1[[#This Row],[SubscriptionStart]]&lt;=Settings!$C$2,Table1[[#This Row],[EffectiveEndDate]]&gt;=Settings!$C$2),1,0)</f>
        <v>1</v>
      </c>
      <c r="AD329" s="46">
        <f ca="1">IF(AND(Table1[[#This Row],[SubscriptionStart]]&lt;=Settings!$D$2,Table1[[#This Row],[EffectiveEndDate]]&gt;=Settings!$D$2),1,0)</f>
        <v>1</v>
      </c>
      <c r="AE329" s="46">
        <f ca="1">IF(AND(Table1[[#This Row],[SubscriptionStart]]&lt;=Settings!$E$2,Table1[[#This Row],[EffectiveEndDate]]&gt;=Settings!$E$2),1,0)</f>
        <v>0</v>
      </c>
      <c r="AF329"/>
      <c r="AG329"/>
      <c r="AH329"/>
      <c r="AI329"/>
      <c r="AJ329"/>
      <c r="AK329"/>
    </row>
    <row r="330" spans="1:37">
      <c r="A330" s="3" t="s">
        <v>469</v>
      </c>
      <c r="B330" s="3">
        <v>65</v>
      </c>
      <c r="C330" s="3" t="s">
        <v>23</v>
      </c>
      <c r="D330" s="5">
        <v>44889</v>
      </c>
      <c r="E330" s="5">
        <v>45249</v>
      </c>
      <c r="F330" s="3">
        <f ca="1">TODAY() - Table1[[#This Row],[SubscriptionStart]]</f>
        <v>1092</v>
      </c>
      <c r="G330" s="4">
        <v>12</v>
      </c>
      <c r="H330" s="3" t="s">
        <v>24</v>
      </c>
      <c r="I330" s="3" t="s">
        <v>25</v>
      </c>
      <c r="J330" s="7" cm="1">
        <f t="array" ref="J330">_xlfn.IFS(Table1[[#This Row],[Tier]]="Basic",10,Table1[[#This Row],[Tier]]="Standard",18,Table1[[#This Row],[Tier]]="Premium",25)</f>
        <v>25</v>
      </c>
      <c r="K330" s="7" cm="1">
        <f t="array" ref="K33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30" s="7" cm="1">
        <f t="array" ref="L33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30" s="3" t="str" cm="1">
        <f t="array" ref="M330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330" s="3" t="s">
        <v>31</v>
      </c>
      <c r="O330" s="3" t="s">
        <v>40</v>
      </c>
      <c r="P330" s="3" t="s">
        <v>41</v>
      </c>
      <c r="Q330" s="3" t="str" cm="1">
        <f t="array" ref="Q330">_xlfn.IFS(Table1[[#This Row],[TotalRevenue]]&lt;100,"Low",Table1[[#This Row],[TotalRevenue]]&lt;300,"Medium",Table1[[#This Row],[TotalRevenue]]&lt;600,"High",TRUE,"Very High")</f>
        <v>Medium</v>
      </c>
      <c r="R330" s="3" t="str" cm="1">
        <f t="array" ref="R330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330" s="3" t="str">
        <f>IF(Table1[[#This Row],[NextBillingDate]]="","Cancelled",IF(Table1[[#This Row],[CancellationDate]]&lt;&gt;"","Cancelled","Active"))</f>
        <v>Cancelled</v>
      </c>
      <c r="T330" s="7" cm="1">
        <f t="array" ref="T33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30" s="5">
        <v>45249</v>
      </c>
      <c r="W330" s="5">
        <v>45249</v>
      </c>
      <c r="X330" s="3">
        <v>0</v>
      </c>
      <c r="Y330" s="5">
        <f ca="1">IF(Table1[[#This Row],[ChurnStatus]]="Cancelled",Table1[[#This Row],[CancellationDate]],TODAY())</f>
        <v>45249</v>
      </c>
      <c r="Z330" s="46">
        <f ca="1">IF(AND(Table1[[#This Row],[SubscriptionStart]] &lt;= TODAY(), Table1[[#This Row],[EffectiveEndDate]] &gt;= TODAY()),1,0)</f>
        <v>0</v>
      </c>
      <c r="AA330" s="46">
        <f ca="1">IF(AND(Table1[[#This Row],[SubscriptionStart]]&lt;=Settings!$A$2,Table1[[#This Row],[EffectiveEndDate]]&gt;=Settings!$A$2),1,0)</f>
        <v>0</v>
      </c>
      <c r="AB330" s="46">
        <f ca="1">IF(AND(Table1[[#This Row],[SubscriptionStart]]&lt;=Settings!$B$2,Table1[[#This Row],[EffectiveEndDate]]&gt;=Settings!$B$2),1,0)</f>
        <v>0</v>
      </c>
      <c r="AC330" s="46">
        <f ca="1">IF(AND(Table1[[#This Row],[SubscriptionStart]]&lt;=Settings!$C$2,Table1[[#This Row],[EffectiveEndDate]]&gt;=Settings!$C$2),1,0)</f>
        <v>1</v>
      </c>
      <c r="AD330" s="46">
        <f ca="1">IF(AND(Table1[[#This Row],[SubscriptionStart]]&lt;=Settings!$D$2,Table1[[#This Row],[EffectiveEndDate]]&gt;=Settings!$D$2),1,0)</f>
        <v>1</v>
      </c>
      <c r="AE330" s="46">
        <f ca="1">IF(AND(Table1[[#This Row],[SubscriptionStart]]&lt;=Settings!$E$2,Table1[[#This Row],[EffectiveEndDate]]&gt;=Settings!$E$2),1,0)</f>
        <v>0</v>
      </c>
      <c r="AF330"/>
      <c r="AG330"/>
      <c r="AH330"/>
      <c r="AI330"/>
      <c r="AJ330"/>
      <c r="AK330"/>
    </row>
    <row r="331" spans="1:37">
      <c r="A331" s="3" t="s">
        <v>623</v>
      </c>
      <c r="B331" s="3">
        <v>72</v>
      </c>
      <c r="C331" s="3" t="s">
        <v>23</v>
      </c>
      <c r="D331" s="5">
        <v>44889</v>
      </c>
      <c r="E331" s="5">
        <v>45249</v>
      </c>
      <c r="F331" s="3">
        <f ca="1">TODAY() - Table1[[#This Row],[SubscriptionStart]]</f>
        <v>1092</v>
      </c>
      <c r="G331" s="4">
        <v>12</v>
      </c>
      <c r="H331" s="3" t="s">
        <v>24</v>
      </c>
      <c r="I331" s="3" t="s">
        <v>39</v>
      </c>
      <c r="J331" s="7" cm="1">
        <f t="array" ref="J331">_xlfn.IFS(Table1[[#This Row],[Tier]]="Basic",10,Table1[[#This Row],[Tier]]="Standard",18,Table1[[#This Row],[Tier]]="Premium",25)</f>
        <v>18</v>
      </c>
      <c r="K331" s="7" cm="1">
        <f t="array" ref="K33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31" s="7" cm="1">
        <f t="array" ref="L33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31" s="3" t="str" cm="1">
        <f t="array" ref="M331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331" s="3" t="s">
        <v>31</v>
      </c>
      <c r="O331" s="3" t="s">
        <v>49</v>
      </c>
      <c r="P331" s="3" t="s">
        <v>47</v>
      </c>
      <c r="Q331" s="3" t="str" cm="1">
        <f t="array" ref="Q331">_xlfn.IFS(Table1[[#This Row],[TotalRevenue]]&lt;100,"Low",Table1[[#This Row],[TotalRevenue]]&lt;300,"Medium",Table1[[#This Row],[TotalRevenue]]&lt;600,"High",TRUE,"Very High")</f>
        <v>Medium</v>
      </c>
      <c r="R331" s="3" t="str" cm="1">
        <f t="array" ref="R331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331" s="3" t="str">
        <f>IF(Table1[[#This Row],[NextBillingDate]]="","Cancelled",IF(Table1[[#This Row],[CancellationDate]]&lt;&gt;"","Cancelled","Active"))</f>
        <v>Cancelled</v>
      </c>
      <c r="T331" s="7" cm="1">
        <f t="array" ref="T33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31" s="5">
        <v>45249</v>
      </c>
      <c r="W331" s="5">
        <v>45249</v>
      </c>
      <c r="X331" s="3">
        <v>0</v>
      </c>
      <c r="Y331" s="5">
        <f ca="1">IF(Table1[[#This Row],[ChurnStatus]]="Cancelled",Table1[[#This Row],[CancellationDate]],TODAY())</f>
        <v>45249</v>
      </c>
      <c r="Z331" s="46">
        <f ca="1">IF(AND(Table1[[#This Row],[SubscriptionStart]] &lt;= TODAY(), Table1[[#This Row],[EffectiveEndDate]] &gt;= TODAY()),1,0)</f>
        <v>0</v>
      </c>
      <c r="AA331" s="46">
        <f ca="1">IF(AND(Table1[[#This Row],[SubscriptionStart]]&lt;=Settings!$A$2,Table1[[#This Row],[EffectiveEndDate]]&gt;=Settings!$A$2),1,0)</f>
        <v>0</v>
      </c>
      <c r="AB331" s="46">
        <f ca="1">IF(AND(Table1[[#This Row],[SubscriptionStart]]&lt;=Settings!$B$2,Table1[[#This Row],[EffectiveEndDate]]&gt;=Settings!$B$2),1,0)</f>
        <v>0</v>
      </c>
      <c r="AC331" s="46">
        <f ca="1">IF(AND(Table1[[#This Row],[SubscriptionStart]]&lt;=Settings!$C$2,Table1[[#This Row],[EffectiveEndDate]]&gt;=Settings!$C$2),1,0)</f>
        <v>1</v>
      </c>
      <c r="AD331" s="46">
        <f ca="1">IF(AND(Table1[[#This Row],[SubscriptionStart]]&lt;=Settings!$D$2,Table1[[#This Row],[EffectiveEndDate]]&gt;=Settings!$D$2),1,0)</f>
        <v>1</v>
      </c>
      <c r="AE331" s="46">
        <f ca="1">IF(AND(Table1[[#This Row],[SubscriptionStart]]&lt;=Settings!$E$2,Table1[[#This Row],[EffectiveEndDate]]&gt;=Settings!$E$2),1,0)</f>
        <v>0</v>
      </c>
      <c r="AF331"/>
      <c r="AG331"/>
      <c r="AH331"/>
      <c r="AI331"/>
      <c r="AJ331"/>
      <c r="AK331"/>
    </row>
    <row r="332" spans="1:37">
      <c r="A332" s="3" t="s">
        <v>351</v>
      </c>
      <c r="B332" s="3">
        <v>34</v>
      </c>
      <c r="C332" s="3" t="s">
        <v>23</v>
      </c>
      <c r="D332" s="5">
        <v>44890</v>
      </c>
      <c r="E332" s="5">
        <v>44920</v>
      </c>
      <c r="F332" s="3">
        <f ca="1">TODAY() - Table1[[#This Row],[SubscriptionStart]]</f>
        <v>1091</v>
      </c>
      <c r="G332" s="4">
        <v>1</v>
      </c>
      <c r="H332" s="3" t="s">
        <v>29</v>
      </c>
      <c r="I332" s="3" t="s">
        <v>39</v>
      </c>
      <c r="J332" s="7" cm="1">
        <f t="array" ref="J332">_xlfn.IFS(Table1[[#This Row],[Tier]]="Basic",10,Table1[[#This Row],[Tier]]="Standard",18,Table1[[#This Row],[Tier]]="Premium",25)</f>
        <v>18</v>
      </c>
      <c r="K332" s="7" cm="1">
        <f t="array" ref="K33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332" s="7" cm="1">
        <f t="array" ref="L33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332" s="3" t="str" cm="1">
        <f t="array" ref="M33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32" s="3" t="s">
        <v>26</v>
      </c>
      <c r="O332" s="3" t="s">
        <v>32</v>
      </c>
      <c r="P332" s="3" t="s">
        <v>44</v>
      </c>
      <c r="Q332" s="3" t="str" cm="1">
        <f t="array" ref="Q332">_xlfn.IFS(Table1[[#This Row],[TotalRevenue]]&lt;100,"Low",Table1[[#This Row],[TotalRevenue]]&lt;300,"Medium",Table1[[#This Row],[TotalRevenue]]&lt;600,"High",TRUE,"Very High")</f>
        <v>Low</v>
      </c>
      <c r="R332" s="3" t="str" cm="1">
        <f t="array" ref="R33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32" s="3" t="str">
        <f>IF(Table1[[#This Row],[NextBillingDate]]="","Cancelled",IF(Table1[[#This Row],[CancellationDate]]&lt;&gt;"","Cancelled","Active"))</f>
        <v>Cancelled</v>
      </c>
      <c r="T332" s="7" cm="1">
        <f t="array" ref="T33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332" s="5">
        <v>44920</v>
      </c>
      <c r="W332" s="5">
        <v>44920</v>
      </c>
      <c r="X332" s="3">
        <v>0</v>
      </c>
      <c r="Y332" s="5">
        <f ca="1">IF(Table1[[#This Row],[ChurnStatus]]="Cancelled",Table1[[#This Row],[CancellationDate]],TODAY())</f>
        <v>44920</v>
      </c>
      <c r="Z332" s="46">
        <f ca="1">IF(AND(Table1[[#This Row],[SubscriptionStart]] &lt;= TODAY(), Table1[[#This Row],[EffectiveEndDate]] &gt;= TODAY()),1,0)</f>
        <v>0</v>
      </c>
      <c r="AA332" s="46">
        <f ca="1">IF(AND(Table1[[#This Row],[SubscriptionStart]]&lt;=Settings!$A$2,Table1[[#This Row],[EffectiveEndDate]]&gt;=Settings!$A$2),1,0)</f>
        <v>0</v>
      </c>
      <c r="AB332" s="46">
        <f ca="1">IF(AND(Table1[[#This Row],[SubscriptionStart]]&lt;=Settings!$B$2,Table1[[#This Row],[EffectiveEndDate]]&gt;=Settings!$B$2),1,0)</f>
        <v>0</v>
      </c>
      <c r="AC332" s="46">
        <f ca="1">IF(AND(Table1[[#This Row],[SubscriptionStart]]&lt;=Settings!$C$2,Table1[[#This Row],[EffectiveEndDate]]&gt;=Settings!$C$2),1,0)</f>
        <v>0</v>
      </c>
      <c r="AD332" s="46">
        <f ca="1">IF(AND(Table1[[#This Row],[SubscriptionStart]]&lt;=Settings!$D$2,Table1[[#This Row],[EffectiveEndDate]]&gt;=Settings!$D$2),1,0)</f>
        <v>0</v>
      </c>
      <c r="AE332" s="46">
        <f ca="1">IF(AND(Table1[[#This Row],[SubscriptionStart]]&lt;=Settings!$E$2,Table1[[#This Row],[EffectiveEndDate]]&gt;=Settings!$E$2),1,0)</f>
        <v>0</v>
      </c>
      <c r="AF332"/>
      <c r="AG332"/>
      <c r="AH332"/>
      <c r="AI332"/>
      <c r="AJ332"/>
      <c r="AK332"/>
    </row>
    <row r="333" spans="1:37">
      <c r="A333" s="3" t="s">
        <v>181</v>
      </c>
      <c r="B333" s="3">
        <v>74</v>
      </c>
      <c r="C333" s="3" t="s">
        <v>23</v>
      </c>
      <c r="D333" s="5">
        <v>44890</v>
      </c>
      <c r="E333" s="5">
        <v>45250</v>
      </c>
      <c r="F333" s="3">
        <f ca="1">TODAY() - Table1[[#This Row],[SubscriptionStart]]</f>
        <v>1091</v>
      </c>
      <c r="G333" s="4">
        <v>12</v>
      </c>
      <c r="H333" s="3" t="s">
        <v>24</v>
      </c>
      <c r="I333" s="3" t="s">
        <v>25</v>
      </c>
      <c r="J333" s="7" cm="1">
        <f t="array" ref="J333">_xlfn.IFS(Table1[[#This Row],[Tier]]="Basic",10,Table1[[#This Row],[Tier]]="Standard",18,Table1[[#This Row],[Tier]]="Premium",25)</f>
        <v>25</v>
      </c>
      <c r="K333" s="7" cm="1">
        <f t="array" ref="K33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33" s="7" cm="1">
        <f t="array" ref="L33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33" s="3" t="str" cm="1">
        <f t="array" ref="M333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333" s="3" t="s">
        <v>52</v>
      </c>
      <c r="O333" s="3" t="s">
        <v>49</v>
      </c>
      <c r="P333" s="3" t="s">
        <v>44</v>
      </c>
      <c r="Q333" s="3" t="str" cm="1">
        <f t="array" ref="Q333">_xlfn.IFS(Table1[[#This Row],[TotalRevenue]]&lt;100,"Low",Table1[[#This Row],[TotalRevenue]]&lt;300,"Medium",Table1[[#This Row],[TotalRevenue]]&lt;600,"High",TRUE,"Very High")</f>
        <v>Medium</v>
      </c>
      <c r="R333" s="3" t="str" cm="1">
        <f t="array" ref="R333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333" s="3" t="str">
        <f>IF(Table1[[#This Row],[NextBillingDate]]="","Cancelled",IF(Table1[[#This Row],[CancellationDate]]&lt;&gt;"","Cancelled","Active"))</f>
        <v>Cancelled</v>
      </c>
      <c r="T333" s="7" cm="1">
        <f t="array" ref="T33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33" s="5">
        <v>45250</v>
      </c>
      <c r="W333" s="5">
        <v>45250</v>
      </c>
      <c r="X333" s="3">
        <v>0</v>
      </c>
      <c r="Y333" s="5">
        <f ca="1">IF(Table1[[#This Row],[ChurnStatus]]="Cancelled",Table1[[#This Row],[CancellationDate]],TODAY())</f>
        <v>45250</v>
      </c>
      <c r="Z333" s="46">
        <f ca="1">IF(AND(Table1[[#This Row],[SubscriptionStart]] &lt;= TODAY(), Table1[[#This Row],[EffectiveEndDate]] &gt;= TODAY()),1,0)</f>
        <v>0</v>
      </c>
      <c r="AA333" s="46">
        <f ca="1">IF(AND(Table1[[#This Row],[SubscriptionStart]]&lt;=Settings!$A$2,Table1[[#This Row],[EffectiveEndDate]]&gt;=Settings!$A$2),1,0)</f>
        <v>0</v>
      </c>
      <c r="AB333" s="46">
        <f ca="1">IF(AND(Table1[[#This Row],[SubscriptionStart]]&lt;=Settings!$B$2,Table1[[#This Row],[EffectiveEndDate]]&gt;=Settings!$B$2),1,0)</f>
        <v>0</v>
      </c>
      <c r="AC333" s="46">
        <f ca="1">IF(AND(Table1[[#This Row],[SubscriptionStart]]&lt;=Settings!$C$2,Table1[[#This Row],[EffectiveEndDate]]&gt;=Settings!$C$2),1,0)</f>
        <v>1</v>
      </c>
      <c r="AD333" s="46">
        <f ca="1">IF(AND(Table1[[#This Row],[SubscriptionStart]]&lt;=Settings!$D$2,Table1[[#This Row],[EffectiveEndDate]]&gt;=Settings!$D$2),1,0)</f>
        <v>1</v>
      </c>
      <c r="AE333" s="46">
        <f ca="1">IF(AND(Table1[[#This Row],[SubscriptionStart]]&lt;=Settings!$E$2,Table1[[#This Row],[EffectiveEndDate]]&gt;=Settings!$E$2),1,0)</f>
        <v>0</v>
      </c>
      <c r="AF333"/>
      <c r="AG333"/>
      <c r="AH333"/>
      <c r="AI333"/>
      <c r="AJ333"/>
      <c r="AK333"/>
    </row>
    <row r="334" spans="1:37">
      <c r="A334" s="3" t="s">
        <v>324</v>
      </c>
      <c r="B334" s="3">
        <v>33</v>
      </c>
      <c r="C334" s="3" t="s">
        <v>37</v>
      </c>
      <c r="D334" s="5">
        <v>44890</v>
      </c>
      <c r="F334" s="3">
        <f ca="1">TODAY() - Table1[[#This Row],[SubscriptionStart]]</f>
        <v>1091</v>
      </c>
      <c r="G334" s="4">
        <v>48</v>
      </c>
      <c r="H334" s="3" t="s">
        <v>24</v>
      </c>
      <c r="I334" s="3" t="s">
        <v>25</v>
      </c>
      <c r="J334" s="7" cm="1">
        <f t="array" ref="J334">_xlfn.IFS(Table1[[#This Row],[Tier]]="Basic",10,Table1[[#This Row],[Tier]]="Standard",18,Table1[[#This Row],[Tier]]="Premium",25)</f>
        <v>25</v>
      </c>
      <c r="K334" s="7" cm="1">
        <f t="array" ref="K33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16.666666666666664</v>
      </c>
      <c r="L334" s="7" cm="1">
        <f t="array" ref="L33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780</v>
      </c>
      <c r="M334" s="3" t="str" cm="1">
        <f t="array" ref="M33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34" s="3" t="s">
        <v>34</v>
      </c>
      <c r="O334" s="3" t="s">
        <v>40</v>
      </c>
      <c r="Q334" s="3" t="str" cm="1">
        <f t="array" ref="Q334">_xlfn.IFS(Table1[[#This Row],[TotalRevenue]]&lt;100,"Low",Table1[[#This Row],[TotalRevenue]]&lt;300,"Medium",Table1[[#This Row],[TotalRevenue]]&lt;600,"High",TRUE,"Very High")</f>
        <v>Very High</v>
      </c>
      <c r="R334" s="3" t="str" cm="1">
        <f t="array" ref="R33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34" s="3" t="str">
        <f>IF(Table1[[#This Row],[NextBillingDate]]="","Cancelled",IF(Table1[[#This Row],[CancellationDate]]&lt;&gt;"","Cancelled","Active"))</f>
        <v>Active</v>
      </c>
      <c r="T334" s="7" cm="1">
        <f t="array" ref="T33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980</v>
      </c>
      <c r="V334" s="5">
        <v>46330</v>
      </c>
      <c r="W334" s="5">
        <v>46330</v>
      </c>
      <c r="X334" s="3">
        <v>3</v>
      </c>
      <c r="Y334" s="5">
        <f ca="1">IF(Table1[[#This Row],[ChurnStatus]]="Cancelled",Table1[[#This Row],[CancellationDate]],TODAY())</f>
        <v>45981</v>
      </c>
      <c r="Z334" s="46">
        <f ca="1">IF(AND(Table1[[#This Row],[SubscriptionStart]] &lt;= TODAY(), Table1[[#This Row],[EffectiveEndDate]] &gt;= TODAY()),1,0)</f>
        <v>1</v>
      </c>
      <c r="AA334" s="46">
        <f ca="1">IF(AND(Table1[[#This Row],[SubscriptionStart]]&lt;=Settings!$A$2,Table1[[#This Row],[EffectiveEndDate]]&gt;=Settings!$A$2),1,0)</f>
        <v>0</v>
      </c>
      <c r="AB334" s="46">
        <f ca="1">IF(AND(Table1[[#This Row],[SubscriptionStart]]&lt;=Settings!$B$2,Table1[[#This Row],[EffectiveEndDate]]&gt;=Settings!$B$2),1,0)</f>
        <v>0</v>
      </c>
      <c r="AC334" s="46">
        <f ca="1">IF(AND(Table1[[#This Row],[SubscriptionStart]]&lt;=Settings!$C$2,Table1[[#This Row],[EffectiveEndDate]]&gt;=Settings!$C$2),1,0)</f>
        <v>1</v>
      </c>
      <c r="AD334" s="46">
        <f ca="1">IF(AND(Table1[[#This Row],[SubscriptionStart]]&lt;=Settings!$D$2,Table1[[#This Row],[EffectiveEndDate]]&gt;=Settings!$D$2),1,0)</f>
        <v>1</v>
      </c>
      <c r="AE334" s="46">
        <f ca="1">IF(AND(Table1[[#This Row],[SubscriptionStart]]&lt;=Settings!$E$2,Table1[[#This Row],[EffectiveEndDate]]&gt;=Settings!$E$2),1,0)</f>
        <v>1</v>
      </c>
      <c r="AF334"/>
      <c r="AG334"/>
      <c r="AH334"/>
      <c r="AI334"/>
      <c r="AJ334"/>
      <c r="AK334"/>
    </row>
    <row r="335" spans="1:37">
      <c r="A335" s="3" t="s">
        <v>236</v>
      </c>
      <c r="B335" s="3">
        <v>49</v>
      </c>
      <c r="C335" s="3" t="s">
        <v>23</v>
      </c>
      <c r="D335" s="5">
        <v>44891</v>
      </c>
      <c r="F335" s="3">
        <f ca="1">TODAY() - Table1[[#This Row],[SubscriptionStart]]</f>
        <v>1090</v>
      </c>
      <c r="G335" s="4">
        <v>37</v>
      </c>
      <c r="H335" s="3" t="s">
        <v>29</v>
      </c>
      <c r="I335" s="3" t="s">
        <v>39</v>
      </c>
      <c r="J335" s="7" cm="1">
        <f t="array" ref="J335">_xlfn.IFS(Table1[[#This Row],[Tier]]="Basic",10,Table1[[#This Row],[Tier]]="Standard",18,Table1[[#This Row],[Tier]]="Premium",25)</f>
        <v>18</v>
      </c>
      <c r="K335" s="7" cm="1">
        <f t="array" ref="K33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335" s="7" cm="1">
        <f t="array" ref="L33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628.20000000000005</v>
      </c>
      <c r="M335" s="3" t="str" cm="1">
        <f t="array" ref="M33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35" s="3" t="s">
        <v>34</v>
      </c>
      <c r="O335" s="3" t="s">
        <v>49</v>
      </c>
      <c r="Q335" s="3" t="str" cm="1">
        <f t="array" ref="Q335">_xlfn.IFS(Table1[[#This Row],[TotalRevenue]]&lt;100,"Low",Table1[[#This Row],[TotalRevenue]]&lt;300,"Medium",Table1[[#This Row],[TotalRevenue]]&lt;600,"High",TRUE,"Very High")</f>
        <v>Very High</v>
      </c>
      <c r="R335" s="3" t="str" cm="1">
        <f t="array" ref="R33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35" s="3" t="str">
        <f>IF(Table1[[#This Row],[NextBillingDate]]="","Cancelled",IF(Table1[[#This Row],[CancellationDate]]&lt;&gt;"","Cancelled","Active"))</f>
        <v>Active</v>
      </c>
      <c r="T335" s="7" cm="1">
        <f t="array" ref="T33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646.20000000000005</v>
      </c>
      <c r="V335" s="5">
        <v>46001</v>
      </c>
      <c r="W335" s="5">
        <v>46001</v>
      </c>
      <c r="X335" s="3">
        <v>36</v>
      </c>
      <c r="Y335" s="5">
        <f ca="1">IF(Table1[[#This Row],[ChurnStatus]]="Cancelled",Table1[[#This Row],[CancellationDate]],TODAY())</f>
        <v>45981</v>
      </c>
      <c r="Z335" s="46">
        <f ca="1">IF(AND(Table1[[#This Row],[SubscriptionStart]] &lt;= TODAY(), Table1[[#This Row],[EffectiveEndDate]] &gt;= TODAY()),1,0)</f>
        <v>1</v>
      </c>
      <c r="AA335" s="46">
        <f ca="1">IF(AND(Table1[[#This Row],[SubscriptionStart]]&lt;=Settings!$A$2,Table1[[#This Row],[EffectiveEndDate]]&gt;=Settings!$A$2),1,0)</f>
        <v>0</v>
      </c>
      <c r="AB335" s="46">
        <f ca="1">IF(AND(Table1[[#This Row],[SubscriptionStart]]&lt;=Settings!$B$2,Table1[[#This Row],[EffectiveEndDate]]&gt;=Settings!$B$2),1,0)</f>
        <v>0</v>
      </c>
      <c r="AC335" s="46">
        <f ca="1">IF(AND(Table1[[#This Row],[SubscriptionStart]]&lt;=Settings!$C$2,Table1[[#This Row],[EffectiveEndDate]]&gt;=Settings!$C$2),1,0)</f>
        <v>1</v>
      </c>
      <c r="AD335" s="46">
        <f ca="1">IF(AND(Table1[[#This Row],[SubscriptionStart]]&lt;=Settings!$D$2,Table1[[#This Row],[EffectiveEndDate]]&gt;=Settings!$D$2),1,0)</f>
        <v>1</v>
      </c>
      <c r="AE335" s="46">
        <f ca="1">IF(AND(Table1[[#This Row],[SubscriptionStart]]&lt;=Settings!$E$2,Table1[[#This Row],[EffectiveEndDate]]&gt;=Settings!$E$2),1,0)</f>
        <v>1</v>
      </c>
      <c r="AF335"/>
      <c r="AG335"/>
      <c r="AH335"/>
      <c r="AI335"/>
      <c r="AJ335"/>
      <c r="AK335"/>
    </row>
    <row r="336" spans="1:37">
      <c r="A336" s="3" t="s">
        <v>519</v>
      </c>
      <c r="B336" s="3">
        <v>21</v>
      </c>
      <c r="C336" s="3" t="s">
        <v>23</v>
      </c>
      <c r="D336" s="5">
        <v>44892</v>
      </c>
      <c r="E336" s="5">
        <v>45252</v>
      </c>
      <c r="F336" s="3">
        <f ca="1">TODAY() - Table1[[#This Row],[SubscriptionStart]]</f>
        <v>1089</v>
      </c>
      <c r="G336" s="4">
        <v>12</v>
      </c>
      <c r="H336" s="3" t="s">
        <v>24</v>
      </c>
      <c r="I336" s="3" t="s">
        <v>39</v>
      </c>
      <c r="J336" s="7" cm="1">
        <f t="array" ref="J336">_xlfn.IFS(Table1[[#This Row],[Tier]]="Basic",10,Table1[[#This Row],[Tier]]="Standard",18,Table1[[#This Row],[Tier]]="Premium",25)</f>
        <v>18</v>
      </c>
      <c r="K336" s="7" cm="1">
        <f t="array" ref="K33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36" s="7" cm="1">
        <f t="array" ref="L33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36" s="3" t="str" cm="1">
        <f t="array" ref="M336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336" s="3" t="s">
        <v>52</v>
      </c>
      <c r="O336" s="3" t="s">
        <v>40</v>
      </c>
      <c r="P336" s="3" t="s">
        <v>47</v>
      </c>
      <c r="Q336" s="3" t="str" cm="1">
        <f t="array" ref="Q336">_xlfn.IFS(Table1[[#This Row],[TotalRevenue]]&lt;100,"Low",Table1[[#This Row],[TotalRevenue]]&lt;300,"Medium",Table1[[#This Row],[TotalRevenue]]&lt;600,"High",TRUE,"Very High")</f>
        <v>Medium</v>
      </c>
      <c r="R336" s="3" t="str" cm="1">
        <f t="array" ref="R336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336" s="3" t="str">
        <f>IF(Table1[[#This Row],[NextBillingDate]]="","Cancelled",IF(Table1[[#This Row],[CancellationDate]]&lt;&gt;"","Cancelled","Active"))</f>
        <v>Cancelled</v>
      </c>
      <c r="T336" s="7" cm="1">
        <f t="array" ref="T33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36" s="5">
        <v>45252</v>
      </c>
      <c r="W336" s="5">
        <v>45252</v>
      </c>
      <c r="X336" s="3">
        <v>0</v>
      </c>
      <c r="Y336" s="5">
        <f ca="1">IF(Table1[[#This Row],[ChurnStatus]]="Cancelled",Table1[[#This Row],[CancellationDate]],TODAY())</f>
        <v>45252</v>
      </c>
      <c r="Z336" s="46">
        <f ca="1">IF(AND(Table1[[#This Row],[SubscriptionStart]] &lt;= TODAY(), Table1[[#This Row],[EffectiveEndDate]] &gt;= TODAY()),1,0)</f>
        <v>0</v>
      </c>
      <c r="AA336" s="46">
        <f ca="1">IF(AND(Table1[[#This Row],[SubscriptionStart]]&lt;=Settings!$A$2,Table1[[#This Row],[EffectiveEndDate]]&gt;=Settings!$A$2),1,0)</f>
        <v>0</v>
      </c>
      <c r="AB336" s="46">
        <f ca="1">IF(AND(Table1[[#This Row],[SubscriptionStart]]&lt;=Settings!$B$2,Table1[[#This Row],[EffectiveEndDate]]&gt;=Settings!$B$2),1,0)</f>
        <v>0</v>
      </c>
      <c r="AC336" s="46">
        <f ca="1">IF(AND(Table1[[#This Row],[SubscriptionStart]]&lt;=Settings!$C$2,Table1[[#This Row],[EffectiveEndDate]]&gt;=Settings!$C$2),1,0)</f>
        <v>1</v>
      </c>
      <c r="AD336" s="46">
        <f ca="1">IF(AND(Table1[[#This Row],[SubscriptionStart]]&lt;=Settings!$D$2,Table1[[#This Row],[EffectiveEndDate]]&gt;=Settings!$D$2),1,0)</f>
        <v>1</v>
      </c>
      <c r="AE336" s="46">
        <f ca="1">IF(AND(Table1[[#This Row],[SubscriptionStart]]&lt;=Settings!$E$2,Table1[[#This Row],[EffectiveEndDate]]&gt;=Settings!$E$2),1,0)</f>
        <v>0</v>
      </c>
      <c r="AF336"/>
      <c r="AG336"/>
      <c r="AH336"/>
      <c r="AI336"/>
      <c r="AJ336"/>
      <c r="AK336"/>
    </row>
    <row r="337" spans="1:37">
      <c r="A337" s="3" t="s">
        <v>792</v>
      </c>
      <c r="B337" s="3">
        <v>40</v>
      </c>
      <c r="C337" s="3" t="s">
        <v>23</v>
      </c>
      <c r="D337" s="5">
        <v>44894</v>
      </c>
      <c r="E337" s="5">
        <v>45254</v>
      </c>
      <c r="F337" s="3">
        <f ca="1">TODAY() - Table1[[#This Row],[SubscriptionStart]]</f>
        <v>1087</v>
      </c>
      <c r="G337" s="4">
        <v>12</v>
      </c>
      <c r="H337" s="3" t="s">
        <v>24</v>
      </c>
      <c r="I337" s="3" t="s">
        <v>30</v>
      </c>
      <c r="J337" s="7" cm="1">
        <f t="array" ref="J337">_xlfn.IFS(Table1[[#This Row],[Tier]]="Basic",10,Table1[[#This Row],[Tier]]="Standard",18,Table1[[#This Row],[Tier]]="Premium",25)</f>
        <v>10</v>
      </c>
      <c r="K337" s="7" cm="1">
        <f t="array" ref="K33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337" s="7" cm="1">
        <f t="array" ref="L33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337" s="3" t="str" cm="1">
        <f t="array" ref="M33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37" s="3" t="s">
        <v>34</v>
      </c>
      <c r="O337" s="3" t="s">
        <v>40</v>
      </c>
      <c r="P337" s="3" t="s">
        <v>50</v>
      </c>
      <c r="Q337" s="3" t="str" cm="1">
        <f t="array" ref="Q337">_xlfn.IFS(Table1[[#This Row],[TotalRevenue]]&lt;100,"Low",Table1[[#This Row],[TotalRevenue]]&lt;300,"Medium",Table1[[#This Row],[TotalRevenue]]&lt;600,"High",TRUE,"Very High")</f>
        <v>Low</v>
      </c>
      <c r="R337" s="3" t="str" cm="1">
        <f t="array" ref="R33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37" s="3" t="str">
        <f>IF(Table1[[#This Row],[NextBillingDate]]="","Cancelled",IF(Table1[[#This Row],[CancellationDate]]&lt;&gt;"","Cancelled","Active"))</f>
        <v>Cancelled</v>
      </c>
      <c r="T337" s="7" cm="1">
        <f t="array" ref="T33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337" s="5">
        <v>45254</v>
      </c>
      <c r="W337" s="5">
        <v>45254</v>
      </c>
      <c r="X337" s="3">
        <v>0</v>
      </c>
      <c r="Y337" s="5">
        <f ca="1">IF(Table1[[#This Row],[ChurnStatus]]="Cancelled",Table1[[#This Row],[CancellationDate]],TODAY())</f>
        <v>45254</v>
      </c>
      <c r="Z337" s="46">
        <f ca="1">IF(AND(Table1[[#This Row],[SubscriptionStart]] &lt;= TODAY(), Table1[[#This Row],[EffectiveEndDate]] &gt;= TODAY()),1,0)</f>
        <v>0</v>
      </c>
      <c r="AA337" s="46">
        <f ca="1">IF(AND(Table1[[#This Row],[SubscriptionStart]]&lt;=Settings!$A$2,Table1[[#This Row],[EffectiveEndDate]]&gt;=Settings!$A$2),1,0)</f>
        <v>0</v>
      </c>
      <c r="AB337" s="46">
        <f ca="1">IF(AND(Table1[[#This Row],[SubscriptionStart]]&lt;=Settings!$B$2,Table1[[#This Row],[EffectiveEndDate]]&gt;=Settings!$B$2),1,0)</f>
        <v>0</v>
      </c>
      <c r="AC337" s="46">
        <f ca="1">IF(AND(Table1[[#This Row],[SubscriptionStart]]&lt;=Settings!$C$2,Table1[[#This Row],[EffectiveEndDate]]&gt;=Settings!$C$2),1,0)</f>
        <v>1</v>
      </c>
      <c r="AD337" s="46">
        <f ca="1">IF(AND(Table1[[#This Row],[SubscriptionStart]]&lt;=Settings!$D$2,Table1[[#This Row],[EffectiveEndDate]]&gt;=Settings!$D$2),1,0)</f>
        <v>1</v>
      </c>
      <c r="AE337" s="46">
        <f ca="1">IF(AND(Table1[[#This Row],[SubscriptionStart]]&lt;=Settings!$E$2,Table1[[#This Row],[EffectiveEndDate]]&gt;=Settings!$E$2),1,0)</f>
        <v>0</v>
      </c>
      <c r="AF337"/>
      <c r="AG337"/>
      <c r="AH337"/>
      <c r="AI337"/>
      <c r="AJ337"/>
      <c r="AK337"/>
    </row>
    <row r="338" spans="1:37">
      <c r="A338" s="3" t="s">
        <v>763</v>
      </c>
      <c r="B338" s="3">
        <v>31</v>
      </c>
      <c r="C338" s="3" t="s">
        <v>37</v>
      </c>
      <c r="D338" s="5">
        <v>44895</v>
      </c>
      <c r="E338" s="5">
        <v>45075</v>
      </c>
      <c r="F338" s="3">
        <f ca="1">TODAY() - Table1[[#This Row],[SubscriptionStart]]</f>
        <v>1086</v>
      </c>
      <c r="G338" s="4">
        <v>6</v>
      </c>
      <c r="H338" s="3" t="s">
        <v>38</v>
      </c>
      <c r="I338" s="3" t="s">
        <v>30</v>
      </c>
      <c r="J338" s="7" cm="1">
        <f t="array" ref="J338">_xlfn.IFS(Table1[[#This Row],[Tier]]="Basic",10,Table1[[#This Row],[Tier]]="Standard",18,Table1[[#This Row],[Tier]]="Premium",25)</f>
        <v>10</v>
      </c>
      <c r="K338" s="7" cm="1">
        <f t="array" ref="K33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338" s="7" cm="1">
        <f t="array" ref="L33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338" s="3" t="str" cm="1">
        <f t="array" ref="M33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38" s="3" t="s">
        <v>26</v>
      </c>
      <c r="O338" s="3" t="s">
        <v>32</v>
      </c>
      <c r="P338" s="3" t="s">
        <v>44</v>
      </c>
      <c r="Q338" s="3" t="str" cm="1">
        <f t="array" ref="Q338">_xlfn.IFS(Table1[[#This Row],[TotalRevenue]]&lt;100,"Low",Table1[[#This Row],[TotalRevenue]]&lt;300,"Medium",Table1[[#This Row],[TotalRevenue]]&lt;600,"High",TRUE,"Very High")</f>
        <v>Low</v>
      </c>
      <c r="R338" s="3" t="str" cm="1">
        <f t="array" ref="R33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38" s="3" t="str">
        <f>IF(Table1[[#This Row],[NextBillingDate]]="","Cancelled",IF(Table1[[#This Row],[CancellationDate]]&lt;&gt;"","Cancelled","Active"))</f>
        <v>Cancelled</v>
      </c>
      <c r="T338" s="7" cm="1">
        <f t="array" ref="T33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338" s="5">
        <v>45075</v>
      </c>
      <c r="W338" s="5">
        <v>45075</v>
      </c>
      <c r="X338" s="3">
        <v>0</v>
      </c>
      <c r="Y338" s="5">
        <f ca="1">IF(Table1[[#This Row],[ChurnStatus]]="Cancelled",Table1[[#This Row],[CancellationDate]],TODAY())</f>
        <v>45075</v>
      </c>
      <c r="Z338" s="46">
        <f ca="1">IF(AND(Table1[[#This Row],[SubscriptionStart]] &lt;= TODAY(), Table1[[#This Row],[EffectiveEndDate]] &gt;= TODAY()),1,0)</f>
        <v>0</v>
      </c>
      <c r="AA338" s="46">
        <f ca="1">IF(AND(Table1[[#This Row],[SubscriptionStart]]&lt;=Settings!$A$2,Table1[[#This Row],[EffectiveEndDate]]&gt;=Settings!$A$2),1,0)</f>
        <v>0</v>
      </c>
      <c r="AB338" s="46">
        <f ca="1">IF(AND(Table1[[#This Row],[SubscriptionStart]]&lt;=Settings!$B$2,Table1[[#This Row],[EffectiveEndDate]]&gt;=Settings!$B$2),1,0)</f>
        <v>0</v>
      </c>
      <c r="AC338" s="46">
        <f ca="1">IF(AND(Table1[[#This Row],[SubscriptionStart]]&lt;=Settings!$C$2,Table1[[#This Row],[EffectiveEndDate]]&gt;=Settings!$C$2),1,0)</f>
        <v>1</v>
      </c>
      <c r="AD338" s="46">
        <f ca="1">IF(AND(Table1[[#This Row],[SubscriptionStart]]&lt;=Settings!$D$2,Table1[[#This Row],[EffectiveEndDate]]&gt;=Settings!$D$2),1,0)</f>
        <v>0</v>
      </c>
      <c r="AE338" s="46">
        <f ca="1">IF(AND(Table1[[#This Row],[SubscriptionStart]]&lt;=Settings!$E$2,Table1[[#This Row],[EffectiveEndDate]]&gt;=Settings!$E$2),1,0)</f>
        <v>0</v>
      </c>
      <c r="AF338"/>
      <c r="AG338"/>
      <c r="AH338"/>
      <c r="AI338"/>
      <c r="AJ338"/>
      <c r="AK338"/>
    </row>
    <row r="339" spans="1:37">
      <c r="A339" s="3" t="s">
        <v>769</v>
      </c>
      <c r="B339" s="3">
        <v>46</v>
      </c>
      <c r="C339" s="3" t="s">
        <v>37</v>
      </c>
      <c r="D339" s="5">
        <v>44897</v>
      </c>
      <c r="E339" s="5">
        <v>45257</v>
      </c>
      <c r="F339" s="3">
        <f ca="1">TODAY() - Table1[[#This Row],[SubscriptionStart]]</f>
        <v>1084</v>
      </c>
      <c r="G339" s="4">
        <v>12</v>
      </c>
      <c r="H339" s="3" t="s">
        <v>24</v>
      </c>
      <c r="I339" s="3" t="s">
        <v>25</v>
      </c>
      <c r="J339" s="7" cm="1">
        <f t="array" ref="J339">_xlfn.IFS(Table1[[#This Row],[Tier]]="Basic",10,Table1[[#This Row],[Tier]]="Standard",18,Table1[[#This Row],[Tier]]="Premium",25)</f>
        <v>25</v>
      </c>
      <c r="K339" s="7" cm="1">
        <f t="array" ref="K33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39" s="7" cm="1">
        <f t="array" ref="L33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39" s="3" t="str" cm="1">
        <f t="array" ref="M33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39" s="3" t="s">
        <v>34</v>
      </c>
      <c r="O339" s="3" t="s">
        <v>32</v>
      </c>
      <c r="P339" s="3" t="s">
        <v>35</v>
      </c>
      <c r="Q339" s="3" t="str" cm="1">
        <f t="array" ref="Q339">_xlfn.IFS(Table1[[#This Row],[TotalRevenue]]&lt;100,"Low",Table1[[#This Row],[TotalRevenue]]&lt;300,"Medium",Table1[[#This Row],[TotalRevenue]]&lt;600,"High",TRUE,"Very High")</f>
        <v>Medium</v>
      </c>
      <c r="R339" s="3" t="str" cm="1">
        <f t="array" ref="R33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39" s="3" t="str">
        <f>IF(Table1[[#This Row],[NextBillingDate]]="","Cancelled",IF(Table1[[#This Row],[CancellationDate]]&lt;&gt;"","Cancelled","Active"))</f>
        <v>Cancelled</v>
      </c>
      <c r="T339" s="7" cm="1">
        <f t="array" ref="T33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39" s="5">
        <v>45257</v>
      </c>
      <c r="W339" s="5">
        <v>45257</v>
      </c>
      <c r="X339" s="3">
        <v>0</v>
      </c>
      <c r="Y339" s="5">
        <f ca="1">IF(Table1[[#This Row],[ChurnStatus]]="Cancelled",Table1[[#This Row],[CancellationDate]],TODAY())</f>
        <v>45257</v>
      </c>
      <c r="Z339" s="46">
        <f ca="1">IF(AND(Table1[[#This Row],[SubscriptionStart]] &lt;= TODAY(), Table1[[#This Row],[EffectiveEndDate]] &gt;= TODAY()),1,0)</f>
        <v>0</v>
      </c>
      <c r="AA339" s="46">
        <f ca="1">IF(AND(Table1[[#This Row],[SubscriptionStart]]&lt;=Settings!$A$2,Table1[[#This Row],[EffectiveEndDate]]&gt;=Settings!$A$2),1,0)</f>
        <v>0</v>
      </c>
      <c r="AB339" s="46">
        <f ca="1">IF(AND(Table1[[#This Row],[SubscriptionStart]]&lt;=Settings!$B$2,Table1[[#This Row],[EffectiveEndDate]]&gt;=Settings!$B$2),1,0)</f>
        <v>0</v>
      </c>
      <c r="AC339" s="46">
        <f ca="1">IF(AND(Table1[[#This Row],[SubscriptionStart]]&lt;=Settings!$C$2,Table1[[#This Row],[EffectiveEndDate]]&gt;=Settings!$C$2),1,0)</f>
        <v>1</v>
      </c>
      <c r="AD339" s="46">
        <f ca="1">IF(AND(Table1[[#This Row],[SubscriptionStart]]&lt;=Settings!$D$2,Table1[[#This Row],[EffectiveEndDate]]&gt;=Settings!$D$2),1,0)</f>
        <v>1</v>
      </c>
      <c r="AE339" s="46">
        <f ca="1">IF(AND(Table1[[#This Row],[SubscriptionStart]]&lt;=Settings!$E$2,Table1[[#This Row],[EffectiveEndDate]]&gt;=Settings!$E$2),1,0)</f>
        <v>0</v>
      </c>
      <c r="AF339"/>
      <c r="AG339"/>
      <c r="AH339"/>
      <c r="AI339"/>
      <c r="AJ339"/>
      <c r="AK339"/>
    </row>
    <row r="340" spans="1:37">
      <c r="A340" s="3" t="s">
        <v>817</v>
      </c>
      <c r="B340" s="3">
        <v>50</v>
      </c>
      <c r="C340" s="3" t="s">
        <v>37</v>
      </c>
      <c r="D340" s="5">
        <v>44898</v>
      </c>
      <c r="E340" s="5">
        <v>45258</v>
      </c>
      <c r="F340" s="3">
        <f ca="1">TODAY() - Table1[[#This Row],[SubscriptionStart]]</f>
        <v>1083</v>
      </c>
      <c r="G340" s="4">
        <v>12</v>
      </c>
      <c r="H340" s="3" t="s">
        <v>24</v>
      </c>
      <c r="I340" s="3" t="s">
        <v>25</v>
      </c>
      <c r="J340" s="7" cm="1">
        <f t="array" ref="J340">_xlfn.IFS(Table1[[#This Row],[Tier]]="Basic",10,Table1[[#This Row],[Tier]]="Standard",18,Table1[[#This Row],[Tier]]="Premium",25)</f>
        <v>25</v>
      </c>
      <c r="K340" s="7" cm="1">
        <f t="array" ref="K34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40" s="7" cm="1">
        <f t="array" ref="L34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40" s="3" t="str" cm="1">
        <f t="array" ref="M34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40" s="3" t="s">
        <v>26</v>
      </c>
      <c r="O340" s="3" t="s">
        <v>27</v>
      </c>
      <c r="P340" s="3" t="s">
        <v>35</v>
      </c>
      <c r="Q340" s="3" t="str" cm="1">
        <f t="array" ref="Q340">_xlfn.IFS(Table1[[#This Row],[TotalRevenue]]&lt;100,"Low",Table1[[#This Row],[TotalRevenue]]&lt;300,"Medium",Table1[[#This Row],[TotalRevenue]]&lt;600,"High",TRUE,"Very High")</f>
        <v>Medium</v>
      </c>
      <c r="R340" s="3" t="str" cm="1">
        <f t="array" ref="R34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40" s="3" t="str">
        <f>IF(Table1[[#This Row],[NextBillingDate]]="","Cancelled",IF(Table1[[#This Row],[CancellationDate]]&lt;&gt;"","Cancelled","Active"))</f>
        <v>Cancelled</v>
      </c>
      <c r="T340" s="7" cm="1">
        <f t="array" ref="T34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40" s="5">
        <v>45258</v>
      </c>
      <c r="W340" s="5">
        <v>45258</v>
      </c>
      <c r="X340" s="3">
        <v>0</v>
      </c>
      <c r="Y340" s="5">
        <f ca="1">IF(Table1[[#This Row],[ChurnStatus]]="Cancelled",Table1[[#This Row],[CancellationDate]],TODAY())</f>
        <v>45258</v>
      </c>
      <c r="Z340" s="46">
        <f ca="1">IF(AND(Table1[[#This Row],[SubscriptionStart]] &lt;= TODAY(), Table1[[#This Row],[EffectiveEndDate]] &gt;= TODAY()),1,0)</f>
        <v>0</v>
      </c>
      <c r="AA340" s="46">
        <f ca="1">IF(AND(Table1[[#This Row],[SubscriptionStart]]&lt;=Settings!$A$2,Table1[[#This Row],[EffectiveEndDate]]&gt;=Settings!$A$2),1,0)</f>
        <v>0</v>
      </c>
      <c r="AB340" s="46">
        <f ca="1">IF(AND(Table1[[#This Row],[SubscriptionStart]]&lt;=Settings!$B$2,Table1[[#This Row],[EffectiveEndDate]]&gt;=Settings!$B$2),1,0)</f>
        <v>0</v>
      </c>
      <c r="AC340" s="46">
        <f ca="1">IF(AND(Table1[[#This Row],[SubscriptionStart]]&lt;=Settings!$C$2,Table1[[#This Row],[EffectiveEndDate]]&gt;=Settings!$C$2),1,0)</f>
        <v>1</v>
      </c>
      <c r="AD340" s="46">
        <f ca="1">IF(AND(Table1[[#This Row],[SubscriptionStart]]&lt;=Settings!$D$2,Table1[[#This Row],[EffectiveEndDate]]&gt;=Settings!$D$2),1,0)</f>
        <v>1</v>
      </c>
      <c r="AE340" s="46">
        <f ca="1">IF(AND(Table1[[#This Row],[SubscriptionStart]]&lt;=Settings!$E$2,Table1[[#This Row],[EffectiveEndDate]]&gt;=Settings!$E$2),1,0)</f>
        <v>0</v>
      </c>
      <c r="AF340"/>
      <c r="AG340"/>
      <c r="AH340"/>
      <c r="AI340"/>
      <c r="AJ340"/>
      <c r="AK340"/>
    </row>
    <row r="341" spans="1:37">
      <c r="A341" s="3" t="s">
        <v>61</v>
      </c>
      <c r="B341" s="3">
        <v>59</v>
      </c>
      <c r="C341" s="3" t="s">
        <v>37</v>
      </c>
      <c r="D341" s="5">
        <v>44899</v>
      </c>
      <c r="F341" s="3">
        <f ca="1">TODAY() - Table1[[#This Row],[SubscriptionStart]]</f>
        <v>1082</v>
      </c>
      <c r="G341" s="4">
        <v>37</v>
      </c>
      <c r="H341" s="3" t="s">
        <v>29</v>
      </c>
      <c r="I341" s="3" t="s">
        <v>39</v>
      </c>
      <c r="J341" s="7" cm="1">
        <f t="array" ref="J341">_xlfn.IFS(Table1[[#This Row],[Tier]]="Basic",10,Table1[[#This Row],[Tier]]="Standard",18,Table1[[#This Row],[Tier]]="Premium",25)</f>
        <v>18</v>
      </c>
      <c r="K341" s="7" cm="1">
        <f t="array" ref="K34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341" s="7" cm="1">
        <f t="array" ref="L34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628.20000000000005</v>
      </c>
      <c r="M341" s="3" t="str" cm="1">
        <f t="array" ref="M341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41" s="3" t="s">
        <v>52</v>
      </c>
      <c r="O341" s="3" t="s">
        <v>40</v>
      </c>
      <c r="Q341" s="3" t="str" cm="1">
        <f t="array" ref="Q341">_xlfn.IFS(Table1[[#This Row],[TotalRevenue]]&lt;100,"Low",Table1[[#This Row],[TotalRevenue]]&lt;300,"Medium",Table1[[#This Row],[TotalRevenue]]&lt;600,"High",TRUE,"Very High")</f>
        <v>Very High</v>
      </c>
      <c r="R341" s="3" t="str" cm="1">
        <f t="array" ref="R34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41" s="3" t="str">
        <f>IF(Table1[[#This Row],[NextBillingDate]]="","Cancelled",IF(Table1[[#This Row],[CancellationDate]]&lt;&gt;"","Cancelled","Active"))</f>
        <v>Active</v>
      </c>
      <c r="T341" s="7" cm="1">
        <f t="array" ref="T34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646.20000000000005</v>
      </c>
      <c r="V341" s="5">
        <v>46009</v>
      </c>
      <c r="W341" s="5">
        <v>46009</v>
      </c>
      <c r="X341" s="3">
        <v>36</v>
      </c>
      <c r="Y341" s="5">
        <f ca="1">IF(Table1[[#This Row],[ChurnStatus]]="Cancelled",Table1[[#This Row],[CancellationDate]],TODAY())</f>
        <v>45981</v>
      </c>
      <c r="Z341" s="46">
        <f ca="1">IF(AND(Table1[[#This Row],[SubscriptionStart]] &lt;= TODAY(), Table1[[#This Row],[EffectiveEndDate]] &gt;= TODAY()),1,0)</f>
        <v>1</v>
      </c>
      <c r="AA341" s="46">
        <f ca="1">IF(AND(Table1[[#This Row],[SubscriptionStart]]&lt;=Settings!$A$2,Table1[[#This Row],[EffectiveEndDate]]&gt;=Settings!$A$2),1,0)</f>
        <v>0</v>
      </c>
      <c r="AB341" s="46">
        <f ca="1">IF(AND(Table1[[#This Row],[SubscriptionStart]]&lt;=Settings!$B$2,Table1[[#This Row],[EffectiveEndDate]]&gt;=Settings!$B$2),1,0)</f>
        <v>0</v>
      </c>
      <c r="AC341" s="46">
        <f ca="1">IF(AND(Table1[[#This Row],[SubscriptionStart]]&lt;=Settings!$C$2,Table1[[#This Row],[EffectiveEndDate]]&gt;=Settings!$C$2),1,0)</f>
        <v>1</v>
      </c>
      <c r="AD341" s="46">
        <f ca="1">IF(AND(Table1[[#This Row],[SubscriptionStart]]&lt;=Settings!$D$2,Table1[[#This Row],[EffectiveEndDate]]&gt;=Settings!$D$2),1,0)</f>
        <v>1</v>
      </c>
      <c r="AE341" s="46">
        <f ca="1">IF(AND(Table1[[#This Row],[SubscriptionStart]]&lt;=Settings!$E$2,Table1[[#This Row],[EffectiveEndDate]]&gt;=Settings!$E$2),1,0)</f>
        <v>1</v>
      </c>
      <c r="AF341"/>
      <c r="AG341"/>
      <c r="AH341"/>
      <c r="AI341"/>
      <c r="AJ341"/>
      <c r="AK341"/>
    </row>
    <row r="342" spans="1:37">
      <c r="A342" s="3" t="s">
        <v>213</v>
      </c>
      <c r="B342" s="3">
        <v>32</v>
      </c>
      <c r="C342" s="3" t="s">
        <v>37</v>
      </c>
      <c r="D342" s="5">
        <v>44900</v>
      </c>
      <c r="E342" s="5">
        <v>44930</v>
      </c>
      <c r="F342" s="3">
        <f ca="1">TODAY() - Table1[[#This Row],[SubscriptionStart]]</f>
        <v>1081</v>
      </c>
      <c r="G342" s="4">
        <v>1</v>
      </c>
      <c r="H342" s="3" t="s">
        <v>29</v>
      </c>
      <c r="I342" s="3" t="s">
        <v>30</v>
      </c>
      <c r="J342" s="7" cm="1">
        <f t="array" ref="J342">_xlfn.IFS(Table1[[#This Row],[Tier]]="Basic",10,Table1[[#This Row],[Tier]]="Standard",18,Table1[[#This Row],[Tier]]="Premium",25)</f>
        <v>10</v>
      </c>
      <c r="K342" s="7" cm="1">
        <f t="array" ref="K34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342" s="7" cm="1">
        <f t="array" ref="L34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342" s="3" t="str" cm="1">
        <f t="array" ref="M34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42" s="3" t="s">
        <v>34</v>
      </c>
      <c r="O342" s="3" t="s">
        <v>40</v>
      </c>
      <c r="P342" s="3" t="s">
        <v>44</v>
      </c>
      <c r="Q342" s="3" t="str" cm="1">
        <f t="array" ref="Q342">_xlfn.IFS(Table1[[#This Row],[TotalRevenue]]&lt;100,"Low",Table1[[#This Row],[TotalRevenue]]&lt;300,"Medium",Table1[[#This Row],[TotalRevenue]]&lt;600,"High",TRUE,"Very High")</f>
        <v>Low</v>
      </c>
      <c r="R342" s="3" t="str" cm="1">
        <f t="array" ref="R34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42" s="3" t="str">
        <f>IF(Table1[[#This Row],[NextBillingDate]]="","Cancelled",IF(Table1[[#This Row],[CancellationDate]]&lt;&gt;"","Cancelled","Active"))</f>
        <v>Cancelled</v>
      </c>
      <c r="T342" s="7" cm="1">
        <f t="array" ref="T34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342" s="5">
        <v>44930</v>
      </c>
      <c r="W342" s="5">
        <v>44930</v>
      </c>
      <c r="X342" s="3">
        <v>0</v>
      </c>
      <c r="Y342" s="5">
        <f ca="1">IF(Table1[[#This Row],[ChurnStatus]]="Cancelled",Table1[[#This Row],[CancellationDate]],TODAY())</f>
        <v>44930</v>
      </c>
      <c r="Z342" s="46">
        <f ca="1">IF(AND(Table1[[#This Row],[SubscriptionStart]] &lt;= TODAY(), Table1[[#This Row],[EffectiveEndDate]] &gt;= TODAY()),1,0)</f>
        <v>0</v>
      </c>
      <c r="AA342" s="46">
        <f ca="1">IF(AND(Table1[[#This Row],[SubscriptionStart]]&lt;=Settings!$A$2,Table1[[#This Row],[EffectiveEndDate]]&gt;=Settings!$A$2),1,0)</f>
        <v>0</v>
      </c>
      <c r="AB342" s="46">
        <f ca="1">IF(AND(Table1[[#This Row],[SubscriptionStart]]&lt;=Settings!$B$2,Table1[[#This Row],[EffectiveEndDate]]&gt;=Settings!$B$2),1,0)</f>
        <v>0</v>
      </c>
      <c r="AC342" s="46">
        <f ca="1">IF(AND(Table1[[#This Row],[SubscriptionStart]]&lt;=Settings!$C$2,Table1[[#This Row],[EffectiveEndDate]]&gt;=Settings!$C$2),1,0)</f>
        <v>1</v>
      </c>
      <c r="AD342" s="46">
        <f ca="1">IF(AND(Table1[[#This Row],[SubscriptionStart]]&lt;=Settings!$D$2,Table1[[#This Row],[EffectiveEndDate]]&gt;=Settings!$D$2),1,0)</f>
        <v>0</v>
      </c>
      <c r="AE342" s="46">
        <f ca="1">IF(AND(Table1[[#This Row],[SubscriptionStart]]&lt;=Settings!$E$2,Table1[[#This Row],[EffectiveEndDate]]&gt;=Settings!$E$2),1,0)</f>
        <v>0</v>
      </c>
      <c r="AF342"/>
      <c r="AG342"/>
      <c r="AH342"/>
      <c r="AI342"/>
      <c r="AJ342"/>
      <c r="AK342"/>
    </row>
    <row r="343" spans="1:37">
      <c r="A343" s="3" t="s">
        <v>246</v>
      </c>
      <c r="B343" s="3">
        <v>53</v>
      </c>
      <c r="C343" s="3" t="s">
        <v>23</v>
      </c>
      <c r="D343" s="5">
        <v>44900</v>
      </c>
      <c r="E343" s="5">
        <v>45080</v>
      </c>
      <c r="F343" s="3">
        <f ca="1">TODAY() - Table1[[#This Row],[SubscriptionStart]]</f>
        <v>1081</v>
      </c>
      <c r="G343" s="4">
        <v>6</v>
      </c>
      <c r="H343" s="3" t="s">
        <v>38</v>
      </c>
      <c r="I343" s="3" t="s">
        <v>25</v>
      </c>
      <c r="J343" s="7" cm="1">
        <f t="array" ref="J343">_xlfn.IFS(Table1[[#This Row],[Tier]]="Basic",10,Table1[[#This Row],[Tier]]="Standard",18,Table1[[#This Row],[Tier]]="Premium",25)</f>
        <v>25</v>
      </c>
      <c r="K343" s="7" cm="1">
        <f t="array" ref="K34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343" s="7" cm="1">
        <f t="array" ref="L34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343" s="3" t="str" cm="1">
        <f t="array" ref="M34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43" s="3" t="s">
        <v>31</v>
      </c>
      <c r="O343" s="3" t="s">
        <v>49</v>
      </c>
      <c r="P343" s="3" t="s">
        <v>35</v>
      </c>
      <c r="Q343" s="3" t="str" cm="1">
        <f t="array" ref="Q343">_xlfn.IFS(Table1[[#This Row],[TotalRevenue]]&lt;100,"Low",Table1[[#This Row],[TotalRevenue]]&lt;300,"Medium",Table1[[#This Row],[TotalRevenue]]&lt;600,"High",TRUE,"Very High")</f>
        <v>Medium</v>
      </c>
      <c r="R343" s="3" t="str" cm="1">
        <f t="array" ref="R34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43" s="3" t="str">
        <f>IF(Table1[[#This Row],[NextBillingDate]]="","Cancelled",IF(Table1[[#This Row],[CancellationDate]]&lt;&gt;"","Cancelled","Active"))</f>
        <v>Cancelled</v>
      </c>
      <c r="T343" s="7" cm="1">
        <f t="array" ref="T34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343" s="5">
        <v>45080</v>
      </c>
      <c r="W343" s="5">
        <v>45080</v>
      </c>
      <c r="X343" s="3">
        <v>0</v>
      </c>
      <c r="Y343" s="5">
        <f ca="1">IF(Table1[[#This Row],[ChurnStatus]]="Cancelled",Table1[[#This Row],[CancellationDate]],TODAY())</f>
        <v>45080</v>
      </c>
      <c r="Z343" s="46">
        <f ca="1">IF(AND(Table1[[#This Row],[SubscriptionStart]] &lt;= TODAY(), Table1[[#This Row],[EffectiveEndDate]] &gt;= TODAY()),1,0)</f>
        <v>0</v>
      </c>
      <c r="AA343" s="46">
        <f ca="1">IF(AND(Table1[[#This Row],[SubscriptionStart]]&lt;=Settings!$A$2,Table1[[#This Row],[EffectiveEndDate]]&gt;=Settings!$A$2),1,0)</f>
        <v>0</v>
      </c>
      <c r="AB343" s="46">
        <f ca="1">IF(AND(Table1[[#This Row],[SubscriptionStart]]&lt;=Settings!$B$2,Table1[[#This Row],[EffectiveEndDate]]&gt;=Settings!$B$2),1,0)</f>
        <v>0</v>
      </c>
      <c r="AC343" s="46">
        <f ca="1">IF(AND(Table1[[#This Row],[SubscriptionStart]]&lt;=Settings!$C$2,Table1[[#This Row],[EffectiveEndDate]]&gt;=Settings!$C$2),1,0)</f>
        <v>1</v>
      </c>
      <c r="AD343" s="46">
        <f ca="1">IF(AND(Table1[[#This Row],[SubscriptionStart]]&lt;=Settings!$D$2,Table1[[#This Row],[EffectiveEndDate]]&gt;=Settings!$D$2),1,0)</f>
        <v>1</v>
      </c>
      <c r="AE343" s="46">
        <f ca="1">IF(AND(Table1[[#This Row],[SubscriptionStart]]&lt;=Settings!$E$2,Table1[[#This Row],[EffectiveEndDate]]&gt;=Settings!$E$2),1,0)</f>
        <v>0</v>
      </c>
      <c r="AF343"/>
      <c r="AG343"/>
      <c r="AH343"/>
      <c r="AI343"/>
      <c r="AJ343"/>
      <c r="AK343"/>
    </row>
    <row r="344" spans="1:37">
      <c r="A344" s="3" t="s">
        <v>257</v>
      </c>
      <c r="B344" s="3">
        <v>45</v>
      </c>
      <c r="C344" s="3" t="s">
        <v>37</v>
      </c>
      <c r="D344" s="5">
        <v>44900</v>
      </c>
      <c r="E344" s="5">
        <v>45260</v>
      </c>
      <c r="F344" s="3">
        <f ca="1">TODAY() - Table1[[#This Row],[SubscriptionStart]]</f>
        <v>1081</v>
      </c>
      <c r="G344" s="4">
        <v>12</v>
      </c>
      <c r="H344" s="3" t="s">
        <v>24</v>
      </c>
      <c r="I344" s="3" t="s">
        <v>39</v>
      </c>
      <c r="J344" s="7" cm="1">
        <f t="array" ref="J344">_xlfn.IFS(Table1[[#This Row],[Tier]]="Basic",10,Table1[[#This Row],[Tier]]="Standard",18,Table1[[#This Row],[Tier]]="Premium",25)</f>
        <v>18</v>
      </c>
      <c r="K344" s="7" cm="1">
        <f t="array" ref="K34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44" s="7" cm="1">
        <f t="array" ref="L34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44" s="3" t="str" cm="1">
        <f t="array" ref="M34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44" s="3" t="s">
        <v>31</v>
      </c>
      <c r="O344" s="3" t="s">
        <v>27</v>
      </c>
      <c r="P344" s="3" t="s">
        <v>50</v>
      </c>
      <c r="Q344" s="3" t="str" cm="1">
        <f t="array" ref="Q344">_xlfn.IFS(Table1[[#This Row],[TotalRevenue]]&lt;100,"Low",Table1[[#This Row],[TotalRevenue]]&lt;300,"Medium",Table1[[#This Row],[TotalRevenue]]&lt;600,"High",TRUE,"Very High")</f>
        <v>Medium</v>
      </c>
      <c r="R344" s="3" t="str" cm="1">
        <f t="array" ref="R34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44" s="3" t="str">
        <f>IF(Table1[[#This Row],[NextBillingDate]]="","Cancelled",IF(Table1[[#This Row],[CancellationDate]]&lt;&gt;"","Cancelled","Active"))</f>
        <v>Cancelled</v>
      </c>
      <c r="T344" s="7" cm="1">
        <f t="array" ref="T34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44" s="5">
        <v>45260</v>
      </c>
      <c r="W344" s="5">
        <v>45260</v>
      </c>
      <c r="X344" s="3">
        <v>0</v>
      </c>
      <c r="Y344" s="5">
        <f ca="1">IF(Table1[[#This Row],[ChurnStatus]]="Cancelled",Table1[[#This Row],[CancellationDate]],TODAY())</f>
        <v>45260</v>
      </c>
      <c r="Z344" s="46">
        <f ca="1">IF(AND(Table1[[#This Row],[SubscriptionStart]] &lt;= TODAY(), Table1[[#This Row],[EffectiveEndDate]] &gt;= TODAY()),1,0)</f>
        <v>0</v>
      </c>
      <c r="AA344" s="46">
        <f ca="1">IF(AND(Table1[[#This Row],[SubscriptionStart]]&lt;=Settings!$A$2,Table1[[#This Row],[EffectiveEndDate]]&gt;=Settings!$A$2),1,0)</f>
        <v>0</v>
      </c>
      <c r="AB344" s="46">
        <f ca="1">IF(AND(Table1[[#This Row],[SubscriptionStart]]&lt;=Settings!$B$2,Table1[[#This Row],[EffectiveEndDate]]&gt;=Settings!$B$2),1,0)</f>
        <v>0</v>
      </c>
      <c r="AC344" s="46">
        <f ca="1">IF(AND(Table1[[#This Row],[SubscriptionStart]]&lt;=Settings!$C$2,Table1[[#This Row],[EffectiveEndDate]]&gt;=Settings!$C$2),1,0)</f>
        <v>1</v>
      </c>
      <c r="AD344" s="46">
        <f ca="1">IF(AND(Table1[[#This Row],[SubscriptionStart]]&lt;=Settings!$D$2,Table1[[#This Row],[EffectiveEndDate]]&gt;=Settings!$D$2),1,0)</f>
        <v>1</v>
      </c>
      <c r="AE344" s="46">
        <f ca="1">IF(AND(Table1[[#This Row],[SubscriptionStart]]&lt;=Settings!$E$2,Table1[[#This Row],[EffectiveEndDate]]&gt;=Settings!$E$2),1,0)</f>
        <v>0</v>
      </c>
      <c r="AF344"/>
      <c r="AG344"/>
      <c r="AH344"/>
      <c r="AI344"/>
      <c r="AJ344"/>
      <c r="AK344"/>
    </row>
    <row r="345" spans="1:37">
      <c r="A345" s="3" t="s">
        <v>454</v>
      </c>
      <c r="B345" s="3">
        <v>42</v>
      </c>
      <c r="C345" s="3" t="s">
        <v>23</v>
      </c>
      <c r="D345" s="5">
        <v>44901</v>
      </c>
      <c r="E345" s="5">
        <v>45081</v>
      </c>
      <c r="F345" s="3">
        <f ca="1">TODAY() - Table1[[#This Row],[SubscriptionStart]]</f>
        <v>1080</v>
      </c>
      <c r="G345" s="4">
        <v>6</v>
      </c>
      <c r="H345" s="3" t="s">
        <v>38</v>
      </c>
      <c r="I345" s="3" t="s">
        <v>30</v>
      </c>
      <c r="J345" s="7" cm="1">
        <f t="array" ref="J345">_xlfn.IFS(Table1[[#This Row],[Tier]]="Basic",10,Table1[[#This Row],[Tier]]="Standard",18,Table1[[#This Row],[Tier]]="Premium",25)</f>
        <v>10</v>
      </c>
      <c r="K345" s="7" cm="1">
        <f t="array" ref="K34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345" s="7" cm="1">
        <f t="array" ref="L34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345" s="3" t="str" cm="1">
        <f t="array" ref="M34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45" s="3" t="s">
        <v>31</v>
      </c>
      <c r="O345" s="3" t="s">
        <v>32</v>
      </c>
      <c r="P345" s="3" t="s">
        <v>41</v>
      </c>
      <c r="Q345" s="3" t="str" cm="1">
        <f t="array" ref="Q345">_xlfn.IFS(Table1[[#This Row],[TotalRevenue]]&lt;100,"Low",Table1[[#This Row],[TotalRevenue]]&lt;300,"Medium",Table1[[#This Row],[TotalRevenue]]&lt;600,"High",TRUE,"Very High")</f>
        <v>Low</v>
      </c>
      <c r="R345" s="3" t="str" cm="1">
        <f t="array" ref="R34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45" s="3" t="str">
        <f>IF(Table1[[#This Row],[NextBillingDate]]="","Cancelled",IF(Table1[[#This Row],[CancellationDate]]&lt;&gt;"","Cancelled","Active"))</f>
        <v>Cancelled</v>
      </c>
      <c r="T345" s="7" cm="1">
        <f t="array" ref="T34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345" s="5">
        <v>45081</v>
      </c>
      <c r="W345" s="5">
        <v>45081</v>
      </c>
      <c r="X345" s="3">
        <v>0</v>
      </c>
      <c r="Y345" s="5">
        <f ca="1">IF(Table1[[#This Row],[ChurnStatus]]="Cancelled",Table1[[#This Row],[CancellationDate]],TODAY())</f>
        <v>45081</v>
      </c>
      <c r="Z345" s="46">
        <f ca="1">IF(AND(Table1[[#This Row],[SubscriptionStart]] &lt;= TODAY(), Table1[[#This Row],[EffectiveEndDate]] &gt;= TODAY()),1,0)</f>
        <v>0</v>
      </c>
      <c r="AA345" s="46">
        <f ca="1">IF(AND(Table1[[#This Row],[SubscriptionStart]]&lt;=Settings!$A$2,Table1[[#This Row],[EffectiveEndDate]]&gt;=Settings!$A$2),1,0)</f>
        <v>0</v>
      </c>
      <c r="AB345" s="46">
        <f ca="1">IF(AND(Table1[[#This Row],[SubscriptionStart]]&lt;=Settings!$B$2,Table1[[#This Row],[EffectiveEndDate]]&gt;=Settings!$B$2),1,0)</f>
        <v>0</v>
      </c>
      <c r="AC345" s="46">
        <f ca="1">IF(AND(Table1[[#This Row],[SubscriptionStart]]&lt;=Settings!$C$2,Table1[[#This Row],[EffectiveEndDate]]&gt;=Settings!$C$2),1,0)</f>
        <v>1</v>
      </c>
      <c r="AD345" s="46">
        <f ca="1">IF(AND(Table1[[#This Row],[SubscriptionStart]]&lt;=Settings!$D$2,Table1[[#This Row],[EffectiveEndDate]]&gt;=Settings!$D$2),1,0)</f>
        <v>1</v>
      </c>
      <c r="AE345" s="46">
        <f ca="1">IF(AND(Table1[[#This Row],[SubscriptionStart]]&lt;=Settings!$E$2,Table1[[#This Row],[EffectiveEndDate]]&gt;=Settings!$E$2),1,0)</f>
        <v>0</v>
      </c>
      <c r="AF345"/>
      <c r="AG345"/>
      <c r="AH345"/>
      <c r="AI345"/>
      <c r="AJ345"/>
      <c r="AK345"/>
    </row>
    <row r="346" spans="1:37">
      <c r="A346" s="3" t="s">
        <v>276</v>
      </c>
      <c r="B346" s="3">
        <v>72</v>
      </c>
      <c r="C346" s="3" t="s">
        <v>37</v>
      </c>
      <c r="D346" s="5">
        <v>44905</v>
      </c>
      <c r="E346" s="5">
        <v>45265</v>
      </c>
      <c r="F346" s="3">
        <f ca="1">TODAY() - Table1[[#This Row],[SubscriptionStart]]</f>
        <v>1076</v>
      </c>
      <c r="G346" s="4">
        <v>12</v>
      </c>
      <c r="H346" s="3" t="s">
        <v>24</v>
      </c>
      <c r="I346" s="3" t="s">
        <v>30</v>
      </c>
      <c r="J346" s="7" cm="1">
        <f t="array" ref="J346">_xlfn.IFS(Table1[[#This Row],[Tier]]="Basic",10,Table1[[#This Row],[Tier]]="Standard",18,Table1[[#This Row],[Tier]]="Premium",25)</f>
        <v>10</v>
      </c>
      <c r="K346" s="7" cm="1">
        <f t="array" ref="K34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346" s="7" cm="1">
        <f t="array" ref="L34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346" s="3" t="str" cm="1">
        <f t="array" ref="M346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346" s="3" t="s">
        <v>34</v>
      </c>
      <c r="O346" s="3" t="s">
        <v>27</v>
      </c>
      <c r="P346" s="3" t="s">
        <v>41</v>
      </c>
      <c r="Q346" s="3" t="str" cm="1">
        <f t="array" ref="Q346">_xlfn.IFS(Table1[[#This Row],[TotalRevenue]]&lt;100,"Low",Table1[[#This Row],[TotalRevenue]]&lt;300,"Medium",Table1[[#This Row],[TotalRevenue]]&lt;600,"High",TRUE,"Very High")</f>
        <v>Low</v>
      </c>
      <c r="R346" s="3" t="str" cm="1">
        <f t="array" ref="R346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346" s="3" t="str">
        <f>IF(Table1[[#This Row],[NextBillingDate]]="","Cancelled",IF(Table1[[#This Row],[CancellationDate]]&lt;&gt;"","Cancelled","Active"))</f>
        <v>Cancelled</v>
      </c>
      <c r="T346" s="7" cm="1">
        <f t="array" ref="T34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346" s="5">
        <v>45265</v>
      </c>
      <c r="W346" s="5">
        <v>45265</v>
      </c>
      <c r="X346" s="3">
        <v>0</v>
      </c>
      <c r="Y346" s="5">
        <f ca="1">IF(Table1[[#This Row],[ChurnStatus]]="Cancelled",Table1[[#This Row],[CancellationDate]],TODAY())</f>
        <v>45265</v>
      </c>
      <c r="Z346" s="46">
        <f ca="1">IF(AND(Table1[[#This Row],[SubscriptionStart]] &lt;= TODAY(), Table1[[#This Row],[EffectiveEndDate]] &gt;= TODAY()),1,0)</f>
        <v>0</v>
      </c>
      <c r="AA346" s="46">
        <f ca="1">IF(AND(Table1[[#This Row],[SubscriptionStart]]&lt;=Settings!$A$2,Table1[[#This Row],[EffectiveEndDate]]&gt;=Settings!$A$2),1,0)</f>
        <v>0</v>
      </c>
      <c r="AB346" s="46">
        <f ca="1">IF(AND(Table1[[#This Row],[SubscriptionStart]]&lt;=Settings!$B$2,Table1[[#This Row],[EffectiveEndDate]]&gt;=Settings!$B$2),1,0)</f>
        <v>0</v>
      </c>
      <c r="AC346" s="46">
        <f ca="1">IF(AND(Table1[[#This Row],[SubscriptionStart]]&lt;=Settings!$C$2,Table1[[#This Row],[EffectiveEndDate]]&gt;=Settings!$C$2),1,0)</f>
        <v>1</v>
      </c>
      <c r="AD346" s="46">
        <f ca="1">IF(AND(Table1[[#This Row],[SubscriptionStart]]&lt;=Settings!$D$2,Table1[[#This Row],[EffectiveEndDate]]&gt;=Settings!$D$2),1,0)</f>
        <v>1</v>
      </c>
      <c r="AE346" s="46">
        <f ca="1">IF(AND(Table1[[#This Row],[SubscriptionStart]]&lt;=Settings!$E$2,Table1[[#This Row],[EffectiveEndDate]]&gt;=Settings!$E$2),1,0)</f>
        <v>0</v>
      </c>
      <c r="AF346"/>
      <c r="AG346"/>
      <c r="AH346"/>
      <c r="AI346"/>
      <c r="AJ346"/>
      <c r="AK346"/>
    </row>
    <row r="347" spans="1:37">
      <c r="A347" s="3" t="s">
        <v>842</v>
      </c>
      <c r="B347" s="3">
        <v>41</v>
      </c>
      <c r="C347" s="3" t="s">
        <v>37</v>
      </c>
      <c r="D347" s="5">
        <v>44905</v>
      </c>
      <c r="E347" s="5">
        <v>45265</v>
      </c>
      <c r="F347" s="3">
        <f ca="1">TODAY() - Table1[[#This Row],[SubscriptionStart]]</f>
        <v>1076</v>
      </c>
      <c r="G347" s="4">
        <v>12</v>
      </c>
      <c r="H347" s="3" t="s">
        <v>24</v>
      </c>
      <c r="I347" s="3" t="s">
        <v>25</v>
      </c>
      <c r="J347" s="7" cm="1">
        <f t="array" ref="J347">_xlfn.IFS(Table1[[#This Row],[Tier]]="Basic",10,Table1[[#This Row],[Tier]]="Standard",18,Table1[[#This Row],[Tier]]="Premium",25)</f>
        <v>25</v>
      </c>
      <c r="K347" s="7" cm="1">
        <f t="array" ref="K34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47" s="7" cm="1">
        <f t="array" ref="L34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47" s="3" t="str" cm="1">
        <f t="array" ref="M34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47" s="3" t="s">
        <v>52</v>
      </c>
      <c r="O347" s="3" t="s">
        <v>49</v>
      </c>
      <c r="P347" s="3" t="s">
        <v>35</v>
      </c>
      <c r="Q347" s="3" t="str" cm="1">
        <f t="array" ref="Q347">_xlfn.IFS(Table1[[#This Row],[TotalRevenue]]&lt;100,"Low",Table1[[#This Row],[TotalRevenue]]&lt;300,"Medium",Table1[[#This Row],[TotalRevenue]]&lt;600,"High",TRUE,"Very High")</f>
        <v>Medium</v>
      </c>
      <c r="R347" s="3" t="str" cm="1">
        <f t="array" ref="R34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47" s="3" t="str">
        <f>IF(Table1[[#This Row],[NextBillingDate]]="","Cancelled",IF(Table1[[#This Row],[CancellationDate]]&lt;&gt;"","Cancelled","Active"))</f>
        <v>Cancelled</v>
      </c>
      <c r="T347" s="7" cm="1">
        <f t="array" ref="T34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47" s="5">
        <v>45265</v>
      </c>
      <c r="W347" s="5">
        <v>45265</v>
      </c>
      <c r="X347" s="3">
        <v>0</v>
      </c>
      <c r="Y347" s="5">
        <f ca="1">IF(Table1[[#This Row],[ChurnStatus]]="Cancelled",Table1[[#This Row],[CancellationDate]],TODAY())</f>
        <v>45265</v>
      </c>
      <c r="Z347" s="46">
        <f ca="1">IF(AND(Table1[[#This Row],[SubscriptionStart]] &lt;= TODAY(), Table1[[#This Row],[EffectiveEndDate]] &gt;= TODAY()),1,0)</f>
        <v>0</v>
      </c>
      <c r="AA347" s="46">
        <f ca="1">IF(AND(Table1[[#This Row],[SubscriptionStart]]&lt;=Settings!$A$2,Table1[[#This Row],[EffectiveEndDate]]&gt;=Settings!$A$2),1,0)</f>
        <v>0</v>
      </c>
      <c r="AB347" s="46">
        <f ca="1">IF(AND(Table1[[#This Row],[SubscriptionStart]]&lt;=Settings!$B$2,Table1[[#This Row],[EffectiveEndDate]]&gt;=Settings!$B$2),1,0)</f>
        <v>0</v>
      </c>
      <c r="AC347" s="46">
        <f ca="1">IF(AND(Table1[[#This Row],[SubscriptionStart]]&lt;=Settings!$C$2,Table1[[#This Row],[EffectiveEndDate]]&gt;=Settings!$C$2),1,0)</f>
        <v>1</v>
      </c>
      <c r="AD347" s="46">
        <f ca="1">IF(AND(Table1[[#This Row],[SubscriptionStart]]&lt;=Settings!$D$2,Table1[[#This Row],[EffectiveEndDate]]&gt;=Settings!$D$2),1,0)</f>
        <v>1</v>
      </c>
      <c r="AE347" s="46">
        <f ca="1">IF(AND(Table1[[#This Row],[SubscriptionStart]]&lt;=Settings!$E$2,Table1[[#This Row],[EffectiveEndDate]]&gt;=Settings!$E$2),1,0)</f>
        <v>0</v>
      </c>
      <c r="AF347"/>
      <c r="AG347"/>
      <c r="AH347"/>
      <c r="AI347"/>
      <c r="AJ347"/>
      <c r="AK347"/>
    </row>
    <row r="348" spans="1:37">
      <c r="A348" s="3" t="s">
        <v>684</v>
      </c>
      <c r="B348" s="3">
        <v>25</v>
      </c>
      <c r="C348" s="3" t="s">
        <v>23</v>
      </c>
      <c r="D348" s="5">
        <v>44905</v>
      </c>
      <c r="F348" s="3">
        <f ca="1">TODAY() - Table1[[#This Row],[SubscriptionStart]]</f>
        <v>1076</v>
      </c>
      <c r="G348" s="4">
        <v>36</v>
      </c>
      <c r="H348" s="3" t="s">
        <v>24</v>
      </c>
      <c r="I348" s="3" t="s">
        <v>30</v>
      </c>
      <c r="J348" s="7" cm="1">
        <f t="array" ref="J348">_xlfn.IFS(Table1[[#This Row],[Tier]]="Basic",10,Table1[[#This Row],[Tier]]="Standard",18,Table1[[#This Row],[Tier]]="Premium",25)</f>
        <v>10</v>
      </c>
      <c r="K348" s="7" cm="1">
        <f t="array" ref="K34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348" s="7" cm="1">
        <f t="array" ref="L34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232</v>
      </c>
      <c r="M348" s="3" t="str" cm="1">
        <f t="array" ref="M348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348" s="3" t="s">
        <v>26</v>
      </c>
      <c r="O348" s="3" t="s">
        <v>27</v>
      </c>
      <c r="Q348" s="3" t="str" cm="1">
        <f t="array" ref="Q348">_xlfn.IFS(Table1[[#This Row],[TotalRevenue]]&lt;100,"Low",Table1[[#This Row],[TotalRevenue]]&lt;300,"Medium",Table1[[#This Row],[TotalRevenue]]&lt;600,"High",TRUE,"Very High")</f>
        <v>Medium</v>
      </c>
      <c r="R348" s="3" t="str" cm="1">
        <f t="array" ref="R348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348" s="3" t="str">
        <f>IF(Table1[[#This Row],[NextBillingDate]]="","Cancelled",IF(Table1[[#This Row],[CancellationDate]]&lt;&gt;"","Cancelled","Active"))</f>
        <v>Active</v>
      </c>
      <c r="T348" s="7" cm="1">
        <f t="array" ref="T34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312</v>
      </c>
      <c r="V348" s="5">
        <v>45985</v>
      </c>
      <c r="W348" s="5">
        <v>45985</v>
      </c>
      <c r="X348" s="3">
        <v>2</v>
      </c>
      <c r="Y348" s="5">
        <f ca="1">IF(Table1[[#This Row],[ChurnStatus]]="Cancelled",Table1[[#This Row],[CancellationDate]],TODAY())</f>
        <v>45981</v>
      </c>
      <c r="Z348" s="46">
        <f ca="1">IF(AND(Table1[[#This Row],[SubscriptionStart]] &lt;= TODAY(), Table1[[#This Row],[EffectiveEndDate]] &gt;= TODAY()),1,0)</f>
        <v>1</v>
      </c>
      <c r="AA348" s="46">
        <f ca="1">IF(AND(Table1[[#This Row],[SubscriptionStart]]&lt;=Settings!$A$2,Table1[[#This Row],[EffectiveEndDate]]&gt;=Settings!$A$2),1,0)</f>
        <v>0</v>
      </c>
      <c r="AB348" s="46">
        <f ca="1">IF(AND(Table1[[#This Row],[SubscriptionStart]]&lt;=Settings!$B$2,Table1[[#This Row],[EffectiveEndDate]]&gt;=Settings!$B$2),1,0)</f>
        <v>0</v>
      </c>
      <c r="AC348" s="46">
        <f ca="1">IF(AND(Table1[[#This Row],[SubscriptionStart]]&lt;=Settings!$C$2,Table1[[#This Row],[EffectiveEndDate]]&gt;=Settings!$C$2),1,0)</f>
        <v>1</v>
      </c>
      <c r="AD348" s="46">
        <f ca="1">IF(AND(Table1[[#This Row],[SubscriptionStart]]&lt;=Settings!$D$2,Table1[[#This Row],[EffectiveEndDate]]&gt;=Settings!$D$2),1,0)</f>
        <v>1</v>
      </c>
      <c r="AE348" s="46">
        <f ca="1">IF(AND(Table1[[#This Row],[SubscriptionStart]]&lt;=Settings!$E$2,Table1[[#This Row],[EffectiveEndDate]]&gt;=Settings!$E$2),1,0)</f>
        <v>1</v>
      </c>
      <c r="AF348"/>
      <c r="AG348"/>
      <c r="AH348"/>
      <c r="AI348"/>
      <c r="AJ348"/>
      <c r="AK348"/>
    </row>
    <row r="349" spans="1:37">
      <c r="A349" s="3" t="s">
        <v>153</v>
      </c>
      <c r="B349" s="3">
        <v>74</v>
      </c>
      <c r="C349" s="3" t="s">
        <v>23</v>
      </c>
      <c r="D349" s="5">
        <v>44906</v>
      </c>
      <c r="E349" s="5">
        <v>45266</v>
      </c>
      <c r="F349" s="3">
        <f ca="1">TODAY() - Table1[[#This Row],[SubscriptionStart]]</f>
        <v>1075</v>
      </c>
      <c r="G349" s="4">
        <v>12</v>
      </c>
      <c r="H349" s="3" t="s">
        <v>24</v>
      </c>
      <c r="I349" s="3" t="s">
        <v>25</v>
      </c>
      <c r="J349" s="7" cm="1">
        <f t="array" ref="J349">_xlfn.IFS(Table1[[#This Row],[Tier]]="Basic",10,Table1[[#This Row],[Tier]]="Standard",18,Table1[[#This Row],[Tier]]="Premium",25)</f>
        <v>25</v>
      </c>
      <c r="K349" s="7" cm="1">
        <f t="array" ref="K34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49" s="7" cm="1">
        <f t="array" ref="L34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49" s="3" t="str" cm="1">
        <f t="array" ref="M349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349" s="3" t="s">
        <v>31</v>
      </c>
      <c r="O349" s="3" t="s">
        <v>49</v>
      </c>
      <c r="P349" s="3" t="s">
        <v>47</v>
      </c>
      <c r="Q349" s="3" t="str" cm="1">
        <f t="array" ref="Q349">_xlfn.IFS(Table1[[#This Row],[TotalRevenue]]&lt;100,"Low",Table1[[#This Row],[TotalRevenue]]&lt;300,"Medium",Table1[[#This Row],[TotalRevenue]]&lt;600,"High",TRUE,"Very High")</f>
        <v>Medium</v>
      </c>
      <c r="R349" s="3" t="str" cm="1">
        <f t="array" ref="R349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349" s="3" t="str">
        <f>IF(Table1[[#This Row],[NextBillingDate]]="","Cancelled",IF(Table1[[#This Row],[CancellationDate]]&lt;&gt;"","Cancelled","Active"))</f>
        <v>Cancelled</v>
      </c>
      <c r="T349" s="7" cm="1">
        <f t="array" ref="T34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49" s="5">
        <v>45266</v>
      </c>
      <c r="W349" s="5">
        <v>45266</v>
      </c>
      <c r="X349" s="3">
        <v>0</v>
      </c>
      <c r="Y349" s="5">
        <f ca="1">IF(Table1[[#This Row],[ChurnStatus]]="Cancelled",Table1[[#This Row],[CancellationDate]],TODAY())</f>
        <v>45266</v>
      </c>
      <c r="Z349" s="46">
        <f ca="1">IF(AND(Table1[[#This Row],[SubscriptionStart]] &lt;= TODAY(), Table1[[#This Row],[EffectiveEndDate]] &gt;= TODAY()),1,0)</f>
        <v>0</v>
      </c>
      <c r="AA349" s="46">
        <f ca="1">IF(AND(Table1[[#This Row],[SubscriptionStart]]&lt;=Settings!$A$2,Table1[[#This Row],[EffectiveEndDate]]&gt;=Settings!$A$2),1,0)</f>
        <v>0</v>
      </c>
      <c r="AB349" s="46">
        <f ca="1">IF(AND(Table1[[#This Row],[SubscriptionStart]]&lt;=Settings!$B$2,Table1[[#This Row],[EffectiveEndDate]]&gt;=Settings!$B$2),1,0)</f>
        <v>0</v>
      </c>
      <c r="AC349" s="46">
        <f ca="1">IF(AND(Table1[[#This Row],[SubscriptionStart]]&lt;=Settings!$C$2,Table1[[#This Row],[EffectiveEndDate]]&gt;=Settings!$C$2),1,0)</f>
        <v>1</v>
      </c>
      <c r="AD349" s="46">
        <f ca="1">IF(AND(Table1[[#This Row],[SubscriptionStart]]&lt;=Settings!$D$2,Table1[[#This Row],[EffectiveEndDate]]&gt;=Settings!$D$2),1,0)</f>
        <v>1</v>
      </c>
      <c r="AE349" s="46">
        <f ca="1">IF(AND(Table1[[#This Row],[SubscriptionStart]]&lt;=Settings!$E$2,Table1[[#This Row],[EffectiveEndDate]]&gt;=Settings!$E$2),1,0)</f>
        <v>0</v>
      </c>
      <c r="AF349"/>
      <c r="AG349"/>
      <c r="AH349"/>
      <c r="AI349"/>
      <c r="AJ349"/>
      <c r="AK349"/>
    </row>
    <row r="350" spans="1:37">
      <c r="A350" s="3" t="s">
        <v>219</v>
      </c>
      <c r="B350" s="3">
        <v>56</v>
      </c>
      <c r="C350" s="3" t="s">
        <v>23</v>
      </c>
      <c r="D350" s="5">
        <v>44906</v>
      </c>
      <c r="F350" s="3">
        <f ca="1">TODAY() - Table1[[#This Row],[SubscriptionStart]]</f>
        <v>1075</v>
      </c>
      <c r="G350" s="4">
        <v>36</v>
      </c>
      <c r="H350" s="3" t="s">
        <v>38</v>
      </c>
      <c r="I350" s="3" t="s">
        <v>39</v>
      </c>
      <c r="J350" s="7" cm="1">
        <f t="array" ref="J350">_xlfn.IFS(Table1[[#This Row],[Tier]]="Basic",10,Table1[[#This Row],[Tier]]="Standard",18,Table1[[#This Row],[Tier]]="Premium",25)</f>
        <v>18</v>
      </c>
      <c r="K350" s="7" cm="1">
        <f t="array" ref="K35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350" s="7" cm="1">
        <f t="array" ref="L35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469.8</v>
      </c>
      <c r="M350" s="3" t="str" cm="1">
        <f t="array" ref="M35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50" s="3" t="s">
        <v>26</v>
      </c>
      <c r="O350" s="3" t="s">
        <v>27</v>
      </c>
      <c r="Q350" s="3" t="str" cm="1">
        <f t="array" ref="Q350">_xlfn.IFS(Table1[[#This Row],[TotalRevenue]]&lt;100,"Low",Table1[[#This Row],[TotalRevenue]]&lt;300,"Medium",Table1[[#This Row],[TotalRevenue]]&lt;600,"High",TRUE,"Very High")</f>
        <v>High</v>
      </c>
      <c r="R350" s="3" t="str" cm="1">
        <f t="array" ref="R35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50" s="3" t="str">
        <f>IF(Table1[[#This Row],[NextBillingDate]]="","Cancelled",IF(Table1[[#This Row],[CancellationDate]]&lt;&gt;"","Cancelled","Active"))</f>
        <v>Active</v>
      </c>
      <c r="T350" s="7" cm="1">
        <f t="array" ref="T35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550.79999999999995</v>
      </c>
      <c r="V350" s="5">
        <v>45986</v>
      </c>
      <c r="W350" s="5">
        <v>45986</v>
      </c>
      <c r="X350" s="3">
        <v>5</v>
      </c>
      <c r="Y350" s="5">
        <f ca="1">IF(Table1[[#This Row],[ChurnStatus]]="Cancelled",Table1[[#This Row],[CancellationDate]],TODAY())</f>
        <v>45981</v>
      </c>
      <c r="Z350" s="46">
        <f ca="1">IF(AND(Table1[[#This Row],[SubscriptionStart]] &lt;= TODAY(), Table1[[#This Row],[EffectiveEndDate]] &gt;= TODAY()),1,0)</f>
        <v>1</v>
      </c>
      <c r="AA350" s="46">
        <f ca="1">IF(AND(Table1[[#This Row],[SubscriptionStart]]&lt;=Settings!$A$2,Table1[[#This Row],[EffectiveEndDate]]&gt;=Settings!$A$2),1,0)</f>
        <v>0</v>
      </c>
      <c r="AB350" s="46">
        <f ca="1">IF(AND(Table1[[#This Row],[SubscriptionStart]]&lt;=Settings!$B$2,Table1[[#This Row],[EffectiveEndDate]]&gt;=Settings!$B$2),1,0)</f>
        <v>0</v>
      </c>
      <c r="AC350" s="46">
        <f ca="1">IF(AND(Table1[[#This Row],[SubscriptionStart]]&lt;=Settings!$C$2,Table1[[#This Row],[EffectiveEndDate]]&gt;=Settings!$C$2),1,0)</f>
        <v>1</v>
      </c>
      <c r="AD350" s="46">
        <f ca="1">IF(AND(Table1[[#This Row],[SubscriptionStart]]&lt;=Settings!$D$2,Table1[[#This Row],[EffectiveEndDate]]&gt;=Settings!$D$2),1,0)</f>
        <v>1</v>
      </c>
      <c r="AE350" s="46">
        <f ca="1">IF(AND(Table1[[#This Row],[SubscriptionStart]]&lt;=Settings!$E$2,Table1[[#This Row],[EffectiveEndDate]]&gt;=Settings!$E$2),1,0)</f>
        <v>1</v>
      </c>
      <c r="AF350"/>
      <c r="AG350"/>
      <c r="AH350"/>
      <c r="AI350"/>
      <c r="AJ350"/>
      <c r="AK350"/>
    </row>
    <row r="351" spans="1:37">
      <c r="A351" s="3" t="s">
        <v>56</v>
      </c>
      <c r="B351" s="3">
        <v>44</v>
      </c>
      <c r="C351" s="3" t="s">
        <v>37</v>
      </c>
      <c r="D351" s="5">
        <v>44907</v>
      </c>
      <c r="E351" s="5">
        <v>44937</v>
      </c>
      <c r="F351" s="3">
        <f ca="1">TODAY() - Table1[[#This Row],[SubscriptionStart]]</f>
        <v>1074</v>
      </c>
      <c r="G351" s="4">
        <v>1</v>
      </c>
      <c r="H351" s="3" t="s">
        <v>29</v>
      </c>
      <c r="I351" s="3" t="s">
        <v>39</v>
      </c>
      <c r="J351" s="7" cm="1">
        <f t="array" ref="J351">_xlfn.IFS(Table1[[#This Row],[Tier]]="Basic",10,Table1[[#This Row],[Tier]]="Standard",18,Table1[[#This Row],[Tier]]="Premium",25)</f>
        <v>18</v>
      </c>
      <c r="K351" s="7" cm="1">
        <f t="array" ref="K35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351" s="7" cm="1">
        <f t="array" ref="L35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351" s="3" t="str" cm="1">
        <f t="array" ref="M35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51" s="3" t="s">
        <v>31</v>
      </c>
      <c r="O351" s="3" t="s">
        <v>40</v>
      </c>
      <c r="P351" s="3" t="s">
        <v>35</v>
      </c>
      <c r="Q351" s="3" t="str" cm="1">
        <f t="array" ref="Q351">_xlfn.IFS(Table1[[#This Row],[TotalRevenue]]&lt;100,"Low",Table1[[#This Row],[TotalRevenue]]&lt;300,"Medium",Table1[[#This Row],[TotalRevenue]]&lt;600,"High",TRUE,"Very High")</f>
        <v>Low</v>
      </c>
      <c r="R351" s="3" t="str" cm="1">
        <f t="array" ref="R35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51" s="3" t="str">
        <f>IF(Table1[[#This Row],[NextBillingDate]]="","Cancelled",IF(Table1[[#This Row],[CancellationDate]]&lt;&gt;"","Cancelled","Active"))</f>
        <v>Cancelled</v>
      </c>
      <c r="T351" s="7" cm="1">
        <f t="array" ref="T35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351" s="5">
        <v>44937</v>
      </c>
      <c r="W351" s="5">
        <v>44937</v>
      </c>
      <c r="X351" s="3">
        <v>0</v>
      </c>
      <c r="Y351" s="5">
        <f ca="1">IF(Table1[[#This Row],[ChurnStatus]]="Cancelled",Table1[[#This Row],[CancellationDate]],TODAY())</f>
        <v>44937</v>
      </c>
      <c r="Z351" s="46">
        <f ca="1">IF(AND(Table1[[#This Row],[SubscriptionStart]] &lt;= TODAY(), Table1[[#This Row],[EffectiveEndDate]] &gt;= TODAY()),1,0)</f>
        <v>0</v>
      </c>
      <c r="AA351" s="46">
        <f ca="1">IF(AND(Table1[[#This Row],[SubscriptionStart]]&lt;=Settings!$A$2,Table1[[#This Row],[EffectiveEndDate]]&gt;=Settings!$A$2),1,0)</f>
        <v>0</v>
      </c>
      <c r="AB351" s="46">
        <f ca="1">IF(AND(Table1[[#This Row],[SubscriptionStart]]&lt;=Settings!$B$2,Table1[[#This Row],[EffectiveEndDate]]&gt;=Settings!$B$2),1,0)</f>
        <v>0</v>
      </c>
      <c r="AC351" s="46">
        <f ca="1">IF(AND(Table1[[#This Row],[SubscriptionStart]]&lt;=Settings!$C$2,Table1[[#This Row],[EffectiveEndDate]]&gt;=Settings!$C$2),1,0)</f>
        <v>1</v>
      </c>
      <c r="AD351" s="46">
        <f ca="1">IF(AND(Table1[[#This Row],[SubscriptionStart]]&lt;=Settings!$D$2,Table1[[#This Row],[EffectiveEndDate]]&gt;=Settings!$D$2),1,0)</f>
        <v>0</v>
      </c>
      <c r="AE351" s="46">
        <f ca="1">IF(AND(Table1[[#This Row],[SubscriptionStart]]&lt;=Settings!$E$2,Table1[[#This Row],[EffectiveEndDate]]&gt;=Settings!$E$2),1,0)</f>
        <v>0</v>
      </c>
      <c r="AF351"/>
      <c r="AG351"/>
      <c r="AH351"/>
      <c r="AI351"/>
      <c r="AJ351"/>
      <c r="AK351"/>
    </row>
    <row r="352" spans="1:37">
      <c r="A352" s="3" t="s">
        <v>191</v>
      </c>
      <c r="B352" s="3">
        <v>42</v>
      </c>
      <c r="C352" s="3" t="s">
        <v>23</v>
      </c>
      <c r="D352" s="5">
        <v>44907</v>
      </c>
      <c r="E352" s="5">
        <v>45267</v>
      </c>
      <c r="F352" s="3">
        <f ca="1">TODAY() - Table1[[#This Row],[SubscriptionStart]]</f>
        <v>1074</v>
      </c>
      <c r="G352" s="4">
        <v>12</v>
      </c>
      <c r="H352" s="3" t="s">
        <v>24</v>
      </c>
      <c r="I352" s="3" t="s">
        <v>39</v>
      </c>
      <c r="J352" s="7" cm="1">
        <f t="array" ref="J352">_xlfn.IFS(Table1[[#This Row],[Tier]]="Basic",10,Table1[[#This Row],[Tier]]="Standard",18,Table1[[#This Row],[Tier]]="Premium",25)</f>
        <v>18</v>
      </c>
      <c r="K352" s="7" cm="1">
        <f t="array" ref="K35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52" s="7" cm="1">
        <f t="array" ref="L35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52" s="3" t="str" cm="1">
        <f t="array" ref="M35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52" s="3" t="s">
        <v>34</v>
      </c>
      <c r="O352" s="3" t="s">
        <v>32</v>
      </c>
      <c r="P352" s="3" t="s">
        <v>44</v>
      </c>
      <c r="Q352" s="3" t="str" cm="1">
        <f t="array" ref="Q352">_xlfn.IFS(Table1[[#This Row],[TotalRevenue]]&lt;100,"Low",Table1[[#This Row],[TotalRevenue]]&lt;300,"Medium",Table1[[#This Row],[TotalRevenue]]&lt;600,"High",TRUE,"Very High")</f>
        <v>Medium</v>
      </c>
      <c r="R352" s="3" t="str" cm="1">
        <f t="array" ref="R35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52" s="3" t="str">
        <f>IF(Table1[[#This Row],[NextBillingDate]]="","Cancelled",IF(Table1[[#This Row],[CancellationDate]]&lt;&gt;"","Cancelled","Active"))</f>
        <v>Cancelled</v>
      </c>
      <c r="T352" s="7" cm="1">
        <f t="array" ref="T35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52" s="5">
        <v>45267</v>
      </c>
      <c r="W352" s="5">
        <v>45267</v>
      </c>
      <c r="X352" s="3">
        <v>0</v>
      </c>
      <c r="Y352" s="5">
        <f ca="1">IF(Table1[[#This Row],[ChurnStatus]]="Cancelled",Table1[[#This Row],[CancellationDate]],TODAY())</f>
        <v>45267</v>
      </c>
      <c r="Z352" s="46">
        <f ca="1">IF(AND(Table1[[#This Row],[SubscriptionStart]] &lt;= TODAY(), Table1[[#This Row],[EffectiveEndDate]] &gt;= TODAY()),1,0)</f>
        <v>0</v>
      </c>
      <c r="AA352" s="46">
        <f ca="1">IF(AND(Table1[[#This Row],[SubscriptionStart]]&lt;=Settings!$A$2,Table1[[#This Row],[EffectiveEndDate]]&gt;=Settings!$A$2),1,0)</f>
        <v>0</v>
      </c>
      <c r="AB352" s="46">
        <f ca="1">IF(AND(Table1[[#This Row],[SubscriptionStart]]&lt;=Settings!$B$2,Table1[[#This Row],[EffectiveEndDate]]&gt;=Settings!$B$2),1,0)</f>
        <v>0</v>
      </c>
      <c r="AC352" s="46">
        <f ca="1">IF(AND(Table1[[#This Row],[SubscriptionStart]]&lt;=Settings!$C$2,Table1[[#This Row],[EffectiveEndDate]]&gt;=Settings!$C$2),1,0)</f>
        <v>1</v>
      </c>
      <c r="AD352" s="46">
        <f ca="1">IF(AND(Table1[[#This Row],[SubscriptionStart]]&lt;=Settings!$D$2,Table1[[#This Row],[EffectiveEndDate]]&gt;=Settings!$D$2),1,0)</f>
        <v>1</v>
      </c>
      <c r="AE352" s="46">
        <f ca="1">IF(AND(Table1[[#This Row],[SubscriptionStart]]&lt;=Settings!$E$2,Table1[[#This Row],[EffectiveEndDate]]&gt;=Settings!$E$2),1,0)</f>
        <v>0</v>
      </c>
      <c r="AF352"/>
      <c r="AG352"/>
      <c r="AH352"/>
      <c r="AI352"/>
      <c r="AJ352"/>
      <c r="AK352"/>
    </row>
    <row r="353" spans="1:37">
      <c r="A353" s="3" t="s">
        <v>708</v>
      </c>
      <c r="B353" s="3">
        <v>61</v>
      </c>
      <c r="C353" s="3" t="s">
        <v>23</v>
      </c>
      <c r="D353" s="5">
        <v>44907</v>
      </c>
      <c r="F353" s="3">
        <f ca="1">TODAY() - Table1[[#This Row],[SubscriptionStart]]</f>
        <v>1074</v>
      </c>
      <c r="G353" s="4">
        <v>36</v>
      </c>
      <c r="H353" s="3" t="s">
        <v>38</v>
      </c>
      <c r="I353" s="3" t="s">
        <v>39</v>
      </c>
      <c r="J353" s="7" cm="1">
        <f t="array" ref="J353">_xlfn.IFS(Table1[[#This Row],[Tier]]="Basic",10,Table1[[#This Row],[Tier]]="Standard",18,Table1[[#This Row],[Tier]]="Premium",25)</f>
        <v>18</v>
      </c>
      <c r="K353" s="7" cm="1">
        <f t="array" ref="K35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353" s="7" cm="1">
        <f t="array" ref="L35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469.8</v>
      </c>
      <c r="M353" s="3" t="str" cm="1">
        <f t="array" ref="M353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353" s="3" t="s">
        <v>52</v>
      </c>
      <c r="O353" s="3" t="s">
        <v>32</v>
      </c>
      <c r="Q353" s="3" t="str" cm="1">
        <f t="array" ref="Q353">_xlfn.IFS(Table1[[#This Row],[TotalRevenue]]&lt;100,"Low",Table1[[#This Row],[TotalRevenue]]&lt;300,"Medium",Table1[[#This Row],[TotalRevenue]]&lt;600,"High",TRUE,"Very High")</f>
        <v>High</v>
      </c>
      <c r="R353" s="3" t="str" cm="1">
        <f t="array" ref="R353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353" s="3" t="str">
        <f>IF(Table1[[#This Row],[NextBillingDate]]="","Cancelled",IF(Table1[[#This Row],[CancellationDate]]&lt;&gt;"","Cancelled","Active"))</f>
        <v>Active</v>
      </c>
      <c r="T353" s="7" cm="1">
        <f t="array" ref="T35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550.79999999999995</v>
      </c>
      <c r="V353" s="5">
        <v>45987</v>
      </c>
      <c r="W353" s="5">
        <v>45987</v>
      </c>
      <c r="X353" s="3">
        <v>5</v>
      </c>
      <c r="Y353" s="5">
        <f ca="1">IF(Table1[[#This Row],[ChurnStatus]]="Cancelled",Table1[[#This Row],[CancellationDate]],TODAY())</f>
        <v>45981</v>
      </c>
      <c r="Z353" s="46">
        <f ca="1">IF(AND(Table1[[#This Row],[SubscriptionStart]] &lt;= TODAY(), Table1[[#This Row],[EffectiveEndDate]] &gt;= TODAY()),1,0)</f>
        <v>1</v>
      </c>
      <c r="AA353" s="46">
        <f ca="1">IF(AND(Table1[[#This Row],[SubscriptionStart]]&lt;=Settings!$A$2,Table1[[#This Row],[EffectiveEndDate]]&gt;=Settings!$A$2),1,0)</f>
        <v>0</v>
      </c>
      <c r="AB353" s="46">
        <f ca="1">IF(AND(Table1[[#This Row],[SubscriptionStart]]&lt;=Settings!$B$2,Table1[[#This Row],[EffectiveEndDate]]&gt;=Settings!$B$2),1,0)</f>
        <v>0</v>
      </c>
      <c r="AC353" s="46">
        <f ca="1">IF(AND(Table1[[#This Row],[SubscriptionStart]]&lt;=Settings!$C$2,Table1[[#This Row],[EffectiveEndDate]]&gt;=Settings!$C$2),1,0)</f>
        <v>1</v>
      </c>
      <c r="AD353" s="46">
        <f ca="1">IF(AND(Table1[[#This Row],[SubscriptionStart]]&lt;=Settings!$D$2,Table1[[#This Row],[EffectiveEndDate]]&gt;=Settings!$D$2),1,0)</f>
        <v>1</v>
      </c>
      <c r="AE353" s="46">
        <f ca="1">IF(AND(Table1[[#This Row],[SubscriptionStart]]&lt;=Settings!$E$2,Table1[[#This Row],[EffectiveEndDate]]&gt;=Settings!$E$2),1,0)</f>
        <v>1</v>
      </c>
      <c r="AF353"/>
      <c r="AG353"/>
      <c r="AH353"/>
      <c r="AI353"/>
      <c r="AJ353"/>
      <c r="AK353"/>
    </row>
    <row r="354" spans="1:37">
      <c r="A354" s="3" t="s">
        <v>513</v>
      </c>
      <c r="B354" s="3">
        <v>54</v>
      </c>
      <c r="C354" s="3" t="s">
        <v>23</v>
      </c>
      <c r="D354" s="5">
        <v>44908</v>
      </c>
      <c r="F354" s="3">
        <f ca="1">TODAY() - Table1[[#This Row],[SubscriptionStart]]</f>
        <v>1073</v>
      </c>
      <c r="G354" s="4">
        <v>36</v>
      </c>
      <c r="H354" s="3" t="s">
        <v>24</v>
      </c>
      <c r="I354" s="3" t="s">
        <v>30</v>
      </c>
      <c r="J354" s="7" cm="1">
        <f t="array" ref="J354">_xlfn.IFS(Table1[[#This Row],[Tier]]="Basic",10,Table1[[#This Row],[Tier]]="Standard",18,Table1[[#This Row],[Tier]]="Premium",25)</f>
        <v>10</v>
      </c>
      <c r="K354" s="7" cm="1">
        <f t="array" ref="K35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354" s="7" cm="1">
        <f t="array" ref="L35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232</v>
      </c>
      <c r="M354" s="3" t="str" cm="1">
        <f t="array" ref="M354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54" s="3" t="s">
        <v>34</v>
      </c>
      <c r="O354" s="3" t="s">
        <v>49</v>
      </c>
      <c r="Q354" s="3" t="str" cm="1">
        <f t="array" ref="Q354">_xlfn.IFS(Table1[[#This Row],[TotalRevenue]]&lt;100,"Low",Table1[[#This Row],[TotalRevenue]]&lt;300,"Medium",Table1[[#This Row],[TotalRevenue]]&lt;600,"High",TRUE,"Very High")</f>
        <v>Medium</v>
      </c>
      <c r="R354" s="3" t="str" cm="1">
        <f t="array" ref="R35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54" s="3" t="str">
        <f>IF(Table1[[#This Row],[NextBillingDate]]="","Cancelled",IF(Table1[[#This Row],[CancellationDate]]&lt;&gt;"","Cancelled","Active"))</f>
        <v>Active</v>
      </c>
      <c r="T354" s="7" cm="1">
        <f t="array" ref="T35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312</v>
      </c>
      <c r="V354" s="5">
        <v>45988</v>
      </c>
      <c r="W354" s="5">
        <v>45988</v>
      </c>
      <c r="X354" s="3">
        <v>2</v>
      </c>
      <c r="Y354" s="5">
        <f ca="1">IF(Table1[[#This Row],[ChurnStatus]]="Cancelled",Table1[[#This Row],[CancellationDate]],TODAY())</f>
        <v>45981</v>
      </c>
      <c r="Z354" s="46">
        <f ca="1">IF(AND(Table1[[#This Row],[SubscriptionStart]] &lt;= TODAY(), Table1[[#This Row],[EffectiveEndDate]] &gt;= TODAY()),1,0)</f>
        <v>1</v>
      </c>
      <c r="AA354" s="46">
        <f ca="1">IF(AND(Table1[[#This Row],[SubscriptionStart]]&lt;=Settings!$A$2,Table1[[#This Row],[EffectiveEndDate]]&gt;=Settings!$A$2),1,0)</f>
        <v>0</v>
      </c>
      <c r="AB354" s="46">
        <f ca="1">IF(AND(Table1[[#This Row],[SubscriptionStart]]&lt;=Settings!$B$2,Table1[[#This Row],[EffectiveEndDate]]&gt;=Settings!$B$2),1,0)</f>
        <v>0</v>
      </c>
      <c r="AC354" s="46">
        <f ca="1">IF(AND(Table1[[#This Row],[SubscriptionStart]]&lt;=Settings!$C$2,Table1[[#This Row],[EffectiveEndDate]]&gt;=Settings!$C$2),1,0)</f>
        <v>1</v>
      </c>
      <c r="AD354" s="46">
        <f ca="1">IF(AND(Table1[[#This Row],[SubscriptionStart]]&lt;=Settings!$D$2,Table1[[#This Row],[EffectiveEndDate]]&gt;=Settings!$D$2),1,0)</f>
        <v>1</v>
      </c>
      <c r="AE354" s="46">
        <f ca="1">IF(AND(Table1[[#This Row],[SubscriptionStart]]&lt;=Settings!$E$2,Table1[[#This Row],[EffectiveEndDate]]&gt;=Settings!$E$2),1,0)</f>
        <v>1</v>
      </c>
      <c r="AF354"/>
      <c r="AG354"/>
      <c r="AH354"/>
      <c r="AI354"/>
      <c r="AJ354"/>
      <c r="AK354"/>
    </row>
    <row r="355" spans="1:37">
      <c r="A355" s="3" t="s">
        <v>158</v>
      </c>
      <c r="B355" s="3">
        <v>29</v>
      </c>
      <c r="C355" s="3" t="s">
        <v>23</v>
      </c>
      <c r="D355" s="5">
        <v>44909</v>
      </c>
      <c r="E355" s="5">
        <v>45269</v>
      </c>
      <c r="F355" s="3">
        <f ca="1">TODAY() - Table1[[#This Row],[SubscriptionStart]]</f>
        <v>1072</v>
      </c>
      <c r="G355" s="4">
        <v>12</v>
      </c>
      <c r="H355" s="3" t="s">
        <v>24</v>
      </c>
      <c r="I355" s="3" t="s">
        <v>39</v>
      </c>
      <c r="J355" s="7" cm="1">
        <f t="array" ref="J355">_xlfn.IFS(Table1[[#This Row],[Tier]]="Basic",10,Table1[[#This Row],[Tier]]="Standard",18,Table1[[#This Row],[Tier]]="Premium",25)</f>
        <v>18</v>
      </c>
      <c r="K355" s="7" cm="1">
        <f t="array" ref="K35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55" s="7" cm="1">
        <f t="array" ref="L35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55" s="3" t="str" cm="1">
        <f t="array" ref="M35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55" s="3" t="s">
        <v>26</v>
      </c>
      <c r="O355" s="3" t="s">
        <v>43</v>
      </c>
      <c r="P355" s="3" t="s">
        <v>41</v>
      </c>
      <c r="Q355" s="3" t="str" cm="1">
        <f t="array" ref="Q355">_xlfn.IFS(Table1[[#This Row],[TotalRevenue]]&lt;100,"Low",Table1[[#This Row],[TotalRevenue]]&lt;300,"Medium",Table1[[#This Row],[TotalRevenue]]&lt;600,"High",TRUE,"Very High")</f>
        <v>Medium</v>
      </c>
      <c r="R355" s="3" t="str" cm="1">
        <f t="array" ref="R35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55" s="3" t="str">
        <f>IF(Table1[[#This Row],[NextBillingDate]]="","Cancelled",IF(Table1[[#This Row],[CancellationDate]]&lt;&gt;"","Cancelled","Active"))</f>
        <v>Cancelled</v>
      </c>
      <c r="T355" s="7" cm="1">
        <f t="array" ref="T35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55" s="5">
        <v>45269</v>
      </c>
      <c r="W355" s="5">
        <v>45269</v>
      </c>
      <c r="X355" s="3">
        <v>0</v>
      </c>
      <c r="Y355" s="5">
        <f ca="1">IF(Table1[[#This Row],[ChurnStatus]]="Cancelled",Table1[[#This Row],[CancellationDate]],TODAY())</f>
        <v>45269</v>
      </c>
      <c r="Z355" s="46">
        <f ca="1">IF(AND(Table1[[#This Row],[SubscriptionStart]] &lt;= TODAY(), Table1[[#This Row],[EffectiveEndDate]] &gt;= TODAY()),1,0)</f>
        <v>0</v>
      </c>
      <c r="AA355" s="46">
        <f ca="1">IF(AND(Table1[[#This Row],[SubscriptionStart]]&lt;=Settings!$A$2,Table1[[#This Row],[EffectiveEndDate]]&gt;=Settings!$A$2),1,0)</f>
        <v>0</v>
      </c>
      <c r="AB355" s="46">
        <f ca="1">IF(AND(Table1[[#This Row],[SubscriptionStart]]&lt;=Settings!$B$2,Table1[[#This Row],[EffectiveEndDate]]&gt;=Settings!$B$2),1,0)</f>
        <v>0</v>
      </c>
      <c r="AC355" s="46">
        <f ca="1">IF(AND(Table1[[#This Row],[SubscriptionStart]]&lt;=Settings!$C$2,Table1[[#This Row],[EffectiveEndDate]]&gt;=Settings!$C$2),1,0)</f>
        <v>1</v>
      </c>
      <c r="AD355" s="46">
        <f ca="1">IF(AND(Table1[[#This Row],[SubscriptionStart]]&lt;=Settings!$D$2,Table1[[#This Row],[EffectiveEndDate]]&gt;=Settings!$D$2),1,0)</f>
        <v>1</v>
      </c>
      <c r="AE355" s="46">
        <f ca="1">IF(AND(Table1[[#This Row],[SubscriptionStart]]&lt;=Settings!$E$2,Table1[[#This Row],[EffectiveEndDate]]&gt;=Settings!$E$2),1,0)</f>
        <v>0</v>
      </c>
      <c r="AF355"/>
      <c r="AG355"/>
      <c r="AH355"/>
      <c r="AI355"/>
      <c r="AJ355"/>
      <c r="AK355"/>
    </row>
    <row r="356" spans="1:37">
      <c r="A356" s="3" t="s">
        <v>538</v>
      </c>
      <c r="B356" s="3">
        <v>18</v>
      </c>
      <c r="C356" s="3" t="s">
        <v>37</v>
      </c>
      <c r="D356" s="5">
        <v>44909</v>
      </c>
      <c r="E356" s="5">
        <v>45269</v>
      </c>
      <c r="F356" s="3">
        <f ca="1">TODAY() - Table1[[#This Row],[SubscriptionStart]]</f>
        <v>1072</v>
      </c>
      <c r="G356" s="4">
        <v>12</v>
      </c>
      <c r="H356" s="3" t="s">
        <v>24</v>
      </c>
      <c r="I356" s="3" t="s">
        <v>30</v>
      </c>
      <c r="J356" s="7" cm="1">
        <f t="array" ref="J356">_xlfn.IFS(Table1[[#This Row],[Tier]]="Basic",10,Table1[[#This Row],[Tier]]="Standard",18,Table1[[#This Row],[Tier]]="Premium",25)</f>
        <v>10</v>
      </c>
      <c r="K356" s="7" cm="1">
        <f t="array" ref="K35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356" s="7" cm="1">
        <f t="array" ref="L35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356" s="3" t="str" cm="1">
        <f t="array" ref="M356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356" s="3" t="s">
        <v>52</v>
      </c>
      <c r="O356" s="3" t="s">
        <v>49</v>
      </c>
      <c r="P356" s="3" t="s">
        <v>50</v>
      </c>
      <c r="Q356" s="3" t="str" cm="1">
        <f t="array" ref="Q356">_xlfn.IFS(Table1[[#This Row],[TotalRevenue]]&lt;100,"Low",Table1[[#This Row],[TotalRevenue]]&lt;300,"Medium",Table1[[#This Row],[TotalRevenue]]&lt;600,"High",TRUE,"Very High")</f>
        <v>Low</v>
      </c>
      <c r="R356" s="3" t="str" cm="1">
        <f t="array" ref="R356">_xlfn.IFS(Table1[[#This Row],[Age]]&gt;69,"Elderly",Table1[[#This Row],[Age]]&gt;59,"Mature Adult",Table1[[#This Row],[Age]]&gt;25,"Adult",Table1[[#This Row],[Age]]&gt;18,"Young Adult",Table1[[#This Row],[Age]]&gt;=12,"Teenager")</f>
        <v>Teenager</v>
      </c>
      <c r="S356" s="3" t="str">
        <f>IF(Table1[[#This Row],[NextBillingDate]]="","Cancelled",IF(Table1[[#This Row],[CancellationDate]]&lt;&gt;"","Cancelled","Active"))</f>
        <v>Cancelled</v>
      </c>
      <c r="T356" s="7" cm="1">
        <f t="array" ref="T35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356" s="5">
        <v>45269</v>
      </c>
      <c r="W356" s="5">
        <v>45269</v>
      </c>
      <c r="X356" s="3">
        <v>0</v>
      </c>
      <c r="Y356" s="5">
        <f ca="1">IF(Table1[[#This Row],[ChurnStatus]]="Cancelled",Table1[[#This Row],[CancellationDate]],TODAY())</f>
        <v>45269</v>
      </c>
      <c r="Z356" s="46">
        <f ca="1">IF(AND(Table1[[#This Row],[SubscriptionStart]] &lt;= TODAY(), Table1[[#This Row],[EffectiveEndDate]] &gt;= TODAY()),1,0)</f>
        <v>0</v>
      </c>
      <c r="AA356" s="46">
        <f ca="1">IF(AND(Table1[[#This Row],[SubscriptionStart]]&lt;=Settings!$A$2,Table1[[#This Row],[EffectiveEndDate]]&gt;=Settings!$A$2),1,0)</f>
        <v>0</v>
      </c>
      <c r="AB356" s="46">
        <f ca="1">IF(AND(Table1[[#This Row],[SubscriptionStart]]&lt;=Settings!$B$2,Table1[[#This Row],[EffectiveEndDate]]&gt;=Settings!$B$2),1,0)</f>
        <v>0</v>
      </c>
      <c r="AC356" s="46">
        <f ca="1">IF(AND(Table1[[#This Row],[SubscriptionStart]]&lt;=Settings!$C$2,Table1[[#This Row],[EffectiveEndDate]]&gt;=Settings!$C$2),1,0)</f>
        <v>1</v>
      </c>
      <c r="AD356" s="46">
        <f ca="1">IF(AND(Table1[[#This Row],[SubscriptionStart]]&lt;=Settings!$D$2,Table1[[#This Row],[EffectiveEndDate]]&gt;=Settings!$D$2),1,0)</f>
        <v>1</v>
      </c>
      <c r="AE356" s="46">
        <f ca="1">IF(AND(Table1[[#This Row],[SubscriptionStart]]&lt;=Settings!$E$2,Table1[[#This Row],[EffectiveEndDate]]&gt;=Settings!$E$2),1,0)</f>
        <v>0</v>
      </c>
      <c r="AF356"/>
      <c r="AG356"/>
      <c r="AH356"/>
      <c r="AI356"/>
      <c r="AJ356"/>
      <c r="AK356"/>
    </row>
    <row r="357" spans="1:37">
      <c r="A357" s="3" t="s">
        <v>98</v>
      </c>
      <c r="B357" s="3">
        <v>54</v>
      </c>
      <c r="C357" s="3" t="s">
        <v>23</v>
      </c>
      <c r="D357" s="5">
        <v>44910</v>
      </c>
      <c r="E357" s="5">
        <v>45090</v>
      </c>
      <c r="F357" s="3">
        <f ca="1">TODAY() - Table1[[#This Row],[SubscriptionStart]]</f>
        <v>1071</v>
      </c>
      <c r="G357" s="4">
        <v>6</v>
      </c>
      <c r="H357" s="3" t="s">
        <v>38</v>
      </c>
      <c r="I357" s="3" t="s">
        <v>30</v>
      </c>
      <c r="J357" s="7" cm="1">
        <f t="array" ref="J357">_xlfn.IFS(Table1[[#This Row],[Tier]]="Basic",10,Table1[[#This Row],[Tier]]="Standard",18,Table1[[#This Row],[Tier]]="Premium",25)</f>
        <v>10</v>
      </c>
      <c r="K357" s="7" cm="1">
        <f t="array" ref="K35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357" s="7" cm="1">
        <f t="array" ref="L35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357" s="3" t="str" cm="1">
        <f t="array" ref="M35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57" s="3" t="s">
        <v>34</v>
      </c>
      <c r="O357" s="3" t="s">
        <v>32</v>
      </c>
      <c r="P357" s="3" t="s">
        <v>47</v>
      </c>
      <c r="Q357" s="3" t="str" cm="1">
        <f t="array" ref="Q357">_xlfn.IFS(Table1[[#This Row],[TotalRevenue]]&lt;100,"Low",Table1[[#This Row],[TotalRevenue]]&lt;300,"Medium",Table1[[#This Row],[TotalRevenue]]&lt;600,"High",TRUE,"Very High")</f>
        <v>Low</v>
      </c>
      <c r="R357" s="3" t="str" cm="1">
        <f t="array" ref="R35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57" s="3" t="str">
        <f>IF(Table1[[#This Row],[NextBillingDate]]="","Cancelled",IF(Table1[[#This Row],[CancellationDate]]&lt;&gt;"","Cancelled","Active"))</f>
        <v>Cancelled</v>
      </c>
      <c r="T357" s="7" cm="1">
        <f t="array" ref="T35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357" s="5">
        <v>45090</v>
      </c>
      <c r="W357" s="5">
        <v>45090</v>
      </c>
      <c r="X357" s="3">
        <v>0</v>
      </c>
      <c r="Y357" s="5">
        <f ca="1">IF(Table1[[#This Row],[ChurnStatus]]="Cancelled",Table1[[#This Row],[CancellationDate]],TODAY())</f>
        <v>45090</v>
      </c>
      <c r="Z357" s="46">
        <f ca="1">IF(AND(Table1[[#This Row],[SubscriptionStart]] &lt;= TODAY(), Table1[[#This Row],[EffectiveEndDate]] &gt;= TODAY()),1,0)</f>
        <v>0</v>
      </c>
      <c r="AA357" s="46">
        <f ca="1">IF(AND(Table1[[#This Row],[SubscriptionStart]]&lt;=Settings!$A$2,Table1[[#This Row],[EffectiveEndDate]]&gt;=Settings!$A$2),1,0)</f>
        <v>0</v>
      </c>
      <c r="AB357" s="46">
        <f ca="1">IF(AND(Table1[[#This Row],[SubscriptionStart]]&lt;=Settings!$B$2,Table1[[#This Row],[EffectiveEndDate]]&gt;=Settings!$B$2),1,0)</f>
        <v>0</v>
      </c>
      <c r="AC357" s="46">
        <f ca="1">IF(AND(Table1[[#This Row],[SubscriptionStart]]&lt;=Settings!$C$2,Table1[[#This Row],[EffectiveEndDate]]&gt;=Settings!$C$2),1,0)</f>
        <v>1</v>
      </c>
      <c r="AD357" s="46">
        <f ca="1">IF(AND(Table1[[#This Row],[SubscriptionStart]]&lt;=Settings!$D$2,Table1[[#This Row],[EffectiveEndDate]]&gt;=Settings!$D$2),1,0)</f>
        <v>1</v>
      </c>
      <c r="AE357" s="46">
        <f ca="1">IF(AND(Table1[[#This Row],[SubscriptionStart]]&lt;=Settings!$E$2,Table1[[#This Row],[EffectiveEndDate]]&gt;=Settings!$E$2),1,0)</f>
        <v>0</v>
      </c>
      <c r="AF357"/>
      <c r="AG357"/>
      <c r="AH357"/>
      <c r="AI357"/>
      <c r="AJ357"/>
      <c r="AK357"/>
    </row>
    <row r="358" spans="1:37">
      <c r="A358" s="3" t="s">
        <v>172</v>
      </c>
      <c r="B358" s="3">
        <v>57</v>
      </c>
      <c r="C358" s="3" t="s">
        <v>37</v>
      </c>
      <c r="D358" s="5">
        <v>44910</v>
      </c>
      <c r="E358" s="5">
        <v>45090</v>
      </c>
      <c r="F358" s="3">
        <f ca="1">TODAY() - Table1[[#This Row],[SubscriptionStart]]</f>
        <v>1071</v>
      </c>
      <c r="G358" s="4">
        <v>6</v>
      </c>
      <c r="H358" s="3" t="s">
        <v>38</v>
      </c>
      <c r="I358" s="3" t="s">
        <v>25</v>
      </c>
      <c r="J358" s="7" cm="1">
        <f t="array" ref="J358">_xlfn.IFS(Table1[[#This Row],[Tier]]="Basic",10,Table1[[#This Row],[Tier]]="Standard",18,Table1[[#This Row],[Tier]]="Premium",25)</f>
        <v>25</v>
      </c>
      <c r="K358" s="7" cm="1">
        <f t="array" ref="K35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358" s="7" cm="1">
        <f t="array" ref="L35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358" s="3" t="str" cm="1">
        <f t="array" ref="M35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58" s="3" t="s">
        <v>52</v>
      </c>
      <c r="O358" s="3" t="s">
        <v>32</v>
      </c>
      <c r="P358" s="3" t="s">
        <v>50</v>
      </c>
      <c r="Q358" s="3" t="str" cm="1">
        <f t="array" ref="Q358">_xlfn.IFS(Table1[[#This Row],[TotalRevenue]]&lt;100,"Low",Table1[[#This Row],[TotalRevenue]]&lt;300,"Medium",Table1[[#This Row],[TotalRevenue]]&lt;600,"High",TRUE,"Very High")</f>
        <v>Medium</v>
      </c>
      <c r="R358" s="3" t="str" cm="1">
        <f t="array" ref="R35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58" s="3" t="str">
        <f>IF(Table1[[#This Row],[NextBillingDate]]="","Cancelled",IF(Table1[[#This Row],[CancellationDate]]&lt;&gt;"","Cancelled","Active"))</f>
        <v>Cancelled</v>
      </c>
      <c r="T358" s="7" cm="1">
        <f t="array" ref="T35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358" s="5">
        <v>45090</v>
      </c>
      <c r="W358" s="5">
        <v>45090</v>
      </c>
      <c r="X358" s="3">
        <v>0</v>
      </c>
      <c r="Y358" s="5">
        <f ca="1">IF(Table1[[#This Row],[ChurnStatus]]="Cancelled",Table1[[#This Row],[CancellationDate]],TODAY())</f>
        <v>45090</v>
      </c>
      <c r="Z358" s="46">
        <f ca="1">IF(AND(Table1[[#This Row],[SubscriptionStart]] &lt;= TODAY(), Table1[[#This Row],[EffectiveEndDate]] &gt;= TODAY()),1,0)</f>
        <v>0</v>
      </c>
      <c r="AA358" s="46">
        <f ca="1">IF(AND(Table1[[#This Row],[SubscriptionStart]]&lt;=Settings!$A$2,Table1[[#This Row],[EffectiveEndDate]]&gt;=Settings!$A$2),1,0)</f>
        <v>0</v>
      </c>
      <c r="AB358" s="46">
        <f ca="1">IF(AND(Table1[[#This Row],[SubscriptionStart]]&lt;=Settings!$B$2,Table1[[#This Row],[EffectiveEndDate]]&gt;=Settings!$B$2),1,0)</f>
        <v>0</v>
      </c>
      <c r="AC358" s="46">
        <f ca="1">IF(AND(Table1[[#This Row],[SubscriptionStart]]&lt;=Settings!$C$2,Table1[[#This Row],[EffectiveEndDate]]&gt;=Settings!$C$2),1,0)</f>
        <v>1</v>
      </c>
      <c r="AD358" s="46">
        <f ca="1">IF(AND(Table1[[#This Row],[SubscriptionStart]]&lt;=Settings!$D$2,Table1[[#This Row],[EffectiveEndDate]]&gt;=Settings!$D$2),1,0)</f>
        <v>1</v>
      </c>
      <c r="AE358" s="46">
        <f ca="1">IF(AND(Table1[[#This Row],[SubscriptionStart]]&lt;=Settings!$E$2,Table1[[#This Row],[EffectiveEndDate]]&gt;=Settings!$E$2),1,0)</f>
        <v>0</v>
      </c>
      <c r="AF358"/>
      <c r="AG358"/>
      <c r="AH358"/>
      <c r="AI358"/>
      <c r="AJ358"/>
      <c r="AK358"/>
    </row>
    <row r="359" spans="1:37">
      <c r="A359" s="3" t="s">
        <v>584</v>
      </c>
      <c r="B359" s="3">
        <v>39</v>
      </c>
      <c r="C359" s="3" t="s">
        <v>37</v>
      </c>
      <c r="D359" s="5">
        <v>44910</v>
      </c>
      <c r="E359" s="5">
        <v>45270</v>
      </c>
      <c r="F359" s="3">
        <f ca="1">TODAY() - Table1[[#This Row],[SubscriptionStart]]</f>
        <v>1071</v>
      </c>
      <c r="G359" s="4">
        <v>12</v>
      </c>
      <c r="H359" s="3" t="s">
        <v>24</v>
      </c>
      <c r="I359" s="3" t="s">
        <v>30</v>
      </c>
      <c r="J359" s="7" cm="1">
        <f t="array" ref="J359">_xlfn.IFS(Table1[[#This Row],[Tier]]="Basic",10,Table1[[#This Row],[Tier]]="Standard",18,Table1[[#This Row],[Tier]]="Premium",25)</f>
        <v>10</v>
      </c>
      <c r="K359" s="7" cm="1">
        <f t="array" ref="K35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359" s="7" cm="1">
        <f t="array" ref="L35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359" s="3" t="str" cm="1">
        <f t="array" ref="M35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59" s="3" t="s">
        <v>52</v>
      </c>
      <c r="O359" s="3" t="s">
        <v>40</v>
      </c>
      <c r="P359" s="3" t="s">
        <v>47</v>
      </c>
      <c r="Q359" s="3" t="str" cm="1">
        <f t="array" ref="Q359">_xlfn.IFS(Table1[[#This Row],[TotalRevenue]]&lt;100,"Low",Table1[[#This Row],[TotalRevenue]]&lt;300,"Medium",Table1[[#This Row],[TotalRevenue]]&lt;600,"High",TRUE,"Very High")</f>
        <v>Low</v>
      </c>
      <c r="R359" s="3" t="str" cm="1">
        <f t="array" ref="R35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59" s="3" t="str">
        <f>IF(Table1[[#This Row],[NextBillingDate]]="","Cancelled",IF(Table1[[#This Row],[CancellationDate]]&lt;&gt;"","Cancelled","Active"))</f>
        <v>Cancelled</v>
      </c>
      <c r="T359" s="7" cm="1">
        <f t="array" ref="T35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359" s="5">
        <v>45270</v>
      </c>
      <c r="W359" s="5">
        <v>45270</v>
      </c>
      <c r="X359" s="3">
        <v>0</v>
      </c>
      <c r="Y359" s="5">
        <f ca="1">IF(Table1[[#This Row],[ChurnStatus]]="Cancelled",Table1[[#This Row],[CancellationDate]],TODAY())</f>
        <v>45270</v>
      </c>
      <c r="Z359" s="46">
        <f ca="1">IF(AND(Table1[[#This Row],[SubscriptionStart]] &lt;= TODAY(), Table1[[#This Row],[EffectiveEndDate]] &gt;= TODAY()),1,0)</f>
        <v>0</v>
      </c>
      <c r="AA359" s="46">
        <f ca="1">IF(AND(Table1[[#This Row],[SubscriptionStart]]&lt;=Settings!$A$2,Table1[[#This Row],[EffectiveEndDate]]&gt;=Settings!$A$2),1,0)</f>
        <v>0</v>
      </c>
      <c r="AB359" s="46">
        <f ca="1">IF(AND(Table1[[#This Row],[SubscriptionStart]]&lt;=Settings!$B$2,Table1[[#This Row],[EffectiveEndDate]]&gt;=Settings!$B$2),1,0)</f>
        <v>0</v>
      </c>
      <c r="AC359" s="46">
        <f ca="1">IF(AND(Table1[[#This Row],[SubscriptionStart]]&lt;=Settings!$C$2,Table1[[#This Row],[EffectiveEndDate]]&gt;=Settings!$C$2),1,0)</f>
        <v>1</v>
      </c>
      <c r="AD359" s="46">
        <f ca="1">IF(AND(Table1[[#This Row],[SubscriptionStart]]&lt;=Settings!$D$2,Table1[[#This Row],[EffectiveEndDate]]&gt;=Settings!$D$2),1,0)</f>
        <v>1</v>
      </c>
      <c r="AE359" s="46">
        <f ca="1">IF(AND(Table1[[#This Row],[SubscriptionStart]]&lt;=Settings!$E$2,Table1[[#This Row],[EffectiveEndDate]]&gt;=Settings!$E$2),1,0)</f>
        <v>0</v>
      </c>
      <c r="AF359"/>
      <c r="AG359"/>
      <c r="AH359"/>
      <c r="AI359"/>
      <c r="AJ359"/>
      <c r="AK359"/>
    </row>
    <row r="360" spans="1:37">
      <c r="A360" s="3" t="s">
        <v>99</v>
      </c>
      <c r="B360" s="3">
        <v>58</v>
      </c>
      <c r="C360" s="3" t="s">
        <v>23</v>
      </c>
      <c r="D360" s="5">
        <v>44911</v>
      </c>
      <c r="E360" s="5">
        <v>45271</v>
      </c>
      <c r="F360" s="3">
        <f ca="1">TODAY() - Table1[[#This Row],[SubscriptionStart]]</f>
        <v>1070</v>
      </c>
      <c r="G360" s="4">
        <v>12</v>
      </c>
      <c r="H360" s="3" t="s">
        <v>24</v>
      </c>
      <c r="I360" s="3" t="s">
        <v>30</v>
      </c>
      <c r="J360" s="7" cm="1">
        <f t="array" ref="J360">_xlfn.IFS(Table1[[#This Row],[Tier]]="Basic",10,Table1[[#This Row],[Tier]]="Standard",18,Table1[[#This Row],[Tier]]="Premium",25)</f>
        <v>10</v>
      </c>
      <c r="K360" s="7" cm="1">
        <f t="array" ref="K36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360" s="7" cm="1">
        <f t="array" ref="L36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360" s="3" t="str" cm="1">
        <f t="array" ref="M36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60" s="3" t="s">
        <v>52</v>
      </c>
      <c r="O360" s="3" t="s">
        <v>32</v>
      </c>
      <c r="P360" s="3" t="s">
        <v>35</v>
      </c>
      <c r="Q360" s="3" t="str" cm="1">
        <f t="array" ref="Q360">_xlfn.IFS(Table1[[#This Row],[TotalRevenue]]&lt;100,"Low",Table1[[#This Row],[TotalRevenue]]&lt;300,"Medium",Table1[[#This Row],[TotalRevenue]]&lt;600,"High",TRUE,"Very High")</f>
        <v>Low</v>
      </c>
      <c r="R360" s="3" t="str" cm="1">
        <f t="array" ref="R36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60" s="3" t="str">
        <f>IF(Table1[[#This Row],[NextBillingDate]]="","Cancelled",IF(Table1[[#This Row],[CancellationDate]]&lt;&gt;"","Cancelled","Active"))</f>
        <v>Cancelled</v>
      </c>
      <c r="T360" s="7" cm="1">
        <f t="array" ref="T36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360" s="5">
        <v>45271</v>
      </c>
      <c r="W360" s="5">
        <v>45271</v>
      </c>
      <c r="X360" s="3">
        <v>0</v>
      </c>
      <c r="Y360" s="5">
        <f ca="1">IF(Table1[[#This Row],[ChurnStatus]]="Cancelled",Table1[[#This Row],[CancellationDate]],TODAY())</f>
        <v>45271</v>
      </c>
      <c r="Z360" s="46">
        <f ca="1">IF(AND(Table1[[#This Row],[SubscriptionStart]] &lt;= TODAY(), Table1[[#This Row],[EffectiveEndDate]] &gt;= TODAY()),1,0)</f>
        <v>0</v>
      </c>
      <c r="AA360" s="46">
        <f ca="1">IF(AND(Table1[[#This Row],[SubscriptionStart]]&lt;=Settings!$A$2,Table1[[#This Row],[EffectiveEndDate]]&gt;=Settings!$A$2),1,0)</f>
        <v>0</v>
      </c>
      <c r="AB360" s="46">
        <f ca="1">IF(AND(Table1[[#This Row],[SubscriptionStart]]&lt;=Settings!$B$2,Table1[[#This Row],[EffectiveEndDate]]&gt;=Settings!$B$2),1,0)</f>
        <v>0</v>
      </c>
      <c r="AC360" s="46">
        <f ca="1">IF(AND(Table1[[#This Row],[SubscriptionStart]]&lt;=Settings!$C$2,Table1[[#This Row],[EffectiveEndDate]]&gt;=Settings!$C$2),1,0)</f>
        <v>1</v>
      </c>
      <c r="AD360" s="46">
        <f ca="1">IF(AND(Table1[[#This Row],[SubscriptionStart]]&lt;=Settings!$D$2,Table1[[#This Row],[EffectiveEndDate]]&gt;=Settings!$D$2),1,0)</f>
        <v>1</v>
      </c>
      <c r="AE360" s="46">
        <f ca="1">IF(AND(Table1[[#This Row],[SubscriptionStart]]&lt;=Settings!$E$2,Table1[[#This Row],[EffectiveEndDate]]&gt;=Settings!$E$2),1,0)</f>
        <v>0</v>
      </c>
      <c r="AF360"/>
      <c r="AG360"/>
      <c r="AH360"/>
      <c r="AI360"/>
      <c r="AJ360"/>
      <c r="AK360"/>
    </row>
    <row r="361" spans="1:37">
      <c r="A361" s="3" t="s">
        <v>102</v>
      </c>
      <c r="B361" s="3">
        <v>30</v>
      </c>
      <c r="C361" s="3" t="s">
        <v>37</v>
      </c>
      <c r="D361" s="5">
        <v>44912</v>
      </c>
      <c r="E361" s="5">
        <v>45092</v>
      </c>
      <c r="F361" s="3">
        <f ca="1">TODAY() - Table1[[#This Row],[SubscriptionStart]]</f>
        <v>1069</v>
      </c>
      <c r="G361" s="4">
        <v>6</v>
      </c>
      <c r="H361" s="3" t="s">
        <v>38</v>
      </c>
      <c r="I361" s="3" t="s">
        <v>30</v>
      </c>
      <c r="J361" s="7" cm="1">
        <f t="array" ref="J361">_xlfn.IFS(Table1[[#This Row],[Tier]]="Basic",10,Table1[[#This Row],[Tier]]="Standard",18,Table1[[#This Row],[Tier]]="Premium",25)</f>
        <v>10</v>
      </c>
      <c r="K361" s="7" cm="1">
        <f t="array" ref="K36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361" s="7" cm="1">
        <f t="array" ref="L36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361" s="3" t="str" cm="1">
        <f t="array" ref="M36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61" s="3" t="s">
        <v>26</v>
      </c>
      <c r="O361" s="3" t="s">
        <v>32</v>
      </c>
      <c r="P361" s="3" t="s">
        <v>35</v>
      </c>
      <c r="Q361" s="3" t="str" cm="1">
        <f t="array" ref="Q361">_xlfn.IFS(Table1[[#This Row],[TotalRevenue]]&lt;100,"Low",Table1[[#This Row],[TotalRevenue]]&lt;300,"Medium",Table1[[#This Row],[TotalRevenue]]&lt;600,"High",TRUE,"Very High")</f>
        <v>Low</v>
      </c>
      <c r="R361" s="3" t="str" cm="1">
        <f t="array" ref="R36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61" s="3" t="str">
        <f>IF(Table1[[#This Row],[NextBillingDate]]="","Cancelled",IF(Table1[[#This Row],[CancellationDate]]&lt;&gt;"","Cancelled","Active"))</f>
        <v>Cancelled</v>
      </c>
      <c r="T361" s="7" cm="1">
        <f t="array" ref="T36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361" s="5">
        <v>45092</v>
      </c>
      <c r="W361" s="5">
        <v>45092</v>
      </c>
      <c r="X361" s="3">
        <v>0</v>
      </c>
      <c r="Y361" s="5">
        <f ca="1">IF(Table1[[#This Row],[ChurnStatus]]="Cancelled",Table1[[#This Row],[CancellationDate]],TODAY())</f>
        <v>45092</v>
      </c>
      <c r="Z361" s="46">
        <f ca="1">IF(AND(Table1[[#This Row],[SubscriptionStart]] &lt;= TODAY(), Table1[[#This Row],[EffectiveEndDate]] &gt;= TODAY()),1,0)</f>
        <v>0</v>
      </c>
      <c r="AA361" s="46">
        <f ca="1">IF(AND(Table1[[#This Row],[SubscriptionStart]]&lt;=Settings!$A$2,Table1[[#This Row],[EffectiveEndDate]]&gt;=Settings!$A$2),1,0)</f>
        <v>0</v>
      </c>
      <c r="AB361" s="46">
        <f ca="1">IF(AND(Table1[[#This Row],[SubscriptionStart]]&lt;=Settings!$B$2,Table1[[#This Row],[EffectiveEndDate]]&gt;=Settings!$B$2),1,0)</f>
        <v>0</v>
      </c>
      <c r="AC361" s="46">
        <f ca="1">IF(AND(Table1[[#This Row],[SubscriptionStart]]&lt;=Settings!$C$2,Table1[[#This Row],[EffectiveEndDate]]&gt;=Settings!$C$2),1,0)</f>
        <v>1</v>
      </c>
      <c r="AD361" s="46">
        <f ca="1">IF(AND(Table1[[#This Row],[SubscriptionStart]]&lt;=Settings!$D$2,Table1[[#This Row],[EffectiveEndDate]]&gt;=Settings!$D$2),1,0)</f>
        <v>1</v>
      </c>
      <c r="AE361" s="46">
        <f ca="1">IF(AND(Table1[[#This Row],[SubscriptionStart]]&lt;=Settings!$E$2,Table1[[#This Row],[EffectiveEndDate]]&gt;=Settings!$E$2),1,0)</f>
        <v>0</v>
      </c>
      <c r="AF361"/>
      <c r="AG361"/>
      <c r="AH361"/>
      <c r="AI361"/>
      <c r="AJ361"/>
      <c r="AK361"/>
    </row>
    <row r="362" spans="1:37">
      <c r="A362" s="3" t="s">
        <v>802</v>
      </c>
      <c r="B362" s="3">
        <v>44</v>
      </c>
      <c r="C362" s="3" t="s">
        <v>23</v>
      </c>
      <c r="D362" s="5">
        <v>44912</v>
      </c>
      <c r="E362" s="5">
        <v>45092</v>
      </c>
      <c r="F362" s="3">
        <f ca="1">TODAY() - Table1[[#This Row],[SubscriptionStart]]</f>
        <v>1069</v>
      </c>
      <c r="G362" s="4">
        <v>6</v>
      </c>
      <c r="H362" s="3" t="s">
        <v>38</v>
      </c>
      <c r="I362" s="3" t="s">
        <v>25</v>
      </c>
      <c r="J362" s="7" cm="1">
        <f t="array" ref="J362">_xlfn.IFS(Table1[[#This Row],[Tier]]="Basic",10,Table1[[#This Row],[Tier]]="Standard",18,Table1[[#This Row],[Tier]]="Premium",25)</f>
        <v>25</v>
      </c>
      <c r="K362" s="7" cm="1">
        <f t="array" ref="K36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362" s="7" cm="1">
        <f t="array" ref="L36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362" s="3" t="str" cm="1">
        <f t="array" ref="M36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62" s="3" t="s">
        <v>52</v>
      </c>
      <c r="O362" s="3" t="s">
        <v>40</v>
      </c>
      <c r="P362" s="3" t="s">
        <v>35</v>
      </c>
      <c r="Q362" s="3" t="str" cm="1">
        <f t="array" ref="Q362">_xlfn.IFS(Table1[[#This Row],[TotalRevenue]]&lt;100,"Low",Table1[[#This Row],[TotalRevenue]]&lt;300,"Medium",Table1[[#This Row],[TotalRevenue]]&lt;600,"High",TRUE,"Very High")</f>
        <v>Medium</v>
      </c>
      <c r="R362" s="3" t="str" cm="1">
        <f t="array" ref="R36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62" s="3" t="str">
        <f>IF(Table1[[#This Row],[NextBillingDate]]="","Cancelled",IF(Table1[[#This Row],[CancellationDate]]&lt;&gt;"","Cancelled","Active"))</f>
        <v>Cancelled</v>
      </c>
      <c r="T362" s="7" cm="1">
        <f t="array" ref="T36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362" s="5">
        <v>45092</v>
      </c>
      <c r="W362" s="5">
        <v>45092</v>
      </c>
      <c r="X362" s="3">
        <v>0</v>
      </c>
      <c r="Y362" s="5">
        <f ca="1">IF(Table1[[#This Row],[ChurnStatus]]="Cancelled",Table1[[#This Row],[CancellationDate]],TODAY())</f>
        <v>45092</v>
      </c>
      <c r="Z362" s="46">
        <f ca="1">IF(AND(Table1[[#This Row],[SubscriptionStart]] &lt;= TODAY(), Table1[[#This Row],[EffectiveEndDate]] &gt;= TODAY()),1,0)</f>
        <v>0</v>
      </c>
      <c r="AA362" s="46">
        <f ca="1">IF(AND(Table1[[#This Row],[SubscriptionStart]]&lt;=Settings!$A$2,Table1[[#This Row],[EffectiveEndDate]]&gt;=Settings!$A$2),1,0)</f>
        <v>0</v>
      </c>
      <c r="AB362" s="46">
        <f ca="1">IF(AND(Table1[[#This Row],[SubscriptionStart]]&lt;=Settings!$B$2,Table1[[#This Row],[EffectiveEndDate]]&gt;=Settings!$B$2),1,0)</f>
        <v>0</v>
      </c>
      <c r="AC362" s="46">
        <f ca="1">IF(AND(Table1[[#This Row],[SubscriptionStart]]&lt;=Settings!$C$2,Table1[[#This Row],[EffectiveEndDate]]&gt;=Settings!$C$2),1,0)</f>
        <v>1</v>
      </c>
      <c r="AD362" s="46">
        <f ca="1">IF(AND(Table1[[#This Row],[SubscriptionStart]]&lt;=Settings!$D$2,Table1[[#This Row],[EffectiveEndDate]]&gt;=Settings!$D$2),1,0)</f>
        <v>1</v>
      </c>
      <c r="AE362" s="46">
        <f ca="1">IF(AND(Table1[[#This Row],[SubscriptionStart]]&lt;=Settings!$E$2,Table1[[#This Row],[EffectiveEndDate]]&gt;=Settings!$E$2),1,0)</f>
        <v>0</v>
      </c>
      <c r="AF362"/>
      <c r="AG362"/>
      <c r="AH362"/>
      <c r="AI362"/>
      <c r="AJ362"/>
      <c r="AK362"/>
    </row>
    <row r="363" spans="1:37">
      <c r="A363" s="3" t="s">
        <v>553</v>
      </c>
      <c r="B363" s="3">
        <v>74</v>
      </c>
      <c r="C363" s="3" t="s">
        <v>37</v>
      </c>
      <c r="D363" s="5">
        <v>44912</v>
      </c>
      <c r="E363" s="5">
        <v>45272</v>
      </c>
      <c r="F363" s="3">
        <f ca="1">TODAY() - Table1[[#This Row],[SubscriptionStart]]</f>
        <v>1069</v>
      </c>
      <c r="G363" s="4">
        <v>12</v>
      </c>
      <c r="H363" s="3" t="s">
        <v>24</v>
      </c>
      <c r="I363" s="3" t="s">
        <v>25</v>
      </c>
      <c r="J363" s="7" cm="1">
        <f t="array" ref="J363">_xlfn.IFS(Table1[[#This Row],[Tier]]="Basic",10,Table1[[#This Row],[Tier]]="Standard",18,Table1[[#This Row],[Tier]]="Premium",25)</f>
        <v>25</v>
      </c>
      <c r="K363" s="7" cm="1">
        <f t="array" ref="K36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63" s="7" cm="1">
        <f t="array" ref="L36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63" s="3" t="str" cm="1">
        <f t="array" ref="M363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363" s="3" t="s">
        <v>34</v>
      </c>
      <c r="O363" s="3" t="s">
        <v>32</v>
      </c>
      <c r="P363" s="3" t="s">
        <v>47</v>
      </c>
      <c r="Q363" s="3" t="str" cm="1">
        <f t="array" ref="Q363">_xlfn.IFS(Table1[[#This Row],[TotalRevenue]]&lt;100,"Low",Table1[[#This Row],[TotalRevenue]]&lt;300,"Medium",Table1[[#This Row],[TotalRevenue]]&lt;600,"High",TRUE,"Very High")</f>
        <v>Medium</v>
      </c>
      <c r="R363" s="3" t="str" cm="1">
        <f t="array" ref="R363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363" s="3" t="str">
        <f>IF(Table1[[#This Row],[NextBillingDate]]="","Cancelled",IF(Table1[[#This Row],[CancellationDate]]&lt;&gt;"","Cancelled","Active"))</f>
        <v>Cancelled</v>
      </c>
      <c r="T363" s="7" cm="1">
        <f t="array" ref="T36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63" s="5">
        <v>45272</v>
      </c>
      <c r="W363" s="5">
        <v>45272</v>
      </c>
      <c r="X363" s="3">
        <v>0</v>
      </c>
      <c r="Y363" s="5">
        <f ca="1">IF(Table1[[#This Row],[ChurnStatus]]="Cancelled",Table1[[#This Row],[CancellationDate]],TODAY())</f>
        <v>45272</v>
      </c>
      <c r="Z363" s="46">
        <f ca="1">IF(AND(Table1[[#This Row],[SubscriptionStart]] &lt;= TODAY(), Table1[[#This Row],[EffectiveEndDate]] &gt;= TODAY()),1,0)</f>
        <v>0</v>
      </c>
      <c r="AA363" s="46">
        <f ca="1">IF(AND(Table1[[#This Row],[SubscriptionStart]]&lt;=Settings!$A$2,Table1[[#This Row],[EffectiveEndDate]]&gt;=Settings!$A$2),1,0)</f>
        <v>0</v>
      </c>
      <c r="AB363" s="46">
        <f ca="1">IF(AND(Table1[[#This Row],[SubscriptionStart]]&lt;=Settings!$B$2,Table1[[#This Row],[EffectiveEndDate]]&gt;=Settings!$B$2),1,0)</f>
        <v>0</v>
      </c>
      <c r="AC363" s="46">
        <f ca="1">IF(AND(Table1[[#This Row],[SubscriptionStart]]&lt;=Settings!$C$2,Table1[[#This Row],[EffectiveEndDate]]&gt;=Settings!$C$2),1,0)</f>
        <v>1</v>
      </c>
      <c r="AD363" s="46">
        <f ca="1">IF(AND(Table1[[#This Row],[SubscriptionStart]]&lt;=Settings!$D$2,Table1[[#This Row],[EffectiveEndDate]]&gt;=Settings!$D$2),1,0)</f>
        <v>1</v>
      </c>
      <c r="AE363" s="46">
        <f ca="1">IF(AND(Table1[[#This Row],[SubscriptionStart]]&lt;=Settings!$E$2,Table1[[#This Row],[EffectiveEndDate]]&gt;=Settings!$E$2),1,0)</f>
        <v>0</v>
      </c>
      <c r="AF363"/>
      <c r="AG363"/>
      <c r="AH363"/>
      <c r="AI363"/>
      <c r="AJ363"/>
      <c r="AK363"/>
    </row>
    <row r="364" spans="1:37">
      <c r="A364" s="3" t="s">
        <v>791</v>
      </c>
      <c r="B364" s="3">
        <v>64</v>
      </c>
      <c r="C364" s="3" t="s">
        <v>23</v>
      </c>
      <c r="D364" s="5">
        <v>44912</v>
      </c>
      <c r="F364" s="3">
        <f ca="1">TODAY() - Table1[[#This Row],[SubscriptionStart]]</f>
        <v>1069</v>
      </c>
      <c r="G364" s="4">
        <v>36</v>
      </c>
      <c r="H364" s="3" t="s">
        <v>29</v>
      </c>
      <c r="I364" s="3" t="s">
        <v>25</v>
      </c>
      <c r="J364" s="7" cm="1">
        <f t="array" ref="J364">_xlfn.IFS(Table1[[#This Row],[Tier]]="Basic",10,Table1[[#This Row],[Tier]]="Standard",18,Table1[[#This Row],[Tier]]="Premium",25)</f>
        <v>25</v>
      </c>
      <c r="K364" s="7" cm="1">
        <f t="array" ref="K36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364" s="7" cm="1">
        <f t="array" ref="L36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847.5</v>
      </c>
      <c r="M364" s="3" t="str" cm="1">
        <f t="array" ref="M36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364" s="3" t="s">
        <v>26</v>
      </c>
      <c r="O364" s="3" t="s">
        <v>32</v>
      </c>
      <c r="Q364" s="3" t="str" cm="1">
        <f t="array" ref="Q364">_xlfn.IFS(Table1[[#This Row],[TotalRevenue]]&lt;100,"Low",Table1[[#This Row],[TotalRevenue]]&lt;300,"Medium",Table1[[#This Row],[TotalRevenue]]&lt;600,"High",TRUE,"Very High")</f>
        <v>Very High</v>
      </c>
      <c r="R364" s="3" t="str" cm="1">
        <f t="array" ref="R36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364" s="3" t="str">
        <f>IF(Table1[[#This Row],[NextBillingDate]]="","Cancelled",IF(Table1[[#This Row],[CancellationDate]]&lt;&gt;"","Cancelled","Active"))</f>
        <v>Active</v>
      </c>
      <c r="T364" s="7" cm="1">
        <f t="array" ref="T36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872.5</v>
      </c>
      <c r="V364" s="5">
        <v>45992</v>
      </c>
      <c r="W364" s="5">
        <v>45992</v>
      </c>
      <c r="X364" s="3">
        <v>35</v>
      </c>
      <c r="Y364" s="5">
        <f ca="1">IF(Table1[[#This Row],[ChurnStatus]]="Cancelled",Table1[[#This Row],[CancellationDate]],TODAY())</f>
        <v>45981</v>
      </c>
      <c r="Z364" s="46">
        <f ca="1">IF(AND(Table1[[#This Row],[SubscriptionStart]] &lt;= TODAY(), Table1[[#This Row],[EffectiveEndDate]] &gt;= TODAY()),1,0)</f>
        <v>1</v>
      </c>
      <c r="AA364" s="46">
        <f ca="1">IF(AND(Table1[[#This Row],[SubscriptionStart]]&lt;=Settings!$A$2,Table1[[#This Row],[EffectiveEndDate]]&gt;=Settings!$A$2),1,0)</f>
        <v>0</v>
      </c>
      <c r="AB364" s="46">
        <f ca="1">IF(AND(Table1[[#This Row],[SubscriptionStart]]&lt;=Settings!$B$2,Table1[[#This Row],[EffectiveEndDate]]&gt;=Settings!$B$2),1,0)</f>
        <v>0</v>
      </c>
      <c r="AC364" s="46">
        <f ca="1">IF(AND(Table1[[#This Row],[SubscriptionStart]]&lt;=Settings!$C$2,Table1[[#This Row],[EffectiveEndDate]]&gt;=Settings!$C$2),1,0)</f>
        <v>1</v>
      </c>
      <c r="AD364" s="46">
        <f ca="1">IF(AND(Table1[[#This Row],[SubscriptionStart]]&lt;=Settings!$D$2,Table1[[#This Row],[EffectiveEndDate]]&gt;=Settings!$D$2),1,0)</f>
        <v>1</v>
      </c>
      <c r="AE364" s="46">
        <f ca="1">IF(AND(Table1[[#This Row],[SubscriptionStart]]&lt;=Settings!$E$2,Table1[[#This Row],[EffectiveEndDate]]&gt;=Settings!$E$2),1,0)</f>
        <v>1</v>
      </c>
      <c r="AF364"/>
      <c r="AG364"/>
      <c r="AH364"/>
      <c r="AI364"/>
      <c r="AJ364"/>
      <c r="AK364"/>
    </row>
    <row r="365" spans="1:37">
      <c r="A365" s="3" t="s">
        <v>231</v>
      </c>
      <c r="B365" s="3">
        <v>70</v>
      </c>
      <c r="C365" s="3" t="s">
        <v>37</v>
      </c>
      <c r="D365" s="5">
        <v>44913</v>
      </c>
      <c r="F365" s="3">
        <f ca="1">TODAY() - Table1[[#This Row],[SubscriptionStart]]</f>
        <v>1068</v>
      </c>
      <c r="G365" s="4">
        <v>36</v>
      </c>
      <c r="H365" s="3" t="s">
        <v>38</v>
      </c>
      <c r="I365" s="3" t="s">
        <v>25</v>
      </c>
      <c r="J365" s="7" cm="1">
        <f t="array" ref="J365">_xlfn.IFS(Table1[[#This Row],[Tier]]="Basic",10,Table1[[#This Row],[Tier]]="Standard",18,Table1[[#This Row],[Tier]]="Premium",25)</f>
        <v>25</v>
      </c>
      <c r="K365" s="7" cm="1">
        <f t="array" ref="K36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18.75</v>
      </c>
      <c r="L365" s="7" cm="1">
        <f t="array" ref="L36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652.5</v>
      </c>
      <c r="M365" s="3" t="str" cm="1">
        <f t="array" ref="M365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365" s="3" t="s">
        <v>26</v>
      </c>
      <c r="O365" s="3" t="s">
        <v>43</v>
      </c>
      <c r="Q365" s="3" t="str" cm="1">
        <f t="array" ref="Q365">_xlfn.IFS(Table1[[#This Row],[TotalRevenue]]&lt;100,"Low",Table1[[#This Row],[TotalRevenue]]&lt;300,"Medium",Table1[[#This Row],[TotalRevenue]]&lt;600,"High",TRUE,"Very High")</f>
        <v>Very High</v>
      </c>
      <c r="R365" s="3" t="str" cm="1">
        <f t="array" ref="R365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365" s="3" t="str">
        <f>IF(Table1[[#This Row],[NextBillingDate]]="","Cancelled",IF(Table1[[#This Row],[CancellationDate]]&lt;&gt;"","Cancelled","Active"))</f>
        <v>Active</v>
      </c>
      <c r="T365" s="7" cm="1">
        <f t="array" ref="T36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765</v>
      </c>
      <c r="V365" s="5">
        <v>45993</v>
      </c>
      <c r="W365" s="5">
        <v>45993</v>
      </c>
      <c r="X365" s="3">
        <v>5</v>
      </c>
      <c r="Y365" s="5">
        <f ca="1">IF(Table1[[#This Row],[ChurnStatus]]="Cancelled",Table1[[#This Row],[CancellationDate]],TODAY())</f>
        <v>45981</v>
      </c>
      <c r="Z365" s="46">
        <f ca="1">IF(AND(Table1[[#This Row],[SubscriptionStart]] &lt;= TODAY(), Table1[[#This Row],[EffectiveEndDate]] &gt;= TODAY()),1,0)</f>
        <v>1</v>
      </c>
      <c r="AA365" s="46">
        <f ca="1">IF(AND(Table1[[#This Row],[SubscriptionStart]]&lt;=Settings!$A$2,Table1[[#This Row],[EffectiveEndDate]]&gt;=Settings!$A$2),1,0)</f>
        <v>0</v>
      </c>
      <c r="AB365" s="46">
        <f ca="1">IF(AND(Table1[[#This Row],[SubscriptionStart]]&lt;=Settings!$B$2,Table1[[#This Row],[EffectiveEndDate]]&gt;=Settings!$B$2),1,0)</f>
        <v>0</v>
      </c>
      <c r="AC365" s="46">
        <f ca="1">IF(AND(Table1[[#This Row],[SubscriptionStart]]&lt;=Settings!$C$2,Table1[[#This Row],[EffectiveEndDate]]&gt;=Settings!$C$2),1,0)</f>
        <v>1</v>
      </c>
      <c r="AD365" s="46">
        <f ca="1">IF(AND(Table1[[#This Row],[SubscriptionStart]]&lt;=Settings!$D$2,Table1[[#This Row],[EffectiveEndDate]]&gt;=Settings!$D$2),1,0)</f>
        <v>1</v>
      </c>
      <c r="AE365" s="46">
        <f ca="1">IF(AND(Table1[[#This Row],[SubscriptionStart]]&lt;=Settings!$E$2,Table1[[#This Row],[EffectiveEndDate]]&gt;=Settings!$E$2),1,0)</f>
        <v>1</v>
      </c>
      <c r="AF365"/>
      <c r="AG365"/>
      <c r="AH365"/>
      <c r="AI365"/>
      <c r="AJ365"/>
      <c r="AK365"/>
    </row>
    <row r="366" spans="1:37">
      <c r="A366" s="3" t="s">
        <v>168</v>
      </c>
      <c r="B366" s="3">
        <v>56</v>
      </c>
      <c r="C366" s="3" t="s">
        <v>23</v>
      </c>
      <c r="D366" s="5">
        <v>44914</v>
      </c>
      <c r="E366" s="5">
        <v>45274</v>
      </c>
      <c r="F366" s="3">
        <f ca="1">TODAY() - Table1[[#This Row],[SubscriptionStart]]</f>
        <v>1067</v>
      </c>
      <c r="G366" s="4">
        <v>12</v>
      </c>
      <c r="H366" s="3" t="s">
        <v>24</v>
      </c>
      <c r="I366" s="3" t="s">
        <v>30</v>
      </c>
      <c r="J366" s="7" cm="1">
        <f t="array" ref="J366">_xlfn.IFS(Table1[[#This Row],[Tier]]="Basic",10,Table1[[#This Row],[Tier]]="Standard",18,Table1[[#This Row],[Tier]]="Premium",25)</f>
        <v>10</v>
      </c>
      <c r="K366" s="7" cm="1">
        <f t="array" ref="K36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366" s="7" cm="1">
        <f t="array" ref="L36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366" s="3" t="str" cm="1">
        <f t="array" ref="M366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66" s="3" t="s">
        <v>31</v>
      </c>
      <c r="O366" s="3" t="s">
        <v>40</v>
      </c>
      <c r="P366" s="3" t="s">
        <v>50</v>
      </c>
      <c r="Q366" s="3" t="str" cm="1">
        <f t="array" ref="Q366">_xlfn.IFS(Table1[[#This Row],[TotalRevenue]]&lt;100,"Low",Table1[[#This Row],[TotalRevenue]]&lt;300,"Medium",Table1[[#This Row],[TotalRevenue]]&lt;600,"High",TRUE,"Very High")</f>
        <v>Low</v>
      </c>
      <c r="R366" s="3" t="str" cm="1">
        <f t="array" ref="R36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66" s="3" t="str">
        <f>IF(Table1[[#This Row],[NextBillingDate]]="","Cancelled",IF(Table1[[#This Row],[CancellationDate]]&lt;&gt;"","Cancelled","Active"))</f>
        <v>Cancelled</v>
      </c>
      <c r="T366" s="7" cm="1">
        <f t="array" ref="T36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366" s="5">
        <v>45274</v>
      </c>
      <c r="W366" s="5">
        <v>45274</v>
      </c>
      <c r="X366" s="3">
        <v>0</v>
      </c>
      <c r="Y366" s="5">
        <f ca="1">IF(Table1[[#This Row],[ChurnStatus]]="Cancelled",Table1[[#This Row],[CancellationDate]],TODAY())</f>
        <v>45274</v>
      </c>
      <c r="Z366" s="46">
        <f ca="1">IF(AND(Table1[[#This Row],[SubscriptionStart]] &lt;= TODAY(), Table1[[#This Row],[EffectiveEndDate]] &gt;= TODAY()),1,0)</f>
        <v>0</v>
      </c>
      <c r="AA366" s="46">
        <f ca="1">IF(AND(Table1[[#This Row],[SubscriptionStart]]&lt;=Settings!$A$2,Table1[[#This Row],[EffectiveEndDate]]&gt;=Settings!$A$2),1,0)</f>
        <v>0</v>
      </c>
      <c r="AB366" s="46">
        <f ca="1">IF(AND(Table1[[#This Row],[SubscriptionStart]]&lt;=Settings!$B$2,Table1[[#This Row],[EffectiveEndDate]]&gt;=Settings!$B$2),1,0)</f>
        <v>0</v>
      </c>
      <c r="AC366" s="46">
        <f ca="1">IF(AND(Table1[[#This Row],[SubscriptionStart]]&lt;=Settings!$C$2,Table1[[#This Row],[EffectiveEndDate]]&gt;=Settings!$C$2),1,0)</f>
        <v>1</v>
      </c>
      <c r="AD366" s="46">
        <f ca="1">IF(AND(Table1[[#This Row],[SubscriptionStart]]&lt;=Settings!$D$2,Table1[[#This Row],[EffectiveEndDate]]&gt;=Settings!$D$2),1,0)</f>
        <v>1</v>
      </c>
      <c r="AE366" s="46">
        <f ca="1">IF(AND(Table1[[#This Row],[SubscriptionStart]]&lt;=Settings!$E$2,Table1[[#This Row],[EffectiveEndDate]]&gt;=Settings!$E$2),1,0)</f>
        <v>0</v>
      </c>
      <c r="AF366"/>
      <c r="AG366"/>
      <c r="AH366"/>
      <c r="AI366"/>
      <c r="AJ366"/>
      <c r="AK366"/>
    </row>
    <row r="367" spans="1:37">
      <c r="A367" s="3" t="s">
        <v>354</v>
      </c>
      <c r="B367" s="3">
        <v>49</v>
      </c>
      <c r="C367" s="3" t="s">
        <v>23</v>
      </c>
      <c r="D367" s="5">
        <v>44915</v>
      </c>
      <c r="E367" s="5">
        <v>45275</v>
      </c>
      <c r="F367" s="3">
        <f ca="1">TODAY() - Table1[[#This Row],[SubscriptionStart]]</f>
        <v>1066</v>
      </c>
      <c r="G367" s="4">
        <v>12</v>
      </c>
      <c r="H367" s="3" t="s">
        <v>24</v>
      </c>
      <c r="I367" s="3" t="s">
        <v>25</v>
      </c>
      <c r="J367" s="7" cm="1">
        <f t="array" ref="J367">_xlfn.IFS(Table1[[#This Row],[Tier]]="Basic",10,Table1[[#This Row],[Tier]]="Standard",18,Table1[[#This Row],[Tier]]="Premium",25)</f>
        <v>25</v>
      </c>
      <c r="K367" s="7" cm="1">
        <f t="array" ref="K36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67" s="7" cm="1">
        <f t="array" ref="L36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67" s="3" t="str" cm="1">
        <f t="array" ref="M36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67" s="3" t="s">
        <v>26</v>
      </c>
      <c r="O367" s="3" t="s">
        <v>49</v>
      </c>
      <c r="P367" s="3" t="s">
        <v>47</v>
      </c>
      <c r="Q367" s="3" t="str" cm="1">
        <f t="array" ref="Q367">_xlfn.IFS(Table1[[#This Row],[TotalRevenue]]&lt;100,"Low",Table1[[#This Row],[TotalRevenue]]&lt;300,"Medium",Table1[[#This Row],[TotalRevenue]]&lt;600,"High",TRUE,"Very High")</f>
        <v>Medium</v>
      </c>
      <c r="R367" s="3" t="str" cm="1">
        <f t="array" ref="R36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67" s="3" t="str">
        <f>IF(Table1[[#This Row],[NextBillingDate]]="","Cancelled",IF(Table1[[#This Row],[CancellationDate]]&lt;&gt;"","Cancelled","Active"))</f>
        <v>Cancelled</v>
      </c>
      <c r="T367" s="7" cm="1">
        <f t="array" ref="T36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67" s="5">
        <v>45275</v>
      </c>
      <c r="W367" s="5">
        <v>45275</v>
      </c>
      <c r="X367" s="3">
        <v>0</v>
      </c>
      <c r="Y367" s="5">
        <f ca="1">IF(Table1[[#This Row],[ChurnStatus]]="Cancelled",Table1[[#This Row],[CancellationDate]],TODAY())</f>
        <v>45275</v>
      </c>
      <c r="Z367" s="46">
        <f ca="1">IF(AND(Table1[[#This Row],[SubscriptionStart]] &lt;= TODAY(), Table1[[#This Row],[EffectiveEndDate]] &gt;= TODAY()),1,0)</f>
        <v>0</v>
      </c>
      <c r="AA367" s="46">
        <f ca="1">IF(AND(Table1[[#This Row],[SubscriptionStart]]&lt;=Settings!$A$2,Table1[[#This Row],[EffectiveEndDate]]&gt;=Settings!$A$2),1,0)</f>
        <v>0</v>
      </c>
      <c r="AB367" s="46">
        <f ca="1">IF(AND(Table1[[#This Row],[SubscriptionStart]]&lt;=Settings!$B$2,Table1[[#This Row],[EffectiveEndDate]]&gt;=Settings!$B$2),1,0)</f>
        <v>0</v>
      </c>
      <c r="AC367" s="46">
        <f ca="1">IF(AND(Table1[[#This Row],[SubscriptionStart]]&lt;=Settings!$C$2,Table1[[#This Row],[EffectiveEndDate]]&gt;=Settings!$C$2),1,0)</f>
        <v>1</v>
      </c>
      <c r="AD367" s="46">
        <f ca="1">IF(AND(Table1[[#This Row],[SubscriptionStart]]&lt;=Settings!$D$2,Table1[[#This Row],[EffectiveEndDate]]&gt;=Settings!$D$2),1,0)</f>
        <v>1</v>
      </c>
      <c r="AE367" s="46">
        <f ca="1">IF(AND(Table1[[#This Row],[SubscriptionStart]]&lt;=Settings!$E$2,Table1[[#This Row],[EffectiveEndDate]]&gt;=Settings!$E$2),1,0)</f>
        <v>0</v>
      </c>
      <c r="AF367"/>
      <c r="AG367"/>
      <c r="AH367"/>
      <c r="AI367"/>
      <c r="AJ367"/>
      <c r="AK367"/>
    </row>
    <row r="368" spans="1:37">
      <c r="A368" s="3" t="s">
        <v>492</v>
      </c>
      <c r="B368" s="3">
        <v>75</v>
      </c>
      <c r="C368" s="3" t="s">
        <v>23</v>
      </c>
      <c r="D368" s="5">
        <v>44915</v>
      </c>
      <c r="E368" s="5">
        <v>45275</v>
      </c>
      <c r="F368" s="3">
        <f ca="1">TODAY() - Table1[[#This Row],[SubscriptionStart]]</f>
        <v>1066</v>
      </c>
      <c r="G368" s="4">
        <v>12</v>
      </c>
      <c r="H368" s="3" t="s">
        <v>24</v>
      </c>
      <c r="I368" s="3" t="s">
        <v>39</v>
      </c>
      <c r="J368" s="7" cm="1">
        <f t="array" ref="J368">_xlfn.IFS(Table1[[#This Row],[Tier]]="Basic",10,Table1[[#This Row],[Tier]]="Standard",18,Table1[[#This Row],[Tier]]="Premium",25)</f>
        <v>18</v>
      </c>
      <c r="K368" s="7" cm="1">
        <f t="array" ref="K36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68" s="7" cm="1">
        <f t="array" ref="L36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68" s="3" t="str" cm="1">
        <f t="array" ref="M368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368" s="3" t="s">
        <v>34</v>
      </c>
      <c r="O368" s="3" t="s">
        <v>49</v>
      </c>
      <c r="P368" s="3" t="s">
        <v>50</v>
      </c>
      <c r="Q368" s="3" t="str" cm="1">
        <f t="array" ref="Q368">_xlfn.IFS(Table1[[#This Row],[TotalRevenue]]&lt;100,"Low",Table1[[#This Row],[TotalRevenue]]&lt;300,"Medium",Table1[[#This Row],[TotalRevenue]]&lt;600,"High",TRUE,"Very High")</f>
        <v>Medium</v>
      </c>
      <c r="R368" s="3" t="str" cm="1">
        <f t="array" ref="R368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368" s="3" t="str">
        <f>IF(Table1[[#This Row],[NextBillingDate]]="","Cancelled",IF(Table1[[#This Row],[CancellationDate]]&lt;&gt;"","Cancelled","Active"))</f>
        <v>Cancelled</v>
      </c>
      <c r="T368" s="7" cm="1">
        <f t="array" ref="T36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68" s="5">
        <v>45275</v>
      </c>
      <c r="W368" s="5">
        <v>45275</v>
      </c>
      <c r="X368" s="3">
        <v>0</v>
      </c>
      <c r="Y368" s="5">
        <f ca="1">IF(Table1[[#This Row],[ChurnStatus]]="Cancelled",Table1[[#This Row],[CancellationDate]],TODAY())</f>
        <v>45275</v>
      </c>
      <c r="Z368" s="46">
        <f ca="1">IF(AND(Table1[[#This Row],[SubscriptionStart]] &lt;= TODAY(), Table1[[#This Row],[EffectiveEndDate]] &gt;= TODAY()),1,0)</f>
        <v>0</v>
      </c>
      <c r="AA368" s="46">
        <f ca="1">IF(AND(Table1[[#This Row],[SubscriptionStart]]&lt;=Settings!$A$2,Table1[[#This Row],[EffectiveEndDate]]&gt;=Settings!$A$2),1,0)</f>
        <v>0</v>
      </c>
      <c r="AB368" s="46">
        <f ca="1">IF(AND(Table1[[#This Row],[SubscriptionStart]]&lt;=Settings!$B$2,Table1[[#This Row],[EffectiveEndDate]]&gt;=Settings!$B$2),1,0)</f>
        <v>0</v>
      </c>
      <c r="AC368" s="46">
        <f ca="1">IF(AND(Table1[[#This Row],[SubscriptionStart]]&lt;=Settings!$C$2,Table1[[#This Row],[EffectiveEndDate]]&gt;=Settings!$C$2),1,0)</f>
        <v>1</v>
      </c>
      <c r="AD368" s="46">
        <f ca="1">IF(AND(Table1[[#This Row],[SubscriptionStart]]&lt;=Settings!$D$2,Table1[[#This Row],[EffectiveEndDate]]&gt;=Settings!$D$2),1,0)</f>
        <v>1</v>
      </c>
      <c r="AE368" s="46">
        <f ca="1">IF(AND(Table1[[#This Row],[SubscriptionStart]]&lt;=Settings!$E$2,Table1[[#This Row],[EffectiveEndDate]]&gt;=Settings!$E$2),1,0)</f>
        <v>0</v>
      </c>
      <c r="AF368"/>
      <c r="AG368"/>
      <c r="AH368"/>
      <c r="AI368"/>
      <c r="AJ368"/>
      <c r="AK368"/>
    </row>
    <row r="369" spans="1:37">
      <c r="A369" s="3" t="s">
        <v>540</v>
      </c>
      <c r="B369" s="3">
        <v>75</v>
      </c>
      <c r="C369" s="3" t="s">
        <v>37</v>
      </c>
      <c r="D369" s="5">
        <v>44915</v>
      </c>
      <c r="E369" s="5">
        <v>45275</v>
      </c>
      <c r="F369" s="3">
        <f ca="1">TODAY() - Table1[[#This Row],[SubscriptionStart]]</f>
        <v>1066</v>
      </c>
      <c r="G369" s="4">
        <v>12</v>
      </c>
      <c r="H369" s="3" t="s">
        <v>24</v>
      </c>
      <c r="I369" s="3" t="s">
        <v>39</v>
      </c>
      <c r="J369" s="7" cm="1">
        <f t="array" ref="J369">_xlfn.IFS(Table1[[#This Row],[Tier]]="Basic",10,Table1[[#This Row],[Tier]]="Standard",18,Table1[[#This Row],[Tier]]="Premium",25)</f>
        <v>18</v>
      </c>
      <c r="K369" s="7" cm="1">
        <f t="array" ref="K36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69" s="7" cm="1">
        <f t="array" ref="L36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69" s="3" t="str" cm="1">
        <f t="array" ref="M369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369" s="3" t="s">
        <v>52</v>
      </c>
      <c r="O369" s="3" t="s">
        <v>27</v>
      </c>
      <c r="P369" s="3" t="s">
        <v>44</v>
      </c>
      <c r="Q369" s="3" t="str" cm="1">
        <f t="array" ref="Q369">_xlfn.IFS(Table1[[#This Row],[TotalRevenue]]&lt;100,"Low",Table1[[#This Row],[TotalRevenue]]&lt;300,"Medium",Table1[[#This Row],[TotalRevenue]]&lt;600,"High",TRUE,"Very High")</f>
        <v>Medium</v>
      </c>
      <c r="R369" s="3" t="str" cm="1">
        <f t="array" ref="R369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369" s="3" t="str">
        <f>IF(Table1[[#This Row],[NextBillingDate]]="","Cancelled",IF(Table1[[#This Row],[CancellationDate]]&lt;&gt;"","Cancelled","Active"))</f>
        <v>Cancelled</v>
      </c>
      <c r="T369" s="7" cm="1">
        <f t="array" ref="T36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69" s="5">
        <v>45275</v>
      </c>
      <c r="W369" s="5">
        <v>45275</v>
      </c>
      <c r="X369" s="3">
        <v>0</v>
      </c>
      <c r="Y369" s="5">
        <f ca="1">IF(Table1[[#This Row],[ChurnStatus]]="Cancelled",Table1[[#This Row],[CancellationDate]],TODAY())</f>
        <v>45275</v>
      </c>
      <c r="Z369" s="46">
        <f ca="1">IF(AND(Table1[[#This Row],[SubscriptionStart]] &lt;= TODAY(), Table1[[#This Row],[EffectiveEndDate]] &gt;= TODAY()),1,0)</f>
        <v>0</v>
      </c>
      <c r="AA369" s="46">
        <f ca="1">IF(AND(Table1[[#This Row],[SubscriptionStart]]&lt;=Settings!$A$2,Table1[[#This Row],[EffectiveEndDate]]&gt;=Settings!$A$2),1,0)</f>
        <v>0</v>
      </c>
      <c r="AB369" s="46">
        <f ca="1">IF(AND(Table1[[#This Row],[SubscriptionStart]]&lt;=Settings!$B$2,Table1[[#This Row],[EffectiveEndDate]]&gt;=Settings!$B$2),1,0)</f>
        <v>0</v>
      </c>
      <c r="AC369" s="46">
        <f ca="1">IF(AND(Table1[[#This Row],[SubscriptionStart]]&lt;=Settings!$C$2,Table1[[#This Row],[EffectiveEndDate]]&gt;=Settings!$C$2),1,0)</f>
        <v>1</v>
      </c>
      <c r="AD369" s="46">
        <f ca="1">IF(AND(Table1[[#This Row],[SubscriptionStart]]&lt;=Settings!$D$2,Table1[[#This Row],[EffectiveEndDate]]&gt;=Settings!$D$2),1,0)</f>
        <v>1</v>
      </c>
      <c r="AE369" s="46">
        <f ca="1">IF(AND(Table1[[#This Row],[SubscriptionStart]]&lt;=Settings!$E$2,Table1[[#This Row],[EffectiveEndDate]]&gt;=Settings!$E$2),1,0)</f>
        <v>0</v>
      </c>
      <c r="AF369"/>
      <c r="AG369"/>
      <c r="AH369"/>
      <c r="AI369"/>
      <c r="AJ369"/>
      <c r="AK369"/>
    </row>
    <row r="370" spans="1:37">
      <c r="A370" s="3" t="s">
        <v>632</v>
      </c>
      <c r="B370" s="3">
        <v>46</v>
      </c>
      <c r="C370" s="3" t="s">
        <v>23</v>
      </c>
      <c r="D370" s="5">
        <v>44915</v>
      </c>
      <c r="E370" s="5">
        <v>45275</v>
      </c>
      <c r="F370" s="3">
        <f ca="1">TODAY() - Table1[[#This Row],[SubscriptionStart]]</f>
        <v>1066</v>
      </c>
      <c r="G370" s="4">
        <v>12</v>
      </c>
      <c r="H370" s="3" t="s">
        <v>24</v>
      </c>
      <c r="I370" s="3" t="s">
        <v>25</v>
      </c>
      <c r="J370" s="7" cm="1">
        <f t="array" ref="J370">_xlfn.IFS(Table1[[#This Row],[Tier]]="Basic",10,Table1[[#This Row],[Tier]]="Standard",18,Table1[[#This Row],[Tier]]="Premium",25)</f>
        <v>25</v>
      </c>
      <c r="K370" s="7" cm="1">
        <f t="array" ref="K37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70" s="7" cm="1">
        <f t="array" ref="L37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70" s="3" t="str" cm="1">
        <f t="array" ref="M37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70" s="3" t="s">
        <v>26</v>
      </c>
      <c r="O370" s="3" t="s">
        <v>27</v>
      </c>
      <c r="P370" s="3" t="s">
        <v>50</v>
      </c>
      <c r="Q370" s="3" t="str" cm="1">
        <f t="array" ref="Q370">_xlfn.IFS(Table1[[#This Row],[TotalRevenue]]&lt;100,"Low",Table1[[#This Row],[TotalRevenue]]&lt;300,"Medium",Table1[[#This Row],[TotalRevenue]]&lt;600,"High",TRUE,"Very High")</f>
        <v>Medium</v>
      </c>
      <c r="R370" s="3" t="str" cm="1">
        <f t="array" ref="R37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70" s="3" t="str">
        <f>IF(Table1[[#This Row],[NextBillingDate]]="","Cancelled",IF(Table1[[#This Row],[CancellationDate]]&lt;&gt;"","Cancelled","Active"))</f>
        <v>Cancelled</v>
      </c>
      <c r="T370" s="7" cm="1">
        <f t="array" ref="T37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70" s="5">
        <v>45275</v>
      </c>
      <c r="W370" s="5">
        <v>45275</v>
      </c>
      <c r="X370" s="3">
        <v>0</v>
      </c>
      <c r="Y370" s="5">
        <f ca="1">IF(Table1[[#This Row],[ChurnStatus]]="Cancelled",Table1[[#This Row],[CancellationDate]],TODAY())</f>
        <v>45275</v>
      </c>
      <c r="Z370" s="46">
        <f ca="1">IF(AND(Table1[[#This Row],[SubscriptionStart]] &lt;= TODAY(), Table1[[#This Row],[EffectiveEndDate]] &gt;= TODAY()),1,0)</f>
        <v>0</v>
      </c>
      <c r="AA370" s="46">
        <f ca="1">IF(AND(Table1[[#This Row],[SubscriptionStart]]&lt;=Settings!$A$2,Table1[[#This Row],[EffectiveEndDate]]&gt;=Settings!$A$2),1,0)</f>
        <v>0</v>
      </c>
      <c r="AB370" s="46">
        <f ca="1">IF(AND(Table1[[#This Row],[SubscriptionStart]]&lt;=Settings!$B$2,Table1[[#This Row],[EffectiveEndDate]]&gt;=Settings!$B$2),1,0)</f>
        <v>0</v>
      </c>
      <c r="AC370" s="46">
        <f ca="1">IF(AND(Table1[[#This Row],[SubscriptionStart]]&lt;=Settings!$C$2,Table1[[#This Row],[EffectiveEndDate]]&gt;=Settings!$C$2),1,0)</f>
        <v>1</v>
      </c>
      <c r="AD370" s="46">
        <f ca="1">IF(AND(Table1[[#This Row],[SubscriptionStart]]&lt;=Settings!$D$2,Table1[[#This Row],[EffectiveEndDate]]&gt;=Settings!$D$2),1,0)</f>
        <v>1</v>
      </c>
      <c r="AE370" s="46">
        <f ca="1">IF(AND(Table1[[#This Row],[SubscriptionStart]]&lt;=Settings!$E$2,Table1[[#This Row],[EffectiveEndDate]]&gt;=Settings!$E$2),1,0)</f>
        <v>0</v>
      </c>
      <c r="AF370"/>
      <c r="AG370"/>
      <c r="AH370"/>
      <c r="AI370"/>
      <c r="AJ370"/>
      <c r="AK370"/>
    </row>
    <row r="371" spans="1:37">
      <c r="A371" s="3" t="s">
        <v>568</v>
      </c>
      <c r="B371" s="3">
        <v>64</v>
      </c>
      <c r="C371" s="3" t="s">
        <v>23</v>
      </c>
      <c r="D371" s="5">
        <v>44916</v>
      </c>
      <c r="E371" s="5">
        <v>45276</v>
      </c>
      <c r="F371" s="3">
        <f ca="1">TODAY() - Table1[[#This Row],[SubscriptionStart]]</f>
        <v>1065</v>
      </c>
      <c r="G371" s="4">
        <v>12</v>
      </c>
      <c r="H371" s="3" t="s">
        <v>24</v>
      </c>
      <c r="I371" s="3" t="s">
        <v>25</v>
      </c>
      <c r="J371" s="7" cm="1">
        <f t="array" ref="J371">_xlfn.IFS(Table1[[#This Row],[Tier]]="Basic",10,Table1[[#This Row],[Tier]]="Standard",18,Table1[[#This Row],[Tier]]="Premium",25)</f>
        <v>25</v>
      </c>
      <c r="K371" s="7" cm="1">
        <f t="array" ref="K37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71" s="7" cm="1">
        <f t="array" ref="L37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71" s="3" t="str" cm="1">
        <f t="array" ref="M371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371" s="3" t="s">
        <v>26</v>
      </c>
      <c r="O371" s="3" t="s">
        <v>27</v>
      </c>
      <c r="P371" s="3" t="s">
        <v>47</v>
      </c>
      <c r="Q371" s="3" t="str" cm="1">
        <f t="array" ref="Q371">_xlfn.IFS(Table1[[#This Row],[TotalRevenue]]&lt;100,"Low",Table1[[#This Row],[TotalRevenue]]&lt;300,"Medium",Table1[[#This Row],[TotalRevenue]]&lt;600,"High",TRUE,"Very High")</f>
        <v>Medium</v>
      </c>
      <c r="R371" s="3" t="str" cm="1">
        <f t="array" ref="R371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371" s="3" t="str">
        <f>IF(Table1[[#This Row],[NextBillingDate]]="","Cancelled",IF(Table1[[#This Row],[CancellationDate]]&lt;&gt;"","Cancelled","Active"))</f>
        <v>Cancelled</v>
      </c>
      <c r="T371" s="7" cm="1">
        <f t="array" ref="T37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71" s="5">
        <v>45276</v>
      </c>
      <c r="W371" s="5">
        <v>45276</v>
      </c>
      <c r="X371" s="3">
        <v>0</v>
      </c>
      <c r="Y371" s="5">
        <f ca="1">IF(Table1[[#This Row],[ChurnStatus]]="Cancelled",Table1[[#This Row],[CancellationDate]],TODAY())</f>
        <v>45276</v>
      </c>
      <c r="Z371" s="46">
        <f ca="1">IF(AND(Table1[[#This Row],[SubscriptionStart]] &lt;= TODAY(), Table1[[#This Row],[EffectiveEndDate]] &gt;= TODAY()),1,0)</f>
        <v>0</v>
      </c>
      <c r="AA371" s="46">
        <f ca="1">IF(AND(Table1[[#This Row],[SubscriptionStart]]&lt;=Settings!$A$2,Table1[[#This Row],[EffectiveEndDate]]&gt;=Settings!$A$2),1,0)</f>
        <v>0</v>
      </c>
      <c r="AB371" s="46">
        <f ca="1">IF(AND(Table1[[#This Row],[SubscriptionStart]]&lt;=Settings!$B$2,Table1[[#This Row],[EffectiveEndDate]]&gt;=Settings!$B$2),1,0)</f>
        <v>0</v>
      </c>
      <c r="AC371" s="46">
        <f ca="1">IF(AND(Table1[[#This Row],[SubscriptionStart]]&lt;=Settings!$C$2,Table1[[#This Row],[EffectiveEndDate]]&gt;=Settings!$C$2),1,0)</f>
        <v>1</v>
      </c>
      <c r="AD371" s="46">
        <f ca="1">IF(AND(Table1[[#This Row],[SubscriptionStart]]&lt;=Settings!$D$2,Table1[[#This Row],[EffectiveEndDate]]&gt;=Settings!$D$2),1,0)</f>
        <v>1</v>
      </c>
      <c r="AE371" s="46">
        <f ca="1">IF(AND(Table1[[#This Row],[SubscriptionStart]]&lt;=Settings!$E$2,Table1[[#This Row],[EffectiveEndDate]]&gt;=Settings!$E$2),1,0)</f>
        <v>0</v>
      </c>
      <c r="AF371"/>
      <c r="AG371"/>
      <c r="AH371"/>
      <c r="AI371"/>
      <c r="AJ371"/>
      <c r="AK371"/>
    </row>
    <row r="372" spans="1:37">
      <c r="A372" s="3" t="s">
        <v>821</v>
      </c>
      <c r="B372" s="3">
        <v>72</v>
      </c>
      <c r="C372" s="3" t="s">
        <v>23</v>
      </c>
      <c r="D372" s="5">
        <v>44917</v>
      </c>
      <c r="E372" s="5">
        <v>45097</v>
      </c>
      <c r="F372" s="3">
        <f ca="1">TODAY() - Table1[[#This Row],[SubscriptionStart]]</f>
        <v>1064</v>
      </c>
      <c r="G372" s="4">
        <v>6</v>
      </c>
      <c r="H372" s="3" t="s">
        <v>38</v>
      </c>
      <c r="I372" s="3" t="s">
        <v>30</v>
      </c>
      <c r="J372" s="7" cm="1">
        <f t="array" ref="J372">_xlfn.IFS(Table1[[#This Row],[Tier]]="Basic",10,Table1[[#This Row],[Tier]]="Standard",18,Table1[[#This Row],[Tier]]="Premium",25)</f>
        <v>10</v>
      </c>
      <c r="K372" s="7" cm="1">
        <f t="array" ref="K37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372" s="7" cm="1">
        <f t="array" ref="L37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372" s="3" t="str" cm="1">
        <f t="array" ref="M372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372" s="3" t="s">
        <v>26</v>
      </c>
      <c r="O372" s="3" t="s">
        <v>49</v>
      </c>
      <c r="P372" s="3" t="s">
        <v>44</v>
      </c>
      <c r="Q372" s="3" t="str" cm="1">
        <f t="array" ref="Q372">_xlfn.IFS(Table1[[#This Row],[TotalRevenue]]&lt;100,"Low",Table1[[#This Row],[TotalRevenue]]&lt;300,"Medium",Table1[[#This Row],[TotalRevenue]]&lt;600,"High",TRUE,"Very High")</f>
        <v>Low</v>
      </c>
      <c r="R372" s="3" t="str" cm="1">
        <f t="array" ref="R372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372" s="3" t="str">
        <f>IF(Table1[[#This Row],[NextBillingDate]]="","Cancelled",IF(Table1[[#This Row],[CancellationDate]]&lt;&gt;"","Cancelled","Active"))</f>
        <v>Cancelled</v>
      </c>
      <c r="T372" s="7" cm="1">
        <f t="array" ref="T37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372" s="5">
        <v>45097</v>
      </c>
      <c r="W372" s="5">
        <v>45097</v>
      </c>
      <c r="X372" s="3">
        <v>0</v>
      </c>
      <c r="Y372" s="5">
        <f ca="1">IF(Table1[[#This Row],[ChurnStatus]]="Cancelled",Table1[[#This Row],[CancellationDate]],TODAY())</f>
        <v>45097</v>
      </c>
      <c r="Z372" s="46">
        <f ca="1">IF(AND(Table1[[#This Row],[SubscriptionStart]] &lt;= TODAY(), Table1[[#This Row],[EffectiveEndDate]] &gt;= TODAY()),1,0)</f>
        <v>0</v>
      </c>
      <c r="AA372" s="46">
        <f ca="1">IF(AND(Table1[[#This Row],[SubscriptionStart]]&lt;=Settings!$A$2,Table1[[#This Row],[EffectiveEndDate]]&gt;=Settings!$A$2),1,0)</f>
        <v>0</v>
      </c>
      <c r="AB372" s="46">
        <f ca="1">IF(AND(Table1[[#This Row],[SubscriptionStart]]&lt;=Settings!$B$2,Table1[[#This Row],[EffectiveEndDate]]&gt;=Settings!$B$2),1,0)</f>
        <v>0</v>
      </c>
      <c r="AC372" s="46">
        <f ca="1">IF(AND(Table1[[#This Row],[SubscriptionStart]]&lt;=Settings!$C$2,Table1[[#This Row],[EffectiveEndDate]]&gt;=Settings!$C$2),1,0)</f>
        <v>1</v>
      </c>
      <c r="AD372" s="46">
        <f ca="1">IF(AND(Table1[[#This Row],[SubscriptionStart]]&lt;=Settings!$D$2,Table1[[#This Row],[EffectiveEndDate]]&gt;=Settings!$D$2),1,0)</f>
        <v>1</v>
      </c>
      <c r="AE372" s="46">
        <f ca="1">IF(AND(Table1[[#This Row],[SubscriptionStart]]&lt;=Settings!$E$2,Table1[[#This Row],[EffectiveEndDate]]&gt;=Settings!$E$2),1,0)</f>
        <v>0</v>
      </c>
      <c r="AF372"/>
      <c r="AG372"/>
      <c r="AH372"/>
      <c r="AI372"/>
      <c r="AJ372"/>
      <c r="AK372"/>
    </row>
    <row r="373" spans="1:37">
      <c r="A373" s="3" t="s">
        <v>535</v>
      </c>
      <c r="B373" s="3">
        <v>23</v>
      </c>
      <c r="C373" s="3" t="s">
        <v>37</v>
      </c>
      <c r="D373" s="5">
        <v>44918</v>
      </c>
      <c r="E373" s="5">
        <v>45278</v>
      </c>
      <c r="F373" s="3">
        <f ca="1">TODAY() - Table1[[#This Row],[SubscriptionStart]]</f>
        <v>1063</v>
      </c>
      <c r="G373" s="4">
        <v>12</v>
      </c>
      <c r="H373" s="3" t="s">
        <v>24</v>
      </c>
      <c r="I373" s="3" t="s">
        <v>39</v>
      </c>
      <c r="J373" s="7" cm="1">
        <f t="array" ref="J373">_xlfn.IFS(Table1[[#This Row],[Tier]]="Basic",10,Table1[[#This Row],[Tier]]="Standard",18,Table1[[#This Row],[Tier]]="Premium",25)</f>
        <v>18</v>
      </c>
      <c r="K373" s="7" cm="1">
        <f t="array" ref="K37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73" s="7" cm="1">
        <f t="array" ref="L37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73" s="3" t="str" cm="1">
        <f t="array" ref="M373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373" s="3" t="s">
        <v>31</v>
      </c>
      <c r="O373" s="3" t="s">
        <v>40</v>
      </c>
      <c r="P373" s="3" t="s">
        <v>35</v>
      </c>
      <c r="Q373" s="3" t="str" cm="1">
        <f t="array" ref="Q373">_xlfn.IFS(Table1[[#This Row],[TotalRevenue]]&lt;100,"Low",Table1[[#This Row],[TotalRevenue]]&lt;300,"Medium",Table1[[#This Row],[TotalRevenue]]&lt;600,"High",TRUE,"Very High")</f>
        <v>Medium</v>
      </c>
      <c r="R373" s="3" t="str" cm="1">
        <f t="array" ref="R373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373" s="3" t="str">
        <f>IF(Table1[[#This Row],[NextBillingDate]]="","Cancelled",IF(Table1[[#This Row],[CancellationDate]]&lt;&gt;"","Cancelled","Active"))</f>
        <v>Cancelled</v>
      </c>
      <c r="T373" s="7" cm="1">
        <f t="array" ref="T37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73" s="5">
        <v>45278</v>
      </c>
      <c r="W373" s="5">
        <v>45278</v>
      </c>
      <c r="X373" s="3">
        <v>0</v>
      </c>
      <c r="Y373" s="5">
        <f ca="1">IF(Table1[[#This Row],[ChurnStatus]]="Cancelled",Table1[[#This Row],[CancellationDate]],TODAY())</f>
        <v>45278</v>
      </c>
      <c r="Z373" s="46">
        <f ca="1">IF(AND(Table1[[#This Row],[SubscriptionStart]] &lt;= TODAY(), Table1[[#This Row],[EffectiveEndDate]] &gt;= TODAY()),1,0)</f>
        <v>0</v>
      </c>
      <c r="AA373" s="46">
        <f ca="1">IF(AND(Table1[[#This Row],[SubscriptionStart]]&lt;=Settings!$A$2,Table1[[#This Row],[EffectiveEndDate]]&gt;=Settings!$A$2),1,0)</f>
        <v>0</v>
      </c>
      <c r="AB373" s="46">
        <f ca="1">IF(AND(Table1[[#This Row],[SubscriptionStart]]&lt;=Settings!$B$2,Table1[[#This Row],[EffectiveEndDate]]&gt;=Settings!$B$2),1,0)</f>
        <v>0</v>
      </c>
      <c r="AC373" s="46">
        <f ca="1">IF(AND(Table1[[#This Row],[SubscriptionStart]]&lt;=Settings!$C$2,Table1[[#This Row],[EffectiveEndDate]]&gt;=Settings!$C$2),1,0)</f>
        <v>1</v>
      </c>
      <c r="AD373" s="46">
        <f ca="1">IF(AND(Table1[[#This Row],[SubscriptionStart]]&lt;=Settings!$D$2,Table1[[#This Row],[EffectiveEndDate]]&gt;=Settings!$D$2),1,0)</f>
        <v>1</v>
      </c>
      <c r="AE373" s="46">
        <f ca="1">IF(AND(Table1[[#This Row],[SubscriptionStart]]&lt;=Settings!$E$2,Table1[[#This Row],[EffectiveEndDate]]&gt;=Settings!$E$2),1,0)</f>
        <v>0</v>
      </c>
      <c r="AF373"/>
      <c r="AG373"/>
      <c r="AH373"/>
      <c r="AI373"/>
      <c r="AJ373"/>
      <c r="AK373"/>
    </row>
    <row r="374" spans="1:37">
      <c r="A374" s="3" t="s">
        <v>104</v>
      </c>
      <c r="B374" s="3">
        <v>37</v>
      </c>
      <c r="C374" s="3" t="s">
        <v>37</v>
      </c>
      <c r="D374" s="5">
        <v>44919</v>
      </c>
      <c r="E374" s="5">
        <v>45279</v>
      </c>
      <c r="F374" s="3">
        <f ca="1">TODAY() - Table1[[#This Row],[SubscriptionStart]]</f>
        <v>1062</v>
      </c>
      <c r="G374" s="4">
        <v>12</v>
      </c>
      <c r="H374" s="3" t="s">
        <v>24</v>
      </c>
      <c r="I374" s="3" t="s">
        <v>30</v>
      </c>
      <c r="J374" s="7" cm="1">
        <f t="array" ref="J374">_xlfn.IFS(Table1[[#This Row],[Tier]]="Basic",10,Table1[[#This Row],[Tier]]="Standard",18,Table1[[#This Row],[Tier]]="Premium",25)</f>
        <v>10</v>
      </c>
      <c r="K374" s="7" cm="1">
        <f t="array" ref="K37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374" s="7" cm="1">
        <f t="array" ref="L37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374" s="3" t="str" cm="1">
        <f t="array" ref="M37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74" s="3" t="s">
        <v>52</v>
      </c>
      <c r="O374" s="3" t="s">
        <v>43</v>
      </c>
      <c r="P374" s="3" t="s">
        <v>41</v>
      </c>
      <c r="Q374" s="3" t="str" cm="1">
        <f t="array" ref="Q374">_xlfn.IFS(Table1[[#This Row],[TotalRevenue]]&lt;100,"Low",Table1[[#This Row],[TotalRevenue]]&lt;300,"Medium",Table1[[#This Row],[TotalRevenue]]&lt;600,"High",TRUE,"Very High")</f>
        <v>Low</v>
      </c>
      <c r="R374" s="3" t="str" cm="1">
        <f t="array" ref="R37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74" s="3" t="str">
        <f>IF(Table1[[#This Row],[NextBillingDate]]="","Cancelled",IF(Table1[[#This Row],[CancellationDate]]&lt;&gt;"","Cancelled","Active"))</f>
        <v>Cancelled</v>
      </c>
      <c r="T374" s="7" cm="1">
        <f t="array" ref="T37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374" s="5">
        <v>45279</v>
      </c>
      <c r="W374" s="5">
        <v>45279</v>
      </c>
      <c r="X374" s="3">
        <v>0</v>
      </c>
      <c r="Y374" s="5">
        <f ca="1">IF(Table1[[#This Row],[ChurnStatus]]="Cancelled",Table1[[#This Row],[CancellationDate]],TODAY())</f>
        <v>45279</v>
      </c>
      <c r="Z374" s="46">
        <f ca="1">IF(AND(Table1[[#This Row],[SubscriptionStart]] &lt;= TODAY(), Table1[[#This Row],[EffectiveEndDate]] &gt;= TODAY()),1,0)</f>
        <v>0</v>
      </c>
      <c r="AA374" s="46">
        <f ca="1">IF(AND(Table1[[#This Row],[SubscriptionStart]]&lt;=Settings!$A$2,Table1[[#This Row],[EffectiveEndDate]]&gt;=Settings!$A$2),1,0)</f>
        <v>0</v>
      </c>
      <c r="AB374" s="46">
        <f ca="1">IF(AND(Table1[[#This Row],[SubscriptionStart]]&lt;=Settings!$B$2,Table1[[#This Row],[EffectiveEndDate]]&gt;=Settings!$B$2),1,0)</f>
        <v>0</v>
      </c>
      <c r="AC374" s="46">
        <f ca="1">IF(AND(Table1[[#This Row],[SubscriptionStart]]&lt;=Settings!$C$2,Table1[[#This Row],[EffectiveEndDate]]&gt;=Settings!$C$2),1,0)</f>
        <v>1</v>
      </c>
      <c r="AD374" s="46">
        <f ca="1">IF(AND(Table1[[#This Row],[SubscriptionStart]]&lt;=Settings!$D$2,Table1[[#This Row],[EffectiveEndDate]]&gt;=Settings!$D$2),1,0)</f>
        <v>1</v>
      </c>
      <c r="AE374" s="46">
        <f ca="1">IF(AND(Table1[[#This Row],[SubscriptionStart]]&lt;=Settings!$E$2,Table1[[#This Row],[EffectiveEndDate]]&gt;=Settings!$E$2),1,0)</f>
        <v>0</v>
      </c>
      <c r="AF374"/>
      <c r="AG374"/>
      <c r="AH374"/>
      <c r="AI374"/>
      <c r="AJ374"/>
      <c r="AK374"/>
    </row>
    <row r="375" spans="1:37">
      <c r="A375" s="3" t="s">
        <v>285</v>
      </c>
      <c r="B375" s="3">
        <v>21</v>
      </c>
      <c r="C375" s="3" t="s">
        <v>23</v>
      </c>
      <c r="D375" s="5">
        <v>44919</v>
      </c>
      <c r="E375" s="5">
        <v>45279</v>
      </c>
      <c r="F375" s="3">
        <f ca="1">TODAY() - Table1[[#This Row],[SubscriptionStart]]</f>
        <v>1062</v>
      </c>
      <c r="G375" s="4">
        <v>12</v>
      </c>
      <c r="H375" s="3" t="s">
        <v>24</v>
      </c>
      <c r="I375" s="3" t="s">
        <v>25</v>
      </c>
      <c r="J375" s="7" cm="1">
        <f t="array" ref="J375">_xlfn.IFS(Table1[[#This Row],[Tier]]="Basic",10,Table1[[#This Row],[Tier]]="Standard",18,Table1[[#This Row],[Tier]]="Premium",25)</f>
        <v>25</v>
      </c>
      <c r="K375" s="7" cm="1">
        <f t="array" ref="K37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75" s="7" cm="1">
        <f t="array" ref="L37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75" s="3" t="str" cm="1">
        <f t="array" ref="M375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375" s="3" t="s">
        <v>26</v>
      </c>
      <c r="O375" s="3" t="s">
        <v>27</v>
      </c>
      <c r="P375" s="3" t="s">
        <v>41</v>
      </c>
      <c r="Q375" s="3" t="str" cm="1">
        <f t="array" ref="Q375">_xlfn.IFS(Table1[[#This Row],[TotalRevenue]]&lt;100,"Low",Table1[[#This Row],[TotalRevenue]]&lt;300,"Medium",Table1[[#This Row],[TotalRevenue]]&lt;600,"High",TRUE,"Very High")</f>
        <v>Medium</v>
      </c>
      <c r="R375" s="3" t="str" cm="1">
        <f t="array" ref="R375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375" s="3" t="str">
        <f>IF(Table1[[#This Row],[NextBillingDate]]="","Cancelled",IF(Table1[[#This Row],[CancellationDate]]&lt;&gt;"","Cancelled","Active"))</f>
        <v>Cancelled</v>
      </c>
      <c r="T375" s="7" cm="1">
        <f t="array" ref="T37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75" s="5">
        <v>45279</v>
      </c>
      <c r="W375" s="5">
        <v>45279</v>
      </c>
      <c r="X375" s="3">
        <v>0</v>
      </c>
      <c r="Y375" s="5">
        <f ca="1">IF(Table1[[#This Row],[ChurnStatus]]="Cancelled",Table1[[#This Row],[CancellationDate]],TODAY())</f>
        <v>45279</v>
      </c>
      <c r="Z375" s="46">
        <f ca="1">IF(AND(Table1[[#This Row],[SubscriptionStart]] &lt;= TODAY(), Table1[[#This Row],[EffectiveEndDate]] &gt;= TODAY()),1,0)</f>
        <v>0</v>
      </c>
      <c r="AA375" s="46">
        <f ca="1">IF(AND(Table1[[#This Row],[SubscriptionStart]]&lt;=Settings!$A$2,Table1[[#This Row],[EffectiveEndDate]]&gt;=Settings!$A$2),1,0)</f>
        <v>0</v>
      </c>
      <c r="AB375" s="46">
        <f ca="1">IF(AND(Table1[[#This Row],[SubscriptionStart]]&lt;=Settings!$B$2,Table1[[#This Row],[EffectiveEndDate]]&gt;=Settings!$B$2),1,0)</f>
        <v>0</v>
      </c>
      <c r="AC375" s="46">
        <f ca="1">IF(AND(Table1[[#This Row],[SubscriptionStart]]&lt;=Settings!$C$2,Table1[[#This Row],[EffectiveEndDate]]&gt;=Settings!$C$2),1,0)</f>
        <v>1</v>
      </c>
      <c r="AD375" s="46">
        <f ca="1">IF(AND(Table1[[#This Row],[SubscriptionStart]]&lt;=Settings!$D$2,Table1[[#This Row],[EffectiveEndDate]]&gt;=Settings!$D$2),1,0)</f>
        <v>1</v>
      </c>
      <c r="AE375" s="46">
        <f ca="1">IF(AND(Table1[[#This Row],[SubscriptionStart]]&lt;=Settings!$E$2,Table1[[#This Row],[EffectiveEndDate]]&gt;=Settings!$E$2),1,0)</f>
        <v>0</v>
      </c>
      <c r="AF375"/>
      <c r="AG375"/>
      <c r="AH375"/>
      <c r="AI375"/>
      <c r="AJ375"/>
      <c r="AK375"/>
    </row>
    <row r="376" spans="1:37">
      <c r="A376" s="3" t="s">
        <v>760</v>
      </c>
      <c r="B376" s="3">
        <v>32</v>
      </c>
      <c r="C376" s="3" t="s">
        <v>37</v>
      </c>
      <c r="D376" s="5">
        <v>44919</v>
      </c>
      <c r="E376" s="5">
        <v>45279</v>
      </c>
      <c r="F376" s="3">
        <f ca="1">TODAY() - Table1[[#This Row],[SubscriptionStart]]</f>
        <v>1062</v>
      </c>
      <c r="G376" s="4">
        <v>12</v>
      </c>
      <c r="H376" s="3" t="s">
        <v>24</v>
      </c>
      <c r="I376" s="3" t="s">
        <v>39</v>
      </c>
      <c r="J376" s="7" cm="1">
        <f t="array" ref="J376">_xlfn.IFS(Table1[[#This Row],[Tier]]="Basic",10,Table1[[#This Row],[Tier]]="Standard",18,Table1[[#This Row],[Tier]]="Premium",25)</f>
        <v>18</v>
      </c>
      <c r="K376" s="7" cm="1">
        <f t="array" ref="K37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76" s="7" cm="1">
        <f t="array" ref="L37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76" s="3" t="str" cm="1">
        <f t="array" ref="M37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76" s="3" t="s">
        <v>31</v>
      </c>
      <c r="O376" s="3" t="s">
        <v>27</v>
      </c>
      <c r="P376" s="3" t="s">
        <v>41</v>
      </c>
      <c r="Q376" s="3" t="str" cm="1">
        <f t="array" ref="Q376">_xlfn.IFS(Table1[[#This Row],[TotalRevenue]]&lt;100,"Low",Table1[[#This Row],[TotalRevenue]]&lt;300,"Medium",Table1[[#This Row],[TotalRevenue]]&lt;600,"High",TRUE,"Very High")</f>
        <v>Medium</v>
      </c>
      <c r="R376" s="3" t="str" cm="1">
        <f t="array" ref="R37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76" s="3" t="str">
        <f>IF(Table1[[#This Row],[NextBillingDate]]="","Cancelled",IF(Table1[[#This Row],[CancellationDate]]&lt;&gt;"","Cancelled","Active"))</f>
        <v>Cancelled</v>
      </c>
      <c r="T376" s="7" cm="1">
        <f t="array" ref="T37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76" s="5">
        <v>45279</v>
      </c>
      <c r="W376" s="5">
        <v>45279</v>
      </c>
      <c r="X376" s="3">
        <v>0</v>
      </c>
      <c r="Y376" s="5">
        <f ca="1">IF(Table1[[#This Row],[ChurnStatus]]="Cancelled",Table1[[#This Row],[CancellationDate]],TODAY())</f>
        <v>45279</v>
      </c>
      <c r="Z376" s="46">
        <f ca="1">IF(AND(Table1[[#This Row],[SubscriptionStart]] &lt;= TODAY(), Table1[[#This Row],[EffectiveEndDate]] &gt;= TODAY()),1,0)</f>
        <v>0</v>
      </c>
      <c r="AA376" s="46">
        <f ca="1">IF(AND(Table1[[#This Row],[SubscriptionStart]]&lt;=Settings!$A$2,Table1[[#This Row],[EffectiveEndDate]]&gt;=Settings!$A$2),1,0)</f>
        <v>0</v>
      </c>
      <c r="AB376" s="46">
        <f ca="1">IF(AND(Table1[[#This Row],[SubscriptionStart]]&lt;=Settings!$B$2,Table1[[#This Row],[EffectiveEndDate]]&gt;=Settings!$B$2),1,0)</f>
        <v>0</v>
      </c>
      <c r="AC376" s="46">
        <f ca="1">IF(AND(Table1[[#This Row],[SubscriptionStart]]&lt;=Settings!$C$2,Table1[[#This Row],[EffectiveEndDate]]&gt;=Settings!$C$2),1,0)</f>
        <v>1</v>
      </c>
      <c r="AD376" s="46">
        <f ca="1">IF(AND(Table1[[#This Row],[SubscriptionStart]]&lt;=Settings!$D$2,Table1[[#This Row],[EffectiveEndDate]]&gt;=Settings!$D$2),1,0)</f>
        <v>1</v>
      </c>
      <c r="AE376" s="46">
        <f ca="1">IF(AND(Table1[[#This Row],[SubscriptionStart]]&lt;=Settings!$E$2,Table1[[#This Row],[EffectiveEndDate]]&gt;=Settings!$E$2),1,0)</f>
        <v>0</v>
      </c>
      <c r="AF376"/>
      <c r="AG376"/>
      <c r="AH376"/>
      <c r="AI376"/>
      <c r="AJ376"/>
      <c r="AK376"/>
    </row>
    <row r="377" spans="1:37">
      <c r="A377" s="3" t="s">
        <v>71</v>
      </c>
      <c r="B377" s="3">
        <v>51</v>
      </c>
      <c r="C377" s="3" t="s">
        <v>37</v>
      </c>
      <c r="D377" s="5">
        <v>44920</v>
      </c>
      <c r="E377" s="5">
        <v>45100</v>
      </c>
      <c r="F377" s="3">
        <f ca="1">TODAY() - Table1[[#This Row],[SubscriptionStart]]</f>
        <v>1061</v>
      </c>
      <c r="G377" s="4">
        <v>6</v>
      </c>
      <c r="H377" s="3" t="s">
        <v>38</v>
      </c>
      <c r="I377" s="3" t="s">
        <v>30</v>
      </c>
      <c r="J377" s="7" cm="1">
        <f t="array" ref="J377">_xlfn.IFS(Table1[[#This Row],[Tier]]="Basic",10,Table1[[#This Row],[Tier]]="Standard",18,Table1[[#This Row],[Tier]]="Premium",25)</f>
        <v>10</v>
      </c>
      <c r="K377" s="7" cm="1">
        <f t="array" ref="K37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377" s="7" cm="1">
        <f t="array" ref="L37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377" s="3" t="str" cm="1">
        <f t="array" ref="M37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77" s="3" t="s">
        <v>52</v>
      </c>
      <c r="O377" s="3" t="s">
        <v>40</v>
      </c>
      <c r="P377" s="3" t="s">
        <v>44</v>
      </c>
      <c r="Q377" s="3" t="str" cm="1">
        <f t="array" ref="Q377">_xlfn.IFS(Table1[[#This Row],[TotalRevenue]]&lt;100,"Low",Table1[[#This Row],[TotalRevenue]]&lt;300,"Medium",Table1[[#This Row],[TotalRevenue]]&lt;600,"High",TRUE,"Very High")</f>
        <v>Low</v>
      </c>
      <c r="R377" s="3" t="str" cm="1">
        <f t="array" ref="R37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77" s="3" t="str">
        <f>IF(Table1[[#This Row],[NextBillingDate]]="","Cancelled",IF(Table1[[#This Row],[CancellationDate]]&lt;&gt;"","Cancelled","Active"))</f>
        <v>Cancelled</v>
      </c>
      <c r="T377" s="7" cm="1">
        <f t="array" ref="T37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377" s="5">
        <v>45100</v>
      </c>
      <c r="W377" s="5">
        <v>45100</v>
      </c>
      <c r="X377" s="3">
        <v>0</v>
      </c>
      <c r="Y377" s="5">
        <f ca="1">IF(Table1[[#This Row],[ChurnStatus]]="Cancelled",Table1[[#This Row],[CancellationDate]],TODAY())</f>
        <v>45100</v>
      </c>
      <c r="Z377" s="46">
        <f ca="1">IF(AND(Table1[[#This Row],[SubscriptionStart]] &lt;= TODAY(), Table1[[#This Row],[EffectiveEndDate]] &gt;= TODAY()),1,0)</f>
        <v>0</v>
      </c>
      <c r="AA377" s="46">
        <f ca="1">IF(AND(Table1[[#This Row],[SubscriptionStart]]&lt;=Settings!$A$2,Table1[[#This Row],[EffectiveEndDate]]&gt;=Settings!$A$2),1,0)</f>
        <v>0</v>
      </c>
      <c r="AB377" s="46">
        <f ca="1">IF(AND(Table1[[#This Row],[SubscriptionStart]]&lt;=Settings!$B$2,Table1[[#This Row],[EffectiveEndDate]]&gt;=Settings!$B$2),1,0)</f>
        <v>0</v>
      </c>
      <c r="AC377" s="46">
        <f ca="1">IF(AND(Table1[[#This Row],[SubscriptionStart]]&lt;=Settings!$C$2,Table1[[#This Row],[EffectiveEndDate]]&gt;=Settings!$C$2),1,0)</f>
        <v>1</v>
      </c>
      <c r="AD377" s="46">
        <f ca="1">IF(AND(Table1[[#This Row],[SubscriptionStart]]&lt;=Settings!$D$2,Table1[[#This Row],[EffectiveEndDate]]&gt;=Settings!$D$2),1,0)</f>
        <v>1</v>
      </c>
      <c r="AE377" s="46">
        <f ca="1">IF(AND(Table1[[#This Row],[SubscriptionStart]]&lt;=Settings!$E$2,Table1[[#This Row],[EffectiveEndDate]]&gt;=Settings!$E$2),1,0)</f>
        <v>0</v>
      </c>
      <c r="AF377"/>
      <c r="AG377"/>
      <c r="AH377"/>
      <c r="AI377"/>
      <c r="AJ377"/>
      <c r="AK377"/>
    </row>
    <row r="378" spans="1:37">
      <c r="A378" s="3" t="s">
        <v>525</v>
      </c>
      <c r="B378" s="3">
        <v>42</v>
      </c>
      <c r="C378" s="3" t="s">
        <v>37</v>
      </c>
      <c r="D378" s="5">
        <v>44920</v>
      </c>
      <c r="E378" s="5">
        <v>45100</v>
      </c>
      <c r="F378" s="3">
        <f ca="1">TODAY() - Table1[[#This Row],[SubscriptionStart]]</f>
        <v>1061</v>
      </c>
      <c r="G378" s="4">
        <v>6</v>
      </c>
      <c r="H378" s="3" t="s">
        <v>38</v>
      </c>
      <c r="I378" s="3" t="s">
        <v>39</v>
      </c>
      <c r="J378" s="7" cm="1">
        <f t="array" ref="J378">_xlfn.IFS(Table1[[#This Row],[Tier]]="Basic",10,Table1[[#This Row],[Tier]]="Standard",18,Table1[[#This Row],[Tier]]="Premium",25)</f>
        <v>18</v>
      </c>
      <c r="K378" s="7" cm="1">
        <f t="array" ref="K37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378" s="7" cm="1">
        <f t="array" ref="L37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378" s="3" t="str" cm="1">
        <f t="array" ref="M37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78" s="3" t="s">
        <v>34</v>
      </c>
      <c r="O378" s="3" t="s">
        <v>32</v>
      </c>
      <c r="P378" s="3" t="s">
        <v>50</v>
      </c>
      <c r="Q378" s="3" t="str" cm="1">
        <f t="array" ref="Q378">_xlfn.IFS(Table1[[#This Row],[TotalRevenue]]&lt;100,"Low",Table1[[#This Row],[TotalRevenue]]&lt;300,"Medium",Table1[[#This Row],[TotalRevenue]]&lt;600,"High",TRUE,"Very High")</f>
        <v>Low</v>
      </c>
      <c r="R378" s="3" t="str" cm="1">
        <f t="array" ref="R37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78" s="3" t="str">
        <f>IF(Table1[[#This Row],[NextBillingDate]]="","Cancelled",IF(Table1[[#This Row],[CancellationDate]]&lt;&gt;"","Cancelled","Active"))</f>
        <v>Cancelled</v>
      </c>
      <c r="T378" s="7" cm="1">
        <f t="array" ref="T37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378" s="5">
        <v>45100</v>
      </c>
      <c r="W378" s="5">
        <v>45100</v>
      </c>
      <c r="X378" s="3">
        <v>0</v>
      </c>
      <c r="Y378" s="5">
        <f ca="1">IF(Table1[[#This Row],[ChurnStatus]]="Cancelled",Table1[[#This Row],[CancellationDate]],TODAY())</f>
        <v>45100</v>
      </c>
      <c r="Z378" s="46">
        <f ca="1">IF(AND(Table1[[#This Row],[SubscriptionStart]] &lt;= TODAY(), Table1[[#This Row],[EffectiveEndDate]] &gt;= TODAY()),1,0)</f>
        <v>0</v>
      </c>
      <c r="AA378" s="46">
        <f ca="1">IF(AND(Table1[[#This Row],[SubscriptionStart]]&lt;=Settings!$A$2,Table1[[#This Row],[EffectiveEndDate]]&gt;=Settings!$A$2),1,0)</f>
        <v>0</v>
      </c>
      <c r="AB378" s="46">
        <f ca="1">IF(AND(Table1[[#This Row],[SubscriptionStart]]&lt;=Settings!$B$2,Table1[[#This Row],[EffectiveEndDate]]&gt;=Settings!$B$2),1,0)</f>
        <v>0</v>
      </c>
      <c r="AC378" s="46">
        <f ca="1">IF(AND(Table1[[#This Row],[SubscriptionStart]]&lt;=Settings!$C$2,Table1[[#This Row],[EffectiveEndDate]]&gt;=Settings!$C$2),1,0)</f>
        <v>1</v>
      </c>
      <c r="AD378" s="46">
        <f ca="1">IF(AND(Table1[[#This Row],[SubscriptionStart]]&lt;=Settings!$D$2,Table1[[#This Row],[EffectiveEndDate]]&gt;=Settings!$D$2),1,0)</f>
        <v>1</v>
      </c>
      <c r="AE378" s="46">
        <f ca="1">IF(AND(Table1[[#This Row],[SubscriptionStart]]&lt;=Settings!$E$2,Table1[[#This Row],[EffectiveEndDate]]&gt;=Settings!$E$2),1,0)</f>
        <v>0</v>
      </c>
      <c r="AF378"/>
      <c r="AG378"/>
      <c r="AH378"/>
      <c r="AI378"/>
      <c r="AJ378"/>
      <c r="AK378"/>
    </row>
    <row r="379" spans="1:37">
      <c r="A379" s="3" t="s">
        <v>611</v>
      </c>
      <c r="B379" s="3">
        <v>40</v>
      </c>
      <c r="C379" s="3" t="s">
        <v>37</v>
      </c>
      <c r="D379" s="5">
        <v>44920</v>
      </c>
      <c r="F379" s="3">
        <f ca="1">TODAY() - Table1[[#This Row],[SubscriptionStart]]</f>
        <v>1061</v>
      </c>
      <c r="G379" s="4">
        <v>36</v>
      </c>
      <c r="H379" s="3" t="s">
        <v>24</v>
      </c>
      <c r="I379" s="3" t="s">
        <v>39</v>
      </c>
      <c r="J379" s="7" cm="1">
        <f t="array" ref="J379">_xlfn.IFS(Table1[[#This Row],[Tier]]="Basic",10,Table1[[#This Row],[Tier]]="Standard",18,Table1[[#This Row],[Tier]]="Premium",25)</f>
        <v>18</v>
      </c>
      <c r="K379" s="7" cm="1">
        <f t="array" ref="K37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379" s="7" cm="1">
        <f t="array" ref="L37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417.6</v>
      </c>
      <c r="M379" s="3" t="str" cm="1">
        <f t="array" ref="M37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79" s="3" t="s">
        <v>52</v>
      </c>
      <c r="O379" s="3" t="s">
        <v>27</v>
      </c>
      <c r="Q379" s="3" t="str" cm="1">
        <f t="array" ref="Q379">_xlfn.IFS(Table1[[#This Row],[TotalRevenue]]&lt;100,"Low",Table1[[#This Row],[TotalRevenue]]&lt;300,"Medium",Table1[[#This Row],[TotalRevenue]]&lt;600,"High",TRUE,"Very High")</f>
        <v>High</v>
      </c>
      <c r="R379" s="3" t="str" cm="1">
        <f t="array" ref="R37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79" s="3" t="str">
        <f>IF(Table1[[#This Row],[NextBillingDate]]="","Cancelled",IF(Table1[[#This Row],[CancellationDate]]&lt;&gt;"","Cancelled","Active"))</f>
        <v>Active</v>
      </c>
      <c r="T379" s="7" cm="1">
        <f t="array" ref="T37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561.6</v>
      </c>
      <c r="V379" s="5">
        <v>46000</v>
      </c>
      <c r="W379" s="5">
        <v>46000</v>
      </c>
      <c r="X379" s="3">
        <v>2</v>
      </c>
      <c r="Y379" s="5">
        <f ca="1">IF(Table1[[#This Row],[ChurnStatus]]="Cancelled",Table1[[#This Row],[CancellationDate]],TODAY())</f>
        <v>45981</v>
      </c>
      <c r="Z379" s="46">
        <f ca="1">IF(AND(Table1[[#This Row],[SubscriptionStart]] &lt;= TODAY(), Table1[[#This Row],[EffectiveEndDate]] &gt;= TODAY()),1,0)</f>
        <v>1</v>
      </c>
      <c r="AA379" s="46">
        <f ca="1">IF(AND(Table1[[#This Row],[SubscriptionStart]]&lt;=Settings!$A$2,Table1[[#This Row],[EffectiveEndDate]]&gt;=Settings!$A$2),1,0)</f>
        <v>0</v>
      </c>
      <c r="AB379" s="46">
        <f ca="1">IF(AND(Table1[[#This Row],[SubscriptionStart]]&lt;=Settings!$B$2,Table1[[#This Row],[EffectiveEndDate]]&gt;=Settings!$B$2),1,0)</f>
        <v>0</v>
      </c>
      <c r="AC379" s="46">
        <f ca="1">IF(AND(Table1[[#This Row],[SubscriptionStart]]&lt;=Settings!$C$2,Table1[[#This Row],[EffectiveEndDate]]&gt;=Settings!$C$2),1,0)</f>
        <v>1</v>
      </c>
      <c r="AD379" s="46">
        <f ca="1">IF(AND(Table1[[#This Row],[SubscriptionStart]]&lt;=Settings!$D$2,Table1[[#This Row],[EffectiveEndDate]]&gt;=Settings!$D$2),1,0)</f>
        <v>1</v>
      </c>
      <c r="AE379" s="46">
        <f ca="1">IF(AND(Table1[[#This Row],[SubscriptionStart]]&lt;=Settings!$E$2,Table1[[#This Row],[EffectiveEndDate]]&gt;=Settings!$E$2),1,0)</f>
        <v>1</v>
      </c>
      <c r="AF379"/>
      <c r="AG379"/>
      <c r="AH379"/>
      <c r="AI379"/>
      <c r="AJ379"/>
      <c r="AK379"/>
    </row>
    <row r="380" spans="1:37">
      <c r="A380" s="3" t="s">
        <v>450</v>
      </c>
      <c r="B380" s="3">
        <v>27</v>
      </c>
      <c r="C380" s="3" t="s">
        <v>23</v>
      </c>
      <c r="D380" s="5">
        <v>44921</v>
      </c>
      <c r="E380" s="5">
        <v>45101</v>
      </c>
      <c r="F380" s="3">
        <f ca="1">TODAY() - Table1[[#This Row],[SubscriptionStart]]</f>
        <v>1060</v>
      </c>
      <c r="G380" s="4">
        <v>6</v>
      </c>
      <c r="H380" s="3" t="s">
        <v>38</v>
      </c>
      <c r="I380" s="3" t="s">
        <v>25</v>
      </c>
      <c r="J380" s="7" cm="1">
        <f t="array" ref="J380">_xlfn.IFS(Table1[[#This Row],[Tier]]="Basic",10,Table1[[#This Row],[Tier]]="Standard",18,Table1[[#This Row],[Tier]]="Premium",25)</f>
        <v>25</v>
      </c>
      <c r="K380" s="7" cm="1">
        <f t="array" ref="K38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380" s="7" cm="1">
        <f t="array" ref="L38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380" s="3" t="str" cm="1">
        <f t="array" ref="M38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80" s="3" t="s">
        <v>34</v>
      </c>
      <c r="O380" s="3" t="s">
        <v>49</v>
      </c>
      <c r="P380" s="3" t="s">
        <v>35</v>
      </c>
      <c r="Q380" s="3" t="str" cm="1">
        <f t="array" ref="Q380">_xlfn.IFS(Table1[[#This Row],[TotalRevenue]]&lt;100,"Low",Table1[[#This Row],[TotalRevenue]]&lt;300,"Medium",Table1[[#This Row],[TotalRevenue]]&lt;600,"High",TRUE,"Very High")</f>
        <v>Medium</v>
      </c>
      <c r="R380" s="3" t="str" cm="1">
        <f t="array" ref="R38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80" s="3" t="str">
        <f>IF(Table1[[#This Row],[NextBillingDate]]="","Cancelled",IF(Table1[[#This Row],[CancellationDate]]&lt;&gt;"","Cancelled","Active"))</f>
        <v>Cancelled</v>
      </c>
      <c r="T380" s="7" cm="1">
        <f t="array" ref="T38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380" s="5">
        <v>45101</v>
      </c>
      <c r="W380" s="5">
        <v>45101</v>
      </c>
      <c r="X380" s="3">
        <v>0</v>
      </c>
      <c r="Y380" s="5">
        <f ca="1">IF(Table1[[#This Row],[ChurnStatus]]="Cancelled",Table1[[#This Row],[CancellationDate]],TODAY())</f>
        <v>45101</v>
      </c>
      <c r="Z380" s="46">
        <f ca="1">IF(AND(Table1[[#This Row],[SubscriptionStart]] &lt;= TODAY(), Table1[[#This Row],[EffectiveEndDate]] &gt;= TODAY()),1,0)</f>
        <v>0</v>
      </c>
      <c r="AA380" s="46">
        <f ca="1">IF(AND(Table1[[#This Row],[SubscriptionStart]]&lt;=Settings!$A$2,Table1[[#This Row],[EffectiveEndDate]]&gt;=Settings!$A$2),1,0)</f>
        <v>0</v>
      </c>
      <c r="AB380" s="46">
        <f ca="1">IF(AND(Table1[[#This Row],[SubscriptionStart]]&lt;=Settings!$B$2,Table1[[#This Row],[EffectiveEndDate]]&gt;=Settings!$B$2),1,0)</f>
        <v>0</v>
      </c>
      <c r="AC380" s="46">
        <f ca="1">IF(AND(Table1[[#This Row],[SubscriptionStart]]&lt;=Settings!$C$2,Table1[[#This Row],[EffectiveEndDate]]&gt;=Settings!$C$2),1,0)</f>
        <v>1</v>
      </c>
      <c r="AD380" s="46">
        <f ca="1">IF(AND(Table1[[#This Row],[SubscriptionStart]]&lt;=Settings!$D$2,Table1[[#This Row],[EffectiveEndDate]]&gt;=Settings!$D$2),1,0)</f>
        <v>1</v>
      </c>
      <c r="AE380" s="46">
        <f ca="1">IF(AND(Table1[[#This Row],[SubscriptionStart]]&lt;=Settings!$E$2,Table1[[#This Row],[EffectiveEndDate]]&gt;=Settings!$E$2),1,0)</f>
        <v>0</v>
      </c>
      <c r="AF380"/>
      <c r="AG380"/>
      <c r="AH380"/>
      <c r="AI380"/>
      <c r="AJ380"/>
      <c r="AK380"/>
    </row>
    <row r="381" spans="1:37">
      <c r="A381" s="3" t="s">
        <v>416</v>
      </c>
      <c r="B381" s="3">
        <v>46</v>
      </c>
      <c r="C381" s="3" t="s">
        <v>23</v>
      </c>
      <c r="D381" s="5">
        <v>44921</v>
      </c>
      <c r="E381" s="5">
        <v>45281</v>
      </c>
      <c r="F381" s="3">
        <f ca="1">TODAY() - Table1[[#This Row],[SubscriptionStart]]</f>
        <v>1060</v>
      </c>
      <c r="G381" s="4">
        <v>12</v>
      </c>
      <c r="H381" s="3" t="s">
        <v>24</v>
      </c>
      <c r="I381" s="3" t="s">
        <v>30</v>
      </c>
      <c r="J381" s="7" cm="1">
        <f t="array" ref="J381">_xlfn.IFS(Table1[[#This Row],[Tier]]="Basic",10,Table1[[#This Row],[Tier]]="Standard",18,Table1[[#This Row],[Tier]]="Premium",25)</f>
        <v>10</v>
      </c>
      <c r="K381" s="7" cm="1">
        <f t="array" ref="K38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381" s="7" cm="1">
        <f t="array" ref="L38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381" s="3" t="str" cm="1">
        <f t="array" ref="M38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81" s="3" t="s">
        <v>26</v>
      </c>
      <c r="O381" s="3" t="s">
        <v>32</v>
      </c>
      <c r="P381" s="3" t="s">
        <v>41</v>
      </c>
      <c r="Q381" s="3" t="str" cm="1">
        <f t="array" ref="Q381">_xlfn.IFS(Table1[[#This Row],[TotalRevenue]]&lt;100,"Low",Table1[[#This Row],[TotalRevenue]]&lt;300,"Medium",Table1[[#This Row],[TotalRevenue]]&lt;600,"High",TRUE,"Very High")</f>
        <v>Low</v>
      </c>
      <c r="R381" s="3" t="str" cm="1">
        <f t="array" ref="R38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81" s="3" t="str">
        <f>IF(Table1[[#This Row],[NextBillingDate]]="","Cancelled",IF(Table1[[#This Row],[CancellationDate]]&lt;&gt;"","Cancelled","Active"))</f>
        <v>Cancelled</v>
      </c>
      <c r="T381" s="7" cm="1">
        <f t="array" ref="T38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381" s="5">
        <v>45281</v>
      </c>
      <c r="W381" s="5">
        <v>45281</v>
      </c>
      <c r="X381" s="3">
        <v>0</v>
      </c>
      <c r="Y381" s="5">
        <f ca="1">IF(Table1[[#This Row],[ChurnStatus]]="Cancelled",Table1[[#This Row],[CancellationDate]],TODAY())</f>
        <v>45281</v>
      </c>
      <c r="Z381" s="46">
        <f ca="1">IF(AND(Table1[[#This Row],[SubscriptionStart]] &lt;= TODAY(), Table1[[#This Row],[EffectiveEndDate]] &gt;= TODAY()),1,0)</f>
        <v>0</v>
      </c>
      <c r="AA381" s="46">
        <f ca="1">IF(AND(Table1[[#This Row],[SubscriptionStart]]&lt;=Settings!$A$2,Table1[[#This Row],[EffectiveEndDate]]&gt;=Settings!$A$2),1,0)</f>
        <v>0</v>
      </c>
      <c r="AB381" s="46">
        <f ca="1">IF(AND(Table1[[#This Row],[SubscriptionStart]]&lt;=Settings!$B$2,Table1[[#This Row],[EffectiveEndDate]]&gt;=Settings!$B$2),1,0)</f>
        <v>0</v>
      </c>
      <c r="AC381" s="46">
        <f ca="1">IF(AND(Table1[[#This Row],[SubscriptionStart]]&lt;=Settings!$C$2,Table1[[#This Row],[EffectiveEndDate]]&gt;=Settings!$C$2),1,0)</f>
        <v>1</v>
      </c>
      <c r="AD381" s="46">
        <f ca="1">IF(AND(Table1[[#This Row],[SubscriptionStart]]&lt;=Settings!$D$2,Table1[[#This Row],[EffectiveEndDate]]&gt;=Settings!$D$2),1,0)</f>
        <v>1</v>
      </c>
      <c r="AE381" s="46">
        <f ca="1">IF(AND(Table1[[#This Row],[SubscriptionStart]]&lt;=Settings!$E$2,Table1[[#This Row],[EffectiveEndDate]]&gt;=Settings!$E$2),1,0)</f>
        <v>0</v>
      </c>
      <c r="AF381"/>
      <c r="AG381"/>
      <c r="AH381"/>
      <c r="AI381"/>
      <c r="AJ381"/>
      <c r="AK381"/>
    </row>
    <row r="382" spans="1:37">
      <c r="A382" s="3" t="s">
        <v>184</v>
      </c>
      <c r="B382" s="3">
        <v>73</v>
      </c>
      <c r="C382" s="3" t="s">
        <v>23</v>
      </c>
      <c r="D382" s="5">
        <v>44921</v>
      </c>
      <c r="F382" s="3">
        <f ca="1">TODAY() - Table1[[#This Row],[SubscriptionStart]]</f>
        <v>1060</v>
      </c>
      <c r="G382" s="4">
        <v>36</v>
      </c>
      <c r="H382" s="3" t="s">
        <v>24</v>
      </c>
      <c r="I382" s="3" t="s">
        <v>25</v>
      </c>
      <c r="J382" s="7" cm="1">
        <f t="array" ref="J382">_xlfn.IFS(Table1[[#This Row],[Tier]]="Basic",10,Table1[[#This Row],[Tier]]="Standard",18,Table1[[#This Row],[Tier]]="Premium",25)</f>
        <v>25</v>
      </c>
      <c r="K382" s="7" cm="1">
        <f t="array" ref="K38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16.666666666666664</v>
      </c>
      <c r="L382" s="7" cm="1">
        <f t="array" ref="L38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580</v>
      </c>
      <c r="M382" s="3" t="str" cm="1">
        <f t="array" ref="M382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382" s="3" t="s">
        <v>26</v>
      </c>
      <c r="O382" s="3" t="s">
        <v>27</v>
      </c>
      <c r="Q382" s="3" t="str" cm="1">
        <f t="array" ref="Q382">_xlfn.IFS(Table1[[#This Row],[TotalRevenue]]&lt;100,"Low",Table1[[#This Row],[TotalRevenue]]&lt;300,"Medium",Table1[[#This Row],[TotalRevenue]]&lt;600,"High",TRUE,"Very High")</f>
        <v>High</v>
      </c>
      <c r="R382" s="3" t="str" cm="1">
        <f t="array" ref="R382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382" s="3" t="str">
        <f>IF(Table1[[#This Row],[NextBillingDate]]="","Cancelled",IF(Table1[[#This Row],[CancellationDate]]&lt;&gt;"","Cancelled","Active"))</f>
        <v>Active</v>
      </c>
      <c r="T382" s="7" cm="1">
        <f t="array" ref="T38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780</v>
      </c>
      <c r="V382" s="5">
        <v>46001</v>
      </c>
      <c r="W382" s="5">
        <v>46001</v>
      </c>
      <c r="X382" s="3">
        <v>2</v>
      </c>
      <c r="Y382" s="5">
        <f ca="1">IF(Table1[[#This Row],[ChurnStatus]]="Cancelled",Table1[[#This Row],[CancellationDate]],TODAY())</f>
        <v>45981</v>
      </c>
      <c r="Z382" s="46">
        <f ca="1">IF(AND(Table1[[#This Row],[SubscriptionStart]] &lt;= TODAY(), Table1[[#This Row],[EffectiveEndDate]] &gt;= TODAY()),1,0)</f>
        <v>1</v>
      </c>
      <c r="AA382" s="46">
        <f ca="1">IF(AND(Table1[[#This Row],[SubscriptionStart]]&lt;=Settings!$A$2,Table1[[#This Row],[EffectiveEndDate]]&gt;=Settings!$A$2),1,0)</f>
        <v>0</v>
      </c>
      <c r="AB382" s="46">
        <f ca="1">IF(AND(Table1[[#This Row],[SubscriptionStart]]&lt;=Settings!$B$2,Table1[[#This Row],[EffectiveEndDate]]&gt;=Settings!$B$2),1,0)</f>
        <v>0</v>
      </c>
      <c r="AC382" s="46">
        <f ca="1">IF(AND(Table1[[#This Row],[SubscriptionStart]]&lt;=Settings!$C$2,Table1[[#This Row],[EffectiveEndDate]]&gt;=Settings!$C$2),1,0)</f>
        <v>1</v>
      </c>
      <c r="AD382" s="46">
        <f ca="1">IF(AND(Table1[[#This Row],[SubscriptionStart]]&lt;=Settings!$D$2,Table1[[#This Row],[EffectiveEndDate]]&gt;=Settings!$D$2),1,0)</f>
        <v>1</v>
      </c>
      <c r="AE382" s="46">
        <f ca="1">IF(AND(Table1[[#This Row],[SubscriptionStart]]&lt;=Settings!$E$2,Table1[[#This Row],[EffectiveEndDate]]&gt;=Settings!$E$2),1,0)</f>
        <v>1</v>
      </c>
      <c r="AF382"/>
      <c r="AG382"/>
      <c r="AH382"/>
      <c r="AI382"/>
      <c r="AJ382"/>
      <c r="AK382"/>
    </row>
    <row r="383" spans="1:37">
      <c r="A383" s="3" t="s">
        <v>500</v>
      </c>
      <c r="B383" s="3">
        <v>62</v>
      </c>
      <c r="C383" s="3" t="s">
        <v>23</v>
      </c>
      <c r="D383" s="5">
        <v>44923</v>
      </c>
      <c r="E383" s="5">
        <v>45283</v>
      </c>
      <c r="F383" s="3">
        <f ca="1">TODAY() - Table1[[#This Row],[SubscriptionStart]]</f>
        <v>1058</v>
      </c>
      <c r="G383" s="4">
        <v>12</v>
      </c>
      <c r="H383" s="3" t="s">
        <v>24</v>
      </c>
      <c r="I383" s="3" t="s">
        <v>39</v>
      </c>
      <c r="J383" s="7" cm="1">
        <f t="array" ref="J383">_xlfn.IFS(Table1[[#This Row],[Tier]]="Basic",10,Table1[[#This Row],[Tier]]="Standard",18,Table1[[#This Row],[Tier]]="Premium",25)</f>
        <v>18</v>
      </c>
      <c r="K383" s="7" cm="1">
        <f t="array" ref="K38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383" s="7" cm="1">
        <f t="array" ref="L38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383" s="3" t="str" cm="1">
        <f t="array" ref="M383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383" s="3" t="s">
        <v>34</v>
      </c>
      <c r="O383" s="3" t="s">
        <v>49</v>
      </c>
      <c r="P383" s="3" t="s">
        <v>41</v>
      </c>
      <c r="Q383" s="3" t="str" cm="1">
        <f t="array" ref="Q383">_xlfn.IFS(Table1[[#This Row],[TotalRevenue]]&lt;100,"Low",Table1[[#This Row],[TotalRevenue]]&lt;300,"Medium",Table1[[#This Row],[TotalRevenue]]&lt;600,"High",TRUE,"Very High")</f>
        <v>Medium</v>
      </c>
      <c r="R383" s="3" t="str" cm="1">
        <f t="array" ref="R383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383" s="3" t="str">
        <f>IF(Table1[[#This Row],[NextBillingDate]]="","Cancelled",IF(Table1[[#This Row],[CancellationDate]]&lt;&gt;"","Cancelled","Active"))</f>
        <v>Cancelled</v>
      </c>
      <c r="T383" s="7" cm="1">
        <f t="array" ref="T38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383" s="5">
        <v>45283</v>
      </c>
      <c r="W383" s="5">
        <v>45283</v>
      </c>
      <c r="X383" s="3">
        <v>0</v>
      </c>
      <c r="Y383" s="5">
        <f ca="1">IF(Table1[[#This Row],[ChurnStatus]]="Cancelled",Table1[[#This Row],[CancellationDate]],TODAY())</f>
        <v>45283</v>
      </c>
      <c r="Z383" s="46">
        <f ca="1">IF(AND(Table1[[#This Row],[SubscriptionStart]] &lt;= TODAY(), Table1[[#This Row],[EffectiveEndDate]] &gt;= TODAY()),1,0)</f>
        <v>0</v>
      </c>
      <c r="AA383" s="46">
        <f ca="1">IF(AND(Table1[[#This Row],[SubscriptionStart]]&lt;=Settings!$A$2,Table1[[#This Row],[EffectiveEndDate]]&gt;=Settings!$A$2),1,0)</f>
        <v>0</v>
      </c>
      <c r="AB383" s="46">
        <f ca="1">IF(AND(Table1[[#This Row],[SubscriptionStart]]&lt;=Settings!$B$2,Table1[[#This Row],[EffectiveEndDate]]&gt;=Settings!$B$2),1,0)</f>
        <v>0</v>
      </c>
      <c r="AC383" s="46">
        <f ca="1">IF(AND(Table1[[#This Row],[SubscriptionStart]]&lt;=Settings!$C$2,Table1[[#This Row],[EffectiveEndDate]]&gt;=Settings!$C$2),1,0)</f>
        <v>1</v>
      </c>
      <c r="AD383" s="46">
        <f ca="1">IF(AND(Table1[[#This Row],[SubscriptionStart]]&lt;=Settings!$D$2,Table1[[#This Row],[EffectiveEndDate]]&gt;=Settings!$D$2),1,0)</f>
        <v>1</v>
      </c>
      <c r="AE383" s="46">
        <f ca="1">IF(AND(Table1[[#This Row],[SubscriptionStart]]&lt;=Settings!$E$2,Table1[[#This Row],[EffectiveEndDate]]&gt;=Settings!$E$2),1,0)</f>
        <v>0</v>
      </c>
      <c r="AF383"/>
      <c r="AG383"/>
      <c r="AH383"/>
      <c r="AI383"/>
      <c r="AJ383"/>
      <c r="AK383"/>
    </row>
    <row r="384" spans="1:37">
      <c r="A384" s="3" t="s">
        <v>138</v>
      </c>
      <c r="B384" s="3">
        <v>31</v>
      </c>
      <c r="C384" s="3" t="s">
        <v>23</v>
      </c>
      <c r="D384" s="5">
        <v>44925</v>
      </c>
      <c r="E384" s="5">
        <v>45285</v>
      </c>
      <c r="F384" s="3">
        <f ca="1">TODAY() - Table1[[#This Row],[SubscriptionStart]]</f>
        <v>1056</v>
      </c>
      <c r="G384" s="4">
        <v>12</v>
      </c>
      <c r="H384" s="3" t="s">
        <v>24</v>
      </c>
      <c r="I384" s="3" t="s">
        <v>30</v>
      </c>
      <c r="J384" s="7" cm="1">
        <f t="array" ref="J384">_xlfn.IFS(Table1[[#This Row],[Tier]]="Basic",10,Table1[[#This Row],[Tier]]="Standard",18,Table1[[#This Row],[Tier]]="Premium",25)</f>
        <v>10</v>
      </c>
      <c r="K384" s="7" cm="1">
        <f t="array" ref="K38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384" s="7" cm="1">
        <f t="array" ref="L38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384" s="3" t="str" cm="1">
        <f t="array" ref="M38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84" s="3" t="s">
        <v>34</v>
      </c>
      <c r="O384" s="3" t="s">
        <v>40</v>
      </c>
      <c r="P384" s="3" t="s">
        <v>47</v>
      </c>
      <c r="Q384" s="3" t="str" cm="1">
        <f t="array" ref="Q384">_xlfn.IFS(Table1[[#This Row],[TotalRevenue]]&lt;100,"Low",Table1[[#This Row],[TotalRevenue]]&lt;300,"Medium",Table1[[#This Row],[TotalRevenue]]&lt;600,"High",TRUE,"Very High")</f>
        <v>Low</v>
      </c>
      <c r="R384" s="3" t="str" cm="1">
        <f t="array" ref="R38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84" s="3" t="str">
        <f>IF(Table1[[#This Row],[NextBillingDate]]="","Cancelled",IF(Table1[[#This Row],[CancellationDate]]&lt;&gt;"","Cancelled","Active"))</f>
        <v>Cancelled</v>
      </c>
      <c r="T384" s="7" cm="1">
        <f t="array" ref="T38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384" s="5">
        <v>45285</v>
      </c>
      <c r="W384" s="5">
        <v>45285</v>
      </c>
      <c r="X384" s="3">
        <v>0</v>
      </c>
      <c r="Y384" s="5">
        <f ca="1">IF(Table1[[#This Row],[ChurnStatus]]="Cancelled",Table1[[#This Row],[CancellationDate]],TODAY())</f>
        <v>45285</v>
      </c>
      <c r="Z384" s="46">
        <f ca="1">IF(AND(Table1[[#This Row],[SubscriptionStart]] &lt;= TODAY(), Table1[[#This Row],[EffectiveEndDate]] &gt;= TODAY()),1,0)</f>
        <v>0</v>
      </c>
      <c r="AA384" s="46">
        <f ca="1">IF(AND(Table1[[#This Row],[SubscriptionStart]]&lt;=Settings!$A$2,Table1[[#This Row],[EffectiveEndDate]]&gt;=Settings!$A$2),1,0)</f>
        <v>0</v>
      </c>
      <c r="AB384" s="46">
        <f ca="1">IF(AND(Table1[[#This Row],[SubscriptionStart]]&lt;=Settings!$B$2,Table1[[#This Row],[EffectiveEndDate]]&gt;=Settings!$B$2),1,0)</f>
        <v>0</v>
      </c>
      <c r="AC384" s="46">
        <f ca="1">IF(AND(Table1[[#This Row],[SubscriptionStart]]&lt;=Settings!$C$2,Table1[[#This Row],[EffectiveEndDate]]&gt;=Settings!$C$2),1,0)</f>
        <v>1</v>
      </c>
      <c r="AD384" s="46">
        <f ca="1">IF(AND(Table1[[#This Row],[SubscriptionStart]]&lt;=Settings!$D$2,Table1[[#This Row],[EffectiveEndDate]]&gt;=Settings!$D$2),1,0)</f>
        <v>1</v>
      </c>
      <c r="AE384" s="46">
        <f ca="1">IF(AND(Table1[[#This Row],[SubscriptionStart]]&lt;=Settings!$E$2,Table1[[#This Row],[EffectiveEndDate]]&gt;=Settings!$E$2),1,0)</f>
        <v>0</v>
      </c>
      <c r="AF384"/>
      <c r="AG384"/>
      <c r="AH384"/>
      <c r="AI384"/>
      <c r="AJ384"/>
      <c r="AK384"/>
    </row>
    <row r="385" spans="1:37">
      <c r="A385" s="3" t="s">
        <v>772</v>
      </c>
      <c r="B385" s="3">
        <v>65</v>
      </c>
      <c r="C385" s="3" t="s">
        <v>23</v>
      </c>
      <c r="D385" s="5">
        <v>44925</v>
      </c>
      <c r="F385" s="3">
        <f ca="1">TODAY() - Table1[[#This Row],[SubscriptionStart]]</f>
        <v>1056</v>
      </c>
      <c r="G385" s="4">
        <v>36</v>
      </c>
      <c r="H385" s="3" t="s">
        <v>29</v>
      </c>
      <c r="I385" s="3" t="s">
        <v>39</v>
      </c>
      <c r="J385" s="7" cm="1">
        <f t="array" ref="J385">_xlfn.IFS(Table1[[#This Row],[Tier]]="Basic",10,Table1[[#This Row],[Tier]]="Standard",18,Table1[[#This Row],[Tier]]="Premium",25)</f>
        <v>18</v>
      </c>
      <c r="K385" s="7" cm="1">
        <f t="array" ref="K38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385" s="7" cm="1">
        <f t="array" ref="L38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610.20000000000005</v>
      </c>
      <c r="M385" s="3" t="str" cm="1">
        <f t="array" ref="M385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385" s="3" t="s">
        <v>34</v>
      </c>
      <c r="O385" s="3" t="s">
        <v>32</v>
      </c>
      <c r="Q385" s="3" t="str" cm="1">
        <f t="array" ref="Q385">_xlfn.IFS(Table1[[#This Row],[TotalRevenue]]&lt;100,"Low",Table1[[#This Row],[TotalRevenue]]&lt;300,"Medium",Table1[[#This Row],[TotalRevenue]]&lt;600,"High",TRUE,"Very High")</f>
        <v>Very High</v>
      </c>
      <c r="R385" s="3" t="str" cm="1">
        <f t="array" ref="R385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385" s="3" t="str">
        <f>IF(Table1[[#This Row],[NextBillingDate]]="","Cancelled",IF(Table1[[#This Row],[CancellationDate]]&lt;&gt;"","Cancelled","Active"))</f>
        <v>Active</v>
      </c>
      <c r="T385" s="7" cm="1">
        <f t="array" ref="T38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628.20000000000005</v>
      </c>
      <c r="V385" s="5">
        <v>46005</v>
      </c>
      <c r="W385" s="5">
        <v>46005</v>
      </c>
      <c r="X385" s="3">
        <v>35</v>
      </c>
      <c r="Y385" s="5">
        <f ca="1">IF(Table1[[#This Row],[ChurnStatus]]="Cancelled",Table1[[#This Row],[CancellationDate]],TODAY())</f>
        <v>45981</v>
      </c>
      <c r="Z385" s="46">
        <f ca="1">IF(AND(Table1[[#This Row],[SubscriptionStart]] &lt;= TODAY(), Table1[[#This Row],[EffectiveEndDate]] &gt;= TODAY()),1,0)</f>
        <v>1</v>
      </c>
      <c r="AA385" s="46">
        <f ca="1">IF(AND(Table1[[#This Row],[SubscriptionStart]]&lt;=Settings!$A$2,Table1[[#This Row],[EffectiveEndDate]]&gt;=Settings!$A$2),1,0)</f>
        <v>0</v>
      </c>
      <c r="AB385" s="46">
        <f ca="1">IF(AND(Table1[[#This Row],[SubscriptionStart]]&lt;=Settings!$B$2,Table1[[#This Row],[EffectiveEndDate]]&gt;=Settings!$B$2),1,0)</f>
        <v>0</v>
      </c>
      <c r="AC385" s="46">
        <f ca="1">IF(AND(Table1[[#This Row],[SubscriptionStart]]&lt;=Settings!$C$2,Table1[[#This Row],[EffectiveEndDate]]&gt;=Settings!$C$2),1,0)</f>
        <v>1</v>
      </c>
      <c r="AD385" s="46">
        <f ca="1">IF(AND(Table1[[#This Row],[SubscriptionStart]]&lt;=Settings!$D$2,Table1[[#This Row],[EffectiveEndDate]]&gt;=Settings!$D$2),1,0)</f>
        <v>1</v>
      </c>
      <c r="AE385" s="46">
        <f ca="1">IF(AND(Table1[[#This Row],[SubscriptionStart]]&lt;=Settings!$E$2,Table1[[#This Row],[EffectiveEndDate]]&gt;=Settings!$E$2),1,0)</f>
        <v>1</v>
      </c>
      <c r="AF385"/>
      <c r="AG385"/>
      <c r="AH385"/>
      <c r="AI385"/>
      <c r="AJ385"/>
      <c r="AK385"/>
    </row>
    <row r="386" spans="1:37">
      <c r="A386" s="3" t="s">
        <v>259</v>
      </c>
      <c r="B386" s="3">
        <v>34</v>
      </c>
      <c r="C386" s="3" t="s">
        <v>37</v>
      </c>
      <c r="D386" s="5">
        <v>44926</v>
      </c>
      <c r="E386" s="5">
        <v>44956</v>
      </c>
      <c r="F386" s="3">
        <f ca="1">TODAY() - Table1[[#This Row],[SubscriptionStart]]</f>
        <v>1055</v>
      </c>
      <c r="G386" s="4">
        <v>1</v>
      </c>
      <c r="H386" s="3" t="s">
        <v>29</v>
      </c>
      <c r="I386" s="3" t="s">
        <v>39</v>
      </c>
      <c r="J386" s="7" cm="1">
        <f t="array" ref="J386">_xlfn.IFS(Table1[[#This Row],[Tier]]="Basic",10,Table1[[#This Row],[Tier]]="Standard",18,Table1[[#This Row],[Tier]]="Premium",25)</f>
        <v>18</v>
      </c>
      <c r="K386" s="7" cm="1">
        <f t="array" ref="K38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386" s="7" cm="1">
        <f t="array" ref="L38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386" s="3" t="str" cm="1">
        <f t="array" ref="M38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86" s="3" t="s">
        <v>34</v>
      </c>
      <c r="O386" s="3" t="s">
        <v>43</v>
      </c>
      <c r="P386" s="3" t="s">
        <v>44</v>
      </c>
      <c r="Q386" s="3" t="str" cm="1">
        <f t="array" ref="Q386">_xlfn.IFS(Table1[[#This Row],[TotalRevenue]]&lt;100,"Low",Table1[[#This Row],[TotalRevenue]]&lt;300,"Medium",Table1[[#This Row],[TotalRevenue]]&lt;600,"High",TRUE,"Very High")</f>
        <v>Low</v>
      </c>
      <c r="R386" s="3" t="str" cm="1">
        <f t="array" ref="R38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86" s="3" t="str">
        <f>IF(Table1[[#This Row],[NextBillingDate]]="","Cancelled",IF(Table1[[#This Row],[CancellationDate]]&lt;&gt;"","Cancelled","Active"))</f>
        <v>Cancelled</v>
      </c>
      <c r="T386" s="7" cm="1">
        <f t="array" ref="T38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386" s="5">
        <v>44956</v>
      </c>
      <c r="W386" s="5">
        <v>44956</v>
      </c>
      <c r="X386" s="3">
        <v>0</v>
      </c>
      <c r="Y386" s="5">
        <f ca="1">IF(Table1[[#This Row],[ChurnStatus]]="Cancelled",Table1[[#This Row],[CancellationDate]],TODAY())</f>
        <v>44956</v>
      </c>
      <c r="Z386" s="46">
        <f ca="1">IF(AND(Table1[[#This Row],[SubscriptionStart]] &lt;= TODAY(), Table1[[#This Row],[EffectiveEndDate]] &gt;= TODAY()),1,0)</f>
        <v>0</v>
      </c>
      <c r="AA386" s="46">
        <f ca="1">IF(AND(Table1[[#This Row],[SubscriptionStart]]&lt;=Settings!$A$2,Table1[[#This Row],[EffectiveEndDate]]&gt;=Settings!$A$2),1,0)</f>
        <v>0</v>
      </c>
      <c r="AB386" s="46">
        <f ca="1">IF(AND(Table1[[#This Row],[SubscriptionStart]]&lt;=Settings!$B$2,Table1[[#This Row],[EffectiveEndDate]]&gt;=Settings!$B$2),1,0)</f>
        <v>0</v>
      </c>
      <c r="AC386" s="46">
        <f ca="1">IF(AND(Table1[[#This Row],[SubscriptionStart]]&lt;=Settings!$C$2,Table1[[#This Row],[EffectiveEndDate]]&gt;=Settings!$C$2),1,0)</f>
        <v>1</v>
      </c>
      <c r="AD386" s="46">
        <f ca="1">IF(AND(Table1[[#This Row],[SubscriptionStart]]&lt;=Settings!$D$2,Table1[[#This Row],[EffectiveEndDate]]&gt;=Settings!$D$2),1,0)</f>
        <v>0</v>
      </c>
      <c r="AE386" s="46">
        <f ca="1">IF(AND(Table1[[#This Row],[SubscriptionStart]]&lt;=Settings!$E$2,Table1[[#This Row],[EffectiveEndDate]]&gt;=Settings!$E$2),1,0)</f>
        <v>0</v>
      </c>
      <c r="AF386"/>
      <c r="AG386"/>
      <c r="AH386"/>
      <c r="AI386"/>
      <c r="AJ386"/>
      <c r="AK386"/>
    </row>
    <row r="387" spans="1:37">
      <c r="A387" s="3" t="s">
        <v>338</v>
      </c>
      <c r="B387" s="3">
        <v>54</v>
      </c>
      <c r="C387" s="3" t="s">
        <v>37</v>
      </c>
      <c r="D387" s="5">
        <v>44926</v>
      </c>
      <c r="E387" s="5">
        <v>45286</v>
      </c>
      <c r="F387" s="3">
        <f ca="1">TODAY() - Table1[[#This Row],[SubscriptionStart]]</f>
        <v>1055</v>
      </c>
      <c r="G387" s="4">
        <v>12</v>
      </c>
      <c r="H387" s="3" t="s">
        <v>24</v>
      </c>
      <c r="I387" s="3" t="s">
        <v>25</v>
      </c>
      <c r="J387" s="7" cm="1">
        <f t="array" ref="J387">_xlfn.IFS(Table1[[#This Row],[Tier]]="Basic",10,Table1[[#This Row],[Tier]]="Standard",18,Table1[[#This Row],[Tier]]="Premium",25)</f>
        <v>25</v>
      </c>
      <c r="K387" s="7" cm="1">
        <f t="array" ref="K38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87" s="7" cm="1">
        <f t="array" ref="L38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87" s="3" t="str" cm="1">
        <f t="array" ref="M38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87" s="3" t="s">
        <v>26</v>
      </c>
      <c r="O387" s="3" t="s">
        <v>43</v>
      </c>
      <c r="P387" s="3" t="s">
        <v>50</v>
      </c>
      <c r="Q387" s="3" t="str" cm="1">
        <f t="array" ref="Q387">_xlfn.IFS(Table1[[#This Row],[TotalRevenue]]&lt;100,"Low",Table1[[#This Row],[TotalRevenue]]&lt;300,"Medium",Table1[[#This Row],[TotalRevenue]]&lt;600,"High",TRUE,"Very High")</f>
        <v>Medium</v>
      </c>
      <c r="R387" s="3" t="str" cm="1">
        <f t="array" ref="R38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87" s="3" t="str">
        <f>IF(Table1[[#This Row],[NextBillingDate]]="","Cancelled",IF(Table1[[#This Row],[CancellationDate]]&lt;&gt;"","Cancelled","Active"))</f>
        <v>Cancelled</v>
      </c>
      <c r="T387" s="7" cm="1">
        <f t="array" ref="T38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87" s="5">
        <v>45286</v>
      </c>
      <c r="W387" s="5">
        <v>45286</v>
      </c>
      <c r="X387" s="3">
        <v>0</v>
      </c>
      <c r="Y387" s="5">
        <f ca="1">IF(Table1[[#This Row],[ChurnStatus]]="Cancelled",Table1[[#This Row],[CancellationDate]],TODAY())</f>
        <v>45286</v>
      </c>
      <c r="Z387" s="46">
        <f ca="1">IF(AND(Table1[[#This Row],[SubscriptionStart]] &lt;= TODAY(), Table1[[#This Row],[EffectiveEndDate]] &gt;= TODAY()),1,0)</f>
        <v>0</v>
      </c>
      <c r="AA387" s="46">
        <f ca="1">IF(AND(Table1[[#This Row],[SubscriptionStart]]&lt;=Settings!$A$2,Table1[[#This Row],[EffectiveEndDate]]&gt;=Settings!$A$2),1,0)</f>
        <v>0</v>
      </c>
      <c r="AB387" s="46">
        <f ca="1">IF(AND(Table1[[#This Row],[SubscriptionStart]]&lt;=Settings!$B$2,Table1[[#This Row],[EffectiveEndDate]]&gt;=Settings!$B$2),1,0)</f>
        <v>0</v>
      </c>
      <c r="AC387" s="46">
        <f ca="1">IF(AND(Table1[[#This Row],[SubscriptionStart]]&lt;=Settings!$C$2,Table1[[#This Row],[EffectiveEndDate]]&gt;=Settings!$C$2),1,0)</f>
        <v>1</v>
      </c>
      <c r="AD387" s="46">
        <f ca="1">IF(AND(Table1[[#This Row],[SubscriptionStart]]&lt;=Settings!$D$2,Table1[[#This Row],[EffectiveEndDate]]&gt;=Settings!$D$2),1,0)</f>
        <v>1</v>
      </c>
      <c r="AE387" s="46">
        <f ca="1">IF(AND(Table1[[#This Row],[SubscriptionStart]]&lt;=Settings!$E$2,Table1[[#This Row],[EffectiveEndDate]]&gt;=Settings!$E$2),1,0)</f>
        <v>0</v>
      </c>
      <c r="AF387"/>
      <c r="AG387"/>
      <c r="AH387"/>
      <c r="AI387"/>
      <c r="AJ387"/>
      <c r="AK387"/>
    </row>
    <row r="388" spans="1:37">
      <c r="A388" s="3" t="s">
        <v>67</v>
      </c>
      <c r="B388" s="3">
        <v>48</v>
      </c>
      <c r="C388" s="3" t="s">
        <v>37</v>
      </c>
      <c r="D388" s="5">
        <v>44926</v>
      </c>
      <c r="F388" s="3">
        <f ca="1">TODAY() - Table1[[#This Row],[SubscriptionStart]]</f>
        <v>1055</v>
      </c>
      <c r="G388" s="4">
        <v>36</v>
      </c>
      <c r="H388" s="3" t="s">
        <v>29</v>
      </c>
      <c r="I388" s="3" t="s">
        <v>39</v>
      </c>
      <c r="J388" s="7" cm="1">
        <f t="array" ref="J388">_xlfn.IFS(Table1[[#This Row],[Tier]]="Basic",10,Table1[[#This Row],[Tier]]="Standard",18,Table1[[#This Row],[Tier]]="Premium",25)</f>
        <v>18</v>
      </c>
      <c r="K388" s="7" cm="1">
        <f t="array" ref="K38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388" s="7" cm="1">
        <f t="array" ref="L38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610.20000000000005</v>
      </c>
      <c r="M388" s="3" t="str" cm="1">
        <f t="array" ref="M38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88" s="3" t="s">
        <v>52</v>
      </c>
      <c r="O388" s="3" t="s">
        <v>27</v>
      </c>
      <c r="Q388" s="3" t="str" cm="1">
        <f t="array" ref="Q388">_xlfn.IFS(Table1[[#This Row],[TotalRevenue]]&lt;100,"Low",Table1[[#This Row],[TotalRevenue]]&lt;300,"Medium",Table1[[#This Row],[TotalRevenue]]&lt;600,"High",TRUE,"Very High")</f>
        <v>Very High</v>
      </c>
      <c r="R388" s="3" t="str" cm="1">
        <f t="array" ref="R38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88" s="3" t="str">
        <f>IF(Table1[[#This Row],[NextBillingDate]]="","Cancelled",IF(Table1[[#This Row],[CancellationDate]]&lt;&gt;"","Cancelled","Active"))</f>
        <v>Active</v>
      </c>
      <c r="T388" s="7" cm="1">
        <f t="array" ref="T38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628.20000000000005</v>
      </c>
      <c r="V388" s="5">
        <v>46006</v>
      </c>
      <c r="W388" s="5">
        <v>46006</v>
      </c>
      <c r="X388" s="3">
        <v>35</v>
      </c>
      <c r="Y388" s="5">
        <f ca="1">IF(Table1[[#This Row],[ChurnStatus]]="Cancelled",Table1[[#This Row],[CancellationDate]],TODAY())</f>
        <v>45981</v>
      </c>
      <c r="Z388" s="46">
        <f ca="1">IF(AND(Table1[[#This Row],[SubscriptionStart]] &lt;= TODAY(), Table1[[#This Row],[EffectiveEndDate]] &gt;= TODAY()),1,0)</f>
        <v>1</v>
      </c>
      <c r="AA388" s="46">
        <f ca="1">IF(AND(Table1[[#This Row],[SubscriptionStart]]&lt;=Settings!$A$2,Table1[[#This Row],[EffectiveEndDate]]&gt;=Settings!$A$2),1,0)</f>
        <v>0</v>
      </c>
      <c r="AB388" s="46">
        <f ca="1">IF(AND(Table1[[#This Row],[SubscriptionStart]]&lt;=Settings!$B$2,Table1[[#This Row],[EffectiveEndDate]]&gt;=Settings!$B$2),1,0)</f>
        <v>0</v>
      </c>
      <c r="AC388" s="46">
        <f ca="1">IF(AND(Table1[[#This Row],[SubscriptionStart]]&lt;=Settings!$C$2,Table1[[#This Row],[EffectiveEndDate]]&gt;=Settings!$C$2),1,0)</f>
        <v>1</v>
      </c>
      <c r="AD388" s="46">
        <f ca="1">IF(AND(Table1[[#This Row],[SubscriptionStart]]&lt;=Settings!$D$2,Table1[[#This Row],[EffectiveEndDate]]&gt;=Settings!$D$2),1,0)</f>
        <v>1</v>
      </c>
      <c r="AE388" s="46">
        <f ca="1">IF(AND(Table1[[#This Row],[SubscriptionStart]]&lt;=Settings!$E$2,Table1[[#This Row],[EffectiveEndDate]]&gt;=Settings!$E$2),1,0)</f>
        <v>1</v>
      </c>
      <c r="AF388"/>
      <c r="AG388"/>
      <c r="AH388"/>
      <c r="AI388"/>
      <c r="AJ388"/>
      <c r="AK388"/>
    </row>
    <row r="389" spans="1:37">
      <c r="A389" s="3" t="s">
        <v>613</v>
      </c>
      <c r="B389" s="3">
        <v>42</v>
      </c>
      <c r="C389" s="3" t="s">
        <v>23</v>
      </c>
      <c r="D389" s="5">
        <v>44929</v>
      </c>
      <c r="E389" s="5">
        <v>44959</v>
      </c>
      <c r="F389" s="3">
        <f ca="1">TODAY() - Table1[[#This Row],[SubscriptionStart]]</f>
        <v>1052</v>
      </c>
      <c r="G389" s="4">
        <v>1</v>
      </c>
      <c r="H389" s="3" t="s">
        <v>29</v>
      </c>
      <c r="I389" s="3" t="s">
        <v>25</v>
      </c>
      <c r="J389" s="7" cm="1">
        <f t="array" ref="J389">_xlfn.IFS(Table1[[#This Row],[Tier]]="Basic",10,Table1[[#This Row],[Tier]]="Standard",18,Table1[[#This Row],[Tier]]="Premium",25)</f>
        <v>25</v>
      </c>
      <c r="K389" s="7" cm="1">
        <f t="array" ref="K38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389" s="7" cm="1">
        <f t="array" ref="L38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389" s="3" t="str" cm="1">
        <f t="array" ref="M38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89" s="3" t="s">
        <v>34</v>
      </c>
      <c r="O389" s="3" t="s">
        <v>40</v>
      </c>
      <c r="P389" s="3" t="s">
        <v>47</v>
      </c>
      <c r="Q389" s="3" t="str" cm="1">
        <f t="array" ref="Q389">_xlfn.IFS(Table1[[#This Row],[TotalRevenue]]&lt;100,"Low",Table1[[#This Row],[TotalRevenue]]&lt;300,"Medium",Table1[[#This Row],[TotalRevenue]]&lt;600,"High",TRUE,"Very High")</f>
        <v>Low</v>
      </c>
      <c r="R389" s="3" t="str" cm="1">
        <f t="array" ref="R38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89" s="3" t="str">
        <f>IF(Table1[[#This Row],[NextBillingDate]]="","Cancelled",IF(Table1[[#This Row],[CancellationDate]]&lt;&gt;"","Cancelled","Active"))</f>
        <v>Cancelled</v>
      </c>
      <c r="T389" s="7" cm="1">
        <f t="array" ref="T38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389" s="5">
        <v>44959</v>
      </c>
      <c r="W389" s="5">
        <v>44959</v>
      </c>
      <c r="X389" s="3">
        <v>0</v>
      </c>
      <c r="Y389" s="5">
        <f ca="1">IF(Table1[[#This Row],[ChurnStatus]]="Cancelled",Table1[[#This Row],[CancellationDate]],TODAY())</f>
        <v>44959</v>
      </c>
      <c r="Z389" s="46">
        <f ca="1">IF(AND(Table1[[#This Row],[SubscriptionStart]] &lt;= TODAY(), Table1[[#This Row],[EffectiveEndDate]] &gt;= TODAY()),1,0)</f>
        <v>0</v>
      </c>
      <c r="AA389" s="46">
        <f ca="1">IF(AND(Table1[[#This Row],[SubscriptionStart]]&lt;=Settings!$A$2,Table1[[#This Row],[EffectiveEndDate]]&gt;=Settings!$A$2),1,0)</f>
        <v>0</v>
      </c>
      <c r="AB389" s="46">
        <f ca="1">IF(AND(Table1[[#This Row],[SubscriptionStart]]&lt;=Settings!$B$2,Table1[[#This Row],[EffectiveEndDate]]&gt;=Settings!$B$2),1,0)</f>
        <v>0</v>
      </c>
      <c r="AC389" s="46">
        <f ca="1">IF(AND(Table1[[#This Row],[SubscriptionStart]]&lt;=Settings!$C$2,Table1[[#This Row],[EffectiveEndDate]]&gt;=Settings!$C$2),1,0)</f>
        <v>0</v>
      </c>
      <c r="AD389" s="46">
        <f ca="1">IF(AND(Table1[[#This Row],[SubscriptionStart]]&lt;=Settings!$D$2,Table1[[#This Row],[EffectiveEndDate]]&gt;=Settings!$D$2),1,0)</f>
        <v>0</v>
      </c>
      <c r="AE389" s="46">
        <f ca="1">IF(AND(Table1[[#This Row],[SubscriptionStart]]&lt;=Settings!$E$2,Table1[[#This Row],[EffectiveEndDate]]&gt;=Settings!$E$2),1,0)</f>
        <v>0</v>
      </c>
      <c r="AF389"/>
      <c r="AG389"/>
      <c r="AH389"/>
      <c r="AI389"/>
      <c r="AJ389"/>
      <c r="AK389"/>
    </row>
    <row r="390" spans="1:37">
      <c r="A390" s="3" t="s">
        <v>201</v>
      </c>
      <c r="B390" s="3">
        <v>55</v>
      </c>
      <c r="C390" s="3" t="s">
        <v>23</v>
      </c>
      <c r="D390" s="5">
        <v>44930</v>
      </c>
      <c r="F390" s="3">
        <f ca="1">TODAY() - Table1[[#This Row],[SubscriptionStart]]</f>
        <v>1051</v>
      </c>
      <c r="G390" s="4">
        <v>36</v>
      </c>
      <c r="H390" s="3" t="s">
        <v>29</v>
      </c>
      <c r="I390" s="3" t="s">
        <v>25</v>
      </c>
      <c r="J390" s="7" cm="1">
        <f t="array" ref="J390">_xlfn.IFS(Table1[[#This Row],[Tier]]="Basic",10,Table1[[#This Row],[Tier]]="Standard",18,Table1[[#This Row],[Tier]]="Premium",25)</f>
        <v>25</v>
      </c>
      <c r="K390" s="7" cm="1">
        <f t="array" ref="K39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390" s="7" cm="1">
        <f t="array" ref="L39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847.5</v>
      </c>
      <c r="M390" s="3" t="str" cm="1">
        <f t="array" ref="M39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90" s="3" t="s">
        <v>26</v>
      </c>
      <c r="O390" s="3" t="s">
        <v>49</v>
      </c>
      <c r="Q390" s="3" t="str" cm="1">
        <f t="array" ref="Q390">_xlfn.IFS(Table1[[#This Row],[TotalRevenue]]&lt;100,"Low",Table1[[#This Row],[TotalRevenue]]&lt;300,"Medium",Table1[[#This Row],[TotalRevenue]]&lt;600,"High",TRUE,"Very High")</f>
        <v>Very High</v>
      </c>
      <c r="R390" s="3" t="str" cm="1">
        <f t="array" ref="R39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90" s="3" t="str">
        <f>IF(Table1[[#This Row],[NextBillingDate]]="","Cancelled",IF(Table1[[#This Row],[CancellationDate]]&lt;&gt;"","Cancelled","Active"))</f>
        <v>Active</v>
      </c>
      <c r="T390" s="7" cm="1">
        <f t="array" ref="T39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872.5</v>
      </c>
      <c r="V390" s="5">
        <v>46010</v>
      </c>
      <c r="W390" s="5">
        <v>46010</v>
      </c>
      <c r="X390" s="3">
        <v>35</v>
      </c>
      <c r="Y390" s="5">
        <f ca="1">IF(Table1[[#This Row],[ChurnStatus]]="Cancelled",Table1[[#This Row],[CancellationDate]],TODAY())</f>
        <v>45981</v>
      </c>
      <c r="Z390" s="46">
        <f ca="1">IF(AND(Table1[[#This Row],[SubscriptionStart]] &lt;= TODAY(), Table1[[#This Row],[EffectiveEndDate]] &gt;= TODAY()),1,0)</f>
        <v>1</v>
      </c>
      <c r="AA390" s="46">
        <f ca="1">IF(AND(Table1[[#This Row],[SubscriptionStart]]&lt;=Settings!$A$2,Table1[[#This Row],[EffectiveEndDate]]&gt;=Settings!$A$2),1,0)</f>
        <v>0</v>
      </c>
      <c r="AB390" s="46">
        <f ca="1">IF(AND(Table1[[#This Row],[SubscriptionStart]]&lt;=Settings!$B$2,Table1[[#This Row],[EffectiveEndDate]]&gt;=Settings!$B$2),1,0)</f>
        <v>0</v>
      </c>
      <c r="AC390" s="46">
        <f ca="1">IF(AND(Table1[[#This Row],[SubscriptionStart]]&lt;=Settings!$C$2,Table1[[#This Row],[EffectiveEndDate]]&gt;=Settings!$C$2),1,0)</f>
        <v>0</v>
      </c>
      <c r="AD390" s="46">
        <f ca="1">IF(AND(Table1[[#This Row],[SubscriptionStart]]&lt;=Settings!$D$2,Table1[[#This Row],[EffectiveEndDate]]&gt;=Settings!$D$2),1,0)</f>
        <v>1</v>
      </c>
      <c r="AE390" s="46">
        <f ca="1">IF(AND(Table1[[#This Row],[SubscriptionStart]]&lt;=Settings!$E$2,Table1[[#This Row],[EffectiveEndDate]]&gt;=Settings!$E$2),1,0)</f>
        <v>1</v>
      </c>
      <c r="AF390"/>
      <c r="AG390"/>
      <c r="AH390"/>
      <c r="AI390"/>
      <c r="AJ390"/>
      <c r="AK390"/>
    </row>
    <row r="391" spans="1:37">
      <c r="A391" s="3" t="s">
        <v>762</v>
      </c>
      <c r="B391" s="3">
        <v>41</v>
      </c>
      <c r="C391" s="3" t="s">
        <v>23</v>
      </c>
      <c r="D391" s="5">
        <v>44931</v>
      </c>
      <c r="E391" s="5">
        <v>45111</v>
      </c>
      <c r="F391" s="3">
        <f ca="1">TODAY() - Table1[[#This Row],[SubscriptionStart]]</f>
        <v>1050</v>
      </c>
      <c r="G391" s="4">
        <v>6</v>
      </c>
      <c r="H391" s="3" t="s">
        <v>38</v>
      </c>
      <c r="I391" s="3" t="s">
        <v>25</v>
      </c>
      <c r="J391" s="7" cm="1">
        <f t="array" ref="J391">_xlfn.IFS(Table1[[#This Row],[Tier]]="Basic",10,Table1[[#This Row],[Tier]]="Standard",18,Table1[[#This Row],[Tier]]="Premium",25)</f>
        <v>25</v>
      </c>
      <c r="K391" s="7" cm="1">
        <f t="array" ref="K39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391" s="7" cm="1">
        <f t="array" ref="L39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391" s="3" t="str" cm="1">
        <f t="array" ref="M39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91" s="3" t="s">
        <v>34</v>
      </c>
      <c r="O391" s="3" t="s">
        <v>32</v>
      </c>
      <c r="P391" s="3" t="s">
        <v>50</v>
      </c>
      <c r="Q391" s="3" t="str" cm="1">
        <f t="array" ref="Q391">_xlfn.IFS(Table1[[#This Row],[TotalRevenue]]&lt;100,"Low",Table1[[#This Row],[TotalRevenue]]&lt;300,"Medium",Table1[[#This Row],[TotalRevenue]]&lt;600,"High",TRUE,"Very High")</f>
        <v>Medium</v>
      </c>
      <c r="R391" s="3" t="str" cm="1">
        <f t="array" ref="R39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91" s="3" t="str">
        <f>IF(Table1[[#This Row],[NextBillingDate]]="","Cancelled",IF(Table1[[#This Row],[CancellationDate]]&lt;&gt;"","Cancelled","Active"))</f>
        <v>Cancelled</v>
      </c>
      <c r="T391" s="7" cm="1">
        <f t="array" ref="T39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391" s="5">
        <v>45111</v>
      </c>
      <c r="W391" s="5">
        <v>45111</v>
      </c>
      <c r="X391" s="3">
        <v>0</v>
      </c>
      <c r="Y391" s="5">
        <f ca="1">IF(Table1[[#This Row],[ChurnStatus]]="Cancelled",Table1[[#This Row],[CancellationDate]],TODAY())</f>
        <v>45111</v>
      </c>
      <c r="Z391" s="46">
        <f ca="1">IF(AND(Table1[[#This Row],[SubscriptionStart]] &lt;= TODAY(), Table1[[#This Row],[EffectiveEndDate]] &gt;= TODAY()),1,0)</f>
        <v>0</v>
      </c>
      <c r="AA391" s="46">
        <f ca="1">IF(AND(Table1[[#This Row],[SubscriptionStart]]&lt;=Settings!$A$2,Table1[[#This Row],[EffectiveEndDate]]&gt;=Settings!$A$2),1,0)</f>
        <v>0</v>
      </c>
      <c r="AB391" s="46">
        <f ca="1">IF(AND(Table1[[#This Row],[SubscriptionStart]]&lt;=Settings!$B$2,Table1[[#This Row],[EffectiveEndDate]]&gt;=Settings!$B$2),1,0)</f>
        <v>0</v>
      </c>
      <c r="AC391" s="46">
        <f ca="1">IF(AND(Table1[[#This Row],[SubscriptionStart]]&lt;=Settings!$C$2,Table1[[#This Row],[EffectiveEndDate]]&gt;=Settings!$C$2),1,0)</f>
        <v>0</v>
      </c>
      <c r="AD391" s="46">
        <f ca="1">IF(AND(Table1[[#This Row],[SubscriptionStart]]&lt;=Settings!$D$2,Table1[[#This Row],[EffectiveEndDate]]&gt;=Settings!$D$2),1,0)</f>
        <v>1</v>
      </c>
      <c r="AE391" s="46">
        <f ca="1">IF(AND(Table1[[#This Row],[SubscriptionStart]]&lt;=Settings!$E$2,Table1[[#This Row],[EffectiveEndDate]]&gt;=Settings!$E$2),1,0)</f>
        <v>0</v>
      </c>
      <c r="AF391"/>
      <c r="AG391"/>
      <c r="AH391"/>
      <c r="AI391"/>
      <c r="AJ391"/>
      <c r="AK391"/>
    </row>
    <row r="392" spans="1:37">
      <c r="A392" s="3" t="s">
        <v>796</v>
      </c>
      <c r="B392" s="3">
        <v>65</v>
      </c>
      <c r="C392" s="3" t="s">
        <v>37</v>
      </c>
      <c r="D392" s="5">
        <v>44931</v>
      </c>
      <c r="E392" s="5">
        <v>45111</v>
      </c>
      <c r="F392" s="3">
        <f ca="1">TODAY() - Table1[[#This Row],[SubscriptionStart]]</f>
        <v>1050</v>
      </c>
      <c r="G392" s="4">
        <v>6</v>
      </c>
      <c r="H392" s="3" t="s">
        <v>38</v>
      </c>
      <c r="I392" s="3" t="s">
        <v>30</v>
      </c>
      <c r="J392" s="7" cm="1">
        <f t="array" ref="J392">_xlfn.IFS(Table1[[#This Row],[Tier]]="Basic",10,Table1[[#This Row],[Tier]]="Standard",18,Table1[[#This Row],[Tier]]="Premium",25)</f>
        <v>10</v>
      </c>
      <c r="K392" s="7" cm="1">
        <f t="array" ref="K39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392" s="7" cm="1">
        <f t="array" ref="L39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392" s="3" t="str" cm="1">
        <f t="array" ref="M392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392" s="3" t="s">
        <v>26</v>
      </c>
      <c r="O392" s="3" t="s">
        <v>27</v>
      </c>
      <c r="P392" s="3" t="s">
        <v>47</v>
      </c>
      <c r="Q392" s="3" t="str" cm="1">
        <f t="array" ref="Q392">_xlfn.IFS(Table1[[#This Row],[TotalRevenue]]&lt;100,"Low",Table1[[#This Row],[TotalRevenue]]&lt;300,"Medium",Table1[[#This Row],[TotalRevenue]]&lt;600,"High",TRUE,"Very High")</f>
        <v>Low</v>
      </c>
      <c r="R392" s="3" t="str" cm="1">
        <f t="array" ref="R392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392" s="3" t="str">
        <f>IF(Table1[[#This Row],[NextBillingDate]]="","Cancelled",IF(Table1[[#This Row],[CancellationDate]]&lt;&gt;"","Cancelled","Active"))</f>
        <v>Cancelled</v>
      </c>
      <c r="T392" s="7" cm="1">
        <f t="array" ref="T39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392" s="5">
        <v>45111</v>
      </c>
      <c r="W392" s="5">
        <v>45111</v>
      </c>
      <c r="X392" s="3">
        <v>0</v>
      </c>
      <c r="Y392" s="5">
        <f ca="1">IF(Table1[[#This Row],[ChurnStatus]]="Cancelled",Table1[[#This Row],[CancellationDate]],TODAY())</f>
        <v>45111</v>
      </c>
      <c r="Z392" s="46">
        <f ca="1">IF(AND(Table1[[#This Row],[SubscriptionStart]] &lt;= TODAY(), Table1[[#This Row],[EffectiveEndDate]] &gt;= TODAY()),1,0)</f>
        <v>0</v>
      </c>
      <c r="AA392" s="46">
        <f ca="1">IF(AND(Table1[[#This Row],[SubscriptionStart]]&lt;=Settings!$A$2,Table1[[#This Row],[EffectiveEndDate]]&gt;=Settings!$A$2),1,0)</f>
        <v>0</v>
      </c>
      <c r="AB392" s="46">
        <f ca="1">IF(AND(Table1[[#This Row],[SubscriptionStart]]&lt;=Settings!$B$2,Table1[[#This Row],[EffectiveEndDate]]&gt;=Settings!$B$2),1,0)</f>
        <v>0</v>
      </c>
      <c r="AC392" s="46">
        <f ca="1">IF(AND(Table1[[#This Row],[SubscriptionStart]]&lt;=Settings!$C$2,Table1[[#This Row],[EffectiveEndDate]]&gt;=Settings!$C$2),1,0)</f>
        <v>0</v>
      </c>
      <c r="AD392" s="46">
        <f ca="1">IF(AND(Table1[[#This Row],[SubscriptionStart]]&lt;=Settings!$D$2,Table1[[#This Row],[EffectiveEndDate]]&gt;=Settings!$D$2),1,0)</f>
        <v>1</v>
      </c>
      <c r="AE392" s="46">
        <f ca="1">IF(AND(Table1[[#This Row],[SubscriptionStart]]&lt;=Settings!$E$2,Table1[[#This Row],[EffectiveEndDate]]&gt;=Settings!$E$2),1,0)</f>
        <v>0</v>
      </c>
      <c r="AF392"/>
      <c r="AG392"/>
      <c r="AH392"/>
      <c r="AI392"/>
      <c r="AJ392"/>
      <c r="AK392"/>
    </row>
    <row r="393" spans="1:37">
      <c r="A393" s="3" t="s">
        <v>473</v>
      </c>
      <c r="B393" s="3">
        <v>30</v>
      </c>
      <c r="C393" s="3" t="s">
        <v>37</v>
      </c>
      <c r="D393" s="5">
        <v>44933</v>
      </c>
      <c r="E393" s="5">
        <v>45293</v>
      </c>
      <c r="F393" s="3">
        <f ca="1">TODAY() - Table1[[#This Row],[SubscriptionStart]]</f>
        <v>1048</v>
      </c>
      <c r="G393" s="4">
        <v>12</v>
      </c>
      <c r="H393" s="3" t="s">
        <v>24</v>
      </c>
      <c r="I393" s="3" t="s">
        <v>25</v>
      </c>
      <c r="J393" s="7" cm="1">
        <f t="array" ref="J393">_xlfn.IFS(Table1[[#This Row],[Tier]]="Basic",10,Table1[[#This Row],[Tier]]="Standard",18,Table1[[#This Row],[Tier]]="Premium",25)</f>
        <v>25</v>
      </c>
      <c r="K393" s="7" cm="1">
        <f t="array" ref="K39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93" s="7" cm="1">
        <f t="array" ref="L39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93" s="3" t="str" cm="1">
        <f t="array" ref="M39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93" s="3" t="s">
        <v>34</v>
      </c>
      <c r="O393" s="3" t="s">
        <v>27</v>
      </c>
      <c r="P393" s="3" t="s">
        <v>47</v>
      </c>
      <c r="Q393" s="3" t="str" cm="1">
        <f t="array" ref="Q393">_xlfn.IFS(Table1[[#This Row],[TotalRevenue]]&lt;100,"Low",Table1[[#This Row],[TotalRevenue]]&lt;300,"Medium",Table1[[#This Row],[TotalRevenue]]&lt;600,"High",TRUE,"Very High")</f>
        <v>Medium</v>
      </c>
      <c r="R393" s="3" t="str" cm="1">
        <f t="array" ref="R39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93" s="3" t="str">
        <f>IF(Table1[[#This Row],[NextBillingDate]]="","Cancelled",IF(Table1[[#This Row],[CancellationDate]]&lt;&gt;"","Cancelled","Active"))</f>
        <v>Cancelled</v>
      </c>
      <c r="T393" s="7" cm="1">
        <f t="array" ref="T39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93" s="5">
        <v>45293</v>
      </c>
      <c r="W393" s="5">
        <v>45293</v>
      </c>
      <c r="X393" s="3">
        <v>0</v>
      </c>
      <c r="Y393" s="5">
        <f ca="1">IF(Table1[[#This Row],[ChurnStatus]]="Cancelled",Table1[[#This Row],[CancellationDate]],TODAY())</f>
        <v>45293</v>
      </c>
      <c r="Z393" s="46">
        <f ca="1">IF(AND(Table1[[#This Row],[SubscriptionStart]] &lt;= TODAY(), Table1[[#This Row],[EffectiveEndDate]] &gt;= TODAY()),1,0)</f>
        <v>0</v>
      </c>
      <c r="AA393" s="46">
        <f ca="1">IF(AND(Table1[[#This Row],[SubscriptionStart]]&lt;=Settings!$A$2,Table1[[#This Row],[EffectiveEndDate]]&gt;=Settings!$A$2),1,0)</f>
        <v>0</v>
      </c>
      <c r="AB393" s="46">
        <f ca="1">IF(AND(Table1[[#This Row],[SubscriptionStart]]&lt;=Settings!$B$2,Table1[[#This Row],[EffectiveEndDate]]&gt;=Settings!$B$2),1,0)</f>
        <v>0</v>
      </c>
      <c r="AC393" s="46">
        <f ca="1">IF(AND(Table1[[#This Row],[SubscriptionStart]]&lt;=Settings!$C$2,Table1[[#This Row],[EffectiveEndDate]]&gt;=Settings!$C$2),1,0)</f>
        <v>0</v>
      </c>
      <c r="AD393" s="46">
        <f ca="1">IF(AND(Table1[[#This Row],[SubscriptionStart]]&lt;=Settings!$D$2,Table1[[#This Row],[EffectiveEndDate]]&gt;=Settings!$D$2),1,0)</f>
        <v>1</v>
      </c>
      <c r="AE393" s="46">
        <f ca="1">IF(AND(Table1[[#This Row],[SubscriptionStart]]&lt;=Settings!$E$2,Table1[[#This Row],[EffectiveEndDate]]&gt;=Settings!$E$2),1,0)</f>
        <v>0</v>
      </c>
      <c r="AF393"/>
      <c r="AG393"/>
      <c r="AH393"/>
      <c r="AI393"/>
      <c r="AJ393"/>
      <c r="AK393"/>
    </row>
    <row r="394" spans="1:37">
      <c r="A394" s="3" t="s">
        <v>498</v>
      </c>
      <c r="B394" s="3">
        <v>54</v>
      </c>
      <c r="C394" s="3" t="s">
        <v>37</v>
      </c>
      <c r="D394" s="5">
        <v>44933</v>
      </c>
      <c r="E394" s="5">
        <v>45293</v>
      </c>
      <c r="F394" s="3">
        <f ca="1">TODAY() - Table1[[#This Row],[SubscriptionStart]]</f>
        <v>1048</v>
      </c>
      <c r="G394" s="4">
        <v>12</v>
      </c>
      <c r="H394" s="3" t="s">
        <v>24</v>
      </c>
      <c r="I394" s="3" t="s">
        <v>25</v>
      </c>
      <c r="J394" s="7" cm="1">
        <f t="array" ref="J394">_xlfn.IFS(Table1[[#This Row],[Tier]]="Basic",10,Table1[[#This Row],[Tier]]="Standard",18,Table1[[#This Row],[Tier]]="Premium",25)</f>
        <v>25</v>
      </c>
      <c r="K394" s="7" cm="1">
        <f t="array" ref="K39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394" s="7" cm="1">
        <f t="array" ref="L39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394" s="3" t="str" cm="1">
        <f t="array" ref="M394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94" s="3" t="s">
        <v>52</v>
      </c>
      <c r="O394" s="3" t="s">
        <v>49</v>
      </c>
      <c r="P394" s="3" t="s">
        <v>50</v>
      </c>
      <c r="Q394" s="3" t="str" cm="1">
        <f t="array" ref="Q394">_xlfn.IFS(Table1[[#This Row],[TotalRevenue]]&lt;100,"Low",Table1[[#This Row],[TotalRevenue]]&lt;300,"Medium",Table1[[#This Row],[TotalRevenue]]&lt;600,"High",TRUE,"Very High")</f>
        <v>Medium</v>
      </c>
      <c r="R394" s="3" t="str" cm="1">
        <f t="array" ref="R39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94" s="3" t="str">
        <f>IF(Table1[[#This Row],[NextBillingDate]]="","Cancelled",IF(Table1[[#This Row],[CancellationDate]]&lt;&gt;"","Cancelled","Active"))</f>
        <v>Cancelled</v>
      </c>
      <c r="T394" s="7" cm="1">
        <f t="array" ref="T39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394" s="5">
        <v>45293</v>
      </c>
      <c r="W394" s="5">
        <v>45293</v>
      </c>
      <c r="X394" s="3">
        <v>0</v>
      </c>
      <c r="Y394" s="5">
        <f ca="1">IF(Table1[[#This Row],[ChurnStatus]]="Cancelled",Table1[[#This Row],[CancellationDate]],TODAY())</f>
        <v>45293</v>
      </c>
      <c r="Z394" s="46">
        <f ca="1">IF(AND(Table1[[#This Row],[SubscriptionStart]] &lt;= TODAY(), Table1[[#This Row],[EffectiveEndDate]] &gt;= TODAY()),1,0)</f>
        <v>0</v>
      </c>
      <c r="AA394" s="46">
        <f ca="1">IF(AND(Table1[[#This Row],[SubscriptionStart]]&lt;=Settings!$A$2,Table1[[#This Row],[EffectiveEndDate]]&gt;=Settings!$A$2),1,0)</f>
        <v>0</v>
      </c>
      <c r="AB394" s="46">
        <f ca="1">IF(AND(Table1[[#This Row],[SubscriptionStart]]&lt;=Settings!$B$2,Table1[[#This Row],[EffectiveEndDate]]&gt;=Settings!$B$2),1,0)</f>
        <v>0</v>
      </c>
      <c r="AC394" s="46">
        <f ca="1">IF(AND(Table1[[#This Row],[SubscriptionStart]]&lt;=Settings!$C$2,Table1[[#This Row],[EffectiveEndDate]]&gt;=Settings!$C$2),1,0)</f>
        <v>0</v>
      </c>
      <c r="AD394" s="46">
        <f ca="1">IF(AND(Table1[[#This Row],[SubscriptionStart]]&lt;=Settings!$D$2,Table1[[#This Row],[EffectiveEndDate]]&gt;=Settings!$D$2),1,0)</f>
        <v>1</v>
      </c>
      <c r="AE394" s="46">
        <f ca="1">IF(AND(Table1[[#This Row],[SubscriptionStart]]&lt;=Settings!$E$2,Table1[[#This Row],[EffectiveEndDate]]&gt;=Settings!$E$2),1,0)</f>
        <v>0</v>
      </c>
      <c r="AF394"/>
      <c r="AG394"/>
      <c r="AH394"/>
      <c r="AI394"/>
      <c r="AJ394"/>
      <c r="AK394"/>
    </row>
    <row r="395" spans="1:37">
      <c r="A395" s="3" t="s">
        <v>699</v>
      </c>
      <c r="B395" s="3">
        <v>64</v>
      </c>
      <c r="C395" s="3" t="s">
        <v>37</v>
      </c>
      <c r="D395" s="5">
        <v>44933</v>
      </c>
      <c r="E395" s="5">
        <v>45293</v>
      </c>
      <c r="F395" s="3">
        <f ca="1">TODAY() - Table1[[#This Row],[SubscriptionStart]]</f>
        <v>1048</v>
      </c>
      <c r="G395" s="4">
        <v>12</v>
      </c>
      <c r="H395" s="3" t="s">
        <v>24</v>
      </c>
      <c r="I395" s="3" t="s">
        <v>30</v>
      </c>
      <c r="J395" s="7" cm="1">
        <f t="array" ref="J395">_xlfn.IFS(Table1[[#This Row],[Tier]]="Basic",10,Table1[[#This Row],[Tier]]="Standard",18,Table1[[#This Row],[Tier]]="Premium",25)</f>
        <v>10</v>
      </c>
      <c r="K395" s="7" cm="1">
        <f t="array" ref="K39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395" s="7" cm="1">
        <f t="array" ref="L39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395" s="3" t="str" cm="1">
        <f t="array" ref="M395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395" s="3" t="s">
        <v>26</v>
      </c>
      <c r="O395" s="3" t="s">
        <v>49</v>
      </c>
      <c r="P395" s="3" t="s">
        <v>44</v>
      </c>
      <c r="Q395" s="3" t="str" cm="1">
        <f t="array" ref="Q395">_xlfn.IFS(Table1[[#This Row],[TotalRevenue]]&lt;100,"Low",Table1[[#This Row],[TotalRevenue]]&lt;300,"Medium",Table1[[#This Row],[TotalRevenue]]&lt;600,"High",TRUE,"Very High")</f>
        <v>Low</v>
      </c>
      <c r="R395" s="3" t="str" cm="1">
        <f t="array" ref="R395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395" s="3" t="str">
        <f>IF(Table1[[#This Row],[NextBillingDate]]="","Cancelled",IF(Table1[[#This Row],[CancellationDate]]&lt;&gt;"","Cancelled","Active"))</f>
        <v>Cancelled</v>
      </c>
      <c r="T395" s="7" cm="1">
        <f t="array" ref="T39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395" s="5">
        <v>45293</v>
      </c>
      <c r="W395" s="5">
        <v>45293</v>
      </c>
      <c r="X395" s="3">
        <v>0</v>
      </c>
      <c r="Y395" s="5">
        <f ca="1">IF(Table1[[#This Row],[ChurnStatus]]="Cancelled",Table1[[#This Row],[CancellationDate]],TODAY())</f>
        <v>45293</v>
      </c>
      <c r="Z395" s="46">
        <f ca="1">IF(AND(Table1[[#This Row],[SubscriptionStart]] &lt;= TODAY(), Table1[[#This Row],[EffectiveEndDate]] &gt;= TODAY()),1,0)</f>
        <v>0</v>
      </c>
      <c r="AA395" s="46">
        <f ca="1">IF(AND(Table1[[#This Row],[SubscriptionStart]]&lt;=Settings!$A$2,Table1[[#This Row],[EffectiveEndDate]]&gt;=Settings!$A$2),1,0)</f>
        <v>0</v>
      </c>
      <c r="AB395" s="46">
        <f ca="1">IF(AND(Table1[[#This Row],[SubscriptionStart]]&lt;=Settings!$B$2,Table1[[#This Row],[EffectiveEndDate]]&gt;=Settings!$B$2),1,0)</f>
        <v>0</v>
      </c>
      <c r="AC395" s="46">
        <f ca="1">IF(AND(Table1[[#This Row],[SubscriptionStart]]&lt;=Settings!$C$2,Table1[[#This Row],[EffectiveEndDate]]&gt;=Settings!$C$2),1,0)</f>
        <v>0</v>
      </c>
      <c r="AD395" s="46">
        <f ca="1">IF(AND(Table1[[#This Row],[SubscriptionStart]]&lt;=Settings!$D$2,Table1[[#This Row],[EffectiveEndDate]]&gt;=Settings!$D$2),1,0)</f>
        <v>1</v>
      </c>
      <c r="AE395" s="46">
        <f ca="1">IF(AND(Table1[[#This Row],[SubscriptionStart]]&lt;=Settings!$E$2,Table1[[#This Row],[EffectiveEndDate]]&gt;=Settings!$E$2),1,0)</f>
        <v>0</v>
      </c>
      <c r="AF395"/>
      <c r="AG395"/>
      <c r="AH395"/>
      <c r="AI395"/>
      <c r="AJ395"/>
      <c r="AK395"/>
    </row>
    <row r="396" spans="1:37">
      <c r="A396" s="3" t="s">
        <v>245</v>
      </c>
      <c r="B396" s="3">
        <v>26</v>
      </c>
      <c r="C396" s="3" t="s">
        <v>23</v>
      </c>
      <c r="D396" s="5">
        <v>44934</v>
      </c>
      <c r="E396" s="5">
        <v>45114</v>
      </c>
      <c r="F396" s="3">
        <f ca="1">TODAY() - Table1[[#This Row],[SubscriptionStart]]</f>
        <v>1047</v>
      </c>
      <c r="G396" s="4">
        <v>6</v>
      </c>
      <c r="H396" s="3" t="s">
        <v>38</v>
      </c>
      <c r="I396" s="3" t="s">
        <v>39</v>
      </c>
      <c r="J396" s="7" cm="1">
        <f t="array" ref="J396">_xlfn.IFS(Table1[[#This Row],[Tier]]="Basic",10,Table1[[#This Row],[Tier]]="Standard",18,Table1[[#This Row],[Tier]]="Premium",25)</f>
        <v>18</v>
      </c>
      <c r="K396" s="7" cm="1">
        <f t="array" ref="K39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396" s="7" cm="1">
        <f t="array" ref="L39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396" s="3" t="str" cm="1">
        <f t="array" ref="M39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96" s="3" t="s">
        <v>31</v>
      </c>
      <c r="O396" s="3" t="s">
        <v>43</v>
      </c>
      <c r="P396" s="3" t="s">
        <v>47</v>
      </c>
      <c r="Q396" s="3" t="str" cm="1">
        <f t="array" ref="Q396">_xlfn.IFS(Table1[[#This Row],[TotalRevenue]]&lt;100,"Low",Table1[[#This Row],[TotalRevenue]]&lt;300,"Medium",Table1[[#This Row],[TotalRevenue]]&lt;600,"High",TRUE,"Very High")</f>
        <v>Low</v>
      </c>
      <c r="R396" s="3" t="str" cm="1">
        <f t="array" ref="R39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96" s="3" t="str">
        <f>IF(Table1[[#This Row],[NextBillingDate]]="","Cancelled",IF(Table1[[#This Row],[CancellationDate]]&lt;&gt;"","Cancelled","Active"))</f>
        <v>Cancelled</v>
      </c>
      <c r="T396" s="7" cm="1">
        <f t="array" ref="T39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396" s="5">
        <v>45114</v>
      </c>
      <c r="W396" s="5">
        <v>45114</v>
      </c>
      <c r="X396" s="3">
        <v>0</v>
      </c>
      <c r="Y396" s="5">
        <f ca="1">IF(Table1[[#This Row],[ChurnStatus]]="Cancelled",Table1[[#This Row],[CancellationDate]],TODAY())</f>
        <v>45114</v>
      </c>
      <c r="Z396" s="46">
        <f ca="1">IF(AND(Table1[[#This Row],[SubscriptionStart]] &lt;= TODAY(), Table1[[#This Row],[EffectiveEndDate]] &gt;= TODAY()),1,0)</f>
        <v>0</v>
      </c>
      <c r="AA396" s="46">
        <f ca="1">IF(AND(Table1[[#This Row],[SubscriptionStart]]&lt;=Settings!$A$2,Table1[[#This Row],[EffectiveEndDate]]&gt;=Settings!$A$2),1,0)</f>
        <v>0</v>
      </c>
      <c r="AB396" s="46">
        <f ca="1">IF(AND(Table1[[#This Row],[SubscriptionStart]]&lt;=Settings!$B$2,Table1[[#This Row],[EffectiveEndDate]]&gt;=Settings!$B$2),1,0)</f>
        <v>0</v>
      </c>
      <c r="AC396" s="46">
        <f ca="1">IF(AND(Table1[[#This Row],[SubscriptionStart]]&lt;=Settings!$C$2,Table1[[#This Row],[EffectiveEndDate]]&gt;=Settings!$C$2),1,0)</f>
        <v>0</v>
      </c>
      <c r="AD396" s="46">
        <f ca="1">IF(AND(Table1[[#This Row],[SubscriptionStart]]&lt;=Settings!$D$2,Table1[[#This Row],[EffectiveEndDate]]&gt;=Settings!$D$2),1,0)</f>
        <v>1</v>
      </c>
      <c r="AE396" s="46">
        <f ca="1">IF(AND(Table1[[#This Row],[SubscriptionStart]]&lt;=Settings!$E$2,Table1[[#This Row],[EffectiveEndDate]]&gt;=Settings!$E$2),1,0)</f>
        <v>0</v>
      </c>
      <c r="AF396"/>
      <c r="AG396"/>
      <c r="AH396"/>
      <c r="AI396"/>
      <c r="AJ396"/>
      <c r="AK396"/>
    </row>
    <row r="397" spans="1:37">
      <c r="A397" s="3" t="s">
        <v>51</v>
      </c>
      <c r="B397" s="3">
        <v>65</v>
      </c>
      <c r="C397" s="3" t="s">
        <v>37</v>
      </c>
      <c r="D397" s="5">
        <v>44936</v>
      </c>
      <c r="E397" s="5">
        <v>44966</v>
      </c>
      <c r="F397" s="3">
        <f ca="1">TODAY() - Table1[[#This Row],[SubscriptionStart]]</f>
        <v>1045</v>
      </c>
      <c r="G397" s="4">
        <v>1</v>
      </c>
      <c r="H397" s="3" t="s">
        <v>29</v>
      </c>
      <c r="I397" s="3" t="s">
        <v>39</v>
      </c>
      <c r="J397" s="7" cm="1">
        <f t="array" ref="J397">_xlfn.IFS(Table1[[#This Row],[Tier]]="Basic",10,Table1[[#This Row],[Tier]]="Standard",18,Table1[[#This Row],[Tier]]="Premium",25)</f>
        <v>18</v>
      </c>
      <c r="K397" s="7" cm="1">
        <f t="array" ref="K39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397" s="7" cm="1">
        <f t="array" ref="L39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397" s="3" t="str" cm="1">
        <f t="array" ref="M397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397" s="3" t="s">
        <v>52</v>
      </c>
      <c r="O397" s="3" t="s">
        <v>40</v>
      </c>
      <c r="P397" s="3" t="s">
        <v>47</v>
      </c>
      <c r="Q397" s="3" t="str" cm="1">
        <f t="array" ref="Q397">_xlfn.IFS(Table1[[#This Row],[TotalRevenue]]&lt;100,"Low",Table1[[#This Row],[TotalRevenue]]&lt;300,"Medium",Table1[[#This Row],[TotalRevenue]]&lt;600,"High",TRUE,"Very High")</f>
        <v>Low</v>
      </c>
      <c r="R397" s="3" t="str" cm="1">
        <f t="array" ref="R397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397" s="3" t="str">
        <f>IF(Table1[[#This Row],[NextBillingDate]]="","Cancelled",IF(Table1[[#This Row],[CancellationDate]]&lt;&gt;"","Cancelled","Active"))</f>
        <v>Cancelled</v>
      </c>
      <c r="T397" s="7" cm="1">
        <f t="array" ref="T39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397" s="5">
        <v>44966</v>
      </c>
      <c r="W397" s="5">
        <v>44966</v>
      </c>
      <c r="X397" s="3">
        <v>0</v>
      </c>
      <c r="Y397" s="5">
        <f ca="1">IF(Table1[[#This Row],[ChurnStatus]]="Cancelled",Table1[[#This Row],[CancellationDate]],TODAY())</f>
        <v>44966</v>
      </c>
      <c r="Z397" s="46">
        <f ca="1">IF(AND(Table1[[#This Row],[SubscriptionStart]] &lt;= TODAY(), Table1[[#This Row],[EffectiveEndDate]] &gt;= TODAY()),1,0)</f>
        <v>0</v>
      </c>
      <c r="AA397" s="46">
        <f ca="1">IF(AND(Table1[[#This Row],[SubscriptionStart]]&lt;=Settings!$A$2,Table1[[#This Row],[EffectiveEndDate]]&gt;=Settings!$A$2),1,0)</f>
        <v>0</v>
      </c>
      <c r="AB397" s="46">
        <f ca="1">IF(AND(Table1[[#This Row],[SubscriptionStart]]&lt;=Settings!$B$2,Table1[[#This Row],[EffectiveEndDate]]&gt;=Settings!$B$2),1,0)</f>
        <v>0</v>
      </c>
      <c r="AC397" s="46">
        <f ca="1">IF(AND(Table1[[#This Row],[SubscriptionStart]]&lt;=Settings!$C$2,Table1[[#This Row],[EffectiveEndDate]]&gt;=Settings!$C$2),1,0)</f>
        <v>0</v>
      </c>
      <c r="AD397" s="46">
        <f ca="1">IF(AND(Table1[[#This Row],[SubscriptionStart]]&lt;=Settings!$D$2,Table1[[#This Row],[EffectiveEndDate]]&gt;=Settings!$D$2),1,0)</f>
        <v>0</v>
      </c>
      <c r="AE397" s="46">
        <f ca="1">IF(AND(Table1[[#This Row],[SubscriptionStart]]&lt;=Settings!$E$2,Table1[[#This Row],[EffectiveEndDate]]&gt;=Settings!$E$2),1,0)</f>
        <v>0</v>
      </c>
      <c r="AF397"/>
      <c r="AG397"/>
      <c r="AH397"/>
      <c r="AI397"/>
      <c r="AJ397"/>
      <c r="AK397"/>
    </row>
    <row r="398" spans="1:37">
      <c r="A398" s="3" t="s">
        <v>244</v>
      </c>
      <c r="B398" s="3">
        <v>27</v>
      </c>
      <c r="C398" s="3" t="s">
        <v>37</v>
      </c>
      <c r="D398" s="5">
        <v>44937</v>
      </c>
      <c r="F398" s="3">
        <f ca="1">TODAY() - Table1[[#This Row],[SubscriptionStart]]</f>
        <v>1044</v>
      </c>
      <c r="G398" s="4">
        <v>36</v>
      </c>
      <c r="H398" s="3" t="s">
        <v>24</v>
      </c>
      <c r="I398" s="3" t="s">
        <v>39</v>
      </c>
      <c r="J398" s="7" cm="1">
        <f t="array" ref="J398">_xlfn.IFS(Table1[[#This Row],[Tier]]="Basic",10,Table1[[#This Row],[Tier]]="Standard",18,Table1[[#This Row],[Tier]]="Premium",25)</f>
        <v>18</v>
      </c>
      <c r="K398" s="7" cm="1">
        <f t="array" ref="K39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398" s="7" cm="1">
        <f t="array" ref="L39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417.6</v>
      </c>
      <c r="M398" s="3" t="str" cm="1">
        <f t="array" ref="M39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398" s="3" t="s">
        <v>52</v>
      </c>
      <c r="O398" s="3" t="s">
        <v>49</v>
      </c>
      <c r="Q398" s="3" t="str" cm="1">
        <f t="array" ref="Q398">_xlfn.IFS(Table1[[#This Row],[TotalRevenue]]&lt;100,"Low",Table1[[#This Row],[TotalRevenue]]&lt;300,"Medium",Table1[[#This Row],[TotalRevenue]]&lt;600,"High",TRUE,"Very High")</f>
        <v>High</v>
      </c>
      <c r="R398" s="3" t="str" cm="1">
        <f t="array" ref="R39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98" s="3" t="str">
        <f>IF(Table1[[#This Row],[NextBillingDate]]="","Cancelled",IF(Table1[[#This Row],[CancellationDate]]&lt;&gt;"","Cancelled","Active"))</f>
        <v>Active</v>
      </c>
      <c r="T398" s="7" cm="1">
        <f t="array" ref="T39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561.6</v>
      </c>
      <c r="V398" s="5">
        <v>46017</v>
      </c>
      <c r="W398" s="5">
        <v>46017</v>
      </c>
      <c r="X398" s="3">
        <v>2</v>
      </c>
      <c r="Y398" s="5">
        <f ca="1">IF(Table1[[#This Row],[ChurnStatus]]="Cancelled",Table1[[#This Row],[CancellationDate]],TODAY())</f>
        <v>45981</v>
      </c>
      <c r="Z398" s="46">
        <f ca="1">IF(AND(Table1[[#This Row],[SubscriptionStart]] &lt;= TODAY(), Table1[[#This Row],[EffectiveEndDate]] &gt;= TODAY()),1,0)</f>
        <v>1</v>
      </c>
      <c r="AA398" s="46">
        <f ca="1">IF(AND(Table1[[#This Row],[SubscriptionStart]]&lt;=Settings!$A$2,Table1[[#This Row],[EffectiveEndDate]]&gt;=Settings!$A$2),1,0)</f>
        <v>0</v>
      </c>
      <c r="AB398" s="46">
        <f ca="1">IF(AND(Table1[[#This Row],[SubscriptionStart]]&lt;=Settings!$B$2,Table1[[#This Row],[EffectiveEndDate]]&gt;=Settings!$B$2),1,0)</f>
        <v>0</v>
      </c>
      <c r="AC398" s="46">
        <f ca="1">IF(AND(Table1[[#This Row],[SubscriptionStart]]&lt;=Settings!$C$2,Table1[[#This Row],[EffectiveEndDate]]&gt;=Settings!$C$2),1,0)</f>
        <v>0</v>
      </c>
      <c r="AD398" s="46">
        <f ca="1">IF(AND(Table1[[#This Row],[SubscriptionStart]]&lt;=Settings!$D$2,Table1[[#This Row],[EffectiveEndDate]]&gt;=Settings!$D$2),1,0)</f>
        <v>1</v>
      </c>
      <c r="AE398" s="46">
        <f ca="1">IF(AND(Table1[[#This Row],[SubscriptionStart]]&lt;=Settings!$E$2,Table1[[#This Row],[EffectiveEndDate]]&gt;=Settings!$E$2),1,0)</f>
        <v>1</v>
      </c>
      <c r="AF398"/>
      <c r="AG398"/>
      <c r="AH398"/>
      <c r="AI398"/>
      <c r="AJ398"/>
      <c r="AK398"/>
    </row>
    <row r="399" spans="1:37">
      <c r="A399" s="3" t="s">
        <v>373</v>
      </c>
      <c r="B399" s="3">
        <v>50</v>
      </c>
      <c r="C399" s="3" t="s">
        <v>37</v>
      </c>
      <c r="D399" s="5">
        <v>44940</v>
      </c>
      <c r="F399" s="3">
        <f ca="1">TODAY() - Table1[[#This Row],[SubscriptionStart]]</f>
        <v>1041</v>
      </c>
      <c r="G399" s="4">
        <v>35</v>
      </c>
      <c r="H399" s="3" t="s">
        <v>29</v>
      </c>
      <c r="I399" s="3" t="s">
        <v>30</v>
      </c>
      <c r="J399" s="7" cm="1">
        <f t="array" ref="J399">_xlfn.IFS(Table1[[#This Row],[Tier]]="Basic",10,Table1[[#This Row],[Tier]]="Standard",18,Table1[[#This Row],[Tier]]="Premium",25)</f>
        <v>10</v>
      </c>
      <c r="K399" s="7" cm="1">
        <f t="array" ref="K39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399" s="7" cm="1">
        <f t="array" ref="L39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329</v>
      </c>
      <c r="M399" s="3" t="str" cm="1">
        <f t="array" ref="M399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399" s="3" t="s">
        <v>31</v>
      </c>
      <c r="O399" s="3" t="s">
        <v>27</v>
      </c>
      <c r="Q399" s="3" t="str" cm="1">
        <f t="array" ref="Q399">_xlfn.IFS(Table1[[#This Row],[TotalRevenue]]&lt;100,"Low",Table1[[#This Row],[TotalRevenue]]&lt;300,"Medium",Table1[[#This Row],[TotalRevenue]]&lt;600,"High",TRUE,"Very High")</f>
        <v>High</v>
      </c>
      <c r="R399" s="3" t="str" cm="1">
        <f t="array" ref="R39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399" s="3" t="str">
        <f>IF(Table1[[#This Row],[NextBillingDate]]="","Cancelled",IF(Table1[[#This Row],[CancellationDate]]&lt;&gt;"","Cancelled","Active"))</f>
        <v>Active</v>
      </c>
      <c r="T399" s="7" cm="1">
        <f t="array" ref="T39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339</v>
      </c>
      <c r="V399" s="5">
        <v>45990</v>
      </c>
      <c r="W399" s="5">
        <v>45990</v>
      </c>
      <c r="X399" s="3">
        <v>34</v>
      </c>
      <c r="Y399" s="5">
        <f ca="1">IF(Table1[[#This Row],[ChurnStatus]]="Cancelled",Table1[[#This Row],[CancellationDate]],TODAY())</f>
        <v>45981</v>
      </c>
      <c r="Z399" s="46">
        <f ca="1">IF(AND(Table1[[#This Row],[SubscriptionStart]] &lt;= TODAY(), Table1[[#This Row],[EffectiveEndDate]] &gt;= TODAY()),1,0)</f>
        <v>1</v>
      </c>
      <c r="AA399" s="46">
        <f ca="1">IF(AND(Table1[[#This Row],[SubscriptionStart]]&lt;=Settings!$A$2,Table1[[#This Row],[EffectiveEndDate]]&gt;=Settings!$A$2),1,0)</f>
        <v>0</v>
      </c>
      <c r="AB399" s="46">
        <f ca="1">IF(AND(Table1[[#This Row],[SubscriptionStart]]&lt;=Settings!$B$2,Table1[[#This Row],[EffectiveEndDate]]&gt;=Settings!$B$2),1,0)</f>
        <v>0</v>
      </c>
      <c r="AC399" s="46">
        <f ca="1">IF(AND(Table1[[#This Row],[SubscriptionStart]]&lt;=Settings!$C$2,Table1[[#This Row],[EffectiveEndDate]]&gt;=Settings!$C$2),1,0)</f>
        <v>0</v>
      </c>
      <c r="AD399" s="46">
        <f ca="1">IF(AND(Table1[[#This Row],[SubscriptionStart]]&lt;=Settings!$D$2,Table1[[#This Row],[EffectiveEndDate]]&gt;=Settings!$D$2),1,0)</f>
        <v>1</v>
      </c>
      <c r="AE399" s="46">
        <f ca="1">IF(AND(Table1[[#This Row],[SubscriptionStart]]&lt;=Settings!$E$2,Table1[[#This Row],[EffectiveEndDate]]&gt;=Settings!$E$2),1,0)</f>
        <v>1</v>
      </c>
      <c r="AF399"/>
      <c r="AG399"/>
      <c r="AH399"/>
      <c r="AI399"/>
      <c r="AJ399"/>
      <c r="AK399"/>
    </row>
    <row r="400" spans="1:37">
      <c r="A400" s="3" t="s">
        <v>773</v>
      </c>
      <c r="B400" s="3">
        <v>61</v>
      </c>
      <c r="C400" s="3" t="s">
        <v>37</v>
      </c>
      <c r="D400" s="5">
        <v>44941</v>
      </c>
      <c r="E400" s="5">
        <v>45301</v>
      </c>
      <c r="F400" s="3">
        <f ca="1">TODAY() - Table1[[#This Row],[SubscriptionStart]]</f>
        <v>1040</v>
      </c>
      <c r="G400" s="4">
        <v>12</v>
      </c>
      <c r="H400" s="3" t="s">
        <v>24</v>
      </c>
      <c r="I400" s="3" t="s">
        <v>25</v>
      </c>
      <c r="J400" s="7" cm="1">
        <f t="array" ref="J400">_xlfn.IFS(Table1[[#This Row],[Tier]]="Basic",10,Table1[[#This Row],[Tier]]="Standard",18,Table1[[#This Row],[Tier]]="Premium",25)</f>
        <v>25</v>
      </c>
      <c r="K400" s="7" cm="1">
        <f t="array" ref="K40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400" s="7" cm="1">
        <f t="array" ref="L40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400" s="3" t="str" cm="1">
        <f t="array" ref="M400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00" s="3" t="s">
        <v>52</v>
      </c>
      <c r="O400" s="3" t="s">
        <v>32</v>
      </c>
      <c r="P400" s="3" t="s">
        <v>44</v>
      </c>
      <c r="Q400" s="3" t="str" cm="1">
        <f t="array" ref="Q400">_xlfn.IFS(Table1[[#This Row],[TotalRevenue]]&lt;100,"Low",Table1[[#This Row],[TotalRevenue]]&lt;300,"Medium",Table1[[#This Row],[TotalRevenue]]&lt;600,"High",TRUE,"Very High")</f>
        <v>Medium</v>
      </c>
      <c r="R400" s="3" t="str" cm="1">
        <f t="array" ref="R400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400" s="3" t="str">
        <f>IF(Table1[[#This Row],[NextBillingDate]]="","Cancelled",IF(Table1[[#This Row],[CancellationDate]]&lt;&gt;"","Cancelled","Active"))</f>
        <v>Cancelled</v>
      </c>
      <c r="T400" s="7" cm="1">
        <f t="array" ref="T40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400" s="5">
        <v>45301</v>
      </c>
      <c r="W400" s="5">
        <v>45301</v>
      </c>
      <c r="X400" s="3">
        <v>0</v>
      </c>
      <c r="Y400" s="5">
        <f ca="1">IF(Table1[[#This Row],[ChurnStatus]]="Cancelled",Table1[[#This Row],[CancellationDate]],TODAY())</f>
        <v>45301</v>
      </c>
      <c r="Z400" s="46">
        <f ca="1">IF(AND(Table1[[#This Row],[SubscriptionStart]] &lt;= TODAY(), Table1[[#This Row],[EffectiveEndDate]] &gt;= TODAY()),1,0)</f>
        <v>0</v>
      </c>
      <c r="AA400" s="46">
        <f ca="1">IF(AND(Table1[[#This Row],[SubscriptionStart]]&lt;=Settings!$A$2,Table1[[#This Row],[EffectiveEndDate]]&gt;=Settings!$A$2),1,0)</f>
        <v>0</v>
      </c>
      <c r="AB400" s="46">
        <f ca="1">IF(AND(Table1[[#This Row],[SubscriptionStart]]&lt;=Settings!$B$2,Table1[[#This Row],[EffectiveEndDate]]&gt;=Settings!$B$2),1,0)</f>
        <v>0</v>
      </c>
      <c r="AC400" s="46">
        <f ca="1">IF(AND(Table1[[#This Row],[SubscriptionStart]]&lt;=Settings!$C$2,Table1[[#This Row],[EffectiveEndDate]]&gt;=Settings!$C$2),1,0)</f>
        <v>0</v>
      </c>
      <c r="AD400" s="46">
        <f ca="1">IF(AND(Table1[[#This Row],[SubscriptionStart]]&lt;=Settings!$D$2,Table1[[#This Row],[EffectiveEndDate]]&gt;=Settings!$D$2),1,0)</f>
        <v>1</v>
      </c>
      <c r="AE400" s="46">
        <f ca="1">IF(AND(Table1[[#This Row],[SubscriptionStart]]&lt;=Settings!$E$2,Table1[[#This Row],[EffectiveEndDate]]&gt;=Settings!$E$2),1,0)</f>
        <v>0</v>
      </c>
      <c r="AF400"/>
      <c r="AG400"/>
      <c r="AH400"/>
      <c r="AI400"/>
      <c r="AJ400"/>
      <c r="AK400"/>
    </row>
    <row r="401" spans="1:37">
      <c r="A401" s="3" t="s">
        <v>211</v>
      </c>
      <c r="B401" s="3">
        <v>69</v>
      </c>
      <c r="C401" s="3" t="s">
        <v>37</v>
      </c>
      <c r="D401" s="5">
        <v>44943</v>
      </c>
      <c r="E401" s="5">
        <v>45303</v>
      </c>
      <c r="F401" s="3">
        <f ca="1">TODAY() - Table1[[#This Row],[SubscriptionStart]]</f>
        <v>1038</v>
      </c>
      <c r="G401" s="4">
        <v>12</v>
      </c>
      <c r="H401" s="3" t="s">
        <v>24</v>
      </c>
      <c r="I401" s="3" t="s">
        <v>39</v>
      </c>
      <c r="J401" s="7" cm="1">
        <f t="array" ref="J401">_xlfn.IFS(Table1[[#This Row],[Tier]]="Basic",10,Table1[[#This Row],[Tier]]="Standard",18,Table1[[#This Row],[Tier]]="Premium",25)</f>
        <v>18</v>
      </c>
      <c r="K401" s="7" cm="1">
        <f t="array" ref="K40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401" s="7" cm="1">
        <f t="array" ref="L40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401" s="3" t="str" cm="1">
        <f t="array" ref="M401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01" s="3" t="s">
        <v>31</v>
      </c>
      <c r="O401" s="3" t="s">
        <v>27</v>
      </c>
      <c r="P401" s="3" t="s">
        <v>50</v>
      </c>
      <c r="Q401" s="3" t="str" cm="1">
        <f t="array" ref="Q401">_xlfn.IFS(Table1[[#This Row],[TotalRevenue]]&lt;100,"Low",Table1[[#This Row],[TotalRevenue]]&lt;300,"Medium",Table1[[#This Row],[TotalRevenue]]&lt;600,"High",TRUE,"Very High")</f>
        <v>Medium</v>
      </c>
      <c r="R401" s="3" t="str" cm="1">
        <f t="array" ref="R401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401" s="3" t="str">
        <f>IF(Table1[[#This Row],[NextBillingDate]]="","Cancelled",IF(Table1[[#This Row],[CancellationDate]]&lt;&gt;"","Cancelled","Active"))</f>
        <v>Cancelled</v>
      </c>
      <c r="T401" s="7" cm="1">
        <f t="array" ref="T40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401" s="5">
        <v>45303</v>
      </c>
      <c r="W401" s="5">
        <v>45303</v>
      </c>
      <c r="X401" s="3">
        <v>0</v>
      </c>
      <c r="Y401" s="5">
        <f ca="1">IF(Table1[[#This Row],[ChurnStatus]]="Cancelled",Table1[[#This Row],[CancellationDate]],TODAY())</f>
        <v>45303</v>
      </c>
      <c r="Z401" s="46">
        <f ca="1">IF(AND(Table1[[#This Row],[SubscriptionStart]] &lt;= TODAY(), Table1[[#This Row],[EffectiveEndDate]] &gt;= TODAY()),1,0)</f>
        <v>0</v>
      </c>
      <c r="AA401" s="46">
        <f ca="1">IF(AND(Table1[[#This Row],[SubscriptionStart]]&lt;=Settings!$A$2,Table1[[#This Row],[EffectiveEndDate]]&gt;=Settings!$A$2),1,0)</f>
        <v>0</v>
      </c>
      <c r="AB401" s="46">
        <f ca="1">IF(AND(Table1[[#This Row],[SubscriptionStart]]&lt;=Settings!$B$2,Table1[[#This Row],[EffectiveEndDate]]&gt;=Settings!$B$2),1,0)</f>
        <v>0</v>
      </c>
      <c r="AC401" s="46">
        <f ca="1">IF(AND(Table1[[#This Row],[SubscriptionStart]]&lt;=Settings!$C$2,Table1[[#This Row],[EffectiveEndDate]]&gt;=Settings!$C$2),1,0)</f>
        <v>0</v>
      </c>
      <c r="AD401" s="46">
        <f ca="1">IF(AND(Table1[[#This Row],[SubscriptionStart]]&lt;=Settings!$D$2,Table1[[#This Row],[EffectiveEndDate]]&gt;=Settings!$D$2),1,0)</f>
        <v>1</v>
      </c>
      <c r="AE401" s="46">
        <f ca="1">IF(AND(Table1[[#This Row],[SubscriptionStart]]&lt;=Settings!$E$2,Table1[[#This Row],[EffectiveEndDate]]&gt;=Settings!$E$2),1,0)</f>
        <v>0</v>
      </c>
      <c r="AF401"/>
      <c r="AG401"/>
      <c r="AH401"/>
      <c r="AI401"/>
      <c r="AJ401"/>
      <c r="AK401"/>
    </row>
    <row r="402" spans="1:37">
      <c r="A402" s="3" t="s">
        <v>544</v>
      </c>
      <c r="B402" s="3">
        <v>25</v>
      </c>
      <c r="C402" s="3" t="s">
        <v>37</v>
      </c>
      <c r="D402" s="5">
        <v>44943</v>
      </c>
      <c r="E402" s="5">
        <v>45303</v>
      </c>
      <c r="F402" s="3">
        <f ca="1">TODAY() - Table1[[#This Row],[SubscriptionStart]]</f>
        <v>1038</v>
      </c>
      <c r="G402" s="4">
        <v>12</v>
      </c>
      <c r="H402" s="3" t="s">
        <v>24</v>
      </c>
      <c r="I402" s="3" t="s">
        <v>39</v>
      </c>
      <c r="J402" s="7" cm="1">
        <f t="array" ref="J402">_xlfn.IFS(Table1[[#This Row],[Tier]]="Basic",10,Table1[[#This Row],[Tier]]="Standard",18,Table1[[#This Row],[Tier]]="Premium",25)</f>
        <v>18</v>
      </c>
      <c r="K402" s="7" cm="1">
        <f t="array" ref="K40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402" s="7" cm="1">
        <f t="array" ref="L40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402" s="3" t="str" cm="1">
        <f t="array" ref="M402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402" s="3" t="s">
        <v>52</v>
      </c>
      <c r="O402" s="3" t="s">
        <v>40</v>
      </c>
      <c r="P402" s="3" t="s">
        <v>41</v>
      </c>
      <c r="Q402" s="3" t="str" cm="1">
        <f t="array" ref="Q402">_xlfn.IFS(Table1[[#This Row],[TotalRevenue]]&lt;100,"Low",Table1[[#This Row],[TotalRevenue]]&lt;300,"Medium",Table1[[#This Row],[TotalRevenue]]&lt;600,"High",TRUE,"Very High")</f>
        <v>Medium</v>
      </c>
      <c r="R402" s="3" t="str" cm="1">
        <f t="array" ref="R402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402" s="3" t="str">
        <f>IF(Table1[[#This Row],[NextBillingDate]]="","Cancelled",IF(Table1[[#This Row],[CancellationDate]]&lt;&gt;"","Cancelled","Active"))</f>
        <v>Cancelled</v>
      </c>
      <c r="T402" s="7" cm="1">
        <f t="array" ref="T40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402" s="5">
        <v>45303</v>
      </c>
      <c r="W402" s="5">
        <v>45303</v>
      </c>
      <c r="X402" s="3">
        <v>0</v>
      </c>
      <c r="Y402" s="5">
        <f ca="1">IF(Table1[[#This Row],[ChurnStatus]]="Cancelled",Table1[[#This Row],[CancellationDate]],TODAY())</f>
        <v>45303</v>
      </c>
      <c r="Z402" s="46">
        <f ca="1">IF(AND(Table1[[#This Row],[SubscriptionStart]] &lt;= TODAY(), Table1[[#This Row],[EffectiveEndDate]] &gt;= TODAY()),1,0)</f>
        <v>0</v>
      </c>
      <c r="AA402" s="46">
        <f ca="1">IF(AND(Table1[[#This Row],[SubscriptionStart]]&lt;=Settings!$A$2,Table1[[#This Row],[EffectiveEndDate]]&gt;=Settings!$A$2),1,0)</f>
        <v>0</v>
      </c>
      <c r="AB402" s="46">
        <f ca="1">IF(AND(Table1[[#This Row],[SubscriptionStart]]&lt;=Settings!$B$2,Table1[[#This Row],[EffectiveEndDate]]&gt;=Settings!$B$2),1,0)</f>
        <v>0</v>
      </c>
      <c r="AC402" s="46">
        <f ca="1">IF(AND(Table1[[#This Row],[SubscriptionStart]]&lt;=Settings!$C$2,Table1[[#This Row],[EffectiveEndDate]]&gt;=Settings!$C$2),1,0)</f>
        <v>0</v>
      </c>
      <c r="AD402" s="46">
        <f ca="1">IF(AND(Table1[[#This Row],[SubscriptionStart]]&lt;=Settings!$D$2,Table1[[#This Row],[EffectiveEndDate]]&gt;=Settings!$D$2),1,0)</f>
        <v>1</v>
      </c>
      <c r="AE402" s="46">
        <f ca="1">IF(AND(Table1[[#This Row],[SubscriptionStart]]&lt;=Settings!$E$2,Table1[[#This Row],[EffectiveEndDate]]&gt;=Settings!$E$2),1,0)</f>
        <v>0</v>
      </c>
      <c r="AF402"/>
      <c r="AG402"/>
      <c r="AH402"/>
      <c r="AI402"/>
      <c r="AJ402"/>
      <c r="AK402"/>
    </row>
    <row r="403" spans="1:37">
      <c r="A403" s="3" t="s">
        <v>664</v>
      </c>
      <c r="B403" s="3">
        <v>74</v>
      </c>
      <c r="C403" s="3" t="s">
        <v>23</v>
      </c>
      <c r="D403" s="5">
        <v>44944</v>
      </c>
      <c r="E403" s="5">
        <v>44974</v>
      </c>
      <c r="F403" s="3">
        <f ca="1">TODAY() - Table1[[#This Row],[SubscriptionStart]]</f>
        <v>1037</v>
      </c>
      <c r="G403" s="4">
        <v>1</v>
      </c>
      <c r="H403" s="3" t="s">
        <v>29</v>
      </c>
      <c r="I403" s="3" t="s">
        <v>25</v>
      </c>
      <c r="J403" s="7" cm="1">
        <f t="array" ref="J403">_xlfn.IFS(Table1[[#This Row],[Tier]]="Basic",10,Table1[[#This Row],[Tier]]="Standard",18,Table1[[#This Row],[Tier]]="Premium",25)</f>
        <v>25</v>
      </c>
      <c r="K403" s="7" cm="1">
        <f t="array" ref="K40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403" s="7" cm="1">
        <f t="array" ref="L40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03" s="3" t="str" cm="1">
        <f t="array" ref="M403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403" s="3" t="s">
        <v>34</v>
      </c>
      <c r="O403" s="3" t="s">
        <v>40</v>
      </c>
      <c r="P403" s="3" t="s">
        <v>35</v>
      </c>
      <c r="Q403" s="3" t="str" cm="1">
        <f t="array" ref="Q403">_xlfn.IFS(Table1[[#This Row],[TotalRevenue]]&lt;100,"Low",Table1[[#This Row],[TotalRevenue]]&lt;300,"Medium",Table1[[#This Row],[TotalRevenue]]&lt;600,"High",TRUE,"Very High")</f>
        <v>Low</v>
      </c>
      <c r="R403" s="3" t="str" cm="1">
        <f t="array" ref="R403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403" s="3" t="str">
        <f>IF(Table1[[#This Row],[NextBillingDate]]="","Cancelled",IF(Table1[[#This Row],[CancellationDate]]&lt;&gt;"","Cancelled","Active"))</f>
        <v>Cancelled</v>
      </c>
      <c r="T403" s="7" cm="1">
        <f t="array" ref="T40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03" s="5">
        <v>44974</v>
      </c>
      <c r="W403" s="5">
        <v>44974</v>
      </c>
      <c r="X403" s="3">
        <v>0</v>
      </c>
      <c r="Y403" s="5">
        <f ca="1">IF(Table1[[#This Row],[ChurnStatus]]="Cancelled",Table1[[#This Row],[CancellationDate]],TODAY())</f>
        <v>44974</v>
      </c>
      <c r="Z403" s="46">
        <f ca="1">IF(AND(Table1[[#This Row],[SubscriptionStart]] &lt;= TODAY(), Table1[[#This Row],[EffectiveEndDate]] &gt;= TODAY()),1,0)</f>
        <v>0</v>
      </c>
      <c r="AA403" s="46">
        <f ca="1">IF(AND(Table1[[#This Row],[SubscriptionStart]]&lt;=Settings!$A$2,Table1[[#This Row],[EffectiveEndDate]]&gt;=Settings!$A$2),1,0)</f>
        <v>0</v>
      </c>
      <c r="AB403" s="46">
        <f ca="1">IF(AND(Table1[[#This Row],[SubscriptionStart]]&lt;=Settings!$B$2,Table1[[#This Row],[EffectiveEndDate]]&gt;=Settings!$B$2),1,0)</f>
        <v>0</v>
      </c>
      <c r="AC403" s="46">
        <f ca="1">IF(AND(Table1[[#This Row],[SubscriptionStart]]&lt;=Settings!$C$2,Table1[[#This Row],[EffectiveEndDate]]&gt;=Settings!$C$2),1,0)</f>
        <v>0</v>
      </c>
      <c r="AD403" s="46">
        <f ca="1">IF(AND(Table1[[#This Row],[SubscriptionStart]]&lt;=Settings!$D$2,Table1[[#This Row],[EffectiveEndDate]]&gt;=Settings!$D$2),1,0)</f>
        <v>0</v>
      </c>
      <c r="AE403" s="46">
        <f ca="1">IF(AND(Table1[[#This Row],[SubscriptionStart]]&lt;=Settings!$E$2,Table1[[#This Row],[EffectiveEndDate]]&gt;=Settings!$E$2),1,0)</f>
        <v>0</v>
      </c>
      <c r="AF403"/>
      <c r="AG403"/>
      <c r="AH403"/>
      <c r="AI403"/>
      <c r="AJ403"/>
      <c r="AK403"/>
    </row>
    <row r="404" spans="1:37">
      <c r="A404" s="3" t="s">
        <v>816</v>
      </c>
      <c r="B404" s="3">
        <v>74</v>
      </c>
      <c r="C404" s="3" t="s">
        <v>37</v>
      </c>
      <c r="D404" s="5">
        <v>44944</v>
      </c>
      <c r="E404" s="5">
        <v>45304</v>
      </c>
      <c r="F404" s="3">
        <f ca="1">TODAY() - Table1[[#This Row],[SubscriptionStart]]</f>
        <v>1037</v>
      </c>
      <c r="G404" s="4">
        <v>12</v>
      </c>
      <c r="H404" s="3" t="s">
        <v>24</v>
      </c>
      <c r="I404" s="3" t="s">
        <v>30</v>
      </c>
      <c r="J404" s="7" cm="1">
        <f t="array" ref="J404">_xlfn.IFS(Table1[[#This Row],[Tier]]="Basic",10,Table1[[#This Row],[Tier]]="Standard",18,Table1[[#This Row],[Tier]]="Premium",25)</f>
        <v>10</v>
      </c>
      <c r="K404" s="7" cm="1">
        <f t="array" ref="K40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404" s="7" cm="1">
        <f t="array" ref="L40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404" s="3" t="str" cm="1">
        <f t="array" ref="M404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404" s="3" t="s">
        <v>26</v>
      </c>
      <c r="O404" s="3" t="s">
        <v>27</v>
      </c>
      <c r="P404" s="3" t="s">
        <v>47</v>
      </c>
      <c r="Q404" s="3" t="str" cm="1">
        <f t="array" ref="Q404">_xlfn.IFS(Table1[[#This Row],[TotalRevenue]]&lt;100,"Low",Table1[[#This Row],[TotalRevenue]]&lt;300,"Medium",Table1[[#This Row],[TotalRevenue]]&lt;600,"High",TRUE,"Very High")</f>
        <v>Low</v>
      </c>
      <c r="R404" s="3" t="str" cm="1">
        <f t="array" ref="R404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404" s="3" t="str">
        <f>IF(Table1[[#This Row],[NextBillingDate]]="","Cancelled",IF(Table1[[#This Row],[CancellationDate]]&lt;&gt;"","Cancelled","Active"))</f>
        <v>Cancelled</v>
      </c>
      <c r="T404" s="7" cm="1">
        <f t="array" ref="T40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404" s="5">
        <v>45304</v>
      </c>
      <c r="W404" s="5">
        <v>45304</v>
      </c>
      <c r="X404" s="3">
        <v>0</v>
      </c>
      <c r="Y404" s="5">
        <f ca="1">IF(Table1[[#This Row],[ChurnStatus]]="Cancelled",Table1[[#This Row],[CancellationDate]],TODAY())</f>
        <v>45304</v>
      </c>
      <c r="Z404" s="46">
        <f ca="1">IF(AND(Table1[[#This Row],[SubscriptionStart]] &lt;= TODAY(), Table1[[#This Row],[EffectiveEndDate]] &gt;= TODAY()),1,0)</f>
        <v>0</v>
      </c>
      <c r="AA404" s="46">
        <f ca="1">IF(AND(Table1[[#This Row],[SubscriptionStart]]&lt;=Settings!$A$2,Table1[[#This Row],[EffectiveEndDate]]&gt;=Settings!$A$2),1,0)</f>
        <v>0</v>
      </c>
      <c r="AB404" s="46">
        <f ca="1">IF(AND(Table1[[#This Row],[SubscriptionStart]]&lt;=Settings!$B$2,Table1[[#This Row],[EffectiveEndDate]]&gt;=Settings!$B$2),1,0)</f>
        <v>0</v>
      </c>
      <c r="AC404" s="46">
        <f ca="1">IF(AND(Table1[[#This Row],[SubscriptionStart]]&lt;=Settings!$C$2,Table1[[#This Row],[EffectiveEndDate]]&gt;=Settings!$C$2),1,0)</f>
        <v>0</v>
      </c>
      <c r="AD404" s="46">
        <f ca="1">IF(AND(Table1[[#This Row],[SubscriptionStart]]&lt;=Settings!$D$2,Table1[[#This Row],[EffectiveEndDate]]&gt;=Settings!$D$2),1,0)</f>
        <v>1</v>
      </c>
      <c r="AE404" s="46">
        <f ca="1">IF(AND(Table1[[#This Row],[SubscriptionStart]]&lt;=Settings!$E$2,Table1[[#This Row],[EffectiveEndDate]]&gt;=Settings!$E$2),1,0)</f>
        <v>0</v>
      </c>
      <c r="AF404"/>
      <c r="AG404"/>
      <c r="AH404"/>
      <c r="AI404"/>
      <c r="AJ404"/>
      <c r="AK404"/>
    </row>
    <row r="405" spans="1:37">
      <c r="A405" s="3" t="s">
        <v>824</v>
      </c>
      <c r="B405" s="3">
        <v>41</v>
      </c>
      <c r="C405" s="3" t="s">
        <v>37</v>
      </c>
      <c r="D405" s="5">
        <v>44945</v>
      </c>
      <c r="E405" s="5">
        <v>45125</v>
      </c>
      <c r="F405" s="3">
        <f ca="1">TODAY() - Table1[[#This Row],[SubscriptionStart]]</f>
        <v>1036</v>
      </c>
      <c r="G405" s="4">
        <v>6</v>
      </c>
      <c r="H405" s="3" t="s">
        <v>38</v>
      </c>
      <c r="I405" s="3" t="s">
        <v>30</v>
      </c>
      <c r="J405" s="7" cm="1">
        <f t="array" ref="J405">_xlfn.IFS(Table1[[#This Row],[Tier]]="Basic",10,Table1[[#This Row],[Tier]]="Standard",18,Table1[[#This Row],[Tier]]="Premium",25)</f>
        <v>10</v>
      </c>
      <c r="K405" s="7" cm="1">
        <f t="array" ref="K40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405" s="7" cm="1">
        <f t="array" ref="L40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405" s="3" t="str" cm="1">
        <f t="array" ref="M40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05" s="3" t="s">
        <v>31</v>
      </c>
      <c r="O405" s="3" t="s">
        <v>40</v>
      </c>
      <c r="P405" s="3" t="s">
        <v>44</v>
      </c>
      <c r="Q405" s="3" t="str" cm="1">
        <f t="array" ref="Q405">_xlfn.IFS(Table1[[#This Row],[TotalRevenue]]&lt;100,"Low",Table1[[#This Row],[TotalRevenue]]&lt;300,"Medium",Table1[[#This Row],[TotalRevenue]]&lt;600,"High",TRUE,"Very High")</f>
        <v>Low</v>
      </c>
      <c r="R405" s="3" t="str" cm="1">
        <f t="array" ref="R40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05" s="3" t="str">
        <f>IF(Table1[[#This Row],[NextBillingDate]]="","Cancelled",IF(Table1[[#This Row],[CancellationDate]]&lt;&gt;"","Cancelled","Active"))</f>
        <v>Cancelled</v>
      </c>
      <c r="T405" s="7" cm="1">
        <f t="array" ref="T40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405" s="5">
        <v>45125</v>
      </c>
      <c r="W405" s="5">
        <v>45125</v>
      </c>
      <c r="X405" s="3">
        <v>0</v>
      </c>
      <c r="Y405" s="5">
        <f ca="1">IF(Table1[[#This Row],[ChurnStatus]]="Cancelled",Table1[[#This Row],[CancellationDate]],TODAY())</f>
        <v>45125</v>
      </c>
      <c r="Z405" s="46">
        <f ca="1">IF(AND(Table1[[#This Row],[SubscriptionStart]] &lt;= TODAY(), Table1[[#This Row],[EffectiveEndDate]] &gt;= TODAY()),1,0)</f>
        <v>0</v>
      </c>
      <c r="AA405" s="46">
        <f ca="1">IF(AND(Table1[[#This Row],[SubscriptionStart]]&lt;=Settings!$A$2,Table1[[#This Row],[EffectiveEndDate]]&gt;=Settings!$A$2),1,0)</f>
        <v>0</v>
      </c>
      <c r="AB405" s="46">
        <f ca="1">IF(AND(Table1[[#This Row],[SubscriptionStart]]&lt;=Settings!$B$2,Table1[[#This Row],[EffectiveEndDate]]&gt;=Settings!$B$2),1,0)</f>
        <v>0</v>
      </c>
      <c r="AC405" s="46">
        <f ca="1">IF(AND(Table1[[#This Row],[SubscriptionStart]]&lt;=Settings!$C$2,Table1[[#This Row],[EffectiveEndDate]]&gt;=Settings!$C$2),1,0)</f>
        <v>0</v>
      </c>
      <c r="AD405" s="46">
        <f ca="1">IF(AND(Table1[[#This Row],[SubscriptionStart]]&lt;=Settings!$D$2,Table1[[#This Row],[EffectiveEndDate]]&gt;=Settings!$D$2),1,0)</f>
        <v>1</v>
      </c>
      <c r="AE405" s="46">
        <f ca="1">IF(AND(Table1[[#This Row],[SubscriptionStart]]&lt;=Settings!$E$2,Table1[[#This Row],[EffectiveEndDate]]&gt;=Settings!$E$2),1,0)</f>
        <v>0</v>
      </c>
      <c r="AF405"/>
      <c r="AG405"/>
      <c r="AH405"/>
      <c r="AI405"/>
      <c r="AJ405"/>
      <c r="AK405"/>
    </row>
    <row r="406" spans="1:37">
      <c r="A406" s="3" t="s">
        <v>730</v>
      </c>
      <c r="B406" s="3">
        <v>73</v>
      </c>
      <c r="C406" s="3" t="s">
        <v>37</v>
      </c>
      <c r="D406" s="5">
        <v>44946</v>
      </c>
      <c r="E406" s="5">
        <v>44976</v>
      </c>
      <c r="F406" s="3">
        <f ca="1">TODAY() - Table1[[#This Row],[SubscriptionStart]]</f>
        <v>1035</v>
      </c>
      <c r="G406" s="4">
        <v>1</v>
      </c>
      <c r="H406" s="3" t="s">
        <v>29</v>
      </c>
      <c r="I406" s="3" t="s">
        <v>30</v>
      </c>
      <c r="J406" s="7" cm="1">
        <f t="array" ref="J406">_xlfn.IFS(Table1[[#This Row],[Tier]]="Basic",10,Table1[[#This Row],[Tier]]="Standard",18,Table1[[#This Row],[Tier]]="Premium",25)</f>
        <v>10</v>
      </c>
      <c r="K406" s="7" cm="1">
        <f t="array" ref="K40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406" s="7" cm="1">
        <f t="array" ref="L40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06" s="3" t="str" cm="1">
        <f t="array" ref="M406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406" s="3" t="s">
        <v>26</v>
      </c>
      <c r="O406" s="3" t="s">
        <v>40</v>
      </c>
      <c r="P406" s="3" t="s">
        <v>44</v>
      </c>
      <c r="Q406" s="3" t="str" cm="1">
        <f t="array" ref="Q406">_xlfn.IFS(Table1[[#This Row],[TotalRevenue]]&lt;100,"Low",Table1[[#This Row],[TotalRevenue]]&lt;300,"Medium",Table1[[#This Row],[TotalRevenue]]&lt;600,"High",TRUE,"Very High")</f>
        <v>Low</v>
      </c>
      <c r="R406" s="3" t="str" cm="1">
        <f t="array" ref="R406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406" s="3" t="str">
        <f>IF(Table1[[#This Row],[NextBillingDate]]="","Cancelled",IF(Table1[[#This Row],[CancellationDate]]&lt;&gt;"","Cancelled","Active"))</f>
        <v>Cancelled</v>
      </c>
      <c r="T406" s="7" cm="1">
        <f t="array" ref="T40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06" s="5">
        <v>44976</v>
      </c>
      <c r="W406" s="5">
        <v>44976</v>
      </c>
      <c r="X406" s="3">
        <v>0</v>
      </c>
      <c r="Y406" s="5">
        <f ca="1">IF(Table1[[#This Row],[ChurnStatus]]="Cancelled",Table1[[#This Row],[CancellationDate]],TODAY())</f>
        <v>44976</v>
      </c>
      <c r="Z406" s="46">
        <f ca="1">IF(AND(Table1[[#This Row],[SubscriptionStart]] &lt;= TODAY(), Table1[[#This Row],[EffectiveEndDate]] &gt;= TODAY()),1,0)</f>
        <v>0</v>
      </c>
      <c r="AA406" s="46">
        <f ca="1">IF(AND(Table1[[#This Row],[SubscriptionStart]]&lt;=Settings!$A$2,Table1[[#This Row],[EffectiveEndDate]]&gt;=Settings!$A$2),1,0)</f>
        <v>0</v>
      </c>
      <c r="AB406" s="46">
        <f ca="1">IF(AND(Table1[[#This Row],[SubscriptionStart]]&lt;=Settings!$B$2,Table1[[#This Row],[EffectiveEndDate]]&gt;=Settings!$B$2),1,0)</f>
        <v>0</v>
      </c>
      <c r="AC406" s="46">
        <f ca="1">IF(AND(Table1[[#This Row],[SubscriptionStart]]&lt;=Settings!$C$2,Table1[[#This Row],[EffectiveEndDate]]&gt;=Settings!$C$2),1,0)</f>
        <v>0</v>
      </c>
      <c r="AD406" s="46">
        <f ca="1">IF(AND(Table1[[#This Row],[SubscriptionStart]]&lt;=Settings!$D$2,Table1[[#This Row],[EffectiveEndDate]]&gt;=Settings!$D$2),1,0)</f>
        <v>0</v>
      </c>
      <c r="AE406" s="46">
        <f ca="1">IF(AND(Table1[[#This Row],[SubscriptionStart]]&lt;=Settings!$E$2,Table1[[#This Row],[EffectiveEndDate]]&gt;=Settings!$E$2),1,0)</f>
        <v>0</v>
      </c>
      <c r="AF406"/>
      <c r="AG406"/>
      <c r="AH406"/>
      <c r="AI406"/>
      <c r="AJ406"/>
      <c r="AK406"/>
    </row>
    <row r="407" spans="1:37">
      <c r="A407" s="3" t="s">
        <v>412</v>
      </c>
      <c r="B407" s="3">
        <v>71</v>
      </c>
      <c r="C407" s="3" t="s">
        <v>23</v>
      </c>
      <c r="D407" s="5">
        <v>44947</v>
      </c>
      <c r="F407" s="3">
        <f ca="1">TODAY() - Table1[[#This Row],[SubscriptionStart]]</f>
        <v>1034</v>
      </c>
      <c r="G407" s="4">
        <v>36</v>
      </c>
      <c r="H407" s="3" t="s">
        <v>24</v>
      </c>
      <c r="I407" s="3" t="s">
        <v>39</v>
      </c>
      <c r="J407" s="7" cm="1">
        <f t="array" ref="J407">_xlfn.IFS(Table1[[#This Row],[Tier]]="Basic",10,Table1[[#This Row],[Tier]]="Standard",18,Table1[[#This Row],[Tier]]="Premium",25)</f>
        <v>18</v>
      </c>
      <c r="K407" s="7" cm="1">
        <f t="array" ref="K40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407" s="7" cm="1">
        <f t="array" ref="L40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417.6</v>
      </c>
      <c r="M407" s="3" t="str" cm="1">
        <f t="array" ref="M407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407" s="3" t="s">
        <v>26</v>
      </c>
      <c r="O407" s="3" t="s">
        <v>43</v>
      </c>
      <c r="Q407" s="3" t="str" cm="1">
        <f t="array" ref="Q407">_xlfn.IFS(Table1[[#This Row],[TotalRevenue]]&lt;100,"Low",Table1[[#This Row],[TotalRevenue]]&lt;300,"Medium",Table1[[#This Row],[TotalRevenue]]&lt;600,"High",TRUE,"Very High")</f>
        <v>High</v>
      </c>
      <c r="R407" s="3" t="str" cm="1">
        <f t="array" ref="R407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407" s="3" t="str">
        <f>IF(Table1[[#This Row],[NextBillingDate]]="","Cancelled",IF(Table1[[#This Row],[CancellationDate]]&lt;&gt;"","Cancelled","Active"))</f>
        <v>Active</v>
      </c>
      <c r="T407" s="7" cm="1">
        <f t="array" ref="T40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561.6</v>
      </c>
      <c r="V407" s="5">
        <v>46027</v>
      </c>
      <c r="W407" s="5">
        <v>46027</v>
      </c>
      <c r="X407" s="3">
        <v>2</v>
      </c>
      <c r="Y407" s="5">
        <f ca="1">IF(Table1[[#This Row],[ChurnStatus]]="Cancelled",Table1[[#This Row],[CancellationDate]],TODAY())</f>
        <v>45981</v>
      </c>
      <c r="Z407" s="46">
        <f ca="1">IF(AND(Table1[[#This Row],[SubscriptionStart]] &lt;= TODAY(), Table1[[#This Row],[EffectiveEndDate]] &gt;= TODAY()),1,0)</f>
        <v>1</v>
      </c>
      <c r="AA407" s="46">
        <f ca="1">IF(AND(Table1[[#This Row],[SubscriptionStart]]&lt;=Settings!$A$2,Table1[[#This Row],[EffectiveEndDate]]&gt;=Settings!$A$2),1,0)</f>
        <v>0</v>
      </c>
      <c r="AB407" s="46">
        <f ca="1">IF(AND(Table1[[#This Row],[SubscriptionStart]]&lt;=Settings!$B$2,Table1[[#This Row],[EffectiveEndDate]]&gt;=Settings!$B$2),1,0)</f>
        <v>0</v>
      </c>
      <c r="AC407" s="46">
        <f ca="1">IF(AND(Table1[[#This Row],[SubscriptionStart]]&lt;=Settings!$C$2,Table1[[#This Row],[EffectiveEndDate]]&gt;=Settings!$C$2),1,0)</f>
        <v>0</v>
      </c>
      <c r="AD407" s="46">
        <f ca="1">IF(AND(Table1[[#This Row],[SubscriptionStart]]&lt;=Settings!$D$2,Table1[[#This Row],[EffectiveEndDate]]&gt;=Settings!$D$2),1,0)</f>
        <v>1</v>
      </c>
      <c r="AE407" s="46">
        <f ca="1">IF(AND(Table1[[#This Row],[SubscriptionStart]]&lt;=Settings!$E$2,Table1[[#This Row],[EffectiveEndDate]]&gt;=Settings!$E$2),1,0)</f>
        <v>1</v>
      </c>
      <c r="AF407"/>
      <c r="AG407"/>
      <c r="AH407"/>
      <c r="AI407"/>
      <c r="AJ407"/>
      <c r="AK407"/>
    </row>
    <row r="408" spans="1:37">
      <c r="A408" s="3" t="s">
        <v>496</v>
      </c>
      <c r="B408" s="3">
        <v>26</v>
      </c>
      <c r="C408" s="3" t="s">
        <v>23</v>
      </c>
      <c r="D408" s="5">
        <v>44948</v>
      </c>
      <c r="E408" s="5">
        <v>44978</v>
      </c>
      <c r="F408" s="3">
        <f ca="1">TODAY() - Table1[[#This Row],[SubscriptionStart]]</f>
        <v>1033</v>
      </c>
      <c r="G408" s="4">
        <v>1</v>
      </c>
      <c r="H408" s="3" t="s">
        <v>29</v>
      </c>
      <c r="I408" s="3" t="s">
        <v>30</v>
      </c>
      <c r="J408" s="7" cm="1">
        <f t="array" ref="J408">_xlfn.IFS(Table1[[#This Row],[Tier]]="Basic",10,Table1[[#This Row],[Tier]]="Standard",18,Table1[[#This Row],[Tier]]="Premium",25)</f>
        <v>10</v>
      </c>
      <c r="K408" s="7" cm="1">
        <f t="array" ref="K40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408" s="7" cm="1">
        <f t="array" ref="L40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08" s="3" t="str" cm="1">
        <f t="array" ref="M40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08" s="3" t="s">
        <v>34</v>
      </c>
      <c r="O408" s="3" t="s">
        <v>40</v>
      </c>
      <c r="P408" s="3" t="s">
        <v>50</v>
      </c>
      <c r="Q408" s="3" t="str" cm="1">
        <f t="array" ref="Q408">_xlfn.IFS(Table1[[#This Row],[TotalRevenue]]&lt;100,"Low",Table1[[#This Row],[TotalRevenue]]&lt;300,"Medium",Table1[[#This Row],[TotalRevenue]]&lt;600,"High",TRUE,"Very High")</f>
        <v>Low</v>
      </c>
      <c r="R408" s="3" t="str" cm="1">
        <f t="array" ref="R40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08" s="3" t="str">
        <f>IF(Table1[[#This Row],[NextBillingDate]]="","Cancelled",IF(Table1[[#This Row],[CancellationDate]]&lt;&gt;"","Cancelled","Active"))</f>
        <v>Cancelled</v>
      </c>
      <c r="T408" s="7" cm="1">
        <f t="array" ref="T40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08" s="5">
        <v>44978</v>
      </c>
      <c r="W408" s="5">
        <v>44978</v>
      </c>
      <c r="X408" s="3">
        <v>0</v>
      </c>
      <c r="Y408" s="5">
        <f ca="1">IF(Table1[[#This Row],[ChurnStatus]]="Cancelled",Table1[[#This Row],[CancellationDate]],TODAY())</f>
        <v>44978</v>
      </c>
      <c r="Z408" s="46">
        <f ca="1">IF(AND(Table1[[#This Row],[SubscriptionStart]] &lt;= TODAY(), Table1[[#This Row],[EffectiveEndDate]] &gt;= TODAY()),1,0)</f>
        <v>0</v>
      </c>
      <c r="AA408" s="46">
        <f ca="1">IF(AND(Table1[[#This Row],[SubscriptionStart]]&lt;=Settings!$A$2,Table1[[#This Row],[EffectiveEndDate]]&gt;=Settings!$A$2),1,0)</f>
        <v>0</v>
      </c>
      <c r="AB408" s="46">
        <f ca="1">IF(AND(Table1[[#This Row],[SubscriptionStart]]&lt;=Settings!$B$2,Table1[[#This Row],[EffectiveEndDate]]&gt;=Settings!$B$2),1,0)</f>
        <v>0</v>
      </c>
      <c r="AC408" s="46">
        <f ca="1">IF(AND(Table1[[#This Row],[SubscriptionStart]]&lt;=Settings!$C$2,Table1[[#This Row],[EffectiveEndDate]]&gt;=Settings!$C$2),1,0)</f>
        <v>0</v>
      </c>
      <c r="AD408" s="46">
        <f ca="1">IF(AND(Table1[[#This Row],[SubscriptionStart]]&lt;=Settings!$D$2,Table1[[#This Row],[EffectiveEndDate]]&gt;=Settings!$D$2),1,0)</f>
        <v>0</v>
      </c>
      <c r="AE408" s="46">
        <f ca="1">IF(AND(Table1[[#This Row],[SubscriptionStart]]&lt;=Settings!$E$2,Table1[[#This Row],[EffectiveEndDate]]&gt;=Settings!$E$2),1,0)</f>
        <v>0</v>
      </c>
      <c r="AF408"/>
      <c r="AG408"/>
      <c r="AH408"/>
      <c r="AI408"/>
      <c r="AJ408"/>
      <c r="AK408"/>
    </row>
    <row r="409" spans="1:37">
      <c r="A409" s="3" t="s">
        <v>123</v>
      </c>
      <c r="B409" s="3">
        <v>72</v>
      </c>
      <c r="C409" s="3" t="s">
        <v>37</v>
      </c>
      <c r="D409" s="5">
        <v>44949</v>
      </c>
      <c r="F409" s="3">
        <f ca="1">TODAY() - Table1[[#This Row],[SubscriptionStart]]</f>
        <v>1032</v>
      </c>
      <c r="G409" s="4">
        <v>36</v>
      </c>
      <c r="H409" s="3" t="s">
        <v>38</v>
      </c>
      <c r="I409" s="3" t="s">
        <v>25</v>
      </c>
      <c r="J409" s="7" cm="1">
        <f t="array" ref="J409">_xlfn.IFS(Table1[[#This Row],[Tier]]="Basic",10,Table1[[#This Row],[Tier]]="Standard",18,Table1[[#This Row],[Tier]]="Premium",25)</f>
        <v>25</v>
      </c>
      <c r="K409" s="7" cm="1">
        <f t="array" ref="K40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18.75</v>
      </c>
      <c r="L409" s="7" cm="1">
        <f t="array" ref="L40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652.5</v>
      </c>
      <c r="M409" s="3" t="str" cm="1">
        <f t="array" ref="M409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409" s="3" t="s">
        <v>34</v>
      </c>
      <c r="O409" s="3" t="s">
        <v>32</v>
      </c>
      <c r="Q409" s="3" t="str" cm="1">
        <f t="array" ref="Q409">_xlfn.IFS(Table1[[#This Row],[TotalRevenue]]&lt;100,"Low",Table1[[#This Row],[TotalRevenue]]&lt;300,"Medium",Table1[[#This Row],[TotalRevenue]]&lt;600,"High",TRUE,"Very High")</f>
        <v>Very High</v>
      </c>
      <c r="R409" s="3" t="str" cm="1">
        <f t="array" ref="R409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409" s="3" t="str">
        <f>IF(Table1[[#This Row],[NextBillingDate]]="","Cancelled",IF(Table1[[#This Row],[CancellationDate]]&lt;&gt;"","Cancelled","Active"))</f>
        <v>Active</v>
      </c>
      <c r="T409" s="7" cm="1">
        <f t="array" ref="T40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765</v>
      </c>
      <c r="V409" s="5">
        <v>46029</v>
      </c>
      <c r="W409" s="5">
        <v>46029</v>
      </c>
      <c r="X409" s="3">
        <v>5</v>
      </c>
      <c r="Y409" s="5">
        <f ca="1">IF(Table1[[#This Row],[ChurnStatus]]="Cancelled",Table1[[#This Row],[CancellationDate]],TODAY())</f>
        <v>45981</v>
      </c>
      <c r="Z409" s="46">
        <f ca="1">IF(AND(Table1[[#This Row],[SubscriptionStart]] &lt;= TODAY(), Table1[[#This Row],[EffectiveEndDate]] &gt;= TODAY()),1,0)</f>
        <v>1</v>
      </c>
      <c r="AA409" s="46">
        <f ca="1">IF(AND(Table1[[#This Row],[SubscriptionStart]]&lt;=Settings!$A$2,Table1[[#This Row],[EffectiveEndDate]]&gt;=Settings!$A$2),1,0)</f>
        <v>0</v>
      </c>
      <c r="AB409" s="46">
        <f ca="1">IF(AND(Table1[[#This Row],[SubscriptionStart]]&lt;=Settings!$B$2,Table1[[#This Row],[EffectiveEndDate]]&gt;=Settings!$B$2),1,0)</f>
        <v>0</v>
      </c>
      <c r="AC409" s="46">
        <f ca="1">IF(AND(Table1[[#This Row],[SubscriptionStart]]&lt;=Settings!$C$2,Table1[[#This Row],[EffectiveEndDate]]&gt;=Settings!$C$2),1,0)</f>
        <v>0</v>
      </c>
      <c r="AD409" s="46">
        <f ca="1">IF(AND(Table1[[#This Row],[SubscriptionStart]]&lt;=Settings!$D$2,Table1[[#This Row],[EffectiveEndDate]]&gt;=Settings!$D$2),1,0)</f>
        <v>1</v>
      </c>
      <c r="AE409" s="46">
        <f ca="1">IF(AND(Table1[[#This Row],[SubscriptionStart]]&lt;=Settings!$E$2,Table1[[#This Row],[EffectiveEndDate]]&gt;=Settings!$E$2),1,0)</f>
        <v>1</v>
      </c>
      <c r="AF409"/>
      <c r="AG409"/>
      <c r="AH409"/>
      <c r="AI409"/>
      <c r="AJ409"/>
      <c r="AK409"/>
    </row>
    <row r="410" spans="1:37">
      <c r="A410" s="3" t="s">
        <v>214</v>
      </c>
      <c r="B410" s="3">
        <v>42</v>
      </c>
      <c r="C410" s="3" t="s">
        <v>37</v>
      </c>
      <c r="D410" s="5">
        <v>44951</v>
      </c>
      <c r="E410" s="5">
        <v>45311</v>
      </c>
      <c r="F410" s="3">
        <f ca="1">TODAY() - Table1[[#This Row],[SubscriptionStart]]</f>
        <v>1030</v>
      </c>
      <c r="G410" s="4">
        <v>12</v>
      </c>
      <c r="H410" s="3" t="s">
        <v>24</v>
      </c>
      <c r="I410" s="3" t="s">
        <v>39</v>
      </c>
      <c r="J410" s="7" cm="1">
        <f t="array" ref="J410">_xlfn.IFS(Table1[[#This Row],[Tier]]="Basic",10,Table1[[#This Row],[Tier]]="Standard",18,Table1[[#This Row],[Tier]]="Premium",25)</f>
        <v>18</v>
      </c>
      <c r="K410" s="7" cm="1">
        <f t="array" ref="K41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410" s="7" cm="1">
        <f t="array" ref="L41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410" s="3" t="str" cm="1">
        <f t="array" ref="M41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10" s="3" t="s">
        <v>26</v>
      </c>
      <c r="O410" s="3" t="s">
        <v>40</v>
      </c>
      <c r="P410" s="3" t="s">
        <v>35</v>
      </c>
      <c r="Q410" s="3" t="str" cm="1">
        <f t="array" ref="Q410">_xlfn.IFS(Table1[[#This Row],[TotalRevenue]]&lt;100,"Low",Table1[[#This Row],[TotalRevenue]]&lt;300,"Medium",Table1[[#This Row],[TotalRevenue]]&lt;600,"High",TRUE,"Very High")</f>
        <v>Medium</v>
      </c>
      <c r="R410" s="3" t="str" cm="1">
        <f t="array" ref="R41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10" s="3" t="str">
        <f>IF(Table1[[#This Row],[NextBillingDate]]="","Cancelled",IF(Table1[[#This Row],[CancellationDate]]&lt;&gt;"","Cancelled","Active"))</f>
        <v>Cancelled</v>
      </c>
      <c r="T410" s="7" cm="1">
        <f t="array" ref="T41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410" s="5">
        <v>45311</v>
      </c>
      <c r="W410" s="5">
        <v>45311</v>
      </c>
      <c r="X410" s="3">
        <v>0</v>
      </c>
      <c r="Y410" s="5">
        <f ca="1">IF(Table1[[#This Row],[ChurnStatus]]="Cancelled",Table1[[#This Row],[CancellationDate]],TODAY())</f>
        <v>45311</v>
      </c>
      <c r="Z410" s="46">
        <f ca="1">IF(AND(Table1[[#This Row],[SubscriptionStart]] &lt;= TODAY(), Table1[[#This Row],[EffectiveEndDate]] &gt;= TODAY()),1,0)</f>
        <v>0</v>
      </c>
      <c r="AA410" s="46">
        <f ca="1">IF(AND(Table1[[#This Row],[SubscriptionStart]]&lt;=Settings!$A$2,Table1[[#This Row],[EffectiveEndDate]]&gt;=Settings!$A$2),1,0)</f>
        <v>0</v>
      </c>
      <c r="AB410" s="46">
        <f ca="1">IF(AND(Table1[[#This Row],[SubscriptionStart]]&lt;=Settings!$B$2,Table1[[#This Row],[EffectiveEndDate]]&gt;=Settings!$B$2),1,0)</f>
        <v>0</v>
      </c>
      <c r="AC410" s="46">
        <f ca="1">IF(AND(Table1[[#This Row],[SubscriptionStart]]&lt;=Settings!$C$2,Table1[[#This Row],[EffectiveEndDate]]&gt;=Settings!$C$2),1,0)</f>
        <v>0</v>
      </c>
      <c r="AD410" s="46">
        <f ca="1">IF(AND(Table1[[#This Row],[SubscriptionStart]]&lt;=Settings!$D$2,Table1[[#This Row],[EffectiveEndDate]]&gt;=Settings!$D$2),1,0)</f>
        <v>1</v>
      </c>
      <c r="AE410" s="46">
        <f ca="1">IF(AND(Table1[[#This Row],[SubscriptionStart]]&lt;=Settings!$E$2,Table1[[#This Row],[EffectiveEndDate]]&gt;=Settings!$E$2),1,0)</f>
        <v>0</v>
      </c>
      <c r="AF410"/>
      <c r="AG410"/>
      <c r="AH410"/>
      <c r="AI410"/>
      <c r="AJ410"/>
      <c r="AK410"/>
    </row>
    <row r="411" spans="1:37">
      <c r="A411" s="3" t="s">
        <v>91</v>
      </c>
      <c r="B411" s="3">
        <v>27</v>
      </c>
      <c r="C411" s="3" t="s">
        <v>37</v>
      </c>
      <c r="D411" s="5">
        <v>44953</v>
      </c>
      <c r="E411" s="5">
        <v>45133</v>
      </c>
      <c r="F411" s="3">
        <f ca="1">TODAY() - Table1[[#This Row],[SubscriptionStart]]</f>
        <v>1028</v>
      </c>
      <c r="G411" s="4">
        <v>6</v>
      </c>
      <c r="H411" s="3" t="s">
        <v>38</v>
      </c>
      <c r="I411" s="3" t="s">
        <v>25</v>
      </c>
      <c r="J411" s="7" cm="1">
        <f t="array" ref="J411">_xlfn.IFS(Table1[[#This Row],[Tier]]="Basic",10,Table1[[#This Row],[Tier]]="Standard",18,Table1[[#This Row],[Tier]]="Premium",25)</f>
        <v>25</v>
      </c>
      <c r="K411" s="7" cm="1">
        <f t="array" ref="K41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411" s="7" cm="1">
        <f t="array" ref="L41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411" s="3" t="str" cm="1">
        <f t="array" ref="M41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11" s="3" t="s">
        <v>52</v>
      </c>
      <c r="O411" s="3" t="s">
        <v>32</v>
      </c>
      <c r="P411" s="3" t="s">
        <v>44</v>
      </c>
      <c r="Q411" s="3" t="str" cm="1">
        <f t="array" ref="Q411">_xlfn.IFS(Table1[[#This Row],[TotalRevenue]]&lt;100,"Low",Table1[[#This Row],[TotalRevenue]]&lt;300,"Medium",Table1[[#This Row],[TotalRevenue]]&lt;600,"High",TRUE,"Very High")</f>
        <v>Medium</v>
      </c>
      <c r="R411" s="3" t="str" cm="1">
        <f t="array" ref="R41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11" s="3" t="str">
        <f>IF(Table1[[#This Row],[NextBillingDate]]="","Cancelled",IF(Table1[[#This Row],[CancellationDate]]&lt;&gt;"","Cancelled","Active"))</f>
        <v>Cancelled</v>
      </c>
      <c r="T411" s="7" cm="1">
        <f t="array" ref="T41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411" s="5">
        <v>45133</v>
      </c>
      <c r="W411" s="5">
        <v>45133</v>
      </c>
      <c r="X411" s="3">
        <v>0</v>
      </c>
      <c r="Y411" s="5">
        <f ca="1">IF(Table1[[#This Row],[ChurnStatus]]="Cancelled",Table1[[#This Row],[CancellationDate]],TODAY())</f>
        <v>45133</v>
      </c>
      <c r="Z411" s="46">
        <f ca="1">IF(AND(Table1[[#This Row],[SubscriptionStart]] &lt;= TODAY(), Table1[[#This Row],[EffectiveEndDate]] &gt;= TODAY()),1,0)</f>
        <v>0</v>
      </c>
      <c r="AA411" s="46">
        <f ca="1">IF(AND(Table1[[#This Row],[SubscriptionStart]]&lt;=Settings!$A$2,Table1[[#This Row],[EffectiveEndDate]]&gt;=Settings!$A$2),1,0)</f>
        <v>0</v>
      </c>
      <c r="AB411" s="46">
        <f ca="1">IF(AND(Table1[[#This Row],[SubscriptionStart]]&lt;=Settings!$B$2,Table1[[#This Row],[EffectiveEndDate]]&gt;=Settings!$B$2),1,0)</f>
        <v>0</v>
      </c>
      <c r="AC411" s="46">
        <f ca="1">IF(AND(Table1[[#This Row],[SubscriptionStart]]&lt;=Settings!$C$2,Table1[[#This Row],[EffectiveEndDate]]&gt;=Settings!$C$2),1,0)</f>
        <v>0</v>
      </c>
      <c r="AD411" s="46">
        <f ca="1">IF(AND(Table1[[#This Row],[SubscriptionStart]]&lt;=Settings!$D$2,Table1[[#This Row],[EffectiveEndDate]]&gt;=Settings!$D$2),1,0)</f>
        <v>1</v>
      </c>
      <c r="AE411" s="46">
        <f ca="1">IF(AND(Table1[[#This Row],[SubscriptionStart]]&lt;=Settings!$E$2,Table1[[#This Row],[EffectiveEndDate]]&gt;=Settings!$E$2),1,0)</f>
        <v>0</v>
      </c>
      <c r="AF411"/>
      <c r="AG411"/>
      <c r="AH411"/>
      <c r="AI411"/>
      <c r="AJ411"/>
      <c r="AK411"/>
    </row>
    <row r="412" spans="1:37">
      <c r="A412" s="3" t="s">
        <v>402</v>
      </c>
      <c r="B412" s="3">
        <v>55</v>
      </c>
      <c r="C412" s="3" t="s">
        <v>37</v>
      </c>
      <c r="D412" s="5">
        <v>44953</v>
      </c>
      <c r="F412" s="3">
        <f ca="1">TODAY() - Table1[[#This Row],[SubscriptionStart]]</f>
        <v>1028</v>
      </c>
      <c r="G412" s="4">
        <v>36</v>
      </c>
      <c r="H412" s="3" t="s">
        <v>24</v>
      </c>
      <c r="I412" s="3" t="s">
        <v>30</v>
      </c>
      <c r="J412" s="7" cm="1">
        <f t="array" ref="J412">_xlfn.IFS(Table1[[#This Row],[Tier]]="Basic",10,Table1[[#This Row],[Tier]]="Standard",18,Table1[[#This Row],[Tier]]="Premium",25)</f>
        <v>10</v>
      </c>
      <c r="K412" s="7" cm="1">
        <f t="array" ref="K41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412" s="7" cm="1">
        <f t="array" ref="L41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232</v>
      </c>
      <c r="M412" s="3" t="str" cm="1">
        <f t="array" ref="M412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12" s="3" t="s">
        <v>52</v>
      </c>
      <c r="O412" s="3" t="s">
        <v>49</v>
      </c>
      <c r="Q412" s="3" t="str" cm="1">
        <f t="array" ref="Q412">_xlfn.IFS(Table1[[#This Row],[TotalRevenue]]&lt;100,"Low",Table1[[#This Row],[TotalRevenue]]&lt;300,"Medium",Table1[[#This Row],[TotalRevenue]]&lt;600,"High",TRUE,"Very High")</f>
        <v>Medium</v>
      </c>
      <c r="R412" s="3" t="str" cm="1">
        <f t="array" ref="R41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12" s="3" t="str">
        <f>IF(Table1[[#This Row],[NextBillingDate]]="","Cancelled",IF(Table1[[#This Row],[CancellationDate]]&lt;&gt;"","Cancelled","Active"))</f>
        <v>Active</v>
      </c>
      <c r="T412" s="7" cm="1">
        <f t="array" ref="T41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312</v>
      </c>
      <c r="V412" s="5">
        <v>46033</v>
      </c>
      <c r="W412" s="5">
        <v>46033</v>
      </c>
      <c r="X412" s="3">
        <v>2</v>
      </c>
      <c r="Y412" s="5">
        <f ca="1">IF(Table1[[#This Row],[ChurnStatus]]="Cancelled",Table1[[#This Row],[CancellationDate]],TODAY())</f>
        <v>45981</v>
      </c>
      <c r="Z412" s="46">
        <f ca="1">IF(AND(Table1[[#This Row],[SubscriptionStart]] &lt;= TODAY(), Table1[[#This Row],[EffectiveEndDate]] &gt;= TODAY()),1,0)</f>
        <v>1</v>
      </c>
      <c r="AA412" s="46">
        <f ca="1">IF(AND(Table1[[#This Row],[SubscriptionStart]]&lt;=Settings!$A$2,Table1[[#This Row],[EffectiveEndDate]]&gt;=Settings!$A$2),1,0)</f>
        <v>0</v>
      </c>
      <c r="AB412" s="46">
        <f ca="1">IF(AND(Table1[[#This Row],[SubscriptionStart]]&lt;=Settings!$B$2,Table1[[#This Row],[EffectiveEndDate]]&gt;=Settings!$B$2),1,0)</f>
        <v>0</v>
      </c>
      <c r="AC412" s="46">
        <f ca="1">IF(AND(Table1[[#This Row],[SubscriptionStart]]&lt;=Settings!$C$2,Table1[[#This Row],[EffectiveEndDate]]&gt;=Settings!$C$2),1,0)</f>
        <v>0</v>
      </c>
      <c r="AD412" s="46">
        <f ca="1">IF(AND(Table1[[#This Row],[SubscriptionStart]]&lt;=Settings!$D$2,Table1[[#This Row],[EffectiveEndDate]]&gt;=Settings!$D$2),1,0)</f>
        <v>1</v>
      </c>
      <c r="AE412" s="46">
        <f ca="1">IF(AND(Table1[[#This Row],[SubscriptionStart]]&lt;=Settings!$E$2,Table1[[#This Row],[EffectiveEndDate]]&gt;=Settings!$E$2),1,0)</f>
        <v>1</v>
      </c>
      <c r="AF412"/>
      <c r="AG412"/>
      <c r="AH412"/>
      <c r="AI412"/>
      <c r="AJ412"/>
      <c r="AK412"/>
    </row>
    <row r="413" spans="1:37">
      <c r="A413" s="3" t="s">
        <v>427</v>
      </c>
      <c r="B413" s="3">
        <v>51</v>
      </c>
      <c r="C413" s="3" t="s">
        <v>23</v>
      </c>
      <c r="D413" s="5">
        <v>44954</v>
      </c>
      <c r="F413" s="3">
        <f ca="1">TODAY() - Table1[[#This Row],[SubscriptionStart]]</f>
        <v>1027</v>
      </c>
      <c r="G413" s="4">
        <v>35</v>
      </c>
      <c r="H413" s="3" t="s">
        <v>29</v>
      </c>
      <c r="I413" s="3" t="s">
        <v>25</v>
      </c>
      <c r="J413" s="7" cm="1">
        <f t="array" ref="J413">_xlfn.IFS(Table1[[#This Row],[Tier]]="Basic",10,Table1[[#This Row],[Tier]]="Standard",18,Table1[[#This Row],[Tier]]="Premium",25)</f>
        <v>25</v>
      </c>
      <c r="K413" s="7" cm="1">
        <f t="array" ref="K41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413" s="7" cm="1">
        <f t="array" ref="L41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822.5</v>
      </c>
      <c r="M413" s="3" t="str" cm="1">
        <f t="array" ref="M41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13" s="3" t="s">
        <v>26</v>
      </c>
      <c r="O413" s="3" t="s">
        <v>49</v>
      </c>
      <c r="Q413" s="3" t="str" cm="1">
        <f t="array" ref="Q413">_xlfn.IFS(Table1[[#This Row],[TotalRevenue]]&lt;100,"Low",Table1[[#This Row],[TotalRevenue]]&lt;300,"Medium",Table1[[#This Row],[TotalRevenue]]&lt;600,"High",TRUE,"Very High")</f>
        <v>Very High</v>
      </c>
      <c r="R413" s="3" t="str" cm="1">
        <f t="array" ref="R41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13" s="3" t="str">
        <f>IF(Table1[[#This Row],[NextBillingDate]]="","Cancelled",IF(Table1[[#This Row],[CancellationDate]]&lt;&gt;"","Cancelled","Active"))</f>
        <v>Active</v>
      </c>
      <c r="T413" s="7" cm="1">
        <f t="array" ref="T41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847.5</v>
      </c>
      <c r="V413" s="5">
        <v>46004</v>
      </c>
      <c r="W413" s="5">
        <v>46004</v>
      </c>
      <c r="X413" s="3">
        <v>34</v>
      </c>
      <c r="Y413" s="5">
        <f ca="1">IF(Table1[[#This Row],[ChurnStatus]]="Cancelled",Table1[[#This Row],[CancellationDate]],TODAY())</f>
        <v>45981</v>
      </c>
      <c r="Z413" s="46">
        <f ca="1">IF(AND(Table1[[#This Row],[SubscriptionStart]] &lt;= TODAY(), Table1[[#This Row],[EffectiveEndDate]] &gt;= TODAY()),1,0)</f>
        <v>1</v>
      </c>
      <c r="AA413" s="46">
        <f ca="1">IF(AND(Table1[[#This Row],[SubscriptionStart]]&lt;=Settings!$A$2,Table1[[#This Row],[EffectiveEndDate]]&gt;=Settings!$A$2),1,0)</f>
        <v>0</v>
      </c>
      <c r="AB413" s="46">
        <f ca="1">IF(AND(Table1[[#This Row],[SubscriptionStart]]&lt;=Settings!$B$2,Table1[[#This Row],[EffectiveEndDate]]&gt;=Settings!$B$2),1,0)</f>
        <v>0</v>
      </c>
      <c r="AC413" s="46">
        <f ca="1">IF(AND(Table1[[#This Row],[SubscriptionStart]]&lt;=Settings!$C$2,Table1[[#This Row],[EffectiveEndDate]]&gt;=Settings!$C$2),1,0)</f>
        <v>0</v>
      </c>
      <c r="AD413" s="46">
        <f ca="1">IF(AND(Table1[[#This Row],[SubscriptionStart]]&lt;=Settings!$D$2,Table1[[#This Row],[EffectiveEndDate]]&gt;=Settings!$D$2),1,0)</f>
        <v>1</v>
      </c>
      <c r="AE413" s="46">
        <f ca="1">IF(AND(Table1[[#This Row],[SubscriptionStart]]&lt;=Settings!$E$2,Table1[[#This Row],[EffectiveEndDate]]&gt;=Settings!$E$2),1,0)</f>
        <v>1</v>
      </c>
      <c r="AF413"/>
      <c r="AG413"/>
      <c r="AH413"/>
      <c r="AI413"/>
      <c r="AJ413"/>
      <c r="AK413"/>
    </row>
    <row r="414" spans="1:37">
      <c r="A414" s="3" t="s">
        <v>254</v>
      </c>
      <c r="B414" s="3">
        <v>48</v>
      </c>
      <c r="C414" s="3" t="s">
        <v>23</v>
      </c>
      <c r="D414" s="5">
        <v>44955</v>
      </c>
      <c r="E414" s="5">
        <v>45135</v>
      </c>
      <c r="F414" s="3">
        <f ca="1">TODAY() - Table1[[#This Row],[SubscriptionStart]]</f>
        <v>1026</v>
      </c>
      <c r="G414" s="4">
        <v>6</v>
      </c>
      <c r="H414" s="3" t="s">
        <v>38</v>
      </c>
      <c r="I414" s="3" t="s">
        <v>25</v>
      </c>
      <c r="J414" s="7" cm="1">
        <f t="array" ref="J414">_xlfn.IFS(Table1[[#This Row],[Tier]]="Basic",10,Table1[[#This Row],[Tier]]="Standard",18,Table1[[#This Row],[Tier]]="Premium",25)</f>
        <v>25</v>
      </c>
      <c r="K414" s="7" cm="1">
        <f t="array" ref="K41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414" s="7" cm="1">
        <f t="array" ref="L41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414" s="3" t="str" cm="1">
        <f t="array" ref="M41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14" s="3" t="s">
        <v>34</v>
      </c>
      <c r="O414" s="3" t="s">
        <v>40</v>
      </c>
      <c r="P414" s="3" t="s">
        <v>50</v>
      </c>
      <c r="Q414" s="3" t="str" cm="1">
        <f t="array" ref="Q414">_xlfn.IFS(Table1[[#This Row],[TotalRevenue]]&lt;100,"Low",Table1[[#This Row],[TotalRevenue]]&lt;300,"Medium",Table1[[#This Row],[TotalRevenue]]&lt;600,"High",TRUE,"Very High")</f>
        <v>Medium</v>
      </c>
      <c r="R414" s="3" t="str" cm="1">
        <f t="array" ref="R41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14" s="3" t="str">
        <f>IF(Table1[[#This Row],[NextBillingDate]]="","Cancelled",IF(Table1[[#This Row],[CancellationDate]]&lt;&gt;"","Cancelled","Active"))</f>
        <v>Cancelled</v>
      </c>
      <c r="T414" s="7" cm="1">
        <f t="array" ref="T41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414" s="5">
        <v>45135</v>
      </c>
      <c r="W414" s="5">
        <v>45135</v>
      </c>
      <c r="X414" s="3">
        <v>0</v>
      </c>
      <c r="Y414" s="5">
        <f ca="1">IF(Table1[[#This Row],[ChurnStatus]]="Cancelled",Table1[[#This Row],[CancellationDate]],TODAY())</f>
        <v>45135</v>
      </c>
      <c r="Z414" s="46">
        <f ca="1">IF(AND(Table1[[#This Row],[SubscriptionStart]] &lt;= TODAY(), Table1[[#This Row],[EffectiveEndDate]] &gt;= TODAY()),1,0)</f>
        <v>0</v>
      </c>
      <c r="AA414" s="46">
        <f ca="1">IF(AND(Table1[[#This Row],[SubscriptionStart]]&lt;=Settings!$A$2,Table1[[#This Row],[EffectiveEndDate]]&gt;=Settings!$A$2),1,0)</f>
        <v>0</v>
      </c>
      <c r="AB414" s="46">
        <f ca="1">IF(AND(Table1[[#This Row],[SubscriptionStart]]&lt;=Settings!$B$2,Table1[[#This Row],[EffectiveEndDate]]&gt;=Settings!$B$2),1,0)</f>
        <v>0</v>
      </c>
      <c r="AC414" s="46">
        <f ca="1">IF(AND(Table1[[#This Row],[SubscriptionStart]]&lt;=Settings!$C$2,Table1[[#This Row],[EffectiveEndDate]]&gt;=Settings!$C$2),1,0)</f>
        <v>0</v>
      </c>
      <c r="AD414" s="46">
        <f ca="1">IF(AND(Table1[[#This Row],[SubscriptionStart]]&lt;=Settings!$D$2,Table1[[#This Row],[EffectiveEndDate]]&gt;=Settings!$D$2),1,0)</f>
        <v>1</v>
      </c>
      <c r="AE414" s="46">
        <f ca="1">IF(AND(Table1[[#This Row],[SubscriptionStart]]&lt;=Settings!$E$2,Table1[[#This Row],[EffectiveEndDate]]&gt;=Settings!$E$2),1,0)</f>
        <v>0</v>
      </c>
      <c r="AF414"/>
      <c r="AG414"/>
      <c r="AH414"/>
      <c r="AI414"/>
      <c r="AJ414"/>
      <c r="AK414"/>
    </row>
    <row r="415" spans="1:37">
      <c r="A415" s="3" t="s">
        <v>472</v>
      </c>
      <c r="B415" s="3">
        <v>22</v>
      </c>
      <c r="C415" s="3" t="s">
        <v>23</v>
      </c>
      <c r="D415" s="5">
        <v>44955</v>
      </c>
      <c r="E415" s="5">
        <v>45315</v>
      </c>
      <c r="F415" s="3">
        <f ca="1">TODAY() - Table1[[#This Row],[SubscriptionStart]]</f>
        <v>1026</v>
      </c>
      <c r="G415" s="4">
        <v>12</v>
      </c>
      <c r="H415" s="3" t="s">
        <v>24</v>
      </c>
      <c r="I415" s="3" t="s">
        <v>39</v>
      </c>
      <c r="J415" s="7" cm="1">
        <f t="array" ref="J415">_xlfn.IFS(Table1[[#This Row],[Tier]]="Basic",10,Table1[[#This Row],[Tier]]="Standard",18,Table1[[#This Row],[Tier]]="Premium",25)</f>
        <v>18</v>
      </c>
      <c r="K415" s="7" cm="1">
        <f t="array" ref="K41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415" s="7" cm="1">
        <f t="array" ref="L41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415" s="3" t="str" cm="1">
        <f t="array" ref="M415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415" s="3" t="s">
        <v>26</v>
      </c>
      <c r="O415" s="3" t="s">
        <v>27</v>
      </c>
      <c r="P415" s="3" t="s">
        <v>35</v>
      </c>
      <c r="Q415" s="3" t="str" cm="1">
        <f t="array" ref="Q415">_xlfn.IFS(Table1[[#This Row],[TotalRevenue]]&lt;100,"Low",Table1[[#This Row],[TotalRevenue]]&lt;300,"Medium",Table1[[#This Row],[TotalRevenue]]&lt;600,"High",TRUE,"Very High")</f>
        <v>Medium</v>
      </c>
      <c r="R415" s="3" t="str" cm="1">
        <f t="array" ref="R415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415" s="3" t="str">
        <f>IF(Table1[[#This Row],[NextBillingDate]]="","Cancelled",IF(Table1[[#This Row],[CancellationDate]]&lt;&gt;"","Cancelled","Active"))</f>
        <v>Cancelled</v>
      </c>
      <c r="T415" s="7" cm="1">
        <f t="array" ref="T41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415" s="5">
        <v>45315</v>
      </c>
      <c r="W415" s="5">
        <v>45315</v>
      </c>
      <c r="X415" s="3">
        <v>0</v>
      </c>
      <c r="Y415" s="5">
        <f ca="1">IF(Table1[[#This Row],[ChurnStatus]]="Cancelled",Table1[[#This Row],[CancellationDate]],TODAY())</f>
        <v>45315</v>
      </c>
      <c r="Z415" s="46">
        <f ca="1">IF(AND(Table1[[#This Row],[SubscriptionStart]] &lt;= TODAY(), Table1[[#This Row],[EffectiveEndDate]] &gt;= TODAY()),1,0)</f>
        <v>0</v>
      </c>
      <c r="AA415" s="46">
        <f ca="1">IF(AND(Table1[[#This Row],[SubscriptionStart]]&lt;=Settings!$A$2,Table1[[#This Row],[EffectiveEndDate]]&gt;=Settings!$A$2),1,0)</f>
        <v>0</v>
      </c>
      <c r="AB415" s="46">
        <f ca="1">IF(AND(Table1[[#This Row],[SubscriptionStart]]&lt;=Settings!$B$2,Table1[[#This Row],[EffectiveEndDate]]&gt;=Settings!$B$2),1,0)</f>
        <v>0</v>
      </c>
      <c r="AC415" s="46">
        <f ca="1">IF(AND(Table1[[#This Row],[SubscriptionStart]]&lt;=Settings!$C$2,Table1[[#This Row],[EffectiveEndDate]]&gt;=Settings!$C$2),1,0)</f>
        <v>0</v>
      </c>
      <c r="AD415" s="46">
        <f ca="1">IF(AND(Table1[[#This Row],[SubscriptionStart]]&lt;=Settings!$D$2,Table1[[#This Row],[EffectiveEndDate]]&gt;=Settings!$D$2),1,0)</f>
        <v>1</v>
      </c>
      <c r="AE415" s="46">
        <f ca="1">IF(AND(Table1[[#This Row],[SubscriptionStart]]&lt;=Settings!$E$2,Table1[[#This Row],[EffectiveEndDate]]&gt;=Settings!$E$2),1,0)</f>
        <v>0</v>
      </c>
      <c r="AF415"/>
      <c r="AG415"/>
      <c r="AH415"/>
      <c r="AI415"/>
      <c r="AJ415"/>
      <c r="AK415"/>
    </row>
    <row r="416" spans="1:37">
      <c r="A416" s="3" t="s">
        <v>557</v>
      </c>
      <c r="B416" s="3">
        <v>70</v>
      </c>
      <c r="C416" s="3" t="s">
        <v>23</v>
      </c>
      <c r="D416" s="5">
        <v>44955</v>
      </c>
      <c r="E416" s="5">
        <v>45315</v>
      </c>
      <c r="F416" s="3">
        <f ca="1">TODAY() - Table1[[#This Row],[SubscriptionStart]]</f>
        <v>1026</v>
      </c>
      <c r="G416" s="4">
        <v>12</v>
      </c>
      <c r="H416" s="3" t="s">
        <v>24</v>
      </c>
      <c r="I416" s="3" t="s">
        <v>30</v>
      </c>
      <c r="J416" s="7" cm="1">
        <f t="array" ref="J416">_xlfn.IFS(Table1[[#This Row],[Tier]]="Basic",10,Table1[[#This Row],[Tier]]="Standard",18,Table1[[#This Row],[Tier]]="Premium",25)</f>
        <v>10</v>
      </c>
      <c r="K416" s="7" cm="1">
        <f t="array" ref="K41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416" s="7" cm="1">
        <f t="array" ref="L41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416" s="3" t="str" cm="1">
        <f t="array" ref="M416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16" s="3" t="s">
        <v>31</v>
      </c>
      <c r="O416" s="3" t="s">
        <v>49</v>
      </c>
      <c r="P416" s="3" t="s">
        <v>41</v>
      </c>
      <c r="Q416" s="3" t="str" cm="1">
        <f t="array" ref="Q416">_xlfn.IFS(Table1[[#This Row],[TotalRevenue]]&lt;100,"Low",Table1[[#This Row],[TotalRevenue]]&lt;300,"Medium",Table1[[#This Row],[TotalRevenue]]&lt;600,"High",TRUE,"Very High")</f>
        <v>Low</v>
      </c>
      <c r="R416" s="3" t="str" cm="1">
        <f t="array" ref="R416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416" s="3" t="str">
        <f>IF(Table1[[#This Row],[NextBillingDate]]="","Cancelled",IF(Table1[[#This Row],[CancellationDate]]&lt;&gt;"","Cancelled","Active"))</f>
        <v>Cancelled</v>
      </c>
      <c r="T416" s="7" cm="1">
        <f t="array" ref="T41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416" s="5">
        <v>45315</v>
      </c>
      <c r="W416" s="5">
        <v>45315</v>
      </c>
      <c r="X416" s="3">
        <v>0</v>
      </c>
      <c r="Y416" s="5">
        <f ca="1">IF(Table1[[#This Row],[ChurnStatus]]="Cancelled",Table1[[#This Row],[CancellationDate]],TODAY())</f>
        <v>45315</v>
      </c>
      <c r="Z416" s="46">
        <f ca="1">IF(AND(Table1[[#This Row],[SubscriptionStart]] &lt;= TODAY(), Table1[[#This Row],[EffectiveEndDate]] &gt;= TODAY()),1,0)</f>
        <v>0</v>
      </c>
      <c r="AA416" s="46">
        <f ca="1">IF(AND(Table1[[#This Row],[SubscriptionStart]]&lt;=Settings!$A$2,Table1[[#This Row],[EffectiveEndDate]]&gt;=Settings!$A$2),1,0)</f>
        <v>0</v>
      </c>
      <c r="AB416" s="46">
        <f ca="1">IF(AND(Table1[[#This Row],[SubscriptionStart]]&lt;=Settings!$B$2,Table1[[#This Row],[EffectiveEndDate]]&gt;=Settings!$B$2),1,0)</f>
        <v>0</v>
      </c>
      <c r="AC416" s="46">
        <f ca="1">IF(AND(Table1[[#This Row],[SubscriptionStart]]&lt;=Settings!$C$2,Table1[[#This Row],[EffectiveEndDate]]&gt;=Settings!$C$2),1,0)</f>
        <v>0</v>
      </c>
      <c r="AD416" s="46">
        <f ca="1">IF(AND(Table1[[#This Row],[SubscriptionStart]]&lt;=Settings!$D$2,Table1[[#This Row],[EffectiveEndDate]]&gt;=Settings!$D$2),1,0)</f>
        <v>1</v>
      </c>
      <c r="AE416" s="46">
        <f ca="1">IF(AND(Table1[[#This Row],[SubscriptionStart]]&lt;=Settings!$E$2,Table1[[#This Row],[EffectiveEndDate]]&gt;=Settings!$E$2),1,0)</f>
        <v>0</v>
      </c>
      <c r="AF416"/>
      <c r="AG416"/>
      <c r="AH416"/>
      <c r="AI416"/>
      <c r="AJ416"/>
      <c r="AK416"/>
    </row>
    <row r="417" spans="1:37">
      <c r="A417" s="3" t="s">
        <v>609</v>
      </c>
      <c r="B417" s="3">
        <v>49</v>
      </c>
      <c r="C417" s="3" t="s">
        <v>23</v>
      </c>
      <c r="D417" s="5">
        <v>44955</v>
      </c>
      <c r="E417" s="5">
        <v>45315</v>
      </c>
      <c r="F417" s="3">
        <f ca="1">TODAY() - Table1[[#This Row],[SubscriptionStart]]</f>
        <v>1026</v>
      </c>
      <c r="G417" s="4">
        <v>12</v>
      </c>
      <c r="H417" s="3" t="s">
        <v>24</v>
      </c>
      <c r="I417" s="3" t="s">
        <v>30</v>
      </c>
      <c r="J417" s="7" cm="1">
        <f t="array" ref="J417">_xlfn.IFS(Table1[[#This Row],[Tier]]="Basic",10,Table1[[#This Row],[Tier]]="Standard",18,Table1[[#This Row],[Tier]]="Premium",25)</f>
        <v>10</v>
      </c>
      <c r="K417" s="7" cm="1">
        <f t="array" ref="K41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417" s="7" cm="1">
        <f t="array" ref="L41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417" s="3" t="str" cm="1">
        <f t="array" ref="M41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17" s="3" t="s">
        <v>34</v>
      </c>
      <c r="O417" s="3" t="s">
        <v>40</v>
      </c>
      <c r="P417" s="3" t="s">
        <v>44</v>
      </c>
      <c r="Q417" s="3" t="str" cm="1">
        <f t="array" ref="Q417">_xlfn.IFS(Table1[[#This Row],[TotalRevenue]]&lt;100,"Low",Table1[[#This Row],[TotalRevenue]]&lt;300,"Medium",Table1[[#This Row],[TotalRevenue]]&lt;600,"High",TRUE,"Very High")</f>
        <v>Low</v>
      </c>
      <c r="R417" s="3" t="str" cm="1">
        <f t="array" ref="R41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17" s="3" t="str">
        <f>IF(Table1[[#This Row],[NextBillingDate]]="","Cancelled",IF(Table1[[#This Row],[CancellationDate]]&lt;&gt;"","Cancelled","Active"))</f>
        <v>Cancelled</v>
      </c>
      <c r="T417" s="7" cm="1">
        <f t="array" ref="T41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417" s="5">
        <v>45315</v>
      </c>
      <c r="W417" s="5">
        <v>45315</v>
      </c>
      <c r="X417" s="3">
        <v>0</v>
      </c>
      <c r="Y417" s="5">
        <f ca="1">IF(Table1[[#This Row],[ChurnStatus]]="Cancelled",Table1[[#This Row],[CancellationDate]],TODAY())</f>
        <v>45315</v>
      </c>
      <c r="Z417" s="46">
        <f ca="1">IF(AND(Table1[[#This Row],[SubscriptionStart]] &lt;= TODAY(), Table1[[#This Row],[EffectiveEndDate]] &gt;= TODAY()),1,0)</f>
        <v>0</v>
      </c>
      <c r="AA417" s="46">
        <f ca="1">IF(AND(Table1[[#This Row],[SubscriptionStart]]&lt;=Settings!$A$2,Table1[[#This Row],[EffectiveEndDate]]&gt;=Settings!$A$2),1,0)</f>
        <v>0</v>
      </c>
      <c r="AB417" s="46">
        <f ca="1">IF(AND(Table1[[#This Row],[SubscriptionStart]]&lt;=Settings!$B$2,Table1[[#This Row],[EffectiveEndDate]]&gt;=Settings!$B$2),1,0)</f>
        <v>0</v>
      </c>
      <c r="AC417" s="46">
        <f ca="1">IF(AND(Table1[[#This Row],[SubscriptionStart]]&lt;=Settings!$C$2,Table1[[#This Row],[EffectiveEndDate]]&gt;=Settings!$C$2),1,0)</f>
        <v>0</v>
      </c>
      <c r="AD417" s="46">
        <f ca="1">IF(AND(Table1[[#This Row],[SubscriptionStart]]&lt;=Settings!$D$2,Table1[[#This Row],[EffectiveEndDate]]&gt;=Settings!$D$2),1,0)</f>
        <v>1</v>
      </c>
      <c r="AE417" s="46">
        <f ca="1">IF(AND(Table1[[#This Row],[SubscriptionStart]]&lt;=Settings!$E$2,Table1[[#This Row],[EffectiveEndDate]]&gt;=Settings!$E$2),1,0)</f>
        <v>0</v>
      </c>
      <c r="AF417"/>
      <c r="AG417"/>
      <c r="AH417"/>
      <c r="AI417"/>
      <c r="AJ417"/>
      <c r="AK417"/>
    </row>
    <row r="418" spans="1:37">
      <c r="A418" s="3" t="s">
        <v>330</v>
      </c>
      <c r="B418" s="3">
        <v>58</v>
      </c>
      <c r="C418" s="3" t="s">
        <v>23</v>
      </c>
      <c r="D418" s="5">
        <v>44956</v>
      </c>
      <c r="E418" s="5">
        <v>45316</v>
      </c>
      <c r="F418" s="3">
        <f ca="1">TODAY() - Table1[[#This Row],[SubscriptionStart]]</f>
        <v>1025</v>
      </c>
      <c r="G418" s="4">
        <v>12</v>
      </c>
      <c r="H418" s="3" t="s">
        <v>24</v>
      </c>
      <c r="I418" s="3" t="s">
        <v>39</v>
      </c>
      <c r="J418" s="7" cm="1">
        <f t="array" ref="J418">_xlfn.IFS(Table1[[#This Row],[Tier]]="Basic",10,Table1[[#This Row],[Tier]]="Standard",18,Table1[[#This Row],[Tier]]="Premium",25)</f>
        <v>18</v>
      </c>
      <c r="K418" s="7" cm="1">
        <f t="array" ref="K41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418" s="7" cm="1">
        <f t="array" ref="L41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418" s="3" t="str" cm="1">
        <f t="array" ref="M41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18" s="3" t="s">
        <v>34</v>
      </c>
      <c r="O418" s="3" t="s">
        <v>49</v>
      </c>
      <c r="P418" s="3" t="s">
        <v>44</v>
      </c>
      <c r="Q418" s="3" t="str" cm="1">
        <f t="array" ref="Q418">_xlfn.IFS(Table1[[#This Row],[TotalRevenue]]&lt;100,"Low",Table1[[#This Row],[TotalRevenue]]&lt;300,"Medium",Table1[[#This Row],[TotalRevenue]]&lt;600,"High",TRUE,"Very High")</f>
        <v>Medium</v>
      </c>
      <c r="R418" s="3" t="str" cm="1">
        <f t="array" ref="R41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18" s="3" t="str">
        <f>IF(Table1[[#This Row],[NextBillingDate]]="","Cancelled",IF(Table1[[#This Row],[CancellationDate]]&lt;&gt;"","Cancelled","Active"))</f>
        <v>Cancelled</v>
      </c>
      <c r="T418" s="7" cm="1">
        <f t="array" ref="T41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418" s="5">
        <v>45316</v>
      </c>
      <c r="W418" s="5">
        <v>45316</v>
      </c>
      <c r="X418" s="3">
        <v>0</v>
      </c>
      <c r="Y418" s="5">
        <f ca="1">IF(Table1[[#This Row],[ChurnStatus]]="Cancelled",Table1[[#This Row],[CancellationDate]],TODAY())</f>
        <v>45316</v>
      </c>
      <c r="Z418" s="46">
        <f ca="1">IF(AND(Table1[[#This Row],[SubscriptionStart]] &lt;= TODAY(), Table1[[#This Row],[EffectiveEndDate]] &gt;= TODAY()),1,0)</f>
        <v>0</v>
      </c>
      <c r="AA418" s="46">
        <f ca="1">IF(AND(Table1[[#This Row],[SubscriptionStart]]&lt;=Settings!$A$2,Table1[[#This Row],[EffectiveEndDate]]&gt;=Settings!$A$2),1,0)</f>
        <v>0</v>
      </c>
      <c r="AB418" s="46">
        <f ca="1">IF(AND(Table1[[#This Row],[SubscriptionStart]]&lt;=Settings!$B$2,Table1[[#This Row],[EffectiveEndDate]]&gt;=Settings!$B$2),1,0)</f>
        <v>0</v>
      </c>
      <c r="AC418" s="46">
        <f ca="1">IF(AND(Table1[[#This Row],[SubscriptionStart]]&lt;=Settings!$C$2,Table1[[#This Row],[EffectiveEndDate]]&gt;=Settings!$C$2),1,0)</f>
        <v>0</v>
      </c>
      <c r="AD418" s="46">
        <f ca="1">IF(AND(Table1[[#This Row],[SubscriptionStart]]&lt;=Settings!$D$2,Table1[[#This Row],[EffectiveEndDate]]&gt;=Settings!$D$2),1,0)</f>
        <v>1</v>
      </c>
      <c r="AE418" s="46">
        <f ca="1">IF(AND(Table1[[#This Row],[SubscriptionStart]]&lt;=Settings!$E$2,Table1[[#This Row],[EffectiveEndDate]]&gt;=Settings!$E$2),1,0)</f>
        <v>0</v>
      </c>
      <c r="AF418"/>
      <c r="AG418"/>
      <c r="AH418"/>
      <c r="AI418"/>
      <c r="AJ418"/>
      <c r="AK418"/>
    </row>
    <row r="419" spans="1:37">
      <c r="A419" s="3" t="s">
        <v>753</v>
      </c>
      <c r="B419" s="3">
        <v>53</v>
      </c>
      <c r="C419" s="3" t="s">
        <v>23</v>
      </c>
      <c r="D419" s="5">
        <v>44960</v>
      </c>
      <c r="E419" s="5">
        <v>45320</v>
      </c>
      <c r="F419" s="3">
        <f ca="1">TODAY() - Table1[[#This Row],[SubscriptionStart]]</f>
        <v>1021</v>
      </c>
      <c r="G419" s="4">
        <v>12</v>
      </c>
      <c r="H419" s="3" t="s">
        <v>24</v>
      </c>
      <c r="I419" s="3" t="s">
        <v>30</v>
      </c>
      <c r="J419" s="7" cm="1">
        <f t="array" ref="J419">_xlfn.IFS(Table1[[#This Row],[Tier]]="Basic",10,Table1[[#This Row],[Tier]]="Standard",18,Table1[[#This Row],[Tier]]="Premium",25)</f>
        <v>10</v>
      </c>
      <c r="K419" s="7" cm="1">
        <f t="array" ref="K41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419" s="7" cm="1">
        <f t="array" ref="L41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419" s="3" t="str" cm="1">
        <f t="array" ref="M419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19" s="3" t="s">
        <v>26</v>
      </c>
      <c r="O419" s="3" t="s">
        <v>49</v>
      </c>
      <c r="P419" s="3" t="s">
        <v>41</v>
      </c>
      <c r="Q419" s="3" t="str" cm="1">
        <f t="array" ref="Q419">_xlfn.IFS(Table1[[#This Row],[TotalRevenue]]&lt;100,"Low",Table1[[#This Row],[TotalRevenue]]&lt;300,"Medium",Table1[[#This Row],[TotalRevenue]]&lt;600,"High",TRUE,"Very High")</f>
        <v>Low</v>
      </c>
      <c r="R419" s="3" t="str" cm="1">
        <f t="array" ref="R41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19" s="3" t="str">
        <f>IF(Table1[[#This Row],[NextBillingDate]]="","Cancelled",IF(Table1[[#This Row],[CancellationDate]]&lt;&gt;"","Cancelled","Active"))</f>
        <v>Cancelled</v>
      </c>
      <c r="T419" s="7" cm="1">
        <f t="array" ref="T41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419" s="5">
        <v>45320</v>
      </c>
      <c r="W419" s="5">
        <v>45320</v>
      </c>
      <c r="X419" s="3">
        <v>0</v>
      </c>
      <c r="Y419" s="5">
        <f ca="1">IF(Table1[[#This Row],[ChurnStatus]]="Cancelled",Table1[[#This Row],[CancellationDate]],TODAY())</f>
        <v>45320</v>
      </c>
      <c r="Z419" s="46">
        <f ca="1">IF(AND(Table1[[#This Row],[SubscriptionStart]] &lt;= TODAY(), Table1[[#This Row],[EffectiveEndDate]] &gt;= TODAY()),1,0)</f>
        <v>0</v>
      </c>
      <c r="AA419" s="46">
        <f ca="1">IF(AND(Table1[[#This Row],[SubscriptionStart]]&lt;=Settings!$A$2,Table1[[#This Row],[EffectiveEndDate]]&gt;=Settings!$A$2),1,0)</f>
        <v>0</v>
      </c>
      <c r="AB419" s="46">
        <f ca="1">IF(AND(Table1[[#This Row],[SubscriptionStart]]&lt;=Settings!$B$2,Table1[[#This Row],[EffectiveEndDate]]&gt;=Settings!$B$2),1,0)</f>
        <v>0</v>
      </c>
      <c r="AC419" s="46">
        <f ca="1">IF(AND(Table1[[#This Row],[SubscriptionStart]]&lt;=Settings!$C$2,Table1[[#This Row],[EffectiveEndDate]]&gt;=Settings!$C$2),1,0)</f>
        <v>0</v>
      </c>
      <c r="AD419" s="46">
        <f ca="1">IF(AND(Table1[[#This Row],[SubscriptionStart]]&lt;=Settings!$D$2,Table1[[#This Row],[EffectiveEndDate]]&gt;=Settings!$D$2),1,0)</f>
        <v>1</v>
      </c>
      <c r="AE419" s="46">
        <f ca="1">IF(AND(Table1[[#This Row],[SubscriptionStart]]&lt;=Settings!$E$2,Table1[[#This Row],[EffectiveEndDate]]&gt;=Settings!$E$2),1,0)</f>
        <v>0</v>
      </c>
      <c r="AF419"/>
      <c r="AG419"/>
      <c r="AH419"/>
      <c r="AI419"/>
      <c r="AJ419"/>
      <c r="AK419"/>
    </row>
    <row r="420" spans="1:37">
      <c r="A420" s="3" t="s">
        <v>377</v>
      </c>
      <c r="B420" s="3">
        <v>31</v>
      </c>
      <c r="C420" s="3" t="s">
        <v>23</v>
      </c>
      <c r="D420" s="5">
        <v>44961</v>
      </c>
      <c r="E420" s="5">
        <v>45321</v>
      </c>
      <c r="F420" s="3">
        <f ca="1">TODAY() - Table1[[#This Row],[SubscriptionStart]]</f>
        <v>1020</v>
      </c>
      <c r="G420" s="4">
        <v>12</v>
      </c>
      <c r="H420" s="3" t="s">
        <v>24</v>
      </c>
      <c r="I420" s="3" t="s">
        <v>25</v>
      </c>
      <c r="J420" s="7" cm="1">
        <f t="array" ref="J420">_xlfn.IFS(Table1[[#This Row],[Tier]]="Basic",10,Table1[[#This Row],[Tier]]="Standard",18,Table1[[#This Row],[Tier]]="Premium",25)</f>
        <v>25</v>
      </c>
      <c r="K420" s="7" cm="1">
        <f t="array" ref="K42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420" s="7" cm="1">
        <f t="array" ref="L42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420" s="3" t="str" cm="1">
        <f t="array" ref="M42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20" s="3" t="s">
        <v>34</v>
      </c>
      <c r="O420" s="3" t="s">
        <v>40</v>
      </c>
      <c r="P420" s="3" t="s">
        <v>50</v>
      </c>
      <c r="Q420" s="3" t="str" cm="1">
        <f t="array" ref="Q420">_xlfn.IFS(Table1[[#This Row],[TotalRevenue]]&lt;100,"Low",Table1[[#This Row],[TotalRevenue]]&lt;300,"Medium",Table1[[#This Row],[TotalRevenue]]&lt;600,"High",TRUE,"Very High")</f>
        <v>Medium</v>
      </c>
      <c r="R420" s="3" t="str" cm="1">
        <f t="array" ref="R42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20" s="3" t="str">
        <f>IF(Table1[[#This Row],[NextBillingDate]]="","Cancelled",IF(Table1[[#This Row],[CancellationDate]]&lt;&gt;"","Cancelled","Active"))</f>
        <v>Cancelled</v>
      </c>
      <c r="T420" s="7" cm="1">
        <f t="array" ref="T42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420" s="5">
        <v>45321</v>
      </c>
      <c r="W420" s="5">
        <v>45321</v>
      </c>
      <c r="X420" s="3">
        <v>0</v>
      </c>
      <c r="Y420" s="5">
        <f ca="1">IF(Table1[[#This Row],[ChurnStatus]]="Cancelled",Table1[[#This Row],[CancellationDate]],TODAY())</f>
        <v>45321</v>
      </c>
      <c r="Z420" s="46">
        <f ca="1">IF(AND(Table1[[#This Row],[SubscriptionStart]] &lt;= TODAY(), Table1[[#This Row],[EffectiveEndDate]] &gt;= TODAY()),1,0)</f>
        <v>0</v>
      </c>
      <c r="AA420" s="46">
        <f ca="1">IF(AND(Table1[[#This Row],[SubscriptionStart]]&lt;=Settings!$A$2,Table1[[#This Row],[EffectiveEndDate]]&gt;=Settings!$A$2),1,0)</f>
        <v>0</v>
      </c>
      <c r="AB420" s="46">
        <f ca="1">IF(AND(Table1[[#This Row],[SubscriptionStart]]&lt;=Settings!$B$2,Table1[[#This Row],[EffectiveEndDate]]&gt;=Settings!$B$2),1,0)</f>
        <v>0</v>
      </c>
      <c r="AC420" s="46">
        <f ca="1">IF(AND(Table1[[#This Row],[SubscriptionStart]]&lt;=Settings!$C$2,Table1[[#This Row],[EffectiveEndDate]]&gt;=Settings!$C$2),1,0)</f>
        <v>0</v>
      </c>
      <c r="AD420" s="46">
        <f ca="1">IF(AND(Table1[[#This Row],[SubscriptionStart]]&lt;=Settings!$D$2,Table1[[#This Row],[EffectiveEndDate]]&gt;=Settings!$D$2),1,0)</f>
        <v>1</v>
      </c>
      <c r="AE420" s="46">
        <f ca="1">IF(AND(Table1[[#This Row],[SubscriptionStart]]&lt;=Settings!$E$2,Table1[[#This Row],[EffectiveEndDate]]&gt;=Settings!$E$2),1,0)</f>
        <v>0</v>
      </c>
      <c r="AF420"/>
      <c r="AG420"/>
      <c r="AH420"/>
      <c r="AI420"/>
      <c r="AJ420"/>
      <c r="AK420"/>
    </row>
    <row r="421" spans="1:37">
      <c r="A421" s="3" t="s">
        <v>785</v>
      </c>
      <c r="B421" s="3">
        <v>65</v>
      </c>
      <c r="C421" s="3" t="s">
        <v>37</v>
      </c>
      <c r="D421" s="5">
        <v>44961</v>
      </c>
      <c r="E421" s="5">
        <v>45321</v>
      </c>
      <c r="F421" s="3">
        <f ca="1">TODAY() - Table1[[#This Row],[SubscriptionStart]]</f>
        <v>1020</v>
      </c>
      <c r="G421" s="4">
        <v>12</v>
      </c>
      <c r="H421" s="3" t="s">
        <v>24</v>
      </c>
      <c r="I421" s="3" t="s">
        <v>30</v>
      </c>
      <c r="J421" s="7" cm="1">
        <f t="array" ref="J421">_xlfn.IFS(Table1[[#This Row],[Tier]]="Basic",10,Table1[[#This Row],[Tier]]="Standard",18,Table1[[#This Row],[Tier]]="Premium",25)</f>
        <v>10</v>
      </c>
      <c r="K421" s="7" cm="1">
        <f t="array" ref="K42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421" s="7" cm="1">
        <f t="array" ref="L42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421" s="3" t="str" cm="1">
        <f t="array" ref="M421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21" s="3" t="s">
        <v>34</v>
      </c>
      <c r="O421" s="3" t="s">
        <v>49</v>
      </c>
      <c r="P421" s="3" t="s">
        <v>50</v>
      </c>
      <c r="Q421" s="3" t="str" cm="1">
        <f t="array" ref="Q421">_xlfn.IFS(Table1[[#This Row],[TotalRevenue]]&lt;100,"Low",Table1[[#This Row],[TotalRevenue]]&lt;300,"Medium",Table1[[#This Row],[TotalRevenue]]&lt;600,"High",TRUE,"Very High")</f>
        <v>Low</v>
      </c>
      <c r="R421" s="3" t="str" cm="1">
        <f t="array" ref="R421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421" s="3" t="str">
        <f>IF(Table1[[#This Row],[NextBillingDate]]="","Cancelled",IF(Table1[[#This Row],[CancellationDate]]&lt;&gt;"","Cancelled","Active"))</f>
        <v>Cancelled</v>
      </c>
      <c r="T421" s="7" cm="1">
        <f t="array" ref="T42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421" s="5">
        <v>45321</v>
      </c>
      <c r="W421" s="5">
        <v>45321</v>
      </c>
      <c r="X421" s="3">
        <v>0</v>
      </c>
      <c r="Y421" s="5">
        <f ca="1">IF(Table1[[#This Row],[ChurnStatus]]="Cancelled",Table1[[#This Row],[CancellationDate]],TODAY())</f>
        <v>45321</v>
      </c>
      <c r="Z421" s="46">
        <f ca="1">IF(AND(Table1[[#This Row],[SubscriptionStart]] &lt;= TODAY(), Table1[[#This Row],[EffectiveEndDate]] &gt;= TODAY()),1,0)</f>
        <v>0</v>
      </c>
      <c r="AA421" s="46">
        <f ca="1">IF(AND(Table1[[#This Row],[SubscriptionStart]]&lt;=Settings!$A$2,Table1[[#This Row],[EffectiveEndDate]]&gt;=Settings!$A$2),1,0)</f>
        <v>0</v>
      </c>
      <c r="AB421" s="46">
        <f ca="1">IF(AND(Table1[[#This Row],[SubscriptionStart]]&lt;=Settings!$B$2,Table1[[#This Row],[EffectiveEndDate]]&gt;=Settings!$B$2),1,0)</f>
        <v>0</v>
      </c>
      <c r="AC421" s="46">
        <f ca="1">IF(AND(Table1[[#This Row],[SubscriptionStart]]&lt;=Settings!$C$2,Table1[[#This Row],[EffectiveEndDate]]&gt;=Settings!$C$2),1,0)</f>
        <v>0</v>
      </c>
      <c r="AD421" s="46">
        <f ca="1">IF(AND(Table1[[#This Row],[SubscriptionStart]]&lt;=Settings!$D$2,Table1[[#This Row],[EffectiveEndDate]]&gt;=Settings!$D$2),1,0)</f>
        <v>1</v>
      </c>
      <c r="AE421" s="46">
        <f ca="1">IF(AND(Table1[[#This Row],[SubscriptionStart]]&lt;=Settings!$E$2,Table1[[#This Row],[EffectiveEndDate]]&gt;=Settings!$E$2),1,0)</f>
        <v>0</v>
      </c>
      <c r="AF421"/>
      <c r="AG421"/>
      <c r="AH421"/>
      <c r="AI421"/>
      <c r="AJ421"/>
      <c r="AK421"/>
    </row>
    <row r="422" spans="1:37">
      <c r="A422" s="3" t="s">
        <v>404</v>
      </c>
      <c r="B422" s="3">
        <v>75</v>
      </c>
      <c r="C422" s="3" t="s">
        <v>23</v>
      </c>
      <c r="D422" s="5">
        <v>44962</v>
      </c>
      <c r="F422" s="3">
        <f ca="1">TODAY() - Table1[[#This Row],[SubscriptionStart]]</f>
        <v>1019</v>
      </c>
      <c r="G422" s="4">
        <v>34</v>
      </c>
      <c r="H422" s="3" t="s">
        <v>29</v>
      </c>
      <c r="I422" s="3" t="s">
        <v>39</v>
      </c>
      <c r="J422" s="7" cm="1">
        <f t="array" ref="J422">_xlfn.IFS(Table1[[#This Row],[Tier]]="Basic",10,Table1[[#This Row],[Tier]]="Standard",18,Table1[[#This Row],[Tier]]="Premium",25)</f>
        <v>18</v>
      </c>
      <c r="K422" s="7" cm="1">
        <f t="array" ref="K42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422" s="7" cm="1">
        <f t="array" ref="L42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574.20000000000005</v>
      </c>
      <c r="M422" s="3" t="str" cm="1">
        <f t="array" ref="M422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422" s="3" t="s">
        <v>31</v>
      </c>
      <c r="O422" s="3" t="s">
        <v>27</v>
      </c>
      <c r="Q422" s="3" t="str" cm="1">
        <f t="array" ref="Q422">_xlfn.IFS(Table1[[#This Row],[TotalRevenue]]&lt;100,"Low",Table1[[#This Row],[TotalRevenue]]&lt;300,"Medium",Table1[[#This Row],[TotalRevenue]]&lt;600,"High",TRUE,"Very High")</f>
        <v>High</v>
      </c>
      <c r="R422" s="3" t="str" cm="1">
        <f t="array" ref="R422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422" s="3" t="str">
        <f>IF(Table1[[#This Row],[NextBillingDate]]="","Cancelled",IF(Table1[[#This Row],[CancellationDate]]&lt;&gt;"","Cancelled","Active"))</f>
        <v>Active</v>
      </c>
      <c r="T422" s="7" cm="1">
        <f t="array" ref="T42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592.20000000000005</v>
      </c>
      <c r="V422" s="5">
        <v>45982</v>
      </c>
      <c r="W422" s="5">
        <v>45982</v>
      </c>
      <c r="X422" s="3">
        <v>33</v>
      </c>
      <c r="Y422" s="5">
        <f ca="1">IF(Table1[[#This Row],[ChurnStatus]]="Cancelled",Table1[[#This Row],[CancellationDate]],TODAY())</f>
        <v>45981</v>
      </c>
      <c r="Z422" s="46">
        <f ca="1">IF(AND(Table1[[#This Row],[SubscriptionStart]] &lt;= TODAY(), Table1[[#This Row],[EffectiveEndDate]] &gt;= TODAY()),1,0)</f>
        <v>1</v>
      </c>
      <c r="AA422" s="46">
        <f ca="1">IF(AND(Table1[[#This Row],[SubscriptionStart]]&lt;=Settings!$A$2,Table1[[#This Row],[EffectiveEndDate]]&gt;=Settings!$A$2),1,0)</f>
        <v>0</v>
      </c>
      <c r="AB422" s="46">
        <f ca="1">IF(AND(Table1[[#This Row],[SubscriptionStart]]&lt;=Settings!$B$2,Table1[[#This Row],[EffectiveEndDate]]&gt;=Settings!$B$2),1,0)</f>
        <v>0</v>
      </c>
      <c r="AC422" s="46">
        <f ca="1">IF(AND(Table1[[#This Row],[SubscriptionStart]]&lt;=Settings!$C$2,Table1[[#This Row],[EffectiveEndDate]]&gt;=Settings!$C$2),1,0)</f>
        <v>0</v>
      </c>
      <c r="AD422" s="46">
        <f ca="1">IF(AND(Table1[[#This Row],[SubscriptionStart]]&lt;=Settings!$D$2,Table1[[#This Row],[EffectiveEndDate]]&gt;=Settings!$D$2),1,0)</f>
        <v>1</v>
      </c>
      <c r="AE422" s="46">
        <f ca="1">IF(AND(Table1[[#This Row],[SubscriptionStart]]&lt;=Settings!$E$2,Table1[[#This Row],[EffectiveEndDate]]&gt;=Settings!$E$2),1,0)</f>
        <v>1</v>
      </c>
      <c r="AF422"/>
      <c r="AG422"/>
      <c r="AH422"/>
      <c r="AI422"/>
      <c r="AJ422"/>
      <c r="AK422"/>
    </row>
    <row r="423" spans="1:37">
      <c r="A423" s="3" t="s">
        <v>239</v>
      </c>
      <c r="B423" s="3">
        <v>32</v>
      </c>
      <c r="C423" s="3" t="s">
        <v>37</v>
      </c>
      <c r="D423" s="5">
        <v>44963</v>
      </c>
      <c r="E423" s="5">
        <v>45143</v>
      </c>
      <c r="F423" s="3">
        <f ca="1">TODAY() - Table1[[#This Row],[SubscriptionStart]]</f>
        <v>1018</v>
      </c>
      <c r="G423" s="4">
        <v>6</v>
      </c>
      <c r="H423" s="3" t="s">
        <v>38</v>
      </c>
      <c r="I423" s="3" t="s">
        <v>25</v>
      </c>
      <c r="J423" s="7" cm="1">
        <f t="array" ref="J423">_xlfn.IFS(Table1[[#This Row],[Tier]]="Basic",10,Table1[[#This Row],[Tier]]="Standard",18,Table1[[#This Row],[Tier]]="Premium",25)</f>
        <v>25</v>
      </c>
      <c r="K423" s="7" cm="1">
        <f t="array" ref="K42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423" s="7" cm="1">
        <f t="array" ref="L42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423" s="3" t="str" cm="1">
        <f t="array" ref="M42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23" s="3" t="s">
        <v>26</v>
      </c>
      <c r="O423" s="3" t="s">
        <v>49</v>
      </c>
      <c r="P423" s="3" t="s">
        <v>47</v>
      </c>
      <c r="Q423" s="3" t="str" cm="1">
        <f t="array" ref="Q423">_xlfn.IFS(Table1[[#This Row],[TotalRevenue]]&lt;100,"Low",Table1[[#This Row],[TotalRevenue]]&lt;300,"Medium",Table1[[#This Row],[TotalRevenue]]&lt;600,"High",TRUE,"Very High")</f>
        <v>Medium</v>
      </c>
      <c r="R423" s="3" t="str" cm="1">
        <f t="array" ref="R42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23" s="3" t="str">
        <f>IF(Table1[[#This Row],[NextBillingDate]]="","Cancelled",IF(Table1[[#This Row],[CancellationDate]]&lt;&gt;"","Cancelled","Active"))</f>
        <v>Cancelled</v>
      </c>
      <c r="T423" s="7" cm="1">
        <f t="array" ref="T42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423" s="5">
        <v>45143</v>
      </c>
      <c r="W423" s="5">
        <v>45143</v>
      </c>
      <c r="X423" s="3">
        <v>0</v>
      </c>
      <c r="Y423" s="5">
        <f ca="1">IF(Table1[[#This Row],[ChurnStatus]]="Cancelled",Table1[[#This Row],[CancellationDate]],TODAY())</f>
        <v>45143</v>
      </c>
      <c r="Z423" s="46">
        <f ca="1">IF(AND(Table1[[#This Row],[SubscriptionStart]] &lt;= TODAY(), Table1[[#This Row],[EffectiveEndDate]] &gt;= TODAY()),1,0)</f>
        <v>0</v>
      </c>
      <c r="AA423" s="46">
        <f ca="1">IF(AND(Table1[[#This Row],[SubscriptionStart]]&lt;=Settings!$A$2,Table1[[#This Row],[EffectiveEndDate]]&gt;=Settings!$A$2),1,0)</f>
        <v>0</v>
      </c>
      <c r="AB423" s="46">
        <f ca="1">IF(AND(Table1[[#This Row],[SubscriptionStart]]&lt;=Settings!$B$2,Table1[[#This Row],[EffectiveEndDate]]&gt;=Settings!$B$2),1,0)</f>
        <v>0</v>
      </c>
      <c r="AC423" s="46">
        <f ca="1">IF(AND(Table1[[#This Row],[SubscriptionStart]]&lt;=Settings!$C$2,Table1[[#This Row],[EffectiveEndDate]]&gt;=Settings!$C$2),1,0)</f>
        <v>0</v>
      </c>
      <c r="AD423" s="46">
        <f ca="1">IF(AND(Table1[[#This Row],[SubscriptionStart]]&lt;=Settings!$D$2,Table1[[#This Row],[EffectiveEndDate]]&gt;=Settings!$D$2),1,0)</f>
        <v>1</v>
      </c>
      <c r="AE423" s="46">
        <f ca="1">IF(AND(Table1[[#This Row],[SubscriptionStart]]&lt;=Settings!$E$2,Table1[[#This Row],[EffectiveEndDate]]&gt;=Settings!$E$2),1,0)</f>
        <v>0</v>
      </c>
      <c r="AF423"/>
      <c r="AG423"/>
      <c r="AH423"/>
      <c r="AI423"/>
      <c r="AJ423"/>
      <c r="AK423"/>
    </row>
    <row r="424" spans="1:37">
      <c r="A424" s="3" t="s">
        <v>645</v>
      </c>
      <c r="B424" s="3">
        <v>32</v>
      </c>
      <c r="C424" s="3" t="s">
        <v>37</v>
      </c>
      <c r="D424" s="5">
        <v>44963</v>
      </c>
      <c r="E424" s="5">
        <v>45323</v>
      </c>
      <c r="F424" s="3">
        <f ca="1">TODAY() - Table1[[#This Row],[SubscriptionStart]]</f>
        <v>1018</v>
      </c>
      <c r="G424" s="4">
        <v>12</v>
      </c>
      <c r="H424" s="3" t="s">
        <v>24</v>
      </c>
      <c r="I424" s="3" t="s">
        <v>39</v>
      </c>
      <c r="J424" s="7" cm="1">
        <f t="array" ref="J424">_xlfn.IFS(Table1[[#This Row],[Tier]]="Basic",10,Table1[[#This Row],[Tier]]="Standard",18,Table1[[#This Row],[Tier]]="Premium",25)</f>
        <v>18</v>
      </c>
      <c r="K424" s="7" cm="1">
        <f t="array" ref="K42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424" s="7" cm="1">
        <f t="array" ref="L42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424" s="3" t="str" cm="1">
        <f t="array" ref="M42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24" s="3" t="s">
        <v>31</v>
      </c>
      <c r="O424" s="3" t="s">
        <v>43</v>
      </c>
      <c r="P424" s="3" t="s">
        <v>50</v>
      </c>
      <c r="Q424" s="3" t="str" cm="1">
        <f t="array" ref="Q424">_xlfn.IFS(Table1[[#This Row],[TotalRevenue]]&lt;100,"Low",Table1[[#This Row],[TotalRevenue]]&lt;300,"Medium",Table1[[#This Row],[TotalRevenue]]&lt;600,"High",TRUE,"Very High")</f>
        <v>Medium</v>
      </c>
      <c r="R424" s="3" t="str" cm="1">
        <f t="array" ref="R42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24" s="3" t="str">
        <f>IF(Table1[[#This Row],[NextBillingDate]]="","Cancelled",IF(Table1[[#This Row],[CancellationDate]]&lt;&gt;"","Cancelled","Active"))</f>
        <v>Cancelled</v>
      </c>
      <c r="T424" s="7" cm="1">
        <f t="array" ref="T42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424" s="5">
        <v>45323</v>
      </c>
      <c r="W424" s="5">
        <v>45323</v>
      </c>
      <c r="X424" s="3">
        <v>0</v>
      </c>
      <c r="Y424" s="5">
        <f ca="1">IF(Table1[[#This Row],[ChurnStatus]]="Cancelled",Table1[[#This Row],[CancellationDate]],TODAY())</f>
        <v>45323</v>
      </c>
      <c r="Z424" s="46">
        <f ca="1">IF(AND(Table1[[#This Row],[SubscriptionStart]] &lt;= TODAY(), Table1[[#This Row],[EffectiveEndDate]] &gt;= TODAY()),1,0)</f>
        <v>0</v>
      </c>
      <c r="AA424" s="46">
        <f ca="1">IF(AND(Table1[[#This Row],[SubscriptionStart]]&lt;=Settings!$A$2,Table1[[#This Row],[EffectiveEndDate]]&gt;=Settings!$A$2),1,0)</f>
        <v>0</v>
      </c>
      <c r="AB424" s="46">
        <f ca="1">IF(AND(Table1[[#This Row],[SubscriptionStart]]&lt;=Settings!$B$2,Table1[[#This Row],[EffectiveEndDate]]&gt;=Settings!$B$2),1,0)</f>
        <v>0</v>
      </c>
      <c r="AC424" s="46">
        <f ca="1">IF(AND(Table1[[#This Row],[SubscriptionStart]]&lt;=Settings!$C$2,Table1[[#This Row],[EffectiveEndDate]]&gt;=Settings!$C$2),1,0)</f>
        <v>0</v>
      </c>
      <c r="AD424" s="46">
        <f ca="1">IF(AND(Table1[[#This Row],[SubscriptionStart]]&lt;=Settings!$D$2,Table1[[#This Row],[EffectiveEndDate]]&gt;=Settings!$D$2),1,0)</f>
        <v>1</v>
      </c>
      <c r="AE424" s="46">
        <f ca="1">IF(AND(Table1[[#This Row],[SubscriptionStart]]&lt;=Settings!$E$2,Table1[[#This Row],[EffectiveEndDate]]&gt;=Settings!$E$2),1,0)</f>
        <v>0</v>
      </c>
      <c r="AF424"/>
      <c r="AG424"/>
      <c r="AH424"/>
      <c r="AI424"/>
      <c r="AJ424"/>
      <c r="AK424"/>
    </row>
    <row r="425" spans="1:37">
      <c r="A425" s="3" t="s">
        <v>319</v>
      </c>
      <c r="B425" s="3">
        <v>65</v>
      </c>
      <c r="C425" s="3" t="s">
        <v>37</v>
      </c>
      <c r="D425" s="5">
        <v>44964</v>
      </c>
      <c r="E425" s="5">
        <v>44994</v>
      </c>
      <c r="F425" s="3">
        <f ca="1">TODAY() - Table1[[#This Row],[SubscriptionStart]]</f>
        <v>1017</v>
      </c>
      <c r="G425" s="4">
        <v>1</v>
      </c>
      <c r="H425" s="3" t="s">
        <v>29</v>
      </c>
      <c r="I425" s="3" t="s">
        <v>30</v>
      </c>
      <c r="J425" s="7" cm="1">
        <f t="array" ref="J425">_xlfn.IFS(Table1[[#This Row],[Tier]]="Basic",10,Table1[[#This Row],[Tier]]="Standard",18,Table1[[#This Row],[Tier]]="Premium",25)</f>
        <v>10</v>
      </c>
      <c r="K425" s="7" cm="1">
        <f t="array" ref="K42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425" s="7" cm="1">
        <f t="array" ref="L42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25" s="3" t="str" cm="1">
        <f t="array" ref="M425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25" s="3" t="s">
        <v>31</v>
      </c>
      <c r="O425" s="3" t="s">
        <v>49</v>
      </c>
      <c r="P425" s="3" t="s">
        <v>35</v>
      </c>
      <c r="Q425" s="3" t="str" cm="1">
        <f t="array" ref="Q425">_xlfn.IFS(Table1[[#This Row],[TotalRevenue]]&lt;100,"Low",Table1[[#This Row],[TotalRevenue]]&lt;300,"Medium",Table1[[#This Row],[TotalRevenue]]&lt;600,"High",TRUE,"Very High")</f>
        <v>Low</v>
      </c>
      <c r="R425" s="3" t="str" cm="1">
        <f t="array" ref="R425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425" s="3" t="str">
        <f>IF(Table1[[#This Row],[NextBillingDate]]="","Cancelled",IF(Table1[[#This Row],[CancellationDate]]&lt;&gt;"","Cancelled","Active"))</f>
        <v>Cancelled</v>
      </c>
      <c r="T425" s="7" cm="1">
        <f t="array" ref="T42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25" s="5">
        <v>44994</v>
      </c>
      <c r="W425" s="5">
        <v>44994</v>
      </c>
      <c r="X425" s="3">
        <v>0</v>
      </c>
      <c r="Y425" s="5">
        <f ca="1">IF(Table1[[#This Row],[ChurnStatus]]="Cancelled",Table1[[#This Row],[CancellationDate]],TODAY())</f>
        <v>44994</v>
      </c>
      <c r="Z425" s="46">
        <f ca="1">IF(AND(Table1[[#This Row],[SubscriptionStart]] &lt;= TODAY(), Table1[[#This Row],[EffectiveEndDate]] &gt;= TODAY()),1,0)</f>
        <v>0</v>
      </c>
      <c r="AA425" s="46">
        <f ca="1">IF(AND(Table1[[#This Row],[SubscriptionStart]]&lt;=Settings!$A$2,Table1[[#This Row],[EffectiveEndDate]]&gt;=Settings!$A$2),1,0)</f>
        <v>0</v>
      </c>
      <c r="AB425" s="46">
        <f ca="1">IF(AND(Table1[[#This Row],[SubscriptionStart]]&lt;=Settings!$B$2,Table1[[#This Row],[EffectiveEndDate]]&gt;=Settings!$B$2),1,0)</f>
        <v>0</v>
      </c>
      <c r="AC425" s="46">
        <f ca="1">IF(AND(Table1[[#This Row],[SubscriptionStart]]&lt;=Settings!$C$2,Table1[[#This Row],[EffectiveEndDate]]&gt;=Settings!$C$2),1,0)</f>
        <v>0</v>
      </c>
      <c r="AD425" s="46">
        <f ca="1">IF(AND(Table1[[#This Row],[SubscriptionStart]]&lt;=Settings!$D$2,Table1[[#This Row],[EffectiveEndDate]]&gt;=Settings!$D$2),1,0)</f>
        <v>0</v>
      </c>
      <c r="AE425" s="46">
        <f ca="1">IF(AND(Table1[[#This Row],[SubscriptionStart]]&lt;=Settings!$E$2,Table1[[#This Row],[EffectiveEndDate]]&gt;=Settings!$E$2),1,0)</f>
        <v>0</v>
      </c>
      <c r="AF425"/>
      <c r="AG425"/>
      <c r="AH425"/>
      <c r="AI425"/>
      <c r="AJ425"/>
      <c r="AK425"/>
    </row>
    <row r="426" spans="1:37">
      <c r="A426" s="3" t="s">
        <v>443</v>
      </c>
      <c r="B426" s="3">
        <v>25</v>
      </c>
      <c r="C426" s="3" t="s">
        <v>23</v>
      </c>
      <c r="D426" s="5">
        <v>44964</v>
      </c>
      <c r="E426" s="5">
        <v>45324</v>
      </c>
      <c r="F426" s="3">
        <f ca="1">TODAY() - Table1[[#This Row],[SubscriptionStart]]</f>
        <v>1017</v>
      </c>
      <c r="G426" s="4">
        <v>12</v>
      </c>
      <c r="H426" s="3" t="s">
        <v>24</v>
      </c>
      <c r="I426" s="3" t="s">
        <v>25</v>
      </c>
      <c r="J426" s="7" cm="1">
        <f t="array" ref="J426">_xlfn.IFS(Table1[[#This Row],[Tier]]="Basic",10,Table1[[#This Row],[Tier]]="Standard",18,Table1[[#This Row],[Tier]]="Premium",25)</f>
        <v>25</v>
      </c>
      <c r="K426" s="7" cm="1">
        <f t="array" ref="K42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426" s="7" cm="1">
        <f t="array" ref="L42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426" s="3" t="str" cm="1">
        <f t="array" ref="M426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426" s="3" t="s">
        <v>34</v>
      </c>
      <c r="O426" s="3" t="s">
        <v>27</v>
      </c>
      <c r="P426" s="3" t="s">
        <v>35</v>
      </c>
      <c r="Q426" s="3" t="str" cm="1">
        <f t="array" ref="Q426">_xlfn.IFS(Table1[[#This Row],[TotalRevenue]]&lt;100,"Low",Table1[[#This Row],[TotalRevenue]]&lt;300,"Medium",Table1[[#This Row],[TotalRevenue]]&lt;600,"High",TRUE,"Very High")</f>
        <v>Medium</v>
      </c>
      <c r="R426" s="3" t="str" cm="1">
        <f t="array" ref="R426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426" s="3" t="str">
        <f>IF(Table1[[#This Row],[NextBillingDate]]="","Cancelled",IF(Table1[[#This Row],[CancellationDate]]&lt;&gt;"","Cancelled","Active"))</f>
        <v>Cancelled</v>
      </c>
      <c r="T426" s="7" cm="1">
        <f t="array" ref="T42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426" s="5">
        <v>45324</v>
      </c>
      <c r="W426" s="5">
        <v>45324</v>
      </c>
      <c r="X426" s="3">
        <v>0</v>
      </c>
      <c r="Y426" s="5">
        <f ca="1">IF(Table1[[#This Row],[ChurnStatus]]="Cancelled",Table1[[#This Row],[CancellationDate]],TODAY())</f>
        <v>45324</v>
      </c>
      <c r="Z426" s="46">
        <f ca="1">IF(AND(Table1[[#This Row],[SubscriptionStart]] &lt;= TODAY(), Table1[[#This Row],[EffectiveEndDate]] &gt;= TODAY()),1,0)</f>
        <v>0</v>
      </c>
      <c r="AA426" s="46">
        <f ca="1">IF(AND(Table1[[#This Row],[SubscriptionStart]]&lt;=Settings!$A$2,Table1[[#This Row],[EffectiveEndDate]]&gt;=Settings!$A$2),1,0)</f>
        <v>0</v>
      </c>
      <c r="AB426" s="46">
        <f ca="1">IF(AND(Table1[[#This Row],[SubscriptionStart]]&lt;=Settings!$B$2,Table1[[#This Row],[EffectiveEndDate]]&gt;=Settings!$B$2),1,0)</f>
        <v>0</v>
      </c>
      <c r="AC426" s="46">
        <f ca="1">IF(AND(Table1[[#This Row],[SubscriptionStart]]&lt;=Settings!$C$2,Table1[[#This Row],[EffectiveEndDate]]&gt;=Settings!$C$2),1,0)</f>
        <v>0</v>
      </c>
      <c r="AD426" s="46">
        <f ca="1">IF(AND(Table1[[#This Row],[SubscriptionStart]]&lt;=Settings!$D$2,Table1[[#This Row],[EffectiveEndDate]]&gt;=Settings!$D$2),1,0)</f>
        <v>1</v>
      </c>
      <c r="AE426" s="46">
        <f ca="1">IF(AND(Table1[[#This Row],[SubscriptionStart]]&lt;=Settings!$E$2,Table1[[#This Row],[EffectiveEndDate]]&gt;=Settings!$E$2),1,0)</f>
        <v>0</v>
      </c>
      <c r="AF426"/>
      <c r="AG426"/>
      <c r="AH426"/>
      <c r="AI426"/>
      <c r="AJ426"/>
      <c r="AK426"/>
    </row>
    <row r="427" spans="1:37">
      <c r="A427" s="3" t="s">
        <v>579</v>
      </c>
      <c r="B427" s="3">
        <v>23</v>
      </c>
      <c r="C427" s="3" t="s">
        <v>23</v>
      </c>
      <c r="D427" s="5">
        <v>44965</v>
      </c>
      <c r="E427" s="5">
        <v>45145</v>
      </c>
      <c r="F427" s="3">
        <f ca="1">TODAY() - Table1[[#This Row],[SubscriptionStart]]</f>
        <v>1016</v>
      </c>
      <c r="G427" s="4">
        <v>6</v>
      </c>
      <c r="H427" s="3" t="s">
        <v>38</v>
      </c>
      <c r="I427" s="3" t="s">
        <v>25</v>
      </c>
      <c r="J427" s="7" cm="1">
        <f t="array" ref="J427">_xlfn.IFS(Table1[[#This Row],[Tier]]="Basic",10,Table1[[#This Row],[Tier]]="Standard",18,Table1[[#This Row],[Tier]]="Premium",25)</f>
        <v>25</v>
      </c>
      <c r="K427" s="7" cm="1">
        <f t="array" ref="K42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427" s="7" cm="1">
        <f t="array" ref="L42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427" s="3" t="str" cm="1">
        <f t="array" ref="M427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427" s="3" t="s">
        <v>31</v>
      </c>
      <c r="O427" s="3" t="s">
        <v>32</v>
      </c>
      <c r="P427" s="3" t="s">
        <v>50</v>
      </c>
      <c r="Q427" s="3" t="str" cm="1">
        <f t="array" ref="Q427">_xlfn.IFS(Table1[[#This Row],[TotalRevenue]]&lt;100,"Low",Table1[[#This Row],[TotalRevenue]]&lt;300,"Medium",Table1[[#This Row],[TotalRevenue]]&lt;600,"High",TRUE,"Very High")</f>
        <v>Medium</v>
      </c>
      <c r="R427" s="3" t="str" cm="1">
        <f t="array" ref="R427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427" s="3" t="str">
        <f>IF(Table1[[#This Row],[NextBillingDate]]="","Cancelled",IF(Table1[[#This Row],[CancellationDate]]&lt;&gt;"","Cancelled","Active"))</f>
        <v>Cancelled</v>
      </c>
      <c r="T427" s="7" cm="1">
        <f t="array" ref="T42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427" s="5">
        <v>45145</v>
      </c>
      <c r="W427" s="5">
        <v>45145</v>
      </c>
      <c r="X427" s="3">
        <v>0</v>
      </c>
      <c r="Y427" s="5">
        <f ca="1">IF(Table1[[#This Row],[ChurnStatus]]="Cancelled",Table1[[#This Row],[CancellationDate]],TODAY())</f>
        <v>45145</v>
      </c>
      <c r="Z427" s="46">
        <f ca="1">IF(AND(Table1[[#This Row],[SubscriptionStart]] &lt;= TODAY(), Table1[[#This Row],[EffectiveEndDate]] &gt;= TODAY()),1,0)</f>
        <v>0</v>
      </c>
      <c r="AA427" s="46">
        <f ca="1">IF(AND(Table1[[#This Row],[SubscriptionStart]]&lt;=Settings!$A$2,Table1[[#This Row],[EffectiveEndDate]]&gt;=Settings!$A$2),1,0)</f>
        <v>0</v>
      </c>
      <c r="AB427" s="46">
        <f ca="1">IF(AND(Table1[[#This Row],[SubscriptionStart]]&lt;=Settings!$B$2,Table1[[#This Row],[EffectiveEndDate]]&gt;=Settings!$B$2),1,0)</f>
        <v>0</v>
      </c>
      <c r="AC427" s="46">
        <f ca="1">IF(AND(Table1[[#This Row],[SubscriptionStart]]&lt;=Settings!$C$2,Table1[[#This Row],[EffectiveEndDate]]&gt;=Settings!$C$2),1,0)</f>
        <v>0</v>
      </c>
      <c r="AD427" s="46">
        <f ca="1">IF(AND(Table1[[#This Row],[SubscriptionStart]]&lt;=Settings!$D$2,Table1[[#This Row],[EffectiveEndDate]]&gt;=Settings!$D$2),1,0)</f>
        <v>1</v>
      </c>
      <c r="AE427" s="46">
        <f ca="1">IF(AND(Table1[[#This Row],[SubscriptionStart]]&lt;=Settings!$E$2,Table1[[#This Row],[EffectiveEndDate]]&gt;=Settings!$E$2),1,0)</f>
        <v>0</v>
      </c>
      <c r="AF427"/>
      <c r="AG427"/>
      <c r="AH427"/>
      <c r="AI427"/>
      <c r="AJ427"/>
      <c r="AK427"/>
    </row>
    <row r="428" spans="1:37">
      <c r="A428" s="3" t="s">
        <v>397</v>
      </c>
      <c r="B428" s="3">
        <v>53</v>
      </c>
      <c r="C428" s="3" t="s">
        <v>23</v>
      </c>
      <c r="D428" s="5">
        <v>44966</v>
      </c>
      <c r="F428" s="3">
        <f ca="1">TODAY() - Table1[[#This Row],[SubscriptionStart]]</f>
        <v>1015</v>
      </c>
      <c r="G428" s="4">
        <v>34</v>
      </c>
      <c r="H428" s="3" t="s">
        <v>29</v>
      </c>
      <c r="I428" s="3" t="s">
        <v>30</v>
      </c>
      <c r="J428" s="7" cm="1">
        <f t="array" ref="J428">_xlfn.IFS(Table1[[#This Row],[Tier]]="Basic",10,Table1[[#This Row],[Tier]]="Standard",18,Table1[[#This Row],[Tier]]="Premium",25)</f>
        <v>10</v>
      </c>
      <c r="K428" s="7" cm="1">
        <f t="array" ref="K42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428" s="7" cm="1">
        <f t="array" ref="L42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319</v>
      </c>
      <c r="M428" s="3" t="str" cm="1">
        <f t="array" ref="M42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28" s="3" t="s">
        <v>26</v>
      </c>
      <c r="O428" s="3" t="s">
        <v>40</v>
      </c>
      <c r="Q428" s="3" t="str" cm="1">
        <f t="array" ref="Q428">_xlfn.IFS(Table1[[#This Row],[TotalRevenue]]&lt;100,"Low",Table1[[#This Row],[TotalRevenue]]&lt;300,"Medium",Table1[[#This Row],[TotalRevenue]]&lt;600,"High",TRUE,"Very High")</f>
        <v>High</v>
      </c>
      <c r="R428" s="3" t="str" cm="1">
        <f t="array" ref="R42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28" s="3" t="str">
        <f>IF(Table1[[#This Row],[NextBillingDate]]="","Cancelled",IF(Table1[[#This Row],[CancellationDate]]&lt;&gt;"","Cancelled","Active"))</f>
        <v>Active</v>
      </c>
      <c r="T428" s="7" cm="1">
        <f t="array" ref="T42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329</v>
      </c>
      <c r="V428" s="5">
        <v>45986</v>
      </c>
      <c r="W428" s="5">
        <v>45986</v>
      </c>
      <c r="X428" s="3">
        <v>33</v>
      </c>
      <c r="Y428" s="5">
        <f ca="1">IF(Table1[[#This Row],[ChurnStatus]]="Cancelled",Table1[[#This Row],[CancellationDate]],TODAY())</f>
        <v>45981</v>
      </c>
      <c r="Z428" s="46">
        <f ca="1">IF(AND(Table1[[#This Row],[SubscriptionStart]] &lt;= TODAY(), Table1[[#This Row],[EffectiveEndDate]] &gt;= TODAY()),1,0)</f>
        <v>1</v>
      </c>
      <c r="AA428" s="46">
        <f ca="1">IF(AND(Table1[[#This Row],[SubscriptionStart]]&lt;=Settings!$A$2,Table1[[#This Row],[EffectiveEndDate]]&gt;=Settings!$A$2),1,0)</f>
        <v>0</v>
      </c>
      <c r="AB428" s="46">
        <f ca="1">IF(AND(Table1[[#This Row],[SubscriptionStart]]&lt;=Settings!$B$2,Table1[[#This Row],[EffectiveEndDate]]&gt;=Settings!$B$2),1,0)</f>
        <v>0</v>
      </c>
      <c r="AC428" s="46">
        <f ca="1">IF(AND(Table1[[#This Row],[SubscriptionStart]]&lt;=Settings!$C$2,Table1[[#This Row],[EffectiveEndDate]]&gt;=Settings!$C$2),1,0)</f>
        <v>0</v>
      </c>
      <c r="AD428" s="46">
        <f ca="1">IF(AND(Table1[[#This Row],[SubscriptionStart]]&lt;=Settings!$D$2,Table1[[#This Row],[EffectiveEndDate]]&gt;=Settings!$D$2),1,0)</f>
        <v>1</v>
      </c>
      <c r="AE428" s="46">
        <f ca="1">IF(AND(Table1[[#This Row],[SubscriptionStart]]&lt;=Settings!$E$2,Table1[[#This Row],[EffectiveEndDate]]&gt;=Settings!$E$2),1,0)</f>
        <v>1</v>
      </c>
      <c r="AF428"/>
      <c r="AG428"/>
      <c r="AH428"/>
      <c r="AI428"/>
      <c r="AJ428"/>
      <c r="AK428"/>
    </row>
    <row r="429" spans="1:37">
      <c r="A429" s="3" t="s">
        <v>694</v>
      </c>
      <c r="B429" s="3">
        <v>37</v>
      </c>
      <c r="C429" s="3" t="s">
        <v>37</v>
      </c>
      <c r="D429" s="5">
        <v>44966</v>
      </c>
      <c r="F429" s="3">
        <f ca="1">TODAY() - Table1[[#This Row],[SubscriptionStart]]</f>
        <v>1015</v>
      </c>
      <c r="G429" s="4">
        <v>34</v>
      </c>
      <c r="H429" s="3" t="s">
        <v>29</v>
      </c>
      <c r="I429" s="3" t="s">
        <v>30</v>
      </c>
      <c r="J429" s="7" cm="1">
        <f t="array" ref="J429">_xlfn.IFS(Table1[[#This Row],[Tier]]="Basic",10,Table1[[#This Row],[Tier]]="Standard",18,Table1[[#This Row],[Tier]]="Premium",25)</f>
        <v>10</v>
      </c>
      <c r="K429" s="7" cm="1">
        <f t="array" ref="K42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429" s="7" cm="1">
        <f t="array" ref="L42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319</v>
      </c>
      <c r="M429" s="3" t="str" cm="1">
        <f t="array" ref="M42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29" s="3" t="s">
        <v>52</v>
      </c>
      <c r="O429" s="3" t="s">
        <v>32</v>
      </c>
      <c r="Q429" s="3" t="str" cm="1">
        <f t="array" ref="Q429">_xlfn.IFS(Table1[[#This Row],[TotalRevenue]]&lt;100,"Low",Table1[[#This Row],[TotalRevenue]]&lt;300,"Medium",Table1[[#This Row],[TotalRevenue]]&lt;600,"High",TRUE,"Very High")</f>
        <v>High</v>
      </c>
      <c r="R429" s="3" t="str" cm="1">
        <f t="array" ref="R42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29" s="3" t="str">
        <f>IF(Table1[[#This Row],[NextBillingDate]]="","Cancelled",IF(Table1[[#This Row],[CancellationDate]]&lt;&gt;"","Cancelled","Active"))</f>
        <v>Active</v>
      </c>
      <c r="T429" s="7" cm="1">
        <f t="array" ref="T42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329</v>
      </c>
      <c r="V429" s="5">
        <v>45986</v>
      </c>
      <c r="W429" s="5">
        <v>45986</v>
      </c>
      <c r="X429" s="3">
        <v>33</v>
      </c>
      <c r="Y429" s="5">
        <f ca="1">IF(Table1[[#This Row],[ChurnStatus]]="Cancelled",Table1[[#This Row],[CancellationDate]],TODAY())</f>
        <v>45981</v>
      </c>
      <c r="Z429" s="46">
        <f ca="1">IF(AND(Table1[[#This Row],[SubscriptionStart]] &lt;= TODAY(), Table1[[#This Row],[EffectiveEndDate]] &gt;= TODAY()),1,0)</f>
        <v>1</v>
      </c>
      <c r="AA429" s="46">
        <f ca="1">IF(AND(Table1[[#This Row],[SubscriptionStart]]&lt;=Settings!$A$2,Table1[[#This Row],[EffectiveEndDate]]&gt;=Settings!$A$2),1,0)</f>
        <v>0</v>
      </c>
      <c r="AB429" s="46">
        <f ca="1">IF(AND(Table1[[#This Row],[SubscriptionStart]]&lt;=Settings!$B$2,Table1[[#This Row],[EffectiveEndDate]]&gt;=Settings!$B$2),1,0)</f>
        <v>0</v>
      </c>
      <c r="AC429" s="46">
        <f ca="1">IF(AND(Table1[[#This Row],[SubscriptionStart]]&lt;=Settings!$C$2,Table1[[#This Row],[EffectiveEndDate]]&gt;=Settings!$C$2),1,0)</f>
        <v>0</v>
      </c>
      <c r="AD429" s="46">
        <f ca="1">IF(AND(Table1[[#This Row],[SubscriptionStart]]&lt;=Settings!$D$2,Table1[[#This Row],[EffectiveEndDate]]&gt;=Settings!$D$2),1,0)</f>
        <v>1</v>
      </c>
      <c r="AE429" s="46">
        <f ca="1">IF(AND(Table1[[#This Row],[SubscriptionStart]]&lt;=Settings!$E$2,Table1[[#This Row],[EffectiveEndDate]]&gt;=Settings!$E$2),1,0)</f>
        <v>1</v>
      </c>
      <c r="AF429"/>
      <c r="AG429"/>
      <c r="AH429"/>
      <c r="AI429"/>
      <c r="AJ429"/>
      <c r="AK429"/>
    </row>
    <row r="430" spans="1:37">
      <c r="A430" s="3" t="s">
        <v>671</v>
      </c>
      <c r="B430" s="3">
        <v>41</v>
      </c>
      <c r="C430" s="3" t="s">
        <v>37</v>
      </c>
      <c r="D430" s="5">
        <v>44967</v>
      </c>
      <c r="E430" s="5">
        <v>45147</v>
      </c>
      <c r="F430" s="3">
        <f ca="1">TODAY() - Table1[[#This Row],[SubscriptionStart]]</f>
        <v>1014</v>
      </c>
      <c r="G430" s="4">
        <v>6</v>
      </c>
      <c r="H430" s="3" t="s">
        <v>38</v>
      </c>
      <c r="I430" s="3" t="s">
        <v>30</v>
      </c>
      <c r="J430" s="7" cm="1">
        <f t="array" ref="J430">_xlfn.IFS(Table1[[#This Row],[Tier]]="Basic",10,Table1[[#This Row],[Tier]]="Standard",18,Table1[[#This Row],[Tier]]="Premium",25)</f>
        <v>10</v>
      </c>
      <c r="K430" s="7" cm="1">
        <f t="array" ref="K43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430" s="7" cm="1">
        <f t="array" ref="L43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430" s="3" t="str" cm="1">
        <f t="array" ref="M43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30" s="3" t="s">
        <v>26</v>
      </c>
      <c r="O430" s="3" t="s">
        <v>40</v>
      </c>
      <c r="P430" s="3" t="s">
        <v>47</v>
      </c>
      <c r="Q430" s="3" t="str" cm="1">
        <f t="array" ref="Q430">_xlfn.IFS(Table1[[#This Row],[TotalRevenue]]&lt;100,"Low",Table1[[#This Row],[TotalRevenue]]&lt;300,"Medium",Table1[[#This Row],[TotalRevenue]]&lt;600,"High",TRUE,"Very High")</f>
        <v>Low</v>
      </c>
      <c r="R430" s="3" t="str" cm="1">
        <f t="array" ref="R43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30" s="3" t="str">
        <f>IF(Table1[[#This Row],[NextBillingDate]]="","Cancelled",IF(Table1[[#This Row],[CancellationDate]]&lt;&gt;"","Cancelled","Active"))</f>
        <v>Cancelled</v>
      </c>
      <c r="T430" s="7" cm="1">
        <f t="array" ref="T43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430" s="5">
        <v>45147</v>
      </c>
      <c r="W430" s="5">
        <v>45147</v>
      </c>
      <c r="X430" s="3">
        <v>0</v>
      </c>
      <c r="Y430" s="5">
        <f ca="1">IF(Table1[[#This Row],[ChurnStatus]]="Cancelled",Table1[[#This Row],[CancellationDate]],TODAY())</f>
        <v>45147</v>
      </c>
      <c r="Z430" s="46">
        <f ca="1">IF(AND(Table1[[#This Row],[SubscriptionStart]] &lt;= TODAY(), Table1[[#This Row],[EffectiveEndDate]] &gt;= TODAY()),1,0)</f>
        <v>0</v>
      </c>
      <c r="AA430" s="46">
        <f ca="1">IF(AND(Table1[[#This Row],[SubscriptionStart]]&lt;=Settings!$A$2,Table1[[#This Row],[EffectiveEndDate]]&gt;=Settings!$A$2),1,0)</f>
        <v>0</v>
      </c>
      <c r="AB430" s="46">
        <f ca="1">IF(AND(Table1[[#This Row],[SubscriptionStart]]&lt;=Settings!$B$2,Table1[[#This Row],[EffectiveEndDate]]&gt;=Settings!$B$2),1,0)</f>
        <v>0</v>
      </c>
      <c r="AC430" s="46">
        <f ca="1">IF(AND(Table1[[#This Row],[SubscriptionStart]]&lt;=Settings!$C$2,Table1[[#This Row],[EffectiveEndDate]]&gt;=Settings!$C$2),1,0)</f>
        <v>0</v>
      </c>
      <c r="AD430" s="46">
        <f ca="1">IF(AND(Table1[[#This Row],[SubscriptionStart]]&lt;=Settings!$D$2,Table1[[#This Row],[EffectiveEndDate]]&gt;=Settings!$D$2),1,0)</f>
        <v>1</v>
      </c>
      <c r="AE430" s="46">
        <f ca="1">IF(AND(Table1[[#This Row],[SubscriptionStart]]&lt;=Settings!$E$2,Table1[[#This Row],[EffectiveEndDate]]&gt;=Settings!$E$2),1,0)</f>
        <v>0</v>
      </c>
      <c r="AF430"/>
      <c r="AG430"/>
      <c r="AH430"/>
      <c r="AI430"/>
      <c r="AJ430"/>
      <c r="AK430"/>
    </row>
    <row r="431" spans="1:37">
      <c r="A431" s="3" t="s">
        <v>813</v>
      </c>
      <c r="B431" s="3">
        <v>42</v>
      </c>
      <c r="C431" s="3" t="s">
        <v>23</v>
      </c>
      <c r="D431" s="5">
        <v>44967</v>
      </c>
      <c r="E431" s="5">
        <v>45327</v>
      </c>
      <c r="F431" s="3">
        <f ca="1">TODAY() - Table1[[#This Row],[SubscriptionStart]]</f>
        <v>1014</v>
      </c>
      <c r="G431" s="4">
        <v>12</v>
      </c>
      <c r="H431" s="3" t="s">
        <v>24</v>
      </c>
      <c r="I431" s="3" t="s">
        <v>25</v>
      </c>
      <c r="J431" s="7" cm="1">
        <f t="array" ref="J431">_xlfn.IFS(Table1[[#This Row],[Tier]]="Basic",10,Table1[[#This Row],[Tier]]="Standard",18,Table1[[#This Row],[Tier]]="Premium",25)</f>
        <v>25</v>
      </c>
      <c r="K431" s="7" cm="1">
        <f t="array" ref="K43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431" s="7" cm="1">
        <f t="array" ref="L43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431" s="3" t="str" cm="1">
        <f t="array" ref="M43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31" s="3" t="s">
        <v>52</v>
      </c>
      <c r="O431" s="3" t="s">
        <v>27</v>
      </c>
      <c r="P431" s="3" t="s">
        <v>35</v>
      </c>
      <c r="Q431" s="3" t="str" cm="1">
        <f t="array" ref="Q431">_xlfn.IFS(Table1[[#This Row],[TotalRevenue]]&lt;100,"Low",Table1[[#This Row],[TotalRevenue]]&lt;300,"Medium",Table1[[#This Row],[TotalRevenue]]&lt;600,"High",TRUE,"Very High")</f>
        <v>Medium</v>
      </c>
      <c r="R431" s="3" t="str" cm="1">
        <f t="array" ref="R43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31" s="3" t="str">
        <f>IF(Table1[[#This Row],[NextBillingDate]]="","Cancelled",IF(Table1[[#This Row],[CancellationDate]]&lt;&gt;"","Cancelled","Active"))</f>
        <v>Cancelled</v>
      </c>
      <c r="T431" s="7" cm="1">
        <f t="array" ref="T43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431" s="5">
        <v>45327</v>
      </c>
      <c r="W431" s="5">
        <v>45327</v>
      </c>
      <c r="X431" s="3">
        <v>0</v>
      </c>
      <c r="Y431" s="5">
        <f ca="1">IF(Table1[[#This Row],[ChurnStatus]]="Cancelled",Table1[[#This Row],[CancellationDate]],TODAY())</f>
        <v>45327</v>
      </c>
      <c r="Z431" s="46">
        <f ca="1">IF(AND(Table1[[#This Row],[SubscriptionStart]] &lt;= TODAY(), Table1[[#This Row],[EffectiveEndDate]] &gt;= TODAY()),1,0)</f>
        <v>0</v>
      </c>
      <c r="AA431" s="46">
        <f ca="1">IF(AND(Table1[[#This Row],[SubscriptionStart]]&lt;=Settings!$A$2,Table1[[#This Row],[EffectiveEndDate]]&gt;=Settings!$A$2),1,0)</f>
        <v>0</v>
      </c>
      <c r="AB431" s="46">
        <f ca="1">IF(AND(Table1[[#This Row],[SubscriptionStart]]&lt;=Settings!$B$2,Table1[[#This Row],[EffectiveEndDate]]&gt;=Settings!$B$2),1,0)</f>
        <v>0</v>
      </c>
      <c r="AC431" s="46">
        <f ca="1">IF(AND(Table1[[#This Row],[SubscriptionStart]]&lt;=Settings!$C$2,Table1[[#This Row],[EffectiveEndDate]]&gt;=Settings!$C$2),1,0)</f>
        <v>0</v>
      </c>
      <c r="AD431" s="46">
        <f ca="1">IF(AND(Table1[[#This Row],[SubscriptionStart]]&lt;=Settings!$D$2,Table1[[#This Row],[EffectiveEndDate]]&gt;=Settings!$D$2),1,0)</f>
        <v>1</v>
      </c>
      <c r="AE431" s="46">
        <f ca="1">IF(AND(Table1[[#This Row],[SubscriptionStart]]&lt;=Settings!$E$2,Table1[[#This Row],[EffectiveEndDate]]&gt;=Settings!$E$2),1,0)</f>
        <v>0</v>
      </c>
      <c r="AF431"/>
      <c r="AG431"/>
      <c r="AH431"/>
      <c r="AI431"/>
      <c r="AJ431"/>
      <c r="AK431"/>
    </row>
    <row r="432" spans="1:37">
      <c r="A432" s="3" t="s">
        <v>603</v>
      </c>
      <c r="B432" s="3">
        <v>56</v>
      </c>
      <c r="C432" s="3" t="s">
        <v>23</v>
      </c>
      <c r="D432" s="5">
        <v>44968</v>
      </c>
      <c r="E432" s="5">
        <v>44998</v>
      </c>
      <c r="F432" s="3">
        <f ca="1">TODAY() - Table1[[#This Row],[SubscriptionStart]]</f>
        <v>1013</v>
      </c>
      <c r="G432" s="4">
        <v>1</v>
      </c>
      <c r="H432" s="3" t="s">
        <v>29</v>
      </c>
      <c r="I432" s="3" t="s">
        <v>39</v>
      </c>
      <c r="J432" s="7" cm="1">
        <f t="array" ref="J432">_xlfn.IFS(Table1[[#This Row],[Tier]]="Basic",10,Table1[[#This Row],[Tier]]="Standard",18,Table1[[#This Row],[Tier]]="Premium",25)</f>
        <v>18</v>
      </c>
      <c r="K432" s="7" cm="1">
        <f t="array" ref="K43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432" s="7" cm="1">
        <f t="array" ref="L43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32" s="3" t="str" cm="1">
        <f t="array" ref="M432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32" s="3" t="s">
        <v>34</v>
      </c>
      <c r="O432" s="3" t="s">
        <v>40</v>
      </c>
      <c r="P432" s="3" t="s">
        <v>50</v>
      </c>
      <c r="Q432" s="3" t="str" cm="1">
        <f t="array" ref="Q432">_xlfn.IFS(Table1[[#This Row],[TotalRevenue]]&lt;100,"Low",Table1[[#This Row],[TotalRevenue]]&lt;300,"Medium",Table1[[#This Row],[TotalRevenue]]&lt;600,"High",TRUE,"Very High")</f>
        <v>Low</v>
      </c>
      <c r="R432" s="3" t="str" cm="1">
        <f t="array" ref="R43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32" s="3" t="str">
        <f>IF(Table1[[#This Row],[NextBillingDate]]="","Cancelled",IF(Table1[[#This Row],[CancellationDate]]&lt;&gt;"","Cancelled","Active"))</f>
        <v>Cancelled</v>
      </c>
      <c r="T432" s="7" cm="1">
        <f t="array" ref="T43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32" s="5">
        <v>44998</v>
      </c>
      <c r="W432" s="5">
        <v>44998</v>
      </c>
      <c r="X432" s="3">
        <v>0</v>
      </c>
      <c r="Y432" s="5">
        <f ca="1">IF(Table1[[#This Row],[ChurnStatus]]="Cancelled",Table1[[#This Row],[CancellationDate]],TODAY())</f>
        <v>44998</v>
      </c>
      <c r="Z432" s="46">
        <f ca="1">IF(AND(Table1[[#This Row],[SubscriptionStart]] &lt;= TODAY(), Table1[[#This Row],[EffectiveEndDate]] &gt;= TODAY()),1,0)</f>
        <v>0</v>
      </c>
      <c r="AA432" s="46">
        <f ca="1">IF(AND(Table1[[#This Row],[SubscriptionStart]]&lt;=Settings!$A$2,Table1[[#This Row],[EffectiveEndDate]]&gt;=Settings!$A$2),1,0)</f>
        <v>0</v>
      </c>
      <c r="AB432" s="46">
        <f ca="1">IF(AND(Table1[[#This Row],[SubscriptionStart]]&lt;=Settings!$B$2,Table1[[#This Row],[EffectiveEndDate]]&gt;=Settings!$B$2),1,0)</f>
        <v>0</v>
      </c>
      <c r="AC432" s="46">
        <f ca="1">IF(AND(Table1[[#This Row],[SubscriptionStart]]&lt;=Settings!$C$2,Table1[[#This Row],[EffectiveEndDate]]&gt;=Settings!$C$2),1,0)</f>
        <v>0</v>
      </c>
      <c r="AD432" s="46">
        <f ca="1">IF(AND(Table1[[#This Row],[SubscriptionStart]]&lt;=Settings!$D$2,Table1[[#This Row],[EffectiveEndDate]]&gt;=Settings!$D$2),1,0)</f>
        <v>0</v>
      </c>
      <c r="AE432" s="46">
        <f ca="1">IF(AND(Table1[[#This Row],[SubscriptionStart]]&lt;=Settings!$E$2,Table1[[#This Row],[EffectiveEndDate]]&gt;=Settings!$E$2),1,0)</f>
        <v>0</v>
      </c>
      <c r="AF432"/>
      <c r="AG432"/>
      <c r="AH432"/>
      <c r="AI432"/>
      <c r="AJ432"/>
      <c r="AK432"/>
    </row>
    <row r="433" spans="1:37">
      <c r="A433" s="3" t="s">
        <v>200</v>
      </c>
      <c r="B433" s="3">
        <v>39</v>
      </c>
      <c r="C433" s="3" t="s">
        <v>37</v>
      </c>
      <c r="D433" s="5">
        <v>44970</v>
      </c>
      <c r="E433" s="5">
        <v>45000</v>
      </c>
      <c r="F433" s="3">
        <f ca="1">TODAY() - Table1[[#This Row],[SubscriptionStart]]</f>
        <v>1011</v>
      </c>
      <c r="G433" s="4">
        <v>1</v>
      </c>
      <c r="H433" s="3" t="s">
        <v>29</v>
      </c>
      <c r="I433" s="3" t="s">
        <v>30</v>
      </c>
      <c r="J433" s="7" cm="1">
        <f t="array" ref="J433">_xlfn.IFS(Table1[[#This Row],[Tier]]="Basic",10,Table1[[#This Row],[Tier]]="Standard",18,Table1[[#This Row],[Tier]]="Premium",25)</f>
        <v>10</v>
      </c>
      <c r="K433" s="7" cm="1">
        <f t="array" ref="K43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433" s="7" cm="1">
        <f t="array" ref="L43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33" s="3" t="str" cm="1">
        <f t="array" ref="M43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33" s="3" t="s">
        <v>26</v>
      </c>
      <c r="O433" s="3" t="s">
        <v>32</v>
      </c>
      <c r="P433" s="3" t="s">
        <v>44</v>
      </c>
      <c r="Q433" s="3" t="str" cm="1">
        <f t="array" ref="Q433">_xlfn.IFS(Table1[[#This Row],[TotalRevenue]]&lt;100,"Low",Table1[[#This Row],[TotalRevenue]]&lt;300,"Medium",Table1[[#This Row],[TotalRevenue]]&lt;600,"High",TRUE,"Very High")</f>
        <v>Low</v>
      </c>
      <c r="R433" s="3" t="str" cm="1">
        <f t="array" ref="R43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33" s="3" t="str">
        <f>IF(Table1[[#This Row],[NextBillingDate]]="","Cancelled",IF(Table1[[#This Row],[CancellationDate]]&lt;&gt;"","Cancelled","Active"))</f>
        <v>Cancelled</v>
      </c>
      <c r="T433" s="7" cm="1">
        <f t="array" ref="T43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33" s="5">
        <v>45000</v>
      </c>
      <c r="W433" s="5">
        <v>45000</v>
      </c>
      <c r="X433" s="3">
        <v>0</v>
      </c>
      <c r="Y433" s="5">
        <f ca="1">IF(Table1[[#This Row],[ChurnStatus]]="Cancelled",Table1[[#This Row],[CancellationDate]],TODAY())</f>
        <v>45000</v>
      </c>
      <c r="Z433" s="46">
        <f ca="1">IF(AND(Table1[[#This Row],[SubscriptionStart]] &lt;= TODAY(), Table1[[#This Row],[EffectiveEndDate]] &gt;= TODAY()),1,0)</f>
        <v>0</v>
      </c>
      <c r="AA433" s="46">
        <f ca="1">IF(AND(Table1[[#This Row],[SubscriptionStart]]&lt;=Settings!$A$2,Table1[[#This Row],[EffectiveEndDate]]&gt;=Settings!$A$2),1,0)</f>
        <v>0</v>
      </c>
      <c r="AB433" s="46">
        <f ca="1">IF(AND(Table1[[#This Row],[SubscriptionStart]]&lt;=Settings!$B$2,Table1[[#This Row],[EffectiveEndDate]]&gt;=Settings!$B$2),1,0)</f>
        <v>0</v>
      </c>
      <c r="AC433" s="46">
        <f ca="1">IF(AND(Table1[[#This Row],[SubscriptionStart]]&lt;=Settings!$C$2,Table1[[#This Row],[EffectiveEndDate]]&gt;=Settings!$C$2),1,0)</f>
        <v>0</v>
      </c>
      <c r="AD433" s="46">
        <f ca="1">IF(AND(Table1[[#This Row],[SubscriptionStart]]&lt;=Settings!$D$2,Table1[[#This Row],[EffectiveEndDate]]&gt;=Settings!$D$2),1,0)</f>
        <v>0</v>
      </c>
      <c r="AE433" s="46">
        <f ca="1">IF(AND(Table1[[#This Row],[SubscriptionStart]]&lt;=Settings!$E$2,Table1[[#This Row],[EffectiveEndDate]]&gt;=Settings!$E$2),1,0)</f>
        <v>0</v>
      </c>
      <c r="AF433"/>
      <c r="AG433"/>
      <c r="AH433"/>
      <c r="AI433"/>
      <c r="AJ433"/>
      <c r="AK433"/>
    </row>
    <row r="434" spans="1:37">
      <c r="A434" s="3" t="s">
        <v>655</v>
      </c>
      <c r="B434" s="3">
        <v>39</v>
      </c>
      <c r="C434" s="3" t="s">
        <v>23</v>
      </c>
      <c r="D434" s="5">
        <v>44970</v>
      </c>
      <c r="E434" s="5">
        <v>45330</v>
      </c>
      <c r="F434" s="3">
        <f ca="1">TODAY() - Table1[[#This Row],[SubscriptionStart]]</f>
        <v>1011</v>
      </c>
      <c r="G434" s="4">
        <v>12</v>
      </c>
      <c r="H434" s="3" t="s">
        <v>24</v>
      </c>
      <c r="I434" s="3" t="s">
        <v>39</v>
      </c>
      <c r="J434" s="7" cm="1">
        <f t="array" ref="J434">_xlfn.IFS(Table1[[#This Row],[Tier]]="Basic",10,Table1[[#This Row],[Tier]]="Standard",18,Table1[[#This Row],[Tier]]="Premium",25)</f>
        <v>18</v>
      </c>
      <c r="K434" s="7" cm="1">
        <f t="array" ref="K43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434" s="7" cm="1">
        <f t="array" ref="L43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434" s="3" t="str" cm="1">
        <f t="array" ref="M43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34" s="3" t="s">
        <v>26</v>
      </c>
      <c r="O434" s="3" t="s">
        <v>43</v>
      </c>
      <c r="P434" s="3" t="s">
        <v>41</v>
      </c>
      <c r="Q434" s="3" t="str" cm="1">
        <f t="array" ref="Q434">_xlfn.IFS(Table1[[#This Row],[TotalRevenue]]&lt;100,"Low",Table1[[#This Row],[TotalRevenue]]&lt;300,"Medium",Table1[[#This Row],[TotalRevenue]]&lt;600,"High",TRUE,"Very High")</f>
        <v>Medium</v>
      </c>
      <c r="R434" s="3" t="str" cm="1">
        <f t="array" ref="R43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34" s="3" t="str">
        <f>IF(Table1[[#This Row],[NextBillingDate]]="","Cancelled",IF(Table1[[#This Row],[CancellationDate]]&lt;&gt;"","Cancelled","Active"))</f>
        <v>Cancelled</v>
      </c>
      <c r="T434" s="7" cm="1">
        <f t="array" ref="T43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434" s="5">
        <v>45330</v>
      </c>
      <c r="W434" s="5">
        <v>45330</v>
      </c>
      <c r="X434" s="3">
        <v>0</v>
      </c>
      <c r="Y434" s="5">
        <f ca="1">IF(Table1[[#This Row],[ChurnStatus]]="Cancelled",Table1[[#This Row],[CancellationDate]],TODAY())</f>
        <v>45330</v>
      </c>
      <c r="Z434" s="46">
        <f ca="1">IF(AND(Table1[[#This Row],[SubscriptionStart]] &lt;= TODAY(), Table1[[#This Row],[EffectiveEndDate]] &gt;= TODAY()),1,0)</f>
        <v>0</v>
      </c>
      <c r="AA434" s="46">
        <f ca="1">IF(AND(Table1[[#This Row],[SubscriptionStart]]&lt;=Settings!$A$2,Table1[[#This Row],[EffectiveEndDate]]&gt;=Settings!$A$2),1,0)</f>
        <v>0</v>
      </c>
      <c r="AB434" s="46">
        <f ca="1">IF(AND(Table1[[#This Row],[SubscriptionStart]]&lt;=Settings!$B$2,Table1[[#This Row],[EffectiveEndDate]]&gt;=Settings!$B$2),1,0)</f>
        <v>0</v>
      </c>
      <c r="AC434" s="46">
        <f ca="1">IF(AND(Table1[[#This Row],[SubscriptionStart]]&lt;=Settings!$C$2,Table1[[#This Row],[EffectiveEndDate]]&gt;=Settings!$C$2),1,0)</f>
        <v>0</v>
      </c>
      <c r="AD434" s="46">
        <f ca="1">IF(AND(Table1[[#This Row],[SubscriptionStart]]&lt;=Settings!$D$2,Table1[[#This Row],[EffectiveEndDate]]&gt;=Settings!$D$2),1,0)</f>
        <v>1</v>
      </c>
      <c r="AE434" s="46">
        <f ca="1">IF(AND(Table1[[#This Row],[SubscriptionStart]]&lt;=Settings!$E$2,Table1[[#This Row],[EffectiveEndDate]]&gt;=Settings!$E$2),1,0)</f>
        <v>0</v>
      </c>
      <c r="AF434"/>
      <c r="AG434"/>
      <c r="AH434"/>
      <c r="AI434"/>
      <c r="AJ434"/>
      <c r="AK434"/>
    </row>
    <row r="435" spans="1:37">
      <c r="A435" s="3" t="s">
        <v>167</v>
      </c>
      <c r="B435" s="3">
        <v>41</v>
      </c>
      <c r="C435" s="3" t="s">
        <v>23</v>
      </c>
      <c r="D435" s="5">
        <v>44971</v>
      </c>
      <c r="E435" s="5">
        <v>45331</v>
      </c>
      <c r="F435" s="3">
        <f ca="1">TODAY() - Table1[[#This Row],[SubscriptionStart]]</f>
        <v>1010</v>
      </c>
      <c r="G435" s="4">
        <v>12</v>
      </c>
      <c r="H435" s="3" t="s">
        <v>24</v>
      </c>
      <c r="I435" s="3" t="s">
        <v>30</v>
      </c>
      <c r="J435" s="7" cm="1">
        <f t="array" ref="J435">_xlfn.IFS(Table1[[#This Row],[Tier]]="Basic",10,Table1[[#This Row],[Tier]]="Standard",18,Table1[[#This Row],[Tier]]="Premium",25)</f>
        <v>10</v>
      </c>
      <c r="K435" s="7" cm="1">
        <f t="array" ref="K43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435" s="7" cm="1">
        <f t="array" ref="L43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435" s="3" t="str" cm="1">
        <f t="array" ref="M43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35" s="3" t="s">
        <v>31</v>
      </c>
      <c r="O435" s="3" t="s">
        <v>49</v>
      </c>
      <c r="P435" s="3" t="s">
        <v>47</v>
      </c>
      <c r="Q435" s="3" t="str" cm="1">
        <f t="array" ref="Q435">_xlfn.IFS(Table1[[#This Row],[TotalRevenue]]&lt;100,"Low",Table1[[#This Row],[TotalRevenue]]&lt;300,"Medium",Table1[[#This Row],[TotalRevenue]]&lt;600,"High",TRUE,"Very High")</f>
        <v>Low</v>
      </c>
      <c r="R435" s="3" t="str" cm="1">
        <f t="array" ref="R43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35" s="3" t="str">
        <f>IF(Table1[[#This Row],[NextBillingDate]]="","Cancelled",IF(Table1[[#This Row],[CancellationDate]]&lt;&gt;"","Cancelled","Active"))</f>
        <v>Cancelled</v>
      </c>
      <c r="T435" s="7" cm="1">
        <f t="array" ref="T43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435" s="5">
        <v>45331</v>
      </c>
      <c r="W435" s="5">
        <v>45331</v>
      </c>
      <c r="X435" s="3">
        <v>0</v>
      </c>
      <c r="Y435" s="5">
        <f ca="1">IF(Table1[[#This Row],[ChurnStatus]]="Cancelled",Table1[[#This Row],[CancellationDate]],TODAY())</f>
        <v>45331</v>
      </c>
      <c r="Z435" s="46">
        <f ca="1">IF(AND(Table1[[#This Row],[SubscriptionStart]] &lt;= TODAY(), Table1[[#This Row],[EffectiveEndDate]] &gt;= TODAY()),1,0)</f>
        <v>0</v>
      </c>
      <c r="AA435" s="46">
        <f ca="1">IF(AND(Table1[[#This Row],[SubscriptionStart]]&lt;=Settings!$A$2,Table1[[#This Row],[EffectiveEndDate]]&gt;=Settings!$A$2),1,0)</f>
        <v>0</v>
      </c>
      <c r="AB435" s="46">
        <f ca="1">IF(AND(Table1[[#This Row],[SubscriptionStart]]&lt;=Settings!$B$2,Table1[[#This Row],[EffectiveEndDate]]&gt;=Settings!$B$2),1,0)</f>
        <v>0</v>
      </c>
      <c r="AC435" s="46">
        <f ca="1">IF(AND(Table1[[#This Row],[SubscriptionStart]]&lt;=Settings!$C$2,Table1[[#This Row],[EffectiveEndDate]]&gt;=Settings!$C$2),1,0)</f>
        <v>0</v>
      </c>
      <c r="AD435" s="46">
        <f ca="1">IF(AND(Table1[[#This Row],[SubscriptionStart]]&lt;=Settings!$D$2,Table1[[#This Row],[EffectiveEndDate]]&gt;=Settings!$D$2),1,0)</f>
        <v>1</v>
      </c>
      <c r="AE435" s="46">
        <f ca="1">IF(AND(Table1[[#This Row],[SubscriptionStart]]&lt;=Settings!$E$2,Table1[[#This Row],[EffectiveEndDate]]&gt;=Settings!$E$2),1,0)</f>
        <v>0</v>
      </c>
      <c r="AF435"/>
      <c r="AG435"/>
      <c r="AH435"/>
      <c r="AI435"/>
      <c r="AJ435"/>
      <c r="AK435"/>
    </row>
    <row r="436" spans="1:37">
      <c r="A436" s="3" t="s">
        <v>835</v>
      </c>
      <c r="B436" s="3">
        <v>58</v>
      </c>
      <c r="C436" s="3" t="s">
        <v>37</v>
      </c>
      <c r="D436" s="5">
        <v>44971</v>
      </c>
      <c r="E436" s="5">
        <v>45331</v>
      </c>
      <c r="F436" s="3">
        <f ca="1">TODAY() - Table1[[#This Row],[SubscriptionStart]]</f>
        <v>1010</v>
      </c>
      <c r="G436" s="4">
        <v>12</v>
      </c>
      <c r="H436" s="3" t="s">
        <v>24</v>
      </c>
      <c r="I436" s="3" t="s">
        <v>39</v>
      </c>
      <c r="J436" s="7" cm="1">
        <f t="array" ref="J436">_xlfn.IFS(Table1[[#This Row],[Tier]]="Basic",10,Table1[[#This Row],[Tier]]="Standard",18,Table1[[#This Row],[Tier]]="Premium",25)</f>
        <v>18</v>
      </c>
      <c r="K436" s="7" cm="1">
        <f t="array" ref="K43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436" s="7" cm="1">
        <f t="array" ref="L43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436" s="3" t="str" cm="1">
        <f t="array" ref="M436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36" s="3" t="s">
        <v>31</v>
      </c>
      <c r="O436" s="3" t="s">
        <v>32</v>
      </c>
      <c r="P436" s="3" t="s">
        <v>44</v>
      </c>
      <c r="Q436" s="3" t="str" cm="1">
        <f t="array" ref="Q436">_xlfn.IFS(Table1[[#This Row],[TotalRevenue]]&lt;100,"Low",Table1[[#This Row],[TotalRevenue]]&lt;300,"Medium",Table1[[#This Row],[TotalRevenue]]&lt;600,"High",TRUE,"Very High")</f>
        <v>Medium</v>
      </c>
      <c r="R436" s="3" t="str" cm="1">
        <f t="array" ref="R43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36" s="3" t="str">
        <f>IF(Table1[[#This Row],[NextBillingDate]]="","Cancelled",IF(Table1[[#This Row],[CancellationDate]]&lt;&gt;"","Cancelled","Active"))</f>
        <v>Cancelled</v>
      </c>
      <c r="T436" s="7" cm="1">
        <f t="array" ref="T43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436" s="5">
        <v>45331</v>
      </c>
      <c r="W436" s="5">
        <v>45331</v>
      </c>
      <c r="X436" s="3">
        <v>0</v>
      </c>
      <c r="Y436" s="5">
        <f ca="1">IF(Table1[[#This Row],[ChurnStatus]]="Cancelled",Table1[[#This Row],[CancellationDate]],TODAY())</f>
        <v>45331</v>
      </c>
      <c r="Z436" s="46">
        <f ca="1">IF(AND(Table1[[#This Row],[SubscriptionStart]] &lt;= TODAY(), Table1[[#This Row],[EffectiveEndDate]] &gt;= TODAY()),1,0)</f>
        <v>0</v>
      </c>
      <c r="AA436" s="46">
        <f ca="1">IF(AND(Table1[[#This Row],[SubscriptionStart]]&lt;=Settings!$A$2,Table1[[#This Row],[EffectiveEndDate]]&gt;=Settings!$A$2),1,0)</f>
        <v>0</v>
      </c>
      <c r="AB436" s="46">
        <f ca="1">IF(AND(Table1[[#This Row],[SubscriptionStart]]&lt;=Settings!$B$2,Table1[[#This Row],[EffectiveEndDate]]&gt;=Settings!$B$2),1,0)</f>
        <v>0</v>
      </c>
      <c r="AC436" s="46">
        <f ca="1">IF(AND(Table1[[#This Row],[SubscriptionStart]]&lt;=Settings!$C$2,Table1[[#This Row],[EffectiveEndDate]]&gt;=Settings!$C$2),1,0)</f>
        <v>0</v>
      </c>
      <c r="AD436" s="46">
        <f ca="1">IF(AND(Table1[[#This Row],[SubscriptionStart]]&lt;=Settings!$D$2,Table1[[#This Row],[EffectiveEndDate]]&gt;=Settings!$D$2),1,0)</f>
        <v>1</v>
      </c>
      <c r="AE436" s="46">
        <f ca="1">IF(AND(Table1[[#This Row],[SubscriptionStart]]&lt;=Settings!$E$2,Table1[[#This Row],[EffectiveEndDate]]&gt;=Settings!$E$2),1,0)</f>
        <v>0</v>
      </c>
      <c r="AF436"/>
      <c r="AG436"/>
      <c r="AH436"/>
      <c r="AI436"/>
      <c r="AJ436"/>
      <c r="AK436"/>
    </row>
    <row r="437" spans="1:37">
      <c r="A437" s="3" t="s">
        <v>57</v>
      </c>
      <c r="B437" s="3">
        <v>31</v>
      </c>
      <c r="C437" s="3" t="s">
        <v>37</v>
      </c>
      <c r="D437" s="5">
        <v>44971</v>
      </c>
      <c r="F437" s="3">
        <f ca="1">TODAY() - Table1[[#This Row],[SubscriptionStart]]</f>
        <v>1010</v>
      </c>
      <c r="G437" s="4">
        <v>36</v>
      </c>
      <c r="H437" s="3" t="s">
        <v>24</v>
      </c>
      <c r="I437" s="3" t="s">
        <v>30</v>
      </c>
      <c r="J437" s="7" cm="1">
        <f t="array" ref="J437">_xlfn.IFS(Table1[[#This Row],[Tier]]="Basic",10,Table1[[#This Row],[Tier]]="Standard",18,Table1[[#This Row],[Tier]]="Premium",25)</f>
        <v>10</v>
      </c>
      <c r="K437" s="7" cm="1">
        <f t="array" ref="K43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437" s="7" cm="1">
        <f t="array" ref="L43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232</v>
      </c>
      <c r="M437" s="3" t="str" cm="1">
        <f t="array" ref="M43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37" s="3" t="s">
        <v>31</v>
      </c>
      <c r="O437" s="3" t="s">
        <v>43</v>
      </c>
      <c r="Q437" s="3" t="str" cm="1">
        <f t="array" ref="Q437">_xlfn.IFS(Table1[[#This Row],[TotalRevenue]]&lt;100,"Low",Table1[[#This Row],[TotalRevenue]]&lt;300,"Medium",Table1[[#This Row],[TotalRevenue]]&lt;600,"High",TRUE,"Very High")</f>
        <v>Medium</v>
      </c>
      <c r="R437" s="3" t="str" cm="1">
        <f t="array" ref="R43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37" s="3" t="str">
        <f>IF(Table1[[#This Row],[NextBillingDate]]="","Cancelled",IF(Table1[[#This Row],[CancellationDate]]&lt;&gt;"","Cancelled","Active"))</f>
        <v>Active</v>
      </c>
      <c r="T437" s="7" cm="1">
        <f t="array" ref="T43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312</v>
      </c>
      <c r="V437" s="5">
        <v>46051</v>
      </c>
      <c r="W437" s="5">
        <v>46051</v>
      </c>
      <c r="X437" s="3">
        <v>2</v>
      </c>
      <c r="Y437" s="5">
        <f ca="1">IF(Table1[[#This Row],[ChurnStatus]]="Cancelled",Table1[[#This Row],[CancellationDate]],TODAY())</f>
        <v>45981</v>
      </c>
      <c r="Z437" s="46">
        <f ca="1">IF(AND(Table1[[#This Row],[SubscriptionStart]] &lt;= TODAY(), Table1[[#This Row],[EffectiveEndDate]] &gt;= TODAY()),1,0)</f>
        <v>1</v>
      </c>
      <c r="AA437" s="46">
        <f ca="1">IF(AND(Table1[[#This Row],[SubscriptionStart]]&lt;=Settings!$A$2,Table1[[#This Row],[EffectiveEndDate]]&gt;=Settings!$A$2),1,0)</f>
        <v>0</v>
      </c>
      <c r="AB437" s="46">
        <f ca="1">IF(AND(Table1[[#This Row],[SubscriptionStart]]&lt;=Settings!$B$2,Table1[[#This Row],[EffectiveEndDate]]&gt;=Settings!$B$2),1,0)</f>
        <v>0</v>
      </c>
      <c r="AC437" s="46">
        <f ca="1">IF(AND(Table1[[#This Row],[SubscriptionStart]]&lt;=Settings!$C$2,Table1[[#This Row],[EffectiveEndDate]]&gt;=Settings!$C$2),1,0)</f>
        <v>0</v>
      </c>
      <c r="AD437" s="46">
        <f ca="1">IF(AND(Table1[[#This Row],[SubscriptionStart]]&lt;=Settings!$D$2,Table1[[#This Row],[EffectiveEndDate]]&gt;=Settings!$D$2),1,0)</f>
        <v>1</v>
      </c>
      <c r="AE437" s="46">
        <f ca="1">IF(AND(Table1[[#This Row],[SubscriptionStart]]&lt;=Settings!$E$2,Table1[[#This Row],[EffectiveEndDate]]&gt;=Settings!$E$2),1,0)</f>
        <v>1</v>
      </c>
      <c r="AF437"/>
      <c r="AG437"/>
      <c r="AH437"/>
      <c r="AI437"/>
      <c r="AJ437"/>
      <c r="AK437"/>
    </row>
    <row r="438" spans="1:37">
      <c r="A438" s="3" t="s">
        <v>600</v>
      </c>
      <c r="B438" s="3">
        <v>23</v>
      </c>
      <c r="C438" s="3" t="s">
        <v>23</v>
      </c>
      <c r="D438" s="5">
        <v>44972</v>
      </c>
      <c r="E438" s="5">
        <v>45332</v>
      </c>
      <c r="F438" s="3">
        <f ca="1">TODAY() - Table1[[#This Row],[SubscriptionStart]]</f>
        <v>1009</v>
      </c>
      <c r="G438" s="4">
        <v>12</v>
      </c>
      <c r="H438" s="3" t="s">
        <v>24</v>
      </c>
      <c r="I438" s="3" t="s">
        <v>25</v>
      </c>
      <c r="J438" s="7" cm="1">
        <f t="array" ref="J438">_xlfn.IFS(Table1[[#This Row],[Tier]]="Basic",10,Table1[[#This Row],[Tier]]="Standard",18,Table1[[#This Row],[Tier]]="Premium",25)</f>
        <v>25</v>
      </c>
      <c r="K438" s="7" cm="1">
        <f t="array" ref="K43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438" s="7" cm="1">
        <f t="array" ref="L43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438" s="3" t="str" cm="1">
        <f t="array" ref="M438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438" s="3" t="s">
        <v>31</v>
      </c>
      <c r="O438" s="3" t="s">
        <v>43</v>
      </c>
      <c r="P438" s="3" t="s">
        <v>47</v>
      </c>
      <c r="Q438" s="3" t="str" cm="1">
        <f t="array" ref="Q438">_xlfn.IFS(Table1[[#This Row],[TotalRevenue]]&lt;100,"Low",Table1[[#This Row],[TotalRevenue]]&lt;300,"Medium",Table1[[#This Row],[TotalRevenue]]&lt;600,"High",TRUE,"Very High")</f>
        <v>Medium</v>
      </c>
      <c r="R438" s="3" t="str" cm="1">
        <f t="array" ref="R438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438" s="3" t="str">
        <f>IF(Table1[[#This Row],[NextBillingDate]]="","Cancelled",IF(Table1[[#This Row],[CancellationDate]]&lt;&gt;"","Cancelled","Active"))</f>
        <v>Cancelled</v>
      </c>
      <c r="T438" s="7" cm="1">
        <f t="array" ref="T43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438" s="5">
        <v>45332</v>
      </c>
      <c r="W438" s="5">
        <v>45332</v>
      </c>
      <c r="X438" s="3">
        <v>0</v>
      </c>
      <c r="Y438" s="5">
        <f ca="1">IF(Table1[[#This Row],[ChurnStatus]]="Cancelled",Table1[[#This Row],[CancellationDate]],TODAY())</f>
        <v>45332</v>
      </c>
      <c r="Z438" s="46">
        <f ca="1">IF(AND(Table1[[#This Row],[SubscriptionStart]] &lt;= TODAY(), Table1[[#This Row],[EffectiveEndDate]] &gt;= TODAY()),1,0)</f>
        <v>0</v>
      </c>
      <c r="AA438" s="46">
        <f ca="1">IF(AND(Table1[[#This Row],[SubscriptionStart]]&lt;=Settings!$A$2,Table1[[#This Row],[EffectiveEndDate]]&gt;=Settings!$A$2),1,0)</f>
        <v>0</v>
      </c>
      <c r="AB438" s="46">
        <f ca="1">IF(AND(Table1[[#This Row],[SubscriptionStart]]&lt;=Settings!$B$2,Table1[[#This Row],[EffectiveEndDate]]&gt;=Settings!$B$2),1,0)</f>
        <v>0</v>
      </c>
      <c r="AC438" s="46">
        <f ca="1">IF(AND(Table1[[#This Row],[SubscriptionStart]]&lt;=Settings!$C$2,Table1[[#This Row],[EffectiveEndDate]]&gt;=Settings!$C$2),1,0)</f>
        <v>0</v>
      </c>
      <c r="AD438" s="46">
        <f ca="1">IF(AND(Table1[[#This Row],[SubscriptionStart]]&lt;=Settings!$D$2,Table1[[#This Row],[EffectiveEndDate]]&gt;=Settings!$D$2),1,0)</f>
        <v>1</v>
      </c>
      <c r="AE438" s="46">
        <f ca="1">IF(AND(Table1[[#This Row],[SubscriptionStart]]&lt;=Settings!$E$2,Table1[[#This Row],[EffectiveEndDate]]&gt;=Settings!$E$2),1,0)</f>
        <v>0</v>
      </c>
      <c r="AF438"/>
      <c r="AG438"/>
      <c r="AH438"/>
      <c r="AI438"/>
      <c r="AJ438"/>
      <c r="AK438"/>
    </row>
    <row r="439" spans="1:37">
      <c r="A439" s="3" t="s">
        <v>523</v>
      </c>
      <c r="B439" s="3">
        <v>50</v>
      </c>
      <c r="C439" s="3" t="s">
        <v>37</v>
      </c>
      <c r="D439" s="5">
        <v>44977</v>
      </c>
      <c r="E439" s="5">
        <v>45337</v>
      </c>
      <c r="F439" s="3">
        <f ca="1">TODAY() - Table1[[#This Row],[SubscriptionStart]]</f>
        <v>1004</v>
      </c>
      <c r="G439" s="4">
        <v>12</v>
      </c>
      <c r="H439" s="3" t="s">
        <v>24</v>
      </c>
      <c r="I439" s="3" t="s">
        <v>39</v>
      </c>
      <c r="J439" s="7" cm="1">
        <f t="array" ref="J439">_xlfn.IFS(Table1[[#This Row],[Tier]]="Basic",10,Table1[[#This Row],[Tier]]="Standard",18,Table1[[#This Row],[Tier]]="Premium",25)</f>
        <v>18</v>
      </c>
      <c r="K439" s="7" cm="1">
        <f t="array" ref="K43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439" s="7" cm="1">
        <f t="array" ref="L43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439" s="3" t="str" cm="1">
        <f t="array" ref="M439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39" s="3" t="s">
        <v>34</v>
      </c>
      <c r="O439" s="3" t="s">
        <v>40</v>
      </c>
      <c r="P439" s="3" t="s">
        <v>44</v>
      </c>
      <c r="Q439" s="3" t="str" cm="1">
        <f t="array" ref="Q439">_xlfn.IFS(Table1[[#This Row],[TotalRevenue]]&lt;100,"Low",Table1[[#This Row],[TotalRevenue]]&lt;300,"Medium",Table1[[#This Row],[TotalRevenue]]&lt;600,"High",TRUE,"Very High")</f>
        <v>Medium</v>
      </c>
      <c r="R439" s="3" t="str" cm="1">
        <f t="array" ref="R43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39" s="3" t="str">
        <f>IF(Table1[[#This Row],[NextBillingDate]]="","Cancelled",IF(Table1[[#This Row],[CancellationDate]]&lt;&gt;"","Cancelled","Active"))</f>
        <v>Cancelled</v>
      </c>
      <c r="T439" s="7" cm="1">
        <f t="array" ref="T43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439" s="5">
        <v>45337</v>
      </c>
      <c r="W439" s="5">
        <v>45337</v>
      </c>
      <c r="X439" s="3">
        <v>0</v>
      </c>
      <c r="Y439" s="5">
        <f ca="1">IF(Table1[[#This Row],[ChurnStatus]]="Cancelled",Table1[[#This Row],[CancellationDate]],TODAY())</f>
        <v>45337</v>
      </c>
      <c r="Z439" s="46">
        <f ca="1">IF(AND(Table1[[#This Row],[SubscriptionStart]] &lt;= TODAY(), Table1[[#This Row],[EffectiveEndDate]] &gt;= TODAY()),1,0)</f>
        <v>0</v>
      </c>
      <c r="AA439" s="46">
        <f ca="1">IF(AND(Table1[[#This Row],[SubscriptionStart]]&lt;=Settings!$A$2,Table1[[#This Row],[EffectiveEndDate]]&gt;=Settings!$A$2),1,0)</f>
        <v>0</v>
      </c>
      <c r="AB439" s="46">
        <f ca="1">IF(AND(Table1[[#This Row],[SubscriptionStart]]&lt;=Settings!$B$2,Table1[[#This Row],[EffectiveEndDate]]&gt;=Settings!$B$2),1,0)</f>
        <v>0</v>
      </c>
      <c r="AC439" s="46">
        <f ca="1">IF(AND(Table1[[#This Row],[SubscriptionStart]]&lt;=Settings!$C$2,Table1[[#This Row],[EffectiveEndDate]]&gt;=Settings!$C$2),1,0)</f>
        <v>0</v>
      </c>
      <c r="AD439" s="46">
        <f ca="1">IF(AND(Table1[[#This Row],[SubscriptionStart]]&lt;=Settings!$D$2,Table1[[#This Row],[EffectiveEndDate]]&gt;=Settings!$D$2),1,0)</f>
        <v>1</v>
      </c>
      <c r="AE439" s="46">
        <f ca="1">IF(AND(Table1[[#This Row],[SubscriptionStart]]&lt;=Settings!$E$2,Table1[[#This Row],[EffectiveEndDate]]&gt;=Settings!$E$2),1,0)</f>
        <v>0</v>
      </c>
      <c r="AF439"/>
      <c r="AG439"/>
      <c r="AH439"/>
      <c r="AI439"/>
      <c r="AJ439"/>
      <c r="AK439"/>
    </row>
    <row r="440" spans="1:37">
      <c r="A440" s="3" t="s">
        <v>215</v>
      </c>
      <c r="B440" s="3">
        <v>34</v>
      </c>
      <c r="C440" s="3" t="s">
        <v>37</v>
      </c>
      <c r="D440" s="5">
        <v>44977</v>
      </c>
      <c r="F440" s="3">
        <f ca="1">TODAY() - Table1[[#This Row],[SubscriptionStart]]</f>
        <v>1004</v>
      </c>
      <c r="G440" s="4">
        <v>34</v>
      </c>
      <c r="H440" s="3" t="s">
        <v>29</v>
      </c>
      <c r="I440" s="3" t="s">
        <v>25</v>
      </c>
      <c r="J440" s="7" cm="1">
        <f t="array" ref="J440">_xlfn.IFS(Table1[[#This Row],[Tier]]="Basic",10,Table1[[#This Row],[Tier]]="Standard",18,Table1[[#This Row],[Tier]]="Premium",25)</f>
        <v>25</v>
      </c>
      <c r="K440" s="7" cm="1">
        <f t="array" ref="K44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440" s="7" cm="1">
        <f t="array" ref="L44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797.5</v>
      </c>
      <c r="M440" s="3" t="str" cm="1">
        <f t="array" ref="M44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40" s="3" t="s">
        <v>26</v>
      </c>
      <c r="O440" s="3" t="s">
        <v>40</v>
      </c>
      <c r="Q440" s="3" t="str" cm="1">
        <f t="array" ref="Q440">_xlfn.IFS(Table1[[#This Row],[TotalRevenue]]&lt;100,"Low",Table1[[#This Row],[TotalRevenue]]&lt;300,"Medium",Table1[[#This Row],[TotalRevenue]]&lt;600,"High",TRUE,"Very High")</f>
        <v>Very High</v>
      </c>
      <c r="R440" s="3" t="str" cm="1">
        <f t="array" ref="R44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40" s="3" t="str">
        <f>IF(Table1[[#This Row],[NextBillingDate]]="","Cancelled",IF(Table1[[#This Row],[CancellationDate]]&lt;&gt;"","Cancelled","Active"))</f>
        <v>Active</v>
      </c>
      <c r="T440" s="7" cm="1">
        <f t="array" ref="T44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822.5</v>
      </c>
      <c r="V440" s="5">
        <v>45997</v>
      </c>
      <c r="W440" s="5">
        <v>45997</v>
      </c>
      <c r="X440" s="3">
        <v>33</v>
      </c>
      <c r="Y440" s="5">
        <f ca="1">IF(Table1[[#This Row],[ChurnStatus]]="Cancelled",Table1[[#This Row],[CancellationDate]],TODAY())</f>
        <v>45981</v>
      </c>
      <c r="Z440" s="46">
        <f ca="1">IF(AND(Table1[[#This Row],[SubscriptionStart]] &lt;= TODAY(), Table1[[#This Row],[EffectiveEndDate]] &gt;= TODAY()),1,0)</f>
        <v>1</v>
      </c>
      <c r="AA440" s="46">
        <f ca="1">IF(AND(Table1[[#This Row],[SubscriptionStart]]&lt;=Settings!$A$2,Table1[[#This Row],[EffectiveEndDate]]&gt;=Settings!$A$2),1,0)</f>
        <v>0</v>
      </c>
      <c r="AB440" s="46">
        <f ca="1">IF(AND(Table1[[#This Row],[SubscriptionStart]]&lt;=Settings!$B$2,Table1[[#This Row],[EffectiveEndDate]]&gt;=Settings!$B$2),1,0)</f>
        <v>0</v>
      </c>
      <c r="AC440" s="46">
        <f ca="1">IF(AND(Table1[[#This Row],[SubscriptionStart]]&lt;=Settings!$C$2,Table1[[#This Row],[EffectiveEndDate]]&gt;=Settings!$C$2),1,0)</f>
        <v>0</v>
      </c>
      <c r="AD440" s="46">
        <f ca="1">IF(AND(Table1[[#This Row],[SubscriptionStart]]&lt;=Settings!$D$2,Table1[[#This Row],[EffectiveEndDate]]&gt;=Settings!$D$2),1,0)</f>
        <v>1</v>
      </c>
      <c r="AE440" s="46">
        <f ca="1">IF(AND(Table1[[#This Row],[SubscriptionStart]]&lt;=Settings!$E$2,Table1[[#This Row],[EffectiveEndDate]]&gt;=Settings!$E$2),1,0)</f>
        <v>1</v>
      </c>
      <c r="AF440"/>
      <c r="AG440"/>
      <c r="AH440"/>
      <c r="AI440"/>
      <c r="AJ440"/>
      <c r="AK440"/>
    </row>
    <row r="441" spans="1:37">
      <c r="A441" s="3" t="s">
        <v>255</v>
      </c>
      <c r="B441" s="3">
        <v>27</v>
      </c>
      <c r="C441" s="3" t="s">
        <v>37</v>
      </c>
      <c r="D441" s="5">
        <v>44978</v>
      </c>
      <c r="E441" s="5">
        <v>45158</v>
      </c>
      <c r="F441" s="3">
        <f ca="1">TODAY() - Table1[[#This Row],[SubscriptionStart]]</f>
        <v>1003</v>
      </c>
      <c r="G441" s="4">
        <v>6</v>
      </c>
      <c r="H441" s="3" t="s">
        <v>38</v>
      </c>
      <c r="I441" s="3" t="s">
        <v>25</v>
      </c>
      <c r="J441" s="7" cm="1">
        <f t="array" ref="J441">_xlfn.IFS(Table1[[#This Row],[Tier]]="Basic",10,Table1[[#This Row],[Tier]]="Standard",18,Table1[[#This Row],[Tier]]="Premium",25)</f>
        <v>25</v>
      </c>
      <c r="K441" s="7" cm="1">
        <f t="array" ref="K44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441" s="7" cm="1">
        <f t="array" ref="L44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441" s="3" t="str" cm="1">
        <f t="array" ref="M44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41" s="3" t="s">
        <v>26</v>
      </c>
      <c r="O441" s="3" t="s">
        <v>27</v>
      </c>
      <c r="P441" s="3" t="s">
        <v>47</v>
      </c>
      <c r="Q441" s="3" t="str" cm="1">
        <f t="array" ref="Q441">_xlfn.IFS(Table1[[#This Row],[TotalRevenue]]&lt;100,"Low",Table1[[#This Row],[TotalRevenue]]&lt;300,"Medium",Table1[[#This Row],[TotalRevenue]]&lt;600,"High",TRUE,"Very High")</f>
        <v>Medium</v>
      </c>
      <c r="R441" s="3" t="str" cm="1">
        <f t="array" ref="R44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41" s="3" t="str">
        <f>IF(Table1[[#This Row],[NextBillingDate]]="","Cancelled",IF(Table1[[#This Row],[CancellationDate]]&lt;&gt;"","Cancelled","Active"))</f>
        <v>Cancelled</v>
      </c>
      <c r="T441" s="7" cm="1">
        <f t="array" ref="T44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441" s="5">
        <v>45158</v>
      </c>
      <c r="W441" s="5">
        <v>45158</v>
      </c>
      <c r="X441" s="3">
        <v>0</v>
      </c>
      <c r="Y441" s="5">
        <f ca="1">IF(Table1[[#This Row],[ChurnStatus]]="Cancelled",Table1[[#This Row],[CancellationDate]],TODAY())</f>
        <v>45158</v>
      </c>
      <c r="Z441" s="46">
        <f ca="1">IF(AND(Table1[[#This Row],[SubscriptionStart]] &lt;= TODAY(), Table1[[#This Row],[EffectiveEndDate]] &gt;= TODAY()),1,0)</f>
        <v>0</v>
      </c>
      <c r="AA441" s="46">
        <f ca="1">IF(AND(Table1[[#This Row],[SubscriptionStart]]&lt;=Settings!$A$2,Table1[[#This Row],[EffectiveEndDate]]&gt;=Settings!$A$2),1,0)</f>
        <v>0</v>
      </c>
      <c r="AB441" s="46">
        <f ca="1">IF(AND(Table1[[#This Row],[SubscriptionStart]]&lt;=Settings!$B$2,Table1[[#This Row],[EffectiveEndDate]]&gt;=Settings!$B$2),1,0)</f>
        <v>0</v>
      </c>
      <c r="AC441" s="46">
        <f ca="1">IF(AND(Table1[[#This Row],[SubscriptionStart]]&lt;=Settings!$C$2,Table1[[#This Row],[EffectiveEndDate]]&gt;=Settings!$C$2),1,0)</f>
        <v>0</v>
      </c>
      <c r="AD441" s="46">
        <f ca="1">IF(AND(Table1[[#This Row],[SubscriptionStart]]&lt;=Settings!$D$2,Table1[[#This Row],[EffectiveEndDate]]&gt;=Settings!$D$2),1,0)</f>
        <v>1</v>
      </c>
      <c r="AE441" s="46">
        <f ca="1">IF(AND(Table1[[#This Row],[SubscriptionStart]]&lt;=Settings!$E$2,Table1[[#This Row],[EffectiveEndDate]]&gt;=Settings!$E$2),1,0)</f>
        <v>0</v>
      </c>
      <c r="AF441"/>
      <c r="AG441"/>
      <c r="AH441"/>
      <c r="AI441"/>
      <c r="AJ441"/>
      <c r="AK441"/>
    </row>
    <row r="442" spans="1:37">
      <c r="A442" s="3" t="s">
        <v>303</v>
      </c>
      <c r="B442" s="3">
        <v>30</v>
      </c>
      <c r="C442" s="3" t="s">
        <v>23</v>
      </c>
      <c r="D442" s="5">
        <v>44979</v>
      </c>
      <c r="E442" s="5">
        <v>45009</v>
      </c>
      <c r="F442" s="3">
        <f ca="1">TODAY() - Table1[[#This Row],[SubscriptionStart]]</f>
        <v>1002</v>
      </c>
      <c r="G442" s="4">
        <v>1</v>
      </c>
      <c r="H442" s="3" t="s">
        <v>29</v>
      </c>
      <c r="I442" s="3" t="s">
        <v>25</v>
      </c>
      <c r="J442" s="7" cm="1">
        <f t="array" ref="J442">_xlfn.IFS(Table1[[#This Row],[Tier]]="Basic",10,Table1[[#This Row],[Tier]]="Standard",18,Table1[[#This Row],[Tier]]="Premium",25)</f>
        <v>25</v>
      </c>
      <c r="K442" s="7" cm="1">
        <f t="array" ref="K44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442" s="7" cm="1">
        <f t="array" ref="L44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42" s="3" t="str" cm="1">
        <f t="array" ref="M44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42" s="3" t="s">
        <v>26</v>
      </c>
      <c r="O442" s="3" t="s">
        <v>27</v>
      </c>
      <c r="P442" s="3" t="s">
        <v>50</v>
      </c>
      <c r="Q442" s="3" t="str" cm="1">
        <f t="array" ref="Q442">_xlfn.IFS(Table1[[#This Row],[TotalRevenue]]&lt;100,"Low",Table1[[#This Row],[TotalRevenue]]&lt;300,"Medium",Table1[[#This Row],[TotalRevenue]]&lt;600,"High",TRUE,"Very High")</f>
        <v>Low</v>
      </c>
      <c r="R442" s="3" t="str" cm="1">
        <f t="array" ref="R44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42" s="3" t="str">
        <f>IF(Table1[[#This Row],[NextBillingDate]]="","Cancelled",IF(Table1[[#This Row],[CancellationDate]]&lt;&gt;"","Cancelled","Active"))</f>
        <v>Cancelled</v>
      </c>
      <c r="T442" s="7" cm="1">
        <f t="array" ref="T44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42" s="5">
        <v>45009</v>
      </c>
      <c r="W442" s="5">
        <v>45009</v>
      </c>
      <c r="X442" s="3">
        <v>0</v>
      </c>
      <c r="Y442" s="5">
        <f ca="1">IF(Table1[[#This Row],[ChurnStatus]]="Cancelled",Table1[[#This Row],[CancellationDate]],TODAY())</f>
        <v>45009</v>
      </c>
      <c r="Z442" s="46">
        <f ca="1">IF(AND(Table1[[#This Row],[SubscriptionStart]] &lt;= TODAY(), Table1[[#This Row],[EffectiveEndDate]] &gt;= TODAY()),1,0)</f>
        <v>0</v>
      </c>
      <c r="AA442" s="46">
        <f ca="1">IF(AND(Table1[[#This Row],[SubscriptionStart]]&lt;=Settings!$A$2,Table1[[#This Row],[EffectiveEndDate]]&gt;=Settings!$A$2),1,0)</f>
        <v>0</v>
      </c>
      <c r="AB442" s="46">
        <f ca="1">IF(AND(Table1[[#This Row],[SubscriptionStart]]&lt;=Settings!$B$2,Table1[[#This Row],[EffectiveEndDate]]&gt;=Settings!$B$2),1,0)</f>
        <v>0</v>
      </c>
      <c r="AC442" s="46">
        <f ca="1">IF(AND(Table1[[#This Row],[SubscriptionStart]]&lt;=Settings!$C$2,Table1[[#This Row],[EffectiveEndDate]]&gt;=Settings!$C$2),1,0)</f>
        <v>0</v>
      </c>
      <c r="AD442" s="46">
        <f ca="1">IF(AND(Table1[[#This Row],[SubscriptionStart]]&lt;=Settings!$D$2,Table1[[#This Row],[EffectiveEndDate]]&gt;=Settings!$D$2),1,0)</f>
        <v>0</v>
      </c>
      <c r="AE442" s="46">
        <f ca="1">IF(AND(Table1[[#This Row],[SubscriptionStart]]&lt;=Settings!$E$2,Table1[[#This Row],[EffectiveEndDate]]&gt;=Settings!$E$2),1,0)</f>
        <v>0</v>
      </c>
      <c r="AF442"/>
      <c r="AG442"/>
      <c r="AH442"/>
      <c r="AI442"/>
      <c r="AJ442"/>
      <c r="AK442"/>
    </row>
    <row r="443" spans="1:37">
      <c r="A443" s="3" t="s">
        <v>659</v>
      </c>
      <c r="B443" s="3">
        <v>26</v>
      </c>
      <c r="C443" s="3" t="s">
        <v>23</v>
      </c>
      <c r="D443" s="5">
        <v>44983</v>
      </c>
      <c r="E443" s="5">
        <v>45343</v>
      </c>
      <c r="F443" s="3">
        <f ca="1">TODAY() - Table1[[#This Row],[SubscriptionStart]]</f>
        <v>998</v>
      </c>
      <c r="G443" s="4">
        <v>12</v>
      </c>
      <c r="H443" s="3" t="s">
        <v>24</v>
      </c>
      <c r="I443" s="3" t="s">
        <v>25</v>
      </c>
      <c r="J443" s="7" cm="1">
        <f t="array" ref="J443">_xlfn.IFS(Table1[[#This Row],[Tier]]="Basic",10,Table1[[#This Row],[Tier]]="Standard",18,Table1[[#This Row],[Tier]]="Premium",25)</f>
        <v>25</v>
      </c>
      <c r="K443" s="7" cm="1">
        <f t="array" ref="K44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443" s="7" cm="1">
        <f t="array" ref="L44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443" s="3" t="str" cm="1">
        <f t="array" ref="M44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43" s="3" t="s">
        <v>31</v>
      </c>
      <c r="O443" s="3" t="s">
        <v>27</v>
      </c>
      <c r="P443" s="3" t="s">
        <v>50</v>
      </c>
      <c r="Q443" s="3" t="str" cm="1">
        <f t="array" ref="Q443">_xlfn.IFS(Table1[[#This Row],[TotalRevenue]]&lt;100,"Low",Table1[[#This Row],[TotalRevenue]]&lt;300,"Medium",Table1[[#This Row],[TotalRevenue]]&lt;600,"High",TRUE,"Very High")</f>
        <v>Medium</v>
      </c>
      <c r="R443" s="3" t="str" cm="1">
        <f t="array" ref="R44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43" s="3" t="str">
        <f>IF(Table1[[#This Row],[NextBillingDate]]="","Cancelled",IF(Table1[[#This Row],[CancellationDate]]&lt;&gt;"","Cancelled","Active"))</f>
        <v>Cancelled</v>
      </c>
      <c r="T443" s="7" cm="1">
        <f t="array" ref="T44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443" s="5">
        <v>45343</v>
      </c>
      <c r="W443" s="5">
        <v>45343</v>
      </c>
      <c r="X443" s="3">
        <v>0</v>
      </c>
      <c r="Y443" s="5">
        <f ca="1">IF(Table1[[#This Row],[ChurnStatus]]="Cancelled",Table1[[#This Row],[CancellationDate]],TODAY())</f>
        <v>45343</v>
      </c>
      <c r="Z443" s="46">
        <f ca="1">IF(AND(Table1[[#This Row],[SubscriptionStart]] &lt;= TODAY(), Table1[[#This Row],[EffectiveEndDate]] &gt;= TODAY()),1,0)</f>
        <v>0</v>
      </c>
      <c r="AA443" s="46">
        <f ca="1">IF(AND(Table1[[#This Row],[SubscriptionStart]]&lt;=Settings!$A$2,Table1[[#This Row],[EffectiveEndDate]]&gt;=Settings!$A$2),1,0)</f>
        <v>0</v>
      </c>
      <c r="AB443" s="46">
        <f ca="1">IF(AND(Table1[[#This Row],[SubscriptionStart]]&lt;=Settings!$B$2,Table1[[#This Row],[EffectiveEndDate]]&gt;=Settings!$B$2),1,0)</f>
        <v>0</v>
      </c>
      <c r="AC443" s="46">
        <f ca="1">IF(AND(Table1[[#This Row],[SubscriptionStart]]&lt;=Settings!$C$2,Table1[[#This Row],[EffectiveEndDate]]&gt;=Settings!$C$2),1,0)</f>
        <v>0</v>
      </c>
      <c r="AD443" s="46">
        <f ca="1">IF(AND(Table1[[#This Row],[SubscriptionStart]]&lt;=Settings!$D$2,Table1[[#This Row],[EffectiveEndDate]]&gt;=Settings!$D$2),1,0)</f>
        <v>1</v>
      </c>
      <c r="AE443" s="46">
        <f ca="1">IF(AND(Table1[[#This Row],[SubscriptionStart]]&lt;=Settings!$E$2,Table1[[#This Row],[EffectiveEndDate]]&gt;=Settings!$E$2),1,0)</f>
        <v>0</v>
      </c>
      <c r="AF443"/>
      <c r="AG443"/>
      <c r="AH443"/>
      <c r="AI443"/>
      <c r="AJ443"/>
      <c r="AK443"/>
    </row>
    <row r="444" spans="1:37">
      <c r="A444" s="3" t="s">
        <v>589</v>
      </c>
      <c r="B444" s="3">
        <v>19</v>
      </c>
      <c r="C444" s="3" t="s">
        <v>23</v>
      </c>
      <c r="D444" s="5">
        <v>44984</v>
      </c>
      <c r="F444" s="3">
        <f ca="1">TODAY() - Table1[[#This Row],[SubscriptionStart]]</f>
        <v>997</v>
      </c>
      <c r="G444" s="4">
        <v>34</v>
      </c>
      <c r="H444" s="3" t="s">
        <v>29</v>
      </c>
      <c r="I444" s="3" t="s">
        <v>39</v>
      </c>
      <c r="J444" s="7" cm="1">
        <f t="array" ref="J444">_xlfn.IFS(Table1[[#This Row],[Tier]]="Basic",10,Table1[[#This Row],[Tier]]="Standard",18,Table1[[#This Row],[Tier]]="Premium",25)</f>
        <v>18</v>
      </c>
      <c r="K444" s="7" cm="1">
        <f t="array" ref="K44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444" s="7" cm="1">
        <f t="array" ref="L44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574.20000000000005</v>
      </c>
      <c r="M444" s="3" t="str" cm="1">
        <f t="array" ref="M444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444" s="3" t="s">
        <v>52</v>
      </c>
      <c r="O444" s="3" t="s">
        <v>32</v>
      </c>
      <c r="Q444" s="3" t="str" cm="1">
        <f t="array" ref="Q444">_xlfn.IFS(Table1[[#This Row],[TotalRevenue]]&lt;100,"Low",Table1[[#This Row],[TotalRevenue]]&lt;300,"Medium",Table1[[#This Row],[TotalRevenue]]&lt;600,"High",TRUE,"Very High")</f>
        <v>High</v>
      </c>
      <c r="R444" s="3" t="str" cm="1">
        <f t="array" ref="R444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444" s="3" t="str">
        <f>IF(Table1[[#This Row],[NextBillingDate]]="","Cancelled",IF(Table1[[#This Row],[CancellationDate]]&lt;&gt;"","Cancelled","Active"))</f>
        <v>Active</v>
      </c>
      <c r="T444" s="7" cm="1">
        <f t="array" ref="T44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592.20000000000005</v>
      </c>
      <c r="V444" s="5">
        <v>46004</v>
      </c>
      <c r="W444" s="5">
        <v>46004</v>
      </c>
      <c r="X444" s="3">
        <v>33</v>
      </c>
      <c r="Y444" s="5">
        <f ca="1">IF(Table1[[#This Row],[ChurnStatus]]="Cancelled",Table1[[#This Row],[CancellationDate]],TODAY())</f>
        <v>45981</v>
      </c>
      <c r="Z444" s="46">
        <f ca="1">IF(AND(Table1[[#This Row],[SubscriptionStart]] &lt;= TODAY(), Table1[[#This Row],[EffectiveEndDate]] &gt;= TODAY()),1,0)</f>
        <v>1</v>
      </c>
      <c r="AA444" s="46">
        <f ca="1">IF(AND(Table1[[#This Row],[SubscriptionStart]]&lt;=Settings!$A$2,Table1[[#This Row],[EffectiveEndDate]]&gt;=Settings!$A$2),1,0)</f>
        <v>0</v>
      </c>
      <c r="AB444" s="46">
        <f ca="1">IF(AND(Table1[[#This Row],[SubscriptionStart]]&lt;=Settings!$B$2,Table1[[#This Row],[EffectiveEndDate]]&gt;=Settings!$B$2),1,0)</f>
        <v>0</v>
      </c>
      <c r="AC444" s="46">
        <f ca="1">IF(AND(Table1[[#This Row],[SubscriptionStart]]&lt;=Settings!$C$2,Table1[[#This Row],[EffectiveEndDate]]&gt;=Settings!$C$2),1,0)</f>
        <v>0</v>
      </c>
      <c r="AD444" s="46">
        <f ca="1">IF(AND(Table1[[#This Row],[SubscriptionStart]]&lt;=Settings!$D$2,Table1[[#This Row],[EffectiveEndDate]]&gt;=Settings!$D$2),1,0)</f>
        <v>1</v>
      </c>
      <c r="AE444" s="46">
        <f ca="1">IF(AND(Table1[[#This Row],[SubscriptionStart]]&lt;=Settings!$E$2,Table1[[#This Row],[EffectiveEndDate]]&gt;=Settings!$E$2),1,0)</f>
        <v>1</v>
      </c>
      <c r="AF444"/>
      <c r="AG444"/>
      <c r="AH444"/>
      <c r="AI444"/>
      <c r="AJ444"/>
      <c r="AK444"/>
    </row>
    <row r="445" spans="1:37">
      <c r="A445" s="3" t="s">
        <v>113</v>
      </c>
      <c r="B445" s="3">
        <v>29</v>
      </c>
      <c r="C445" s="3" t="s">
        <v>23</v>
      </c>
      <c r="D445" s="5">
        <v>44985</v>
      </c>
      <c r="E445" s="5">
        <v>45345</v>
      </c>
      <c r="F445" s="3">
        <f ca="1">TODAY() - Table1[[#This Row],[SubscriptionStart]]</f>
        <v>996</v>
      </c>
      <c r="G445" s="4">
        <v>12</v>
      </c>
      <c r="H445" s="3" t="s">
        <v>24</v>
      </c>
      <c r="I445" s="3" t="s">
        <v>30</v>
      </c>
      <c r="J445" s="7" cm="1">
        <f t="array" ref="J445">_xlfn.IFS(Table1[[#This Row],[Tier]]="Basic",10,Table1[[#This Row],[Tier]]="Standard",18,Table1[[#This Row],[Tier]]="Premium",25)</f>
        <v>10</v>
      </c>
      <c r="K445" s="7" cm="1">
        <f t="array" ref="K44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445" s="7" cm="1">
        <f t="array" ref="L44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445" s="3" t="str" cm="1">
        <f t="array" ref="M44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45" s="3" t="s">
        <v>31</v>
      </c>
      <c r="O445" s="3" t="s">
        <v>40</v>
      </c>
      <c r="P445" s="3" t="s">
        <v>50</v>
      </c>
      <c r="Q445" s="3" t="str" cm="1">
        <f t="array" ref="Q445">_xlfn.IFS(Table1[[#This Row],[TotalRevenue]]&lt;100,"Low",Table1[[#This Row],[TotalRevenue]]&lt;300,"Medium",Table1[[#This Row],[TotalRevenue]]&lt;600,"High",TRUE,"Very High")</f>
        <v>Low</v>
      </c>
      <c r="R445" s="3" t="str" cm="1">
        <f t="array" ref="R44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45" s="3" t="str">
        <f>IF(Table1[[#This Row],[NextBillingDate]]="","Cancelled",IF(Table1[[#This Row],[CancellationDate]]&lt;&gt;"","Cancelled","Active"))</f>
        <v>Cancelled</v>
      </c>
      <c r="T445" s="7" cm="1">
        <f t="array" ref="T44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445" s="5">
        <v>45345</v>
      </c>
      <c r="W445" s="5">
        <v>45345</v>
      </c>
      <c r="X445" s="3">
        <v>0</v>
      </c>
      <c r="Y445" s="5">
        <f ca="1">IF(Table1[[#This Row],[ChurnStatus]]="Cancelled",Table1[[#This Row],[CancellationDate]],TODAY())</f>
        <v>45345</v>
      </c>
      <c r="Z445" s="46">
        <f ca="1">IF(AND(Table1[[#This Row],[SubscriptionStart]] &lt;= TODAY(), Table1[[#This Row],[EffectiveEndDate]] &gt;= TODAY()),1,0)</f>
        <v>0</v>
      </c>
      <c r="AA445" s="46">
        <f ca="1">IF(AND(Table1[[#This Row],[SubscriptionStart]]&lt;=Settings!$A$2,Table1[[#This Row],[EffectiveEndDate]]&gt;=Settings!$A$2),1,0)</f>
        <v>0</v>
      </c>
      <c r="AB445" s="46">
        <f ca="1">IF(AND(Table1[[#This Row],[SubscriptionStart]]&lt;=Settings!$B$2,Table1[[#This Row],[EffectiveEndDate]]&gt;=Settings!$B$2),1,0)</f>
        <v>0</v>
      </c>
      <c r="AC445" s="46">
        <f ca="1">IF(AND(Table1[[#This Row],[SubscriptionStart]]&lt;=Settings!$C$2,Table1[[#This Row],[EffectiveEndDate]]&gt;=Settings!$C$2),1,0)</f>
        <v>0</v>
      </c>
      <c r="AD445" s="46">
        <f ca="1">IF(AND(Table1[[#This Row],[SubscriptionStart]]&lt;=Settings!$D$2,Table1[[#This Row],[EffectiveEndDate]]&gt;=Settings!$D$2),1,0)</f>
        <v>1</v>
      </c>
      <c r="AE445" s="46">
        <f ca="1">IF(AND(Table1[[#This Row],[SubscriptionStart]]&lt;=Settings!$E$2,Table1[[#This Row],[EffectiveEndDate]]&gt;=Settings!$E$2),1,0)</f>
        <v>0</v>
      </c>
      <c r="AF445"/>
      <c r="AG445"/>
      <c r="AH445"/>
      <c r="AI445"/>
      <c r="AJ445"/>
      <c r="AK445"/>
    </row>
    <row r="446" spans="1:37">
      <c r="A446" s="3" t="s">
        <v>157</v>
      </c>
      <c r="B446" s="3">
        <v>40</v>
      </c>
      <c r="C446" s="3" t="s">
        <v>37</v>
      </c>
      <c r="D446" s="5">
        <v>44985</v>
      </c>
      <c r="E446" s="5">
        <v>45345</v>
      </c>
      <c r="F446" s="3">
        <f ca="1">TODAY() - Table1[[#This Row],[SubscriptionStart]]</f>
        <v>996</v>
      </c>
      <c r="G446" s="4">
        <v>12</v>
      </c>
      <c r="H446" s="3" t="s">
        <v>24</v>
      </c>
      <c r="I446" s="3" t="s">
        <v>25</v>
      </c>
      <c r="J446" s="7" cm="1">
        <f t="array" ref="J446">_xlfn.IFS(Table1[[#This Row],[Tier]]="Basic",10,Table1[[#This Row],[Tier]]="Standard",18,Table1[[#This Row],[Tier]]="Premium",25)</f>
        <v>25</v>
      </c>
      <c r="K446" s="7" cm="1">
        <f t="array" ref="K44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446" s="7" cm="1">
        <f t="array" ref="L44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446" s="3" t="str" cm="1">
        <f t="array" ref="M44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46" s="3" t="s">
        <v>52</v>
      </c>
      <c r="O446" s="3" t="s">
        <v>43</v>
      </c>
      <c r="P446" s="3" t="s">
        <v>50</v>
      </c>
      <c r="Q446" s="3" t="str" cm="1">
        <f t="array" ref="Q446">_xlfn.IFS(Table1[[#This Row],[TotalRevenue]]&lt;100,"Low",Table1[[#This Row],[TotalRevenue]]&lt;300,"Medium",Table1[[#This Row],[TotalRevenue]]&lt;600,"High",TRUE,"Very High")</f>
        <v>Medium</v>
      </c>
      <c r="R446" s="3" t="str" cm="1">
        <f t="array" ref="R44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46" s="3" t="str">
        <f>IF(Table1[[#This Row],[NextBillingDate]]="","Cancelled",IF(Table1[[#This Row],[CancellationDate]]&lt;&gt;"","Cancelled","Active"))</f>
        <v>Cancelled</v>
      </c>
      <c r="T446" s="7" cm="1">
        <f t="array" ref="T44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446" s="5">
        <v>45345</v>
      </c>
      <c r="W446" s="5">
        <v>45345</v>
      </c>
      <c r="X446" s="3">
        <v>0</v>
      </c>
      <c r="Y446" s="5">
        <f ca="1">IF(Table1[[#This Row],[ChurnStatus]]="Cancelled",Table1[[#This Row],[CancellationDate]],TODAY())</f>
        <v>45345</v>
      </c>
      <c r="Z446" s="46">
        <f ca="1">IF(AND(Table1[[#This Row],[SubscriptionStart]] &lt;= TODAY(), Table1[[#This Row],[EffectiveEndDate]] &gt;= TODAY()),1,0)</f>
        <v>0</v>
      </c>
      <c r="AA446" s="46">
        <f ca="1">IF(AND(Table1[[#This Row],[SubscriptionStart]]&lt;=Settings!$A$2,Table1[[#This Row],[EffectiveEndDate]]&gt;=Settings!$A$2),1,0)</f>
        <v>0</v>
      </c>
      <c r="AB446" s="46">
        <f ca="1">IF(AND(Table1[[#This Row],[SubscriptionStart]]&lt;=Settings!$B$2,Table1[[#This Row],[EffectiveEndDate]]&gt;=Settings!$B$2),1,0)</f>
        <v>0</v>
      </c>
      <c r="AC446" s="46">
        <f ca="1">IF(AND(Table1[[#This Row],[SubscriptionStart]]&lt;=Settings!$C$2,Table1[[#This Row],[EffectiveEndDate]]&gt;=Settings!$C$2),1,0)</f>
        <v>0</v>
      </c>
      <c r="AD446" s="46">
        <f ca="1">IF(AND(Table1[[#This Row],[SubscriptionStart]]&lt;=Settings!$D$2,Table1[[#This Row],[EffectiveEndDate]]&gt;=Settings!$D$2),1,0)</f>
        <v>1</v>
      </c>
      <c r="AE446" s="46">
        <f ca="1">IF(AND(Table1[[#This Row],[SubscriptionStart]]&lt;=Settings!$E$2,Table1[[#This Row],[EffectiveEndDate]]&gt;=Settings!$E$2),1,0)</f>
        <v>0</v>
      </c>
      <c r="AF446"/>
      <c r="AG446"/>
      <c r="AH446"/>
      <c r="AI446"/>
      <c r="AJ446"/>
      <c r="AK446"/>
    </row>
    <row r="447" spans="1:37">
      <c r="A447" s="3" t="s">
        <v>532</v>
      </c>
      <c r="B447" s="3">
        <v>73</v>
      </c>
      <c r="C447" s="3" t="s">
        <v>23</v>
      </c>
      <c r="D447" s="5">
        <v>44985</v>
      </c>
      <c r="F447" s="3">
        <f ca="1">TODAY() - Table1[[#This Row],[SubscriptionStart]]</f>
        <v>996</v>
      </c>
      <c r="G447" s="4">
        <v>36</v>
      </c>
      <c r="H447" s="3" t="s">
        <v>38</v>
      </c>
      <c r="I447" s="3" t="s">
        <v>30</v>
      </c>
      <c r="J447" s="7" cm="1">
        <f t="array" ref="J447">_xlfn.IFS(Table1[[#This Row],[Tier]]="Basic",10,Table1[[#This Row],[Tier]]="Standard",18,Table1[[#This Row],[Tier]]="Premium",25)</f>
        <v>10</v>
      </c>
      <c r="K447" s="7" cm="1">
        <f t="array" ref="K44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447" s="7" cm="1">
        <f t="array" ref="L44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261</v>
      </c>
      <c r="M447" s="3" t="str" cm="1">
        <f t="array" ref="M447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447" s="3" t="s">
        <v>34</v>
      </c>
      <c r="O447" s="3" t="s">
        <v>40</v>
      </c>
      <c r="Q447" s="3" t="str" cm="1">
        <f t="array" ref="Q447">_xlfn.IFS(Table1[[#This Row],[TotalRevenue]]&lt;100,"Low",Table1[[#This Row],[TotalRevenue]]&lt;300,"Medium",Table1[[#This Row],[TotalRevenue]]&lt;600,"High",TRUE,"Very High")</f>
        <v>Medium</v>
      </c>
      <c r="R447" s="3" t="str" cm="1">
        <f t="array" ref="R447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447" s="3" t="str">
        <f>IF(Table1[[#This Row],[NextBillingDate]]="","Cancelled",IF(Table1[[#This Row],[CancellationDate]]&lt;&gt;"","Cancelled","Active"))</f>
        <v>Active</v>
      </c>
      <c r="T447" s="7" cm="1">
        <f t="array" ref="T44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306</v>
      </c>
      <c r="V447" s="5">
        <v>46065</v>
      </c>
      <c r="W447" s="5">
        <v>46065</v>
      </c>
      <c r="X447" s="3">
        <v>5</v>
      </c>
      <c r="Y447" s="5">
        <f ca="1">IF(Table1[[#This Row],[ChurnStatus]]="Cancelled",Table1[[#This Row],[CancellationDate]],TODAY())</f>
        <v>45981</v>
      </c>
      <c r="Z447" s="46">
        <f ca="1">IF(AND(Table1[[#This Row],[SubscriptionStart]] &lt;= TODAY(), Table1[[#This Row],[EffectiveEndDate]] &gt;= TODAY()),1,0)</f>
        <v>1</v>
      </c>
      <c r="AA447" s="46">
        <f ca="1">IF(AND(Table1[[#This Row],[SubscriptionStart]]&lt;=Settings!$A$2,Table1[[#This Row],[EffectiveEndDate]]&gt;=Settings!$A$2),1,0)</f>
        <v>0</v>
      </c>
      <c r="AB447" s="46">
        <f ca="1">IF(AND(Table1[[#This Row],[SubscriptionStart]]&lt;=Settings!$B$2,Table1[[#This Row],[EffectiveEndDate]]&gt;=Settings!$B$2),1,0)</f>
        <v>0</v>
      </c>
      <c r="AC447" s="46">
        <f ca="1">IF(AND(Table1[[#This Row],[SubscriptionStart]]&lt;=Settings!$C$2,Table1[[#This Row],[EffectiveEndDate]]&gt;=Settings!$C$2),1,0)</f>
        <v>0</v>
      </c>
      <c r="AD447" s="46">
        <f ca="1">IF(AND(Table1[[#This Row],[SubscriptionStart]]&lt;=Settings!$D$2,Table1[[#This Row],[EffectiveEndDate]]&gt;=Settings!$D$2),1,0)</f>
        <v>1</v>
      </c>
      <c r="AE447" s="46">
        <f ca="1">IF(AND(Table1[[#This Row],[SubscriptionStart]]&lt;=Settings!$E$2,Table1[[#This Row],[EffectiveEndDate]]&gt;=Settings!$E$2),1,0)</f>
        <v>1</v>
      </c>
      <c r="AF447"/>
      <c r="AG447"/>
      <c r="AH447"/>
      <c r="AI447"/>
      <c r="AJ447"/>
      <c r="AK447"/>
    </row>
    <row r="448" spans="1:37">
      <c r="A448" s="3" t="s">
        <v>581</v>
      </c>
      <c r="B448" s="3">
        <v>67</v>
      </c>
      <c r="C448" s="3" t="s">
        <v>23</v>
      </c>
      <c r="D448" s="5">
        <v>44987</v>
      </c>
      <c r="E448" s="5">
        <v>45347</v>
      </c>
      <c r="F448" s="3">
        <f ca="1">TODAY() - Table1[[#This Row],[SubscriptionStart]]</f>
        <v>994</v>
      </c>
      <c r="G448" s="4">
        <v>12</v>
      </c>
      <c r="H448" s="3" t="s">
        <v>24</v>
      </c>
      <c r="I448" s="3" t="s">
        <v>39</v>
      </c>
      <c r="J448" s="7" cm="1">
        <f t="array" ref="J448">_xlfn.IFS(Table1[[#This Row],[Tier]]="Basic",10,Table1[[#This Row],[Tier]]="Standard",18,Table1[[#This Row],[Tier]]="Premium",25)</f>
        <v>18</v>
      </c>
      <c r="K448" s="7" cm="1">
        <f t="array" ref="K44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448" s="7" cm="1">
        <f t="array" ref="L44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448" s="3" t="str" cm="1">
        <f t="array" ref="M448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48" s="3" t="s">
        <v>34</v>
      </c>
      <c r="O448" s="3" t="s">
        <v>49</v>
      </c>
      <c r="P448" s="3" t="s">
        <v>41</v>
      </c>
      <c r="Q448" s="3" t="str" cm="1">
        <f t="array" ref="Q448">_xlfn.IFS(Table1[[#This Row],[TotalRevenue]]&lt;100,"Low",Table1[[#This Row],[TotalRevenue]]&lt;300,"Medium",Table1[[#This Row],[TotalRevenue]]&lt;600,"High",TRUE,"Very High")</f>
        <v>Medium</v>
      </c>
      <c r="R448" s="3" t="str" cm="1">
        <f t="array" ref="R448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448" s="3" t="str">
        <f>IF(Table1[[#This Row],[NextBillingDate]]="","Cancelled",IF(Table1[[#This Row],[CancellationDate]]&lt;&gt;"","Cancelled","Active"))</f>
        <v>Cancelled</v>
      </c>
      <c r="T448" s="7" cm="1">
        <f t="array" ref="T44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448" s="5">
        <v>45347</v>
      </c>
      <c r="W448" s="5">
        <v>45347</v>
      </c>
      <c r="X448" s="3">
        <v>0</v>
      </c>
      <c r="Y448" s="5">
        <f ca="1">IF(Table1[[#This Row],[ChurnStatus]]="Cancelled",Table1[[#This Row],[CancellationDate]],TODAY())</f>
        <v>45347</v>
      </c>
      <c r="Z448" s="46">
        <f ca="1">IF(AND(Table1[[#This Row],[SubscriptionStart]] &lt;= TODAY(), Table1[[#This Row],[EffectiveEndDate]] &gt;= TODAY()),1,0)</f>
        <v>0</v>
      </c>
      <c r="AA448" s="46">
        <f ca="1">IF(AND(Table1[[#This Row],[SubscriptionStart]]&lt;=Settings!$A$2,Table1[[#This Row],[EffectiveEndDate]]&gt;=Settings!$A$2),1,0)</f>
        <v>0</v>
      </c>
      <c r="AB448" s="46">
        <f ca="1">IF(AND(Table1[[#This Row],[SubscriptionStart]]&lt;=Settings!$B$2,Table1[[#This Row],[EffectiveEndDate]]&gt;=Settings!$B$2),1,0)</f>
        <v>0</v>
      </c>
      <c r="AC448" s="46">
        <f ca="1">IF(AND(Table1[[#This Row],[SubscriptionStart]]&lt;=Settings!$C$2,Table1[[#This Row],[EffectiveEndDate]]&gt;=Settings!$C$2),1,0)</f>
        <v>0</v>
      </c>
      <c r="AD448" s="46">
        <f ca="1">IF(AND(Table1[[#This Row],[SubscriptionStart]]&lt;=Settings!$D$2,Table1[[#This Row],[EffectiveEndDate]]&gt;=Settings!$D$2),1,0)</f>
        <v>1</v>
      </c>
      <c r="AE448" s="46">
        <f ca="1">IF(AND(Table1[[#This Row],[SubscriptionStart]]&lt;=Settings!$E$2,Table1[[#This Row],[EffectiveEndDate]]&gt;=Settings!$E$2),1,0)</f>
        <v>0</v>
      </c>
      <c r="AF448"/>
      <c r="AG448"/>
      <c r="AH448"/>
      <c r="AI448"/>
      <c r="AJ448"/>
      <c r="AK448"/>
    </row>
    <row r="449" spans="1:37">
      <c r="A449" s="3" t="s">
        <v>383</v>
      </c>
      <c r="B449" s="3">
        <v>32</v>
      </c>
      <c r="C449" s="3" t="s">
        <v>37</v>
      </c>
      <c r="D449" s="5">
        <v>44988</v>
      </c>
      <c r="E449" s="5">
        <v>45018</v>
      </c>
      <c r="F449" s="3">
        <f ca="1">TODAY() - Table1[[#This Row],[SubscriptionStart]]</f>
        <v>993</v>
      </c>
      <c r="G449" s="4">
        <v>1</v>
      </c>
      <c r="H449" s="3" t="s">
        <v>29</v>
      </c>
      <c r="I449" s="3" t="s">
        <v>30</v>
      </c>
      <c r="J449" s="7" cm="1">
        <f t="array" ref="J449">_xlfn.IFS(Table1[[#This Row],[Tier]]="Basic",10,Table1[[#This Row],[Tier]]="Standard",18,Table1[[#This Row],[Tier]]="Premium",25)</f>
        <v>10</v>
      </c>
      <c r="K449" s="7" cm="1">
        <f t="array" ref="K44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449" s="7" cm="1">
        <f t="array" ref="L44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49" s="3" t="str" cm="1">
        <f t="array" ref="M44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49" s="3" t="s">
        <v>26</v>
      </c>
      <c r="O449" s="3" t="s">
        <v>43</v>
      </c>
      <c r="P449" s="3" t="s">
        <v>50</v>
      </c>
      <c r="Q449" s="3" t="str" cm="1">
        <f t="array" ref="Q449">_xlfn.IFS(Table1[[#This Row],[TotalRevenue]]&lt;100,"Low",Table1[[#This Row],[TotalRevenue]]&lt;300,"Medium",Table1[[#This Row],[TotalRevenue]]&lt;600,"High",TRUE,"Very High")</f>
        <v>Low</v>
      </c>
      <c r="R449" s="3" t="str" cm="1">
        <f t="array" ref="R44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49" s="3" t="str">
        <f>IF(Table1[[#This Row],[NextBillingDate]]="","Cancelled",IF(Table1[[#This Row],[CancellationDate]]&lt;&gt;"","Cancelled","Active"))</f>
        <v>Cancelled</v>
      </c>
      <c r="T449" s="7" cm="1">
        <f t="array" ref="T44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49" s="5">
        <v>45018</v>
      </c>
      <c r="W449" s="5">
        <v>45018</v>
      </c>
      <c r="X449" s="3">
        <v>0</v>
      </c>
      <c r="Y449" s="5">
        <f ca="1">IF(Table1[[#This Row],[ChurnStatus]]="Cancelled",Table1[[#This Row],[CancellationDate]],TODAY())</f>
        <v>45018</v>
      </c>
      <c r="Z449" s="46">
        <f ca="1">IF(AND(Table1[[#This Row],[SubscriptionStart]] &lt;= TODAY(), Table1[[#This Row],[EffectiveEndDate]] &gt;= TODAY()),1,0)</f>
        <v>0</v>
      </c>
      <c r="AA449" s="46">
        <f ca="1">IF(AND(Table1[[#This Row],[SubscriptionStart]]&lt;=Settings!$A$2,Table1[[#This Row],[EffectiveEndDate]]&gt;=Settings!$A$2),1,0)</f>
        <v>0</v>
      </c>
      <c r="AB449" s="46">
        <f ca="1">IF(AND(Table1[[#This Row],[SubscriptionStart]]&lt;=Settings!$B$2,Table1[[#This Row],[EffectiveEndDate]]&gt;=Settings!$B$2),1,0)</f>
        <v>0</v>
      </c>
      <c r="AC449" s="46">
        <f ca="1">IF(AND(Table1[[#This Row],[SubscriptionStart]]&lt;=Settings!$C$2,Table1[[#This Row],[EffectiveEndDate]]&gt;=Settings!$C$2),1,0)</f>
        <v>0</v>
      </c>
      <c r="AD449" s="46">
        <f ca="1">IF(AND(Table1[[#This Row],[SubscriptionStart]]&lt;=Settings!$D$2,Table1[[#This Row],[EffectiveEndDate]]&gt;=Settings!$D$2),1,0)</f>
        <v>0</v>
      </c>
      <c r="AE449" s="46">
        <f ca="1">IF(AND(Table1[[#This Row],[SubscriptionStart]]&lt;=Settings!$E$2,Table1[[#This Row],[EffectiveEndDate]]&gt;=Settings!$E$2),1,0)</f>
        <v>0</v>
      </c>
      <c r="AF449"/>
      <c r="AG449"/>
      <c r="AH449"/>
      <c r="AI449"/>
      <c r="AJ449"/>
      <c r="AK449"/>
    </row>
    <row r="450" spans="1:37">
      <c r="A450" s="3" t="s">
        <v>626</v>
      </c>
      <c r="B450" s="3">
        <v>29</v>
      </c>
      <c r="C450" s="3" t="s">
        <v>23</v>
      </c>
      <c r="D450" s="5">
        <v>44988</v>
      </c>
      <c r="E450" s="5">
        <v>45018</v>
      </c>
      <c r="F450" s="3">
        <f ca="1">TODAY() - Table1[[#This Row],[SubscriptionStart]]</f>
        <v>993</v>
      </c>
      <c r="G450" s="4">
        <v>1</v>
      </c>
      <c r="H450" s="3" t="s">
        <v>29</v>
      </c>
      <c r="I450" s="3" t="s">
        <v>25</v>
      </c>
      <c r="J450" s="7" cm="1">
        <f t="array" ref="J450">_xlfn.IFS(Table1[[#This Row],[Tier]]="Basic",10,Table1[[#This Row],[Tier]]="Standard",18,Table1[[#This Row],[Tier]]="Premium",25)</f>
        <v>25</v>
      </c>
      <c r="K450" s="7" cm="1">
        <f t="array" ref="K45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450" s="7" cm="1">
        <f t="array" ref="L45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50" s="3" t="str" cm="1">
        <f t="array" ref="M45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50" s="3" t="s">
        <v>34</v>
      </c>
      <c r="O450" s="3" t="s">
        <v>32</v>
      </c>
      <c r="P450" s="3" t="s">
        <v>44</v>
      </c>
      <c r="Q450" s="3" t="str" cm="1">
        <f t="array" ref="Q450">_xlfn.IFS(Table1[[#This Row],[TotalRevenue]]&lt;100,"Low",Table1[[#This Row],[TotalRevenue]]&lt;300,"Medium",Table1[[#This Row],[TotalRevenue]]&lt;600,"High",TRUE,"Very High")</f>
        <v>Low</v>
      </c>
      <c r="R450" s="3" t="str" cm="1">
        <f t="array" ref="R45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50" s="3" t="str">
        <f>IF(Table1[[#This Row],[NextBillingDate]]="","Cancelled",IF(Table1[[#This Row],[CancellationDate]]&lt;&gt;"","Cancelled","Active"))</f>
        <v>Cancelled</v>
      </c>
      <c r="T450" s="7" cm="1">
        <f t="array" ref="T45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50" s="5">
        <v>45018</v>
      </c>
      <c r="W450" s="5">
        <v>45018</v>
      </c>
      <c r="X450" s="3">
        <v>0</v>
      </c>
      <c r="Y450" s="5">
        <f ca="1">IF(Table1[[#This Row],[ChurnStatus]]="Cancelled",Table1[[#This Row],[CancellationDate]],TODAY())</f>
        <v>45018</v>
      </c>
      <c r="Z450" s="46">
        <f ca="1">IF(AND(Table1[[#This Row],[SubscriptionStart]] &lt;= TODAY(), Table1[[#This Row],[EffectiveEndDate]] &gt;= TODAY()),1,0)</f>
        <v>0</v>
      </c>
      <c r="AA450" s="46">
        <f ca="1">IF(AND(Table1[[#This Row],[SubscriptionStart]]&lt;=Settings!$A$2,Table1[[#This Row],[EffectiveEndDate]]&gt;=Settings!$A$2),1,0)</f>
        <v>0</v>
      </c>
      <c r="AB450" s="46">
        <f ca="1">IF(AND(Table1[[#This Row],[SubscriptionStart]]&lt;=Settings!$B$2,Table1[[#This Row],[EffectiveEndDate]]&gt;=Settings!$B$2),1,0)</f>
        <v>0</v>
      </c>
      <c r="AC450" s="46">
        <f ca="1">IF(AND(Table1[[#This Row],[SubscriptionStart]]&lt;=Settings!$C$2,Table1[[#This Row],[EffectiveEndDate]]&gt;=Settings!$C$2),1,0)</f>
        <v>0</v>
      </c>
      <c r="AD450" s="46">
        <f ca="1">IF(AND(Table1[[#This Row],[SubscriptionStart]]&lt;=Settings!$D$2,Table1[[#This Row],[EffectiveEndDate]]&gt;=Settings!$D$2),1,0)</f>
        <v>0</v>
      </c>
      <c r="AE450" s="46">
        <f ca="1">IF(AND(Table1[[#This Row],[SubscriptionStart]]&lt;=Settings!$E$2,Table1[[#This Row],[EffectiveEndDate]]&gt;=Settings!$E$2),1,0)</f>
        <v>0</v>
      </c>
      <c r="AF450"/>
      <c r="AG450"/>
      <c r="AH450"/>
      <c r="AI450"/>
      <c r="AJ450"/>
      <c r="AK450"/>
    </row>
    <row r="451" spans="1:37">
      <c r="A451" s="3" t="s">
        <v>786</v>
      </c>
      <c r="B451" s="3">
        <v>25</v>
      </c>
      <c r="C451" s="3" t="s">
        <v>23</v>
      </c>
      <c r="D451" s="5">
        <v>44989</v>
      </c>
      <c r="E451" s="5">
        <v>45349</v>
      </c>
      <c r="F451" s="3">
        <f ca="1">TODAY() - Table1[[#This Row],[SubscriptionStart]]</f>
        <v>992</v>
      </c>
      <c r="G451" s="4">
        <v>12</v>
      </c>
      <c r="H451" s="3" t="s">
        <v>24</v>
      </c>
      <c r="I451" s="3" t="s">
        <v>30</v>
      </c>
      <c r="J451" s="7" cm="1">
        <f t="array" ref="J451">_xlfn.IFS(Table1[[#This Row],[Tier]]="Basic",10,Table1[[#This Row],[Tier]]="Standard",18,Table1[[#This Row],[Tier]]="Premium",25)</f>
        <v>10</v>
      </c>
      <c r="K451" s="7" cm="1">
        <f t="array" ref="K45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451" s="7" cm="1">
        <f t="array" ref="L45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451" s="3" t="str" cm="1">
        <f t="array" ref="M451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451" s="3" t="s">
        <v>31</v>
      </c>
      <c r="O451" s="3" t="s">
        <v>40</v>
      </c>
      <c r="P451" s="3" t="s">
        <v>50</v>
      </c>
      <c r="Q451" s="3" t="str" cm="1">
        <f t="array" ref="Q451">_xlfn.IFS(Table1[[#This Row],[TotalRevenue]]&lt;100,"Low",Table1[[#This Row],[TotalRevenue]]&lt;300,"Medium",Table1[[#This Row],[TotalRevenue]]&lt;600,"High",TRUE,"Very High")</f>
        <v>Low</v>
      </c>
      <c r="R451" s="3" t="str" cm="1">
        <f t="array" ref="R451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451" s="3" t="str">
        <f>IF(Table1[[#This Row],[NextBillingDate]]="","Cancelled",IF(Table1[[#This Row],[CancellationDate]]&lt;&gt;"","Cancelled","Active"))</f>
        <v>Cancelled</v>
      </c>
      <c r="T451" s="7" cm="1">
        <f t="array" ref="T45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451" s="5">
        <v>45349</v>
      </c>
      <c r="W451" s="5">
        <v>45349</v>
      </c>
      <c r="X451" s="3">
        <v>0</v>
      </c>
      <c r="Y451" s="5">
        <f ca="1">IF(Table1[[#This Row],[ChurnStatus]]="Cancelled",Table1[[#This Row],[CancellationDate]],TODAY())</f>
        <v>45349</v>
      </c>
      <c r="Z451" s="46">
        <f ca="1">IF(AND(Table1[[#This Row],[SubscriptionStart]] &lt;= TODAY(), Table1[[#This Row],[EffectiveEndDate]] &gt;= TODAY()),1,0)</f>
        <v>0</v>
      </c>
      <c r="AA451" s="46">
        <f ca="1">IF(AND(Table1[[#This Row],[SubscriptionStart]]&lt;=Settings!$A$2,Table1[[#This Row],[EffectiveEndDate]]&gt;=Settings!$A$2),1,0)</f>
        <v>0</v>
      </c>
      <c r="AB451" s="46">
        <f ca="1">IF(AND(Table1[[#This Row],[SubscriptionStart]]&lt;=Settings!$B$2,Table1[[#This Row],[EffectiveEndDate]]&gt;=Settings!$B$2),1,0)</f>
        <v>0</v>
      </c>
      <c r="AC451" s="46">
        <f ca="1">IF(AND(Table1[[#This Row],[SubscriptionStart]]&lt;=Settings!$C$2,Table1[[#This Row],[EffectiveEndDate]]&gt;=Settings!$C$2),1,0)</f>
        <v>0</v>
      </c>
      <c r="AD451" s="46">
        <f ca="1">IF(AND(Table1[[#This Row],[SubscriptionStart]]&lt;=Settings!$D$2,Table1[[#This Row],[EffectiveEndDate]]&gt;=Settings!$D$2),1,0)</f>
        <v>1</v>
      </c>
      <c r="AE451" s="46">
        <f ca="1">IF(AND(Table1[[#This Row],[SubscriptionStart]]&lt;=Settings!$E$2,Table1[[#This Row],[EffectiveEndDate]]&gt;=Settings!$E$2),1,0)</f>
        <v>0</v>
      </c>
      <c r="AF451"/>
      <c r="AG451"/>
      <c r="AH451"/>
      <c r="AI451"/>
      <c r="AJ451"/>
      <c r="AK451"/>
    </row>
    <row r="452" spans="1:37">
      <c r="A452" s="3" t="s">
        <v>825</v>
      </c>
      <c r="B452" s="3">
        <v>37</v>
      </c>
      <c r="C452" s="3" t="s">
        <v>37</v>
      </c>
      <c r="D452" s="5">
        <v>44989</v>
      </c>
      <c r="F452" s="3">
        <f ca="1">TODAY() - Table1[[#This Row],[SubscriptionStart]]</f>
        <v>992</v>
      </c>
      <c r="G452" s="4">
        <v>34</v>
      </c>
      <c r="H452" s="3" t="s">
        <v>29</v>
      </c>
      <c r="I452" s="3" t="s">
        <v>30</v>
      </c>
      <c r="J452" s="7" cm="1">
        <f t="array" ref="J452">_xlfn.IFS(Table1[[#This Row],[Tier]]="Basic",10,Table1[[#This Row],[Tier]]="Standard",18,Table1[[#This Row],[Tier]]="Premium",25)</f>
        <v>10</v>
      </c>
      <c r="K452" s="7" cm="1">
        <f t="array" ref="K45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452" s="7" cm="1">
        <f t="array" ref="L45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319</v>
      </c>
      <c r="M452" s="3" t="str" cm="1">
        <f t="array" ref="M45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52" s="3" t="s">
        <v>34</v>
      </c>
      <c r="O452" s="3" t="s">
        <v>27</v>
      </c>
      <c r="Q452" s="3" t="str" cm="1">
        <f t="array" ref="Q452">_xlfn.IFS(Table1[[#This Row],[TotalRevenue]]&lt;100,"Low",Table1[[#This Row],[TotalRevenue]]&lt;300,"Medium",Table1[[#This Row],[TotalRevenue]]&lt;600,"High",TRUE,"Very High")</f>
        <v>High</v>
      </c>
      <c r="R452" s="3" t="str" cm="1">
        <f t="array" ref="R45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52" s="3" t="str">
        <f>IF(Table1[[#This Row],[NextBillingDate]]="","Cancelled",IF(Table1[[#This Row],[CancellationDate]]&lt;&gt;"","Cancelled","Active"))</f>
        <v>Active</v>
      </c>
      <c r="T452" s="7" cm="1">
        <f t="array" ref="T45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329</v>
      </c>
      <c r="V452" s="5">
        <v>46009</v>
      </c>
      <c r="W452" s="5">
        <v>46009</v>
      </c>
      <c r="X452" s="3">
        <v>33</v>
      </c>
      <c r="Y452" s="5">
        <f ca="1">IF(Table1[[#This Row],[ChurnStatus]]="Cancelled",Table1[[#This Row],[CancellationDate]],TODAY())</f>
        <v>45981</v>
      </c>
      <c r="Z452" s="46">
        <f ca="1">IF(AND(Table1[[#This Row],[SubscriptionStart]] &lt;= TODAY(), Table1[[#This Row],[EffectiveEndDate]] &gt;= TODAY()),1,0)</f>
        <v>1</v>
      </c>
      <c r="AA452" s="46">
        <f ca="1">IF(AND(Table1[[#This Row],[SubscriptionStart]]&lt;=Settings!$A$2,Table1[[#This Row],[EffectiveEndDate]]&gt;=Settings!$A$2),1,0)</f>
        <v>0</v>
      </c>
      <c r="AB452" s="46">
        <f ca="1">IF(AND(Table1[[#This Row],[SubscriptionStart]]&lt;=Settings!$B$2,Table1[[#This Row],[EffectiveEndDate]]&gt;=Settings!$B$2),1,0)</f>
        <v>0</v>
      </c>
      <c r="AC452" s="46">
        <f ca="1">IF(AND(Table1[[#This Row],[SubscriptionStart]]&lt;=Settings!$C$2,Table1[[#This Row],[EffectiveEndDate]]&gt;=Settings!$C$2),1,0)</f>
        <v>0</v>
      </c>
      <c r="AD452" s="46">
        <f ca="1">IF(AND(Table1[[#This Row],[SubscriptionStart]]&lt;=Settings!$D$2,Table1[[#This Row],[EffectiveEndDate]]&gt;=Settings!$D$2),1,0)</f>
        <v>1</v>
      </c>
      <c r="AE452" s="46">
        <f ca="1">IF(AND(Table1[[#This Row],[SubscriptionStart]]&lt;=Settings!$E$2,Table1[[#This Row],[EffectiveEndDate]]&gt;=Settings!$E$2),1,0)</f>
        <v>1</v>
      </c>
      <c r="AF452"/>
      <c r="AG452"/>
      <c r="AH452"/>
      <c r="AI452"/>
      <c r="AJ452"/>
      <c r="AK452"/>
    </row>
    <row r="453" spans="1:37">
      <c r="A453" s="3" t="s">
        <v>428</v>
      </c>
      <c r="B453" s="3">
        <v>53</v>
      </c>
      <c r="C453" s="3" t="s">
        <v>37</v>
      </c>
      <c r="D453" s="5">
        <v>44990</v>
      </c>
      <c r="E453" s="5">
        <v>45020</v>
      </c>
      <c r="F453" s="3">
        <f ca="1">TODAY() - Table1[[#This Row],[SubscriptionStart]]</f>
        <v>991</v>
      </c>
      <c r="G453" s="4">
        <v>1</v>
      </c>
      <c r="H453" s="3" t="s">
        <v>29</v>
      </c>
      <c r="I453" s="3" t="s">
        <v>30</v>
      </c>
      <c r="J453" s="7" cm="1">
        <f t="array" ref="J453">_xlfn.IFS(Table1[[#This Row],[Tier]]="Basic",10,Table1[[#This Row],[Tier]]="Standard",18,Table1[[#This Row],[Tier]]="Premium",25)</f>
        <v>10</v>
      </c>
      <c r="K453" s="7" cm="1">
        <f t="array" ref="K45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453" s="7" cm="1">
        <f t="array" ref="L45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53" s="3" t="str" cm="1">
        <f t="array" ref="M45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53" s="3" t="s">
        <v>26</v>
      </c>
      <c r="O453" s="3" t="s">
        <v>49</v>
      </c>
      <c r="P453" s="3" t="s">
        <v>50</v>
      </c>
      <c r="Q453" s="3" t="str" cm="1">
        <f t="array" ref="Q453">_xlfn.IFS(Table1[[#This Row],[TotalRevenue]]&lt;100,"Low",Table1[[#This Row],[TotalRevenue]]&lt;300,"Medium",Table1[[#This Row],[TotalRevenue]]&lt;600,"High",TRUE,"Very High")</f>
        <v>Low</v>
      </c>
      <c r="R453" s="3" t="str" cm="1">
        <f t="array" ref="R45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53" s="3" t="str">
        <f>IF(Table1[[#This Row],[NextBillingDate]]="","Cancelled",IF(Table1[[#This Row],[CancellationDate]]&lt;&gt;"","Cancelled","Active"))</f>
        <v>Cancelled</v>
      </c>
      <c r="T453" s="7" cm="1">
        <f t="array" ref="T45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53" s="5">
        <v>45020</v>
      </c>
      <c r="W453" s="5">
        <v>45020</v>
      </c>
      <c r="X453" s="3">
        <v>0</v>
      </c>
      <c r="Y453" s="5">
        <f ca="1">IF(Table1[[#This Row],[ChurnStatus]]="Cancelled",Table1[[#This Row],[CancellationDate]],TODAY())</f>
        <v>45020</v>
      </c>
      <c r="Z453" s="46">
        <f ca="1">IF(AND(Table1[[#This Row],[SubscriptionStart]] &lt;= TODAY(), Table1[[#This Row],[EffectiveEndDate]] &gt;= TODAY()),1,0)</f>
        <v>0</v>
      </c>
      <c r="AA453" s="46">
        <f ca="1">IF(AND(Table1[[#This Row],[SubscriptionStart]]&lt;=Settings!$A$2,Table1[[#This Row],[EffectiveEndDate]]&gt;=Settings!$A$2),1,0)</f>
        <v>0</v>
      </c>
      <c r="AB453" s="46">
        <f ca="1">IF(AND(Table1[[#This Row],[SubscriptionStart]]&lt;=Settings!$B$2,Table1[[#This Row],[EffectiveEndDate]]&gt;=Settings!$B$2),1,0)</f>
        <v>0</v>
      </c>
      <c r="AC453" s="46">
        <f ca="1">IF(AND(Table1[[#This Row],[SubscriptionStart]]&lt;=Settings!$C$2,Table1[[#This Row],[EffectiveEndDate]]&gt;=Settings!$C$2),1,0)</f>
        <v>0</v>
      </c>
      <c r="AD453" s="46">
        <f ca="1">IF(AND(Table1[[#This Row],[SubscriptionStart]]&lt;=Settings!$D$2,Table1[[#This Row],[EffectiveEndDate]]&gt;=Settings!$D$2),1,0)</f>
        <v>0</v>
      </c>
      <c r="AE453" s="46">
        <f ca="1">IF(AND(Table1[[#This Row],[SubscriptionStart]]&lt;=Settings!$E$2,Table1[[#This Row],[EffectiveEndDate]]&gt;=Settings!$E$2),1,0)</f>
        <v>0</v>
      </c>
      <c r="AF453"/>
      <c r="AG453"/>
      <c r="AH453"/>
      <c r="AI453"/>
      <c r="AJ453"/>
      <c r="AK453"/>
    </row>
    <row r="454" spans="1:37">
      <c r="A454" s="3" t="s">
        <v>518</v>
      </c>
      <c r="B454" s="3">
        <v>29</v>
      </c>
      <c r="C454" s="3" t="s">
        <v>23</v>
      </c>
      <c r="D454" s="5">
        <v>44991</v>
      </c>
      <c r="E454" s="5">
        <v>45021</v>
      </c>
      <c r="F454" s="3">
        <f ca="1">TODAY() - Table1[[#This Row],[SubscriptionStart]]</f>
        <v>990</v>
      </c>
      <c r="G454" s="4">
        <v>1</v>
      </c>
      <c r="H454" s="3" t="s">
        <v>29</v>
      </c>
      <c r="I454" s="3" t="s">
        <v>39</v>
      </c>
      <c r="J454" s="7" cm="1">
        <f t="array" ref="J454">_xlfn.IFS(Table1[[#This Row],[Tier]]="Basic",10,Table1[[#This Row],[Tier]]="Standard",18,Table1[[#This Row],[Tier]]="Premium",25)</f>
        <v>18</v>
      </c>
      <c r="K454" s="7" cm="1">
        <f t="array" ref="K45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454" s="7" cm="1">
        <f t="array" ref="L45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54" s="3" t="str" cm="1">
        <f t="array" ref="M45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54" s="3" t="s">
        <v>31</v>
      </c>
      <c r="O454" s="3" t="s">
        <v>49</v>
      </c>
      <c r="P454" s="3" t="s">
        <v>41</v>
      </c>
      <c r="Q454" s="3" t="str" cm="1">
        <f t="array" ref="Q454">_xlfn.IFS(Table1[[#This Row],[TotalRevenue]]&lt;100,"Low",Table1[[#This Row],[TotalRevenue]]&lt;300,"Medium",Table1[[#This Row],[TotalRevenue]]&lt;600,"High",TRUE,"Very High")</f>
        <v>Low</v>
      </c>
      <c r="R454" s="3" t="str" cm="1">
        <f t="array" ref="R45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54" s="3" t="str">
        <f>IF(Table1[[#This Row],[NextBillingDate]]="","Cancelled",IF(Table1[[#This Row],[CancellationDate]]&lt;&gt;"","Cancelled","Active"))</f>
        <v>Cancelled</v>
      </c>
      <c r="T454" s="7" cm="1">
        <f t="array" ref="T45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54" s="5">
        <v>45021</v>
      </c>
      <c r="W454" s="5">
        <v>45021</v>
      </c>
      <c r="X454" s="3">
        <v>0</v>
      </c>
      <c r="Y454" s="5">
        <f ca="1">IF(Table1[[#This Row],[ChurnStatus]]="Cancelled",Table1[[#This Row],[CancellationDate]],TODAY())</f>
        <v>45021</v>
      </c>
      <c r="Z454" s="46">
        <f ca="1">IF(AND(Table1[[#This Row],[SubscriptionStart]] &lt;= TODAY(), Table1[[#This Row],[EffectiveEndDate]] &gt;= TODAY()),1,0)</f>
        <v>0</v>
      </c>
      <c r="AA454" s="46">
        <f ca="1">IF(AND(Table1[[#This Row],[SubscriptionStart]]&lt;=Settings!$A$2,Table1[[#This Row],[EffectiveEndDate]]&gt;=Settings!$A$2),1,0)</f>
        <v>0</v>
      </c>
      <c r="AB454" s="46">
        <f ca="1">IF(AND(Table1[[#This Row],[SubscriptionStart]]&lt;=Settings!$B$2,Table1[[#This Row],[EffectiveEndDate]]&gt;=Settings!$B$2),1,0)</f>
        <v>0</v>
      </c>
      <c r="AC454" s="46">
        <f ca="1">IF(AND(Table1[[#This Row],[SubscriptionStart]]&lt;=Settings!$C$2,Table1[[#This Row],[EffectiveEndDate]]&gt;=Settings!$C$2),1,0)</f>
        <v>0</v>
      </c>
      <c r="AD454" s="46">
        <f ca="1">IF(AND(Table1[[#This Row],[SubscriptionStart]]&lt;=Settings!$D$2,Table1[[#This Row],[EffectiveEndDate]]&gt;=Settings!$D$2),1,0)</f>
        <v>0</v>
      </c>
      <c r="AE454" s="46">
        <f ca="1">IF(AND(Table1[[#This Row],[SubscriptionStart]]&lt;=Settings!$E$2,Table1[[#This Row],[EffectiveEndDate]]&gt;=Settings!$E$2),1,0)</f>
        <v>0</v>
      </c>
      <c r="AF454"/>
      <c r="AG454"/>
      <c r="AH454"/>
      <c r="AI454"/>
      <c r="AJ454"/>
      <c r="AK454"/>
    </row>
    <row r="455" spans="1:37">
      <c r="A455" s="3" t="s">
        <v>376</v>
      </c>
      <c r="B455" s="3">
        <v>64</v>
      </c>
      <c r="C455" s="3" t="s">
        <v>23</v>
      </c>
      <c r="D455" s="5">
        <v>44991</v>
      </c>
      <c r="E455" s="5">
        <v>45351</v>
      </c>
      <c r="F455" s="3">
        <f ca="1">TODAY() - Table1[[#This Row],[SubscriptionStart]]</f>
        <v>990</v>
      </c>
      <c r="G455" s="4">
        <v>12</v>
      </c>
      <c r="H455" s="3" t="s">
        <v>24</v>
      </c>
      <c r="I455" s="3" t="s">
        <v>25</v>
      </c>
      <c r="J455" s="7" cm="1">
        <f t="array" ref="J455">_xlfn.IFS(Table1[[#This Row],[Tier]]="Basic",10,Table1[[#This Row],[Tier]]="Standard",18,Table1[[#This Row],[Tier]]="Premium",25)</f>
        <v>25</v>
      </c>
      <c r="K455" s="7" cm="1">
        <f t="array" ref="K45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455" s="7" cm="1">
        <f t="array" ref="L45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455" s="3" t="str" cm="1">
        <f t="array" ref="M455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55" s="3" t="s">
        <v>34</v>
      </c>
      <c r="O455" s="3" t="s">
        <v>43</v>
      </c>
      <c r="P455" s="3" t="s">
        <v>44</v>
      </c>
      <c r="Q455" s="3" t="str" cm="1">
        <f t="array" ref="Q455">_xlfn.IFS(Table1[[#This Row],[TotalRevenue]]&lt;100,"Low",Table1[[#This Row],[TotalRevenue]]&lt;300,"Medium",Table1[[#This Row],[TotalRevenue]]&lt;600,"High",TRUE,"Very High")</f>
        <v>Medium</v>
      </c>
      <c r="R455" s="3" t="str" cm="1">
        <f t="array" ref="R455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455" s="3" t="str">
        <f>IF(Table1[[#This Row],[NextBillingDate]]="","Cancelled",IF(Table1[[#This Row],[CancellationDate]]&lt;&gt;"","Cancelled","Active"))</f>
        <v>Cancelled</v>
      </c>
      <c r="T455" s="7" cm="1">
        <f t="array" ref="T45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455" s="5">
        <v>45351</v>
      </c>
      <c r="W455" s="5">
        <v>45351</v>
      </c>
      <c r="X455" s="3">
        <v>0</v>
      </c>
      <c r="Y455" s="5">
        <f ca="1">IF(Table1[[#This Row],[ChurnStatus]]="Cancelled",Table1[[#This Row],[CancellationDate]],TODAY())</f>
        <v>45351</v>
      </c>
      <c r="Z455" s="46">
        <f ca="1">IF(AND(Table1[[#This Row],[SubscriptionStart]] &lt;= TODAY(), Table1[[#This Row],[EffectiveEndDate]] &gt;= TODAY()),1,0)</f>
        <v>0</v>
      </c>
      <c r="AA455" s="46">
        <f ca="1">IF(AND(Table1[[#This Row],[SubscriptionStart]]&lt;=Settings!$A$2,Table1[[#This Row],[EffectiveEndDate]]&gt;=Settings!$A$2),1,0)</f>
        <v>0</v>
      </c>
      <c r="AB455" s="46">
        <f ca="1">IF(AND(Table1[[#This Row],[SubscriptionStart]]&lt;=Settings!$B$2,Table1[[#This Row],[EffectiveEndDate]]&gt;=Settings!$B$2),1,0)</f>
        <v>0</v>
      </c>
      <c r="AC455" s="46">
        <f ca="1">IF(AND(Table1[[#This Row],[SubscriptionStart]]&lt;=Settings!$C$2,Table1[[#This Row],[EffectiveEndDate]]&gt;=Settings!$C$2),1,0)</f>
        <v>0</v>
      </c>
      <c r="AD455" s="46">
        <f ca="1">IF(AND(Table1[[#This Row],[SubscriptionStart]]&lt;=Settings!$D$2,Table1[[#This Row],[EffectiveEndDate]]&gt;=Settings!$D$2),1,0)</f>
        <v>1</v>
      </c>
      <c r="AE455" s="46">
        <f ca="1">IF(AND(Table1[[#This Row],[SubscriptionStart]]&lt;=Settings!$E$2,Table1[[#This Row],[EffectiveEndDate]]&gt;=Settings!$E$2),1,0)</f>
        <v>0</v>
      </c>
      <c r="AF455"/>
      <c r="AG455"/>
      <c r="AH455"/>
      <c r="AI455"/>
      <c r="AJ455"/>
      <c r="AK455"/>
    </row>
    <row r="456" spans="1:37">
      <c r="A456" s="3" t="s">
        <v>46</v>
      </c>
      <c r="B456" s="3">
        <v>51</v>
      </c>
      <c r="C456" s="3" t="s">
        <v>23</v>
      </c>
      <c r="D456" s="5">
        <v>44992</v>
      </c>
      <c r="E456" s="5">
        <v>45352</v>
      </c>
      <c r="F456" s="3">
        <f ca="1">TODAY() - Table1[[#This Row],[SubscriptionStart]]</f>
        <v>989</v>
      </c>
      <c r="G456" s="4">
        <v>12</v>
      </c>
      <c r="H456" s="3" t="s">
        <v>24</v>
      </c>
      <c r="I456" s="3" t="s">
        <v>30</v>
      </c>
      <c r="J456" s="7" cm="1">
        <f t="array" ref="J456">_xlfn.IFS(Table1[[#This Row],[Tier]]="Basic",10,Table1[[#This Row],[Tier]]="Standard",18,Table1[[#This Row],[Tier]]="Premium",25)</f>
        <v>10</v>
      </c>
      <c r="K456" s="7" cm="1">
        <f t="array" ref="K45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456" s="7" cm="1">
        <f t="array" ref="L45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456" s="3" t="str" cm="1">
        <f t="array" ref="M456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56" s="3" t="s">
        <v>34</v>
      </c>
      <c r="O456" s="3" t="s">
        <v>27</v>
      </c>
      <c r="P456" s="3" t="s">
        <v>47</v>
      </c>
      <c r="Q456" s="3" t="str" cm="1">
        <f t="array" ref="Q456">_xlfn.IFS(Table1[[#This Row],[TotalRevenue]]&lt;100,"Low",Table1[[#This Row],[TotalRevenue]]&lt;300,"Medium",Table1[[#This Row],[TotalRevenue]]&lt;600,"High",TRUE,"Very High")</f>
        <v>Low</v>
      </c>
      <c r="R456" s="3" t="str" cm="1">
        <f t="array" ref="R45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56" s="3" t="str">
        <f>IF(Table1[[#This Row],[NextBillingDate]]="","Cancelled",IF(Table1[[#This Row],[CancellationDate]]&lt;&gt;"","Cancelled","Active"))</f>
        <v>Cancelled</v>
      </c>
      <c r="T456" s="7" cm="1">
        <f t="array" ref="T45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456" s="5">
        <v>45352</v>
      </c>
      <c r="W456" s="5">
        <v>45352</v>
      </c>
      <c r="X456" s="3">
        <v>0</v>
      </c>
      <c r="Y456" s="5">
        <f ca="1">IF(Table1[[#This Row],[ChurnStatus]]="Cancelled",Table1[[#This Row],[CancellationDate]],TODAY())</f>
        <v>45352</v>
      </c>
      <c r="Z456" s="46">
        <f ca="1">IF(AND(Table1[[#This Row],[SubscriptionStart]] &lt;= TODAY(), Table1[[#This Row],[EffectiveEndDate]] &gt;= TODAY()),1,0)</f>
        <v>0</v>
      </c>
      <c r="AA456" s="46">
        <f ca="1">IF(AND(Table1[[#This Row],[SubscriptionStart]]&lt;=Settings!$A$2,Table1[[#This Row],[EffectiveEndDate]]&gt;=Settings!$A$2),1,0)</f>
        <v>0</v>
      </c>
      <c r="AB456" s="46">
        <f ca="1">IF(AND(Table1[[#This Row],[SubscriptionStart]]&lt;=Settings!$B$2,Table1[[#This Row],[EffectiveEndDate]]&gt;=Settings!$B$2),1,0)</f>
        <v>0</v>
      </c>
      <c r="AC456" s="46">
        <f ca="1">IF(AND(Table1[[#This Row],[SubscriptionStart]]&lt;=Settings!$C$2,Table1[[#This Row],[EffectiveEndDate]]&gt;=Settings!$C$2),1,0)</f>
        <v>0</v>
      </c>
      <c r="AD456" s="46">
        <f ca="1">IF(AND(Table1[[#This Row],[SubscriptionStart]]&lt;=Settings!$D$2,Table1[[#This Row],[EffectiveEndDate]]&gt;=Settings!$D$2),1,0)</f>
        <v>1</v>
      </c>
      <c r="AE456" s="46">
        <f ca="1">IF(AND(Table1[[#This Row],[SubscriptionStart]]&lt;=Settings!$E$2,Table1[[#This Row],[EffectiveEndDate]]&gt;=Settings!$E$2),1,0)</f>
        <v>0</v>
      </c>
      <c r="AF456"/>
      <c r="AG456"/>
      <c r="AH456"/>
      <c r="AI456"/>
      <c r="AJ456"/>
      <c r="AK456"/>
    </row>
    <row r="457" spans="1:37">
      <c r="A457" s="3" t="s">
        <v>583</v>
      </c>
      <c r="B457" s="3">
        <v>47</v>
      </c>
      <c r="C457" s="3" t="s">
        <v>23</v>
      </c>
      <c r="D457" s="5">
        <v>44993</v>
      </c>
      <c r="E457" s="5">
        <v>45173</v>
      </c>
      <c r="F457" s="3">
        <f ca="1">TODAY() - Table1[[#This Row],[SubscriptionStart]]</f>
        <v>988</v>
      </c>
      <c r="G457" s="4">
        <v>6</v>
      </c>
      <c r="H457" s="3" t="s">
        <v>38</v>
      </c>
      <c r="I457" s="3" t="s">
        <v>39</v>
      </c>
      <c r="J457" s="7" cm="1">
        <f t="array" ref="J457">_xlfn.IFS(Table1[[#This Row],[Tier]]="Basic",10,Table1[[#This Row],[Tier]]="Standard",18,Table1[[#This Row],[Tier]]="Premium",25)</f>
        <v>18</v>
      </c>
      <c r="K457" s="7" cm="1">
        <f t="array" ref="K45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457" s="7" cm="1">
        <f t="array" ref="L45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457" s="3" t="str" cm="1">
        <f t="array" ref="M45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57" s="3" t="s">
        <v>31</v>
      </c>
      <c r="O457" s="3" t="s">
        <v>43</v>
      </c>
      <c r="P457" s="3" t="s">
        <v>35</v>
      </c>
      <c r="Q457" s="3" t="str" cm="1">
        <f t="array" ref="Q457">_xlfn.IFS(Table1[[#This Row],[TotalRevenue]]&lt;100,"Low",Table1[[#This Row],[TotalRevenue]]&lt;300,"Medium",Table1[[#This Row],[TotalRevenue]]&lt;600,"High",TRUE,"Very High")</f>
        <v>Low</v>
      </c>
      <c r="R457" s="3" t="str" cm="1">
        <f t="array" ref="R45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57" s="3" t="str">
        <f>IF(Table1[[#This Row],[NextBillingDate]]="","Cancelled",IF(Table1[[#This Row],[CancellationDate]]&lt;&gt;"","Cancelled","Active"))</f>
        <v>Cancelled</v>
      </c>
      <c r="T457" s="7" cm="1">
        <f t="array" ref="T45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457" s="5">
        <v>45173</v>
      </c>
      <c r="W457" s="5">
        <v>45173</v>
      </c>
      <c r="X457" s="3">
        <v>0</v>
      </c>
      <c r="Y457" s="5">
        <f ca="1">IF(Table1[[#This Row],[ChurnStatus]]="Cancelled",Table1[[#This Row],[CancellationDate]],TODAY())</f>
        <v>45173</v>
      </c>
      <c r="Z457" s="46">
        <f ca="1">IF(AND(Table1[[#This Row],[SubscriptionStart]] &lt;= TODAY(), Table1[[#This Row],[EffectiveEndDate]] &gt;= TODAY()),1,0)</f>
        <v>0</v>
      </c>
      <c r="AA457" s="46">
        <f ca="1">IF(AND(Table1[[#This Row],[SubscriptionStart]]&lt;=Settings!$A$2,Table1[[#This Row],[EffectiveEndDate]]&gt;=Settings!$A$2),1,0)</f>
        <v>0</v>
      </c>
      <c r="AB457" s="46">
        <f ca="1">IF(AND(Table1[[#This Row],[SubscriptionStart]]&lt;=Settings!$B$2,Table1[[#This Row],[EffectiveEndDate]]&gt;=Settings!$B$2),1,0)</f>
        <v>0</v>
      </c>
      <c r="AC457" s="46">
        <f ca="1">IF(AND(Table1[[#This Row],[SubscriptionStart]]&lt;=Settings!$C$2,Table1[[#This Row],[EffectiveEndDate]]&gt;=Settings!$C$2),1,0)</f>
        <v>0</v>
      </c>
      <c r="AD457" s="46">
        <f ca="1">IF(AND(Table1[[#This Row],[SubscriptionStart]]&lt;=Settings!$D$2,Table1[[#This Row],[EffectiveEndDate]]&gt;=Settings!$D$2),1,0)</f>
        <v>1</v>
      </c>
      <c r="AE457" s="46">
        <f ca="1">IF(AND(Table1[[#This Row],[SubscriptionStart]]&lt;=Settings!$E$2,Table1[[#This Row],[EffectiveEndDate]]&gt;=Settings!$E$2),1,0)</f>
        <v>0</v>
      </c>
      <c r="AF457"/>
      <c r="AG457"/>
      <c r="AH457"/>
      <c r="AI457"/>
      <c r="AJ457"/>
      <c r="AK457"/>
    </row>
    <row r="458" spans="1:37">
      <c r="A458" s="3" t="s">
        <v>342</v>
      </c>
      <c r="B458" s="3">
        <v>50</v>
      </c>
      <c r="C458" s="3" t="s">
        <v>23</v>
      </c>
      <c r="D458" s="5">
        <v>44994</v>
      </c>
      <c r="E458" s="5">
        <v>45024</v>
      </c>
      <c r="F458" s="3">
        <f ca="1">TODAY() - Table1[[#This Row],[SubscriptionStart]]</f>
        <v>987</v>
      </c>
      <c r="G458" s="4">
        <v>1</v>
      </c>
      <c r="H458" s="3" t="s">
        <v>29</v>
      </c>
      <c r="I458" s="3" t="s">
        <v>30</v>
      </c>
      <c r="J458" s="7" cm="1">
        <f t="array" ref="J458">_xlfn.IFS(Table1[[#This Row],[Tier]]="Basic",10,Table1[[#This Row],[Tier]]="Standard",18,Table1[[#This Row],[Tier]]="Premium",25)</f>
        <v>10</v>
      </c>
      <c r="K458" s="7" cm="1">
        <f t="array" ref="K45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458" s="7" cm="1">
        <f t="array" ref="L45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58" s="3" t="str" cm="1">
        <f t="array" ref="M45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58" s="3" t="s">
        <v>26</v>
      </c>
      <c r="O458" s="3" t="s">
        <v>32</v>
      </c>
      <c r="P458" s="3" t="s">
        <v>41</v>
      </c>
      <c r="Q458" s="3" t="str" cm="1">
        <f t="array" ref="Q458">_xlfn.IFS(Table1[[#This Row],[TotalRevenue]]&lt;100,"Low",Table1[[#This Row],[TotalRevenue]]&lt;300,"Medium",Table1[[#This Row],[TotalRevenue]]&lt;600,"High",TRUE,"Very High")</f>
        <v>Low</v>
      </c>
      <c r="R458" s="3" t="str" cm="1">
        <f t="array" ref="R45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58" s="3" t="str">
        <f>IF(Table1[[#This Row],[NextBillingDate]]="","Cancelled",IF(Table1[[#This Row],[CancellationDate]]&lt;&gt;"","Cancelled","Active"))</f>
        <v>Cancelled</v>
      </c>
      <c r="T458" s="7" cm="1">
        <f t="array" ref="T45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58" s="5">
        <v>45024</v>
      </c>
      <c r="W458" s="5">
        <v>45024</v>
      </c>
      <c r="X458" s="3">
        <v>0</v>
      </c>
      <c r="Y458" s="5">
        <f ca="1">IF(Table1[[#This Row],[ChurnStatus]]="Cancelled",Table1[[#This Row],[CancellationDate]],TODAY())</f>
        <v>45024</v>
      </c>
      <c r="Z458" s="46">
        <f ca="1">IF(AND(Table1[[#This Row],[SubscriptionStart]] &lt;= TODAY(), Table1[[#This Row],[EffectiveEndDate]] &gt;= TODAY()),1,0)</f>
        <v>0</v>
      </c>
      <c r="AA458" s="46">
        <f ca="1">IF(AND(Table1[[#This Row],[SubscriptionStart]]&lt;=Settings!$A$2,Table1[[#This Row],[EffectiveEndDate]]&gt;=Settings!$A$2),1,0)</f>
        <v>0</v>
      </c>
      <c r="AB458" s="46">
        <f ca="1">IF(AND(Table1[[#This Row],[SubscriptionStart]]&lt;=Settings!$B$2,Table1[[#This Row],[EffectiveEndDate]]&gt;=Settings!$B$2),1,0)</f>
        <v>0</v>
      </c>
      <c r="AC458" s="46">
        <f ca="1">IF(AND(Table1[[#This Row],[SubscriptionStart]]&lt;=Settings!$C$2,Table1[[#This Row],[EffectiveEndDate]]&gt;=Settings!$C$2),1,0)</f>
        <v>0</v>
      </c>
      <c r="AD458" s="46">
        <f ca="1">IF(AND(Table1[[#This Row],[SubscriptionStart]]&lt;=Settings!$D$2,Table1[[#This Row],[EffectiveEndDate]]&gt;=Settings!$D$2),1,0)</f>
        <v>0</v>
      </c>
      <c r="AE458" s="46">
        <f ca="1">IF(AND(Table1[[#This Row],[SubscriptionStart]]&lt;=Settings!$E$2,Table1[[#This Row],[EffectiveEndDate]]&gt;=Settings!$E$2),1,0)</f>
        <v>0</v>
      </c>
      <c r="AF458"/>
      <c r="AG458"/>
      <c r="AH458"/>
      <c r="AI458"/>
      <c r="AJ458"/>
      <c r="AK458"/>
    </row>
    <row r="459" spans="1:37">
      <c r="A459" s="3" t="s">
        <v>251</v>
      </c>
      <c r="B459" s="3">
        <v>68</v>
      </c>
      <c r="C459" s="3" t="s">
        <v>37</v>
      </c>
      <c r="D459" s="5">
        <v>44994</v>
      </c>
      <c r="F459" s="3">
        <f ca="1">TODAY() - Table1[[#This Row],[SubscriptionStart]]</f>
        <v>987</v>
      </c>
      <c r="G459" s="4">
        <v>36</v>
      </c>
      <c r="H459" s="3" t="s">
        <v>24</v>
      </c>
      <c r="I459" s="3" t="s">
        <v>39</v>
      </c>
      <c r="J459" s="7" cm="1">
        <f t="array" ref="J459">_xlfn.IFS(Table1[[#This Row],[Tier]]="Basic",10,Table1[[#This Row],[Tier]]="Standard",18,Table1[[#This Row],[Tier]]="Premium",25)</f>
        <v>18</v>
      </c>
      <c r="K459" s="7" cm="1">
        <f t="array" ref="K45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459" s="7" cm="1">
        <f t="array" ref="L45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417.6</v>
      </c>
      <c r="M459" s="3" t="str" cm="1">
        <f t="array" ref="M45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59" s="3" t="s">
        <v>31</v>
      </c>
      <c r="O459" s="3" t="s">
        <v>32</v>
      </c>
      <c r="Q459" s="3" t="str" cm="1">
        <f t="array" ref="Q459">_xlfn.IFS(Table1[[#This Row],[TotalRevenue]]&lt;100,"Low",Table1[[#This Row],[TotalRevenue]]&lt;300,"Medium",Table1[[#This Row],[TotalRevenue]]&lt;600,"High",TRUE,"Very High")</f>
        <v>High</v>
      </c>
      <c r="R459" s="3" t="str" cm="1">
        <f t="array" ref="R45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459" s="3" t="str">
        <f>IF(Table1[[#This Row],[NextBillingDate]]="","Cancelled",IF(Table1[[#This Row],[CancellationDate]]&lt;&gt;"","Cancelled","Active"))</f>
        <v>Active</v>
      </c>
      <c r="T459" s="7" cm="1">
        <f t="array" ref="T45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561.6</v>
      </c>
      <c r="V459" s="5">
        <v>46074</v>
      </c>
      <c r="W459" s="5">
        <v>46074</v>
      </c>
      <c r="X459" s="3">
        <v>2</v>
      </c>
      <c r="Y459" s="5">
        <f ca="1">IF(Table1[[#This Row],[ChurnStatus]]="Cancelled",Table1[[#This Row],[CancellationDate]],TODAY())</f>
        <v>45981</v>
      </c>
      <c r="Z459" s="46">
        <f ca="1">IF(AND(Table1[[#This Row],[SubscriptionStart]] &lt;= TODAY(), Table1[[#This Row],[EffectiveEndDate]] &gt;= TODAY()),1,0)</f>
        <v>1</v>
      </c>
      <c r="AA459" s="46">
        <f ca="1">IF(AND(Table1[[#This Row],[SubscriptionStart]]&lt;=Settings!$A$2,Table1[[#This Row],[EffectiveEndDate]]&gt;=Settings!$A$2),1,0)</f>
        <v>0</v>
      </c>
      <c r="AB459" s="46">
        <f ca="1">IF(AND(Table1[[#This Row],[SubscriptionStart]]&lt;=Settings!$B$2,Table1[[#This Row],[EffectiveEndDate]]&gt;=Settings!$B$2),1,0)</f>
        <v>0</v>
      </c>
      <c r="AC459" s="46">
        <f ca="1">IF(AND(Table1[[#This Row],[SubscriptionStart]]&lt;=Settings!$C$2,Table1[[#This Row],[EffectiveEndDate]]&gt;=Settings!$C$2),1,0)</f>
        <v>0</v>
      </c>
      <c r="AD459" s="46">
        <f ca="1">IF(AND(Table1[[#This Row],[SubscriptionStart]]&lt;=Settings!$D$2,Table1[[#This Row],[EffectiveEndDate]]&gt;=Settings!$D$2),1,0)</f>
        <v>1</v>
      </c>
      <c r="AE459" s="46">
        <f ca="1">IF(AND(Table1[[#This Row],[SubscriptionStart]]&lt;=Settings!$E$2,Table1[[#This Row],[EffectiveEndDate]]&gt;=Settings!$E$2),1,0)</f>
        <v>1</v>
      </c>
      <c r="AF459"/>
      <c r="AG459"/>
      <c r="AH459"/>
      <c r="AI459"/>
      <c r="AJ459"/>
      <c r="AK459"/>
    </row>
    <row r="460" spans="1:37">
      <c r="A460" s="3" t="s">
        <v>685</v>
      </c>
      <c r="B460" s="3">
        <v>64</v>
      </c>
      <c r="C460" s="3" t="s">
        <v>23</v>
      </c>
      <c r="D460" s="5">
        <v>44995</v>
      </c>
      <c r="E460" s="5">
        <v>45025</v>
      </c>
      <c r="F460" s="3">
        <f ca="1">TODAY() - Table1[[#This Row],[SubscriptionStart]]</f>
        <v>986</v>
      </c>
      <c r="G460" s="4">
        <v>1</v>
      </c>
      <c r="H460" s="3" t="s">
        <v>29</v>
      </c>
      <c r="I460" s="3" t="s">
        <v>25</v>
      </c>
      <c r="J460" s="7" cm="1">
        <f t="array" ref="J460">_xlfn.IFS(Table1[[#This Row],[Tier]]="Basic",10,Table1[[#This Row],[Tier]]="Standard",18,Table1[[#This Row],[Tier]]="Premium",25)</f>
        <v>25</v>
      </c>
      <c r="K460" s="7" cm="1">
        <f t="array" ref="K46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460" s="7" cm="1">
        <f t="array" ref="L46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60" s="3" t="str" cm="1">
        <f t="array" ref="M460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60" s="3" t="s">
        <v>31</v>
      </c>
      <c r="O460" s="3" t="s">
        <v>49</v>
      </c>
      <c r="P460" s="3" t="s">
        <v>41</v>
      </c>
      <c r="Q460" s="3" t="str" cm="1">
        <f t="array" ref="Q460">_xlfn.IFS(Table1[[#This Row],[TotalRevenue]]&lt;100,"Low",Table1[[#This Row],[TotalRevenue]]&lt;300,"Medium",Table1[[#This Row],[TotalRevenue]]&lt;600,"High",TRUE,"Very High")</f>
        <v>Low</v>
      </c>
      <c r="R460" s="3" t="str" cm="1">
        <f t="array" ref="R460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460" s="3" t="str">
        <f>IF(Table1[[#This Row],[NextBillingDate]]="","Cancelled",IF(Table1[[#This Row],[CancellationDate]]&lt;&gt;"","Cancelled","Active"))</f>
        <v>Cancelled</v>
      </c>
      <c r="T460" s="7" cm="1">
        <f t="array" ref="T46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60" s="5">
        <v>45025</v>
      </c>
      <c r="W460" s="5">
        <v>45025</v>
      </c>
      <c r="X460" s="3">
        <v>0</v>
      </c>
      <c r="Y460" s="5">
        <f ca="1">IF(Table1[[#This Row],[ChurnStatus]]="Cancelled",Table1[[#This Row],[CancellationDate]],TODAY())</f>
        <v>45025</v>
      </c>
      <c r="Z460" s="46">
        <f ca="1">IF(AND(Table1[[#This Row],[SubscriptionStart]] &lt;= TODAY(), Table1[[#This Row],[EffectiveEndDate]] &gt;= TODAY()),1,0)</f>
        <v>0</v>
      </c>
      <c r="AA460" s="46">
        <f ca="1">IF(AND(Table1[[#This Row],[SubscriptionStart]]&lt;=Settings!$A$2,Table1[[#This Row],[EffectiveEndDate]]&gt;=Settings!$A$2),1,0)</f>
        <v>0</v>
      </c>
      <c r="AB460" s="46">
        <f ca="1">IF(AND(Table1[[#This Row],[SubscriptionStart]]&lt;=Settings!$B$2,Table1[[#This Row],[EffectiveEndDate]]&gt;=Settings!$B$2),1,0)</f>
        <v>0</v>
      </c>
      <c r="AC460" s="46">
        <f ca="1">IF(AND(Table1[[#This Row],[SubscriptionStart]]&lt;=Settings!$C$2,Table1[[#This Row],[EffectiveEndDate]]&gt;=Settings!$C$2),1,0)</f>
        <v>0</v>
      </c>
      <c r="AD460" s="46">
        <f ca="1">IF(AND(Table1[[#This Row],[SubscriptionStart]]&lt;=Settings!$D$2,Table1[[#This Row],[EffectiveEndDate]]&gt;=Settings!$D$2),1,0)</f>
        <v>0</v>
      </c>
      <c r="AE460" s="46">
        <f ca="1">IF(AND(Table1[[#This Row],[SubscriptionStart]]&lt;=Settings!$E$2,Table1[[#This Row],[EffectiveEndDate]]&gt;=Settings!$E$2),1,0)</f>
        <v>0</v>
      </c>
      <c r="AF460"/>
      <c r="AG460"/>
      <c r="AH460"/>
      <c r="AI460"/>
      <c r="AJ460"/>
      <c r="AK460"/>
    </row>
    <row r="461" spans="1:37">
      <c r="A461" s="3" t="s">
        <v>804</v>
      </c>
      <c r="B461" s="3">
        <v>27</v>
      </c>
      <c r="C461" s="3" t="s">
        <v>37</v>
      </c>
      <c r="D461" s="5">
        <v>44996</v>
      </c>
      <c r="E461" s="5">
        <v>45176</v>
      </c>
      <c r="F461" s="3">
        <f ca="1">TODAY() - Table1[[#This Row],[SubscriptionStart]]</f>
        <v>985</v>
      </c>
      <c r="G461" s="4">
        <v>6</v>
      </c>
      <c r="H461" s="3" t="s">
        <v>38</v>
      </c>
      <c r="I461" s="3" t="s">
        <v>30</v>
      </c>
      <c r="J461" s="7" cm="1">
        <f t="array" ref="J461">_xlfn.IFS(Table1[[#This Row],[Tier]]="Basic",10,Table1[[#This Row],[Tier]]="Standard",18,Table1[[#This Row],[Tier]]="Premium",25)</f>
        <v>10</v>
      </c>
      <c r="K461" s="7" cm="1">
        <f t="array" ref="K46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461" s="7" cm="1">
        <f t="array" ref="L46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461" s="3" t="str" cm="1">
        <f t="array" ref="M46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61" s="3" t="s">
        <v>31</v>
      </c>
      <c r="O461" s="3" t="s">
        <v>43</v>
      </c>
      <c r="P461" s="3" t="s">
        <v>35</v>
      </c>
      <c r="Q461" s="3" t="str" cm="1">
        <f t="array" ref="Q461">_xlfn.IFS(Table1[[#This Row],[TotalRevenue]]&lt;100,"Low",Table1[[#This Row],[TotalRevenue]]&lt;300,"Medium",Table1[[#This Row],[TotalRevenue]]&lt;600,"High",TRUE,"Very High")</f>
        <v>Low</v>
      </c>
      <c r="R461" s="3" t="str" cm="1">
        <f t="array" ref="R46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61" s="3" t="str">
        <f>IF(Table1[[#This Row],[NextBillingDate]]="","Cancelled",IF(Table1[[#This Row],[CancellationDate]]&lt;&gt;"","Cancelled","Active"))</f>
        <v>Cancelled</v>
      </c>
      <c r="T461" s="7" cm="1">
        <f t="array" ref="T46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461" s="5">
        <v>45176</v>
      </c>
      <c r="W461" s="5">
        <v>45176</v>
      </c>
      <c r="X461" s="3">
        <v>0</v>
      </c>
      <c r="Y461" s="5">
        <f ca="1">IF(Table1[[#This Row],[ChurnStatus]]="Cancelled",Table1[[#This Row],[CancellationDate]],TODAY())</f>
        <v>45176</v>
      </c>
      <c r="Z461" s="46">
        <f ca="1">IF(AND(Table1[[#This Row],[SubscriptionStart]] &lt;= TODAY(), Table1[[#This Row],[EffectiveEndDate]] &gt;= TODAY()),1,0)</f>
        <v>0</v>
      </c>
      <c r="AA461" s="46">
        <f ca="1">IF(AND(Table1[[#This Row],[SubscriptionStart]]&lt;=Settings!$A$2,Table1[[#This Row],[EffectiveEndDate]]&gt;=Settings!$A$2),1,0)</f>
        <v>0</v>
      </c>
      <c r="AB461" s="46">
        <f ca="1">IF(AND(Table1[[#This Row],[SubscriptionStart]]&lt;=Settings!$B$2,Table1[[#This Row],[EffectiveEndDate]]&gt;=Settings!$B$2),1,0)</f>
        <v>0</v>
      </c>
      <c r="AC461" s="46">
        <f ca="1">IF(AND(Table1[[#This Row],[SubscriptionStart]]&lt;=Settings!$C$2,Table1[[#This Row],[EffectiveEndDate]]&gt;=Settings!$C$2),1,0)</f>
        <v>0</v>
      </c>
      <c r="AD461" s="46">
        <f ca="1">IF(AND(Table1[[#This Row],[SubscriptionStart]]&lt;=Settings!$D$2,Table1[[#This Row],[EffectiveEndDate]]&gt;=Settings!$D$2),1,0)</f>
        <v>1</v>
      </c>
      <c r="AE461" s="46">
        <f ca="1">IF(AND(Table1[[#This Row],[SubscriptionStart]]&lt;=Settings!$E$2,Table1[[#This Row],[EffectiveEndDate]]&gt;=Settings!$E$2),1,0)</f>
        <v>0</v>
      </c>
      <c r="AF461"/>
      <c r="AG461"/>
      <c r="AH461"/>
      <c r="AI461"/>
      <c r="AJ461"/>
      <c r="AK461"/>
    </row>
    <row r="462" spans="1:37">
      <c r="A462" s="3" t="s">
        <v>226</v>
      </c>
      <c r="B462" s="3">
        <v>34</v>
      </c>
      <c r="C462" s="3" t="s">
        <v>37</v>
      </c>
      <c r="D462" s="5">
        <v>44996</v>
      </c>
      <c r="E462" s="5">
        <v>45356</v>
      </c>
      <c r="F462" s="3">
        <f ca="1">TODAY() - Table1[[#This Row],[SubscriptionStart]]</f>
        <v>985</v>
      </c>
      <c r="G462" s="4">
        <v>12</v>
      </c>
      <c r="H462" s="3" t="s">
        <v>24</v>
      </c>
      <c r="I462" s="3" t="s">
        <v>25</v>
      </c>
      <c r="J462" s="7" cm="1">
        <f t="array" ref="J462">_xlfn.IFS(Table1[[#This Row],[Tier]]="Basic",10,Table1[[#This Row],[Tier]]="Standard",18,Table1[[#This Row],[Tier]]="Premium",25)</f>
        <v>25</v>
      </c>
      <c r="K462" s="7" cm="1">
        <f t="array" ref="K46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462" s="7" cm="1">
        <f t="array" ref="L46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462" s="3" t="str" cm="1">
        <f t="array" ref="M46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62" s="3" t="s">
        <v>34</v>
      </c>
      <c r="O462" s="3" t="s">
        <v>32</v>
      </c>
      <c r="P462" s="3" t="s">
        <v>50</v>
      </c>
      <c r="Q462" s="3" t="str" cm="1">
        <f t="array" ref="Q462">_xlfn.IFS(Table1[[#This Row],[TotalRevenue]]&lt;100,"Low",Table1[[#This Row],[TotalRevenue]]&lt;300,"Medium",Table1[[#This Row],[TotalRevenue]]&lt;600,"High",TRUE,"Very High")</f>
        <v>Medium</v>
      </c>
      <c r="R462" s="3" t="str" cm="1">
        <f t="array" ref="R46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62" s="3" t="str">
        <f>IF(Table1[[#This Row],[NextBillingDate]]="","Cancelled",IF(Table1[[#This Row],[CancellationDate]]&lt;&gt;"","Cancelled","Active"))</f>
        <v>Cancelled</v>
      </c>
      <c r="T462" s="7" cm="1">
        <f t="array" ref="T46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462" s="5">
        <v>45356</v>
      </c>
      <c r="W462" s="5">
        <v>45356</v>
      </c>
      <c r="X462" s="3">
        <v>0</v>
      </c>
      <c r="Y462" s="5">
        <f ca="1">IF(Table1[[#This Row],[ChurnStatus]]="Cancelled",Table1[[#This Row],[CancellationDate]],TODAY())</f>
        <v>45356</v>
      </c>
      <c r="Z462" s="46">
        <f ca="1">IF(AND(Table1[[#This Row],[SubscriptionStart]] &lt;= TODAY(), Table1[[#This Row],[EffectiveEndDate]] &gt;= TODAY()),1,0)</f>
        <v>0</v>
      </c>
      <c r="AA462" s="46">
        <f ca="1">IF(AND(Table1[[#This Row],[SubscriptionStart]]&lt;=Settings!$A$2,Table1[[#This Row],[EffectiveEndDate]]&gt;=Settings!$A$2),1,0)</f>
        <v>0</v>
      </c>
      <c r="AB462" s="46">
        <f ca="1">IF(AND(Table1[[#This Row],[SubscriptionStart]]&lt;=Settings!$B$2,Table1[[#This Row],[EffectiveEndDate]]&gt;=Settings!$B$2),1,0)</f>
        <v>0</v>
      </c>
      <c r="AC462" s="46">
        <f ca="1">IF(AND(Table1[[#This Row],[SubscriptionStart]]&lt;=Settings!$C$2,Table1[[#This Row],[EffectiveEndDate]]&gt;=Settings!$C$2),1,0)</f>
        <v>0</v>
      </c>
      <c r="AD462" s="46">
        <f ca="1">IF(AND(Table1[[#This Row],[SubscriptionStart]]&lt;=Settings!$D$2,Table1[[#This Row],[EffectiveEndDate]]&gt;=Settings!$D$2),1,0)</f>
        <v>1</v>
      </c>
      <c r="AE462" s="46">
        <f ca="1">IF(AND(Table1[[#This Row],[SubscriptionStart]]&lt;=Settings!$E$2,Table1[[#This Row],[EffectiveEndDate]]&gt;=Settings!$E$2),1,0)</f>
        <v>0</v>
      </c>
      <c r="AF462"/>
      <c r="AG462"/>
      <c r="AH462"/>
      <c r="AI462"/>
      <c r="AJ462"/>
      <c r="AK462"/>
    </row>
    <row r="463" spans="1:37">
      <c r="A463" s="3" t="s">
        <v>705</v>
      </c>
      <c r="B463" s="3">
        <v>49</v>
      </c>
      <c r="C463" s="3" t="s">
        <v>23</v>
      </c>
      <c r="D463" s="5">
        <v>44996</v>
      </c>
      <c r="E463" s="5">
        <v>45356</v>
      </c>
      <c r="F463" s="3">
        <f ca="1">TODAY() - Table1[[#This Row],[SubscriptionStart]]</f>
        <v>985</v>
      </c>
      <c r="G463" s="4">
        <v>12</v>
      </c>
      <c r="H463" s="3" t="s">
        <v>24</v>
      </c>
      <c r="I463" s="3" t="s">
        <v>39</v>
      </c>
      <c r="J463" s="7" cm="1">
        <f t="array" ref="J463">_xlfn.IFS(Table1[[#This Row],[Tier]]="Basic",10,Table1[[#This Row],[Tier]]="Standard",18,Table1[[#This Row],[Tier]]="Premium",25)</f>
        <v>18</v>
      </c>
      <c r="K463" s="7" cm="1">
        <f t="array" ref="K46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463" s="7" cm="1">
        <f t="array" ref="L46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463" s="3" t="str" cm="1">
        <f t="array" ref="M46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63" s="3" t="s">
        <v>31</v>
      </c>
      <c r="O463" s="3" t="s">
        <v>27</v>
      </c>
      <c r="P463" s="3" t="s">
        <v>35</v>
      </c>
      <c r="Q463" s="3" t="str" cm="1">
        <f t="array" ref="Q463">_xlfn.IFS(Table1[[#This Row],[TotalRevenue]]&lt;100,"Low",Table1[[#This Row],[TotalRevenue]]&lt;300,"Medium",Table1[[#This Row],[TotalRevenue]]&lt;600,"High",TRUE,"Very High")</f>
        <v>Medium</v>
      </c>
      <c r="R463" s="3" t="str" cm="1">
        <f t="array" ref="R46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63" s="3" t="str">
        <f>IF(Table1[[#This Row],[NextBillingDate]]="","Cancelled",IF(Table1[[#This Row],[CancellationDate]]&lt;&gt;"","Cancelled","Active"))</f>
        <v>Cancelled</v>
      </c>
      <c r="T463" s="7" cm="1">
        <f t="array" ref="T46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463" s="5">
        <v>45356</v>
      </c>
      <c r="W463" s="5">
        <v>45356</v>
      </c>
      <c r="X463" s="3">
        <v>0</v>
      </c>
      <c r="Y463" s="5">
        <f ca="1">IF(Table1[[#This Row],[ChurnStatus]]="Cancelled",Table1[[#This Row],[CancellationDate]],TODAY())</f>
        <v>45356</v>
      </c>
      <c r="Z463" s="46">
        <f ca="1">IF(AND(Table1[[#This Row],[SubscriptionStart]] &lt;= TODAY(), Table1[[#This Row],[EffectiveEndDate]] &gt;= TODAY()),1,0)</f>
        <v>0</v>
      </c>
      <c r="AA463" s="46">
        <f ca="1">IF(AND(Table1[[#This Row],[SubscriptionStart]]&lt;=Settings!$A$2,Table1[[#This Row],[EffectiveEndDate]]&gt;=Settings!$A$2),1,0)</f>
        <v>0</v>
      </c>
      <c r="AB463" s="46">
        <f ca="1">IF(AND(Table1[[#This Row],[SubscriptionStart]]&lt;=Settings!$B$2,Table1[[#This Row],[EffectiveEndDate]]&gt;=Settings!$B$2),1,0)</f>
        <v>0</v>
      </c>
      <c r="AC463" s="46">
        <f ca="1">IF(AND(Table1[[#This Row],[SubscriptionStart]]&lt;=Settings!$C$2,Table1[[#This Row],[EffectiveEndDate]]&gt;=Settings!$C$2),1,0)</f>
        <v>0</v>
      </c>
      <c r="AD463" s="46">
        <f ca="1">IF(AND(Table1[[#This Row],[SubscriptionStart]]&lt;=Settings!$D$2,Table1[[#This Row],[EffectiveEndDate]]&gt;=Settings!$D$2),1,0)</f>
        <v>1</v>
      </c>
      <c r="AE463" s="46">
        <f ca="1">IF(AND(Table1[[#This Row],[SubscriptionStart]]&lt;=Settings!$E$2,Table1[[#This Row],[EffectiveEndDate]]&gt;=Settings!$E$2),1,0)</f>
        <v>0</v>
      </c>
      <c r="AF463"/>
      <c r="AG463"/>
      <c r="AH463"/>
      <c r="AI463"/>
      <c r="AJ463"/>
      <c r="AK463"/>
    </row>
    <row r="464" spans="1:37">
      <c r="A464" s="3" t="s">
        <v>420</v>
      </c>
      <c r="B464" s="3">
        <v>63</v>
      </c>
      <c r="C464" s="3" t="s">
        <v>23</v>
      </c>
      <c r="D464" s="5">
        <v>44997</v>
      </c>
      <c r="E464" s="5">
        <v>45357</v>
      </c>
      <c r="F464" s="3">
        <f ca="1">TODAY() - Table1[[#This Row],[SubscriptionStart]]</f>
        <v>984</v>
      </c>
      <c r="G464" s="4">
        <v>12</v>
      </c>
      <c r="H464" s="3" t="s">
        <v>24</v>
      </c>
      <c r="I464" s="3" t="s">
        <v>39</v>
      </c>
      <c r="J464" s="7" cm="1">
        <f t="array" ref="J464">_xlfn.IFS(Table1[[#This Row],[Tier]]="Basic",10,Table1[[#This Row],[Tier]]="Standard",18,Table1[[#This Row],[Tier]]="Premium",25)</f>
        <v>18</v>
      </c>
      <c r="K464" s="7" cm="1">
        <f t="array" ref="K46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464" s="7" cm="1">
        <f t="array" ref="L46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464" s="3" t="str" cm="1">
        <f t="array" ref="M46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64" s="3" t="s">
        <v>34</v>
      </c>
      <c r="O464" s="3" t="s">
        <v>43</v>
      </c>
      <c r="P464" s="3" t="s">
        <v>35</v>
      </c>
      <c r="Q464" s="3" t="str" cm="1">
        <f t="array" ref="Q464">_xlfn.IFS(Table1[[#This Row],[TotalRevenue]]&lt;100,"Low",Table1[[#This Row],[TotalRevenue]]&lt;300,"Medium",Table1[[#This Row],[TotalRevenue]]&lt;600,"High",TRUE,"Very High")</f>
        <v>Medium</v>
      </c>
      <c r="R464" s="3" t="str" cm="1">
        <f t="array" ref="R46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464" s="3" t="str">
        <f>IF(Table1[[#This Row],[NextBillingDate]]="","Cancelled",IF(Table1[[#This Row],[CancellationDate]]&lt;&gt;"","Cancelled","Active"))</f>
        <v>Cancelled</v>
      </c>
      <c r="T464" s="7" cm="1">
        <f t="array" ref="T46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464" s="5">
        <v>45357</v>
      </c>
      <c r="W464" s="5">
        <v>45357</v>
      </c>
      <c r="X464" s="3">
        <v>0</v>
      </c>
      <c r="Y464" s="5">
        <f ca="1">IF(Table1[[#This Row],[ChurnStatus]]="Cancelled",Table1[[#This Row],[CancellationDate]],TODAY())</f>
        <v>45357</v>
      </c>
      <c r="Z464" s="46">
        <f ca="1">IF(AND(Table1[[#This Row],[SubscriptionStart]] &lt;= TODAY(), Table1[[#This Row],[EffectiveEndDate]] &gt;= TODAY()),1,0)</f>
        <v>0</v>
      </c>
      <c r="AA464" s="46">
        <f ca="1">IF(AND(Table1[[#This Row],[SubscriptionStart]]&lt;=Settings!$A$2,Table1[[#This Row],[EffectiveEndDate]]&gt;=Settings!$A$2),1,0)</f>
        <v>0</v>
      </c>
      <c r="AB464" s="46">
        <f ca="1">IF(AND(Table1[[#This Row],[SubscriptionStart]]&lt;=Settings!$B$2,Table1[[#This Row],[EffectiveEndDate]]&gt;=Settings!$B$2),1,0)</f>
        <v>0</v>
      </c>
      <c r="AC464" s="46">
        <f ca="1">IF(AND(Table1[[#This Row],[SubscriptionStart]]&lt;=Settings!$C$2,Table1[[#This Row],[EffectiveEndDate]]&gt;=Settings!$C$2),1,0)</f>
        <v>0</v>
      </c>
      <c r="AD464" s="46">
        <f ca="1">IF(AND(Table1[[#This Row],[SubscriptionStart]]&lt;=Settings!$D$2,Table1[[#This Row],[EffectiveEndDate]]&gt;=Settings!$D$2),1,0)</f>
        <v>1</v>
      </c>
      <c r="AE464" s="46">
        <f ca="1">IF(AND(Table1[[#This Row],[SubscriptionStart]]&lt;=Settings!$E$2,Table1[[#This Row],[EffectiveEndDate]]&gt;=Settings!$E$2),1,0)</f>
        <v>0</v>
      </c>
      <c r="AF464"/>
      <c r="AG464"/>
      <c r="AH464"/>
      <c r="AI464"/>
      <c r="AJ464"/>
      <c r="AK464"/>
    </row>
    <row r="465" spans="1:37">
      <c r="A465" s="3" t="s">
        <v>649</v>
      </c>
      <c r="B465" s="3">
        <v>49</v>
      </c>
      <c r="C465" s="3" t="s">
        <v>23</v>
      </c>
      <c r="D465" s="5">
        <v>44997</v>
      </c>
      <c r="F465" s="3">
        <f ca="1">TODAY() - Table1[[#This Row],[SubscriptionStart]]</f>
        <v>984</v>
      </c>
      <c r="G465" s="4">
        <v>36</v>
      </c>
      <c r="H465" s="3" t="s">
        <v>24</v>
      </c>
      <c r="I465" s="3" t="s">
        <v>25</v>
      </c>
      <c r="J465" s="7" cm="1">
        <f t="array" ref="J465">_xlfn.IFS(Table1[[#This Row],[Tier]]="Basic",10,Table1[[#This Row],[Tier]]="Standard",18,Table1[[#This Row],[Tier]]="Premium",25)</f>
        <v>25</v>
      </c>
      <c r="K465" s="7" cm="1">
        <f t="array" ref="K46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16.666666666666664</v>
      </c>
      <c r="L465" s="7" cm="1">
        <f t="array" ref="L46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580</v>
      </c>
      <c r="M465" s="3" t="str" cm="1">
        <f t="array" ref="M46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65" s="3" t="s">
        <v>26</v>
      </c>
      <c r="O465" s="3" t="s">
        <v>27</v>
      </c>
      <c r="Q465" s="3" t="str" cm="1">
        <f t="array" ref="Q465">_xlfn.IFS(Table1[[#This Row],[TotalRevenue]]&lt;100,"Low",Table1[[#This Row],[TotalRevenue]]&lt;300,"Medium",Table1[[#This Row],[TotalRevenue]]&lt;600,"High",TRUE,"Very High")</f>
        <v>High</v>
      </c>
      <c r="R465" s="3" t="str" cm="1">
        <f t="array" ref="R46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65" s="3" t="str">
        <f>IF(Table1[[#This Row],[NextBillingDate]]="","Cancelled",IF(Table1[[#This Row],[CancellationDate]]&lt;&gt;"","Cancelled","Active"))</f>
        <v>Active</v>
      </c>
      <c r="T465" s="7" cm="1">
        <f t="array" ref="T46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780</v>
      </c>
      <c r="V465" s="5">
        <v>46077</v>
      </c>
      <c r="W465" s="5">
        <v>46077</v>
      </c>
      <c r="X465" s="3">
        <v>2</v>
      </c>
      <c r="Y465" s="5">
        <f ca="1">IF(Table1[[#This Row],[ChurnStatus]]="Cancelled",Table1[[#This Row],[CancellationDate]],TODAY())</f>
        <v>45981</v>
      </c>
      <c r="Z465" s="46">
        <f ca="1">IF(AND(Table1[[#This Row],[SubscriptionStart]] &lt;= TODAY(), Table1[[#This Row],[EffectiveEndDate]] &gt;= TODAY()),1,0)</f>
        <v>1</v>
      </c>
      <c r="AA465" s="46">
        <f ca="1">IF(AND(Table1[[#This Row],[SubscriptionStart]]&lt;=Settings!$A$2,Table1[[#This Row],[EffectiveEndDate]]&gt;=Settings!$A$2),1,0)</f>
        <v>0</v>
      </c>
      <c r="AB465" s="46">
        <f ca="1">IF(AND(Table1[[#This Row],[SubscriptionStart]]&lt;=Settings!$B$2,Table1[[#This Row],[EffectiveEndDate]]&gt;=Settings!$B$2),1,0)</f>
        <v>0</v>
      </c>
      <c r="AC465" s="46">
        <f ca="1">IF(AND(Table1[[#This Row],[SubscriptionStart]]&lt;=Settings!$C$2,Table1[[#This Row],[EffectiveEndDate]]&gt;=Settings!$C$2),1,0)</f>
        <v>0</v>
      </c>
      <c r="AD465" s="46">
        <f ca="1">IF(AND(Table1[[#This Row],[SubscriptionStart]]&lt;=Settings!$D$2,Table1[[#This Row],[EffectiveEndDate]]&gt;=Settings!$D$2),1,0)</f>
        <v>1</v>
      </c>
      <c r="AE465" s="46">
        <f ca="1">IF(AND(Table1[[#This Row],[SubscriptionStart]]&lt;=Settings!$E$2,Table1[[#This Row],[EffectiveEndDate]]&gt;=Settings!$E$2),1,0)</f>
        <v>1</v>
      </c>
      <c r="AF465"/>
      <c r="AG465"/>
      <c r="AH465"/>
      <c r="AI465"/>
      <c r="AJ465"/>
      <c r="AK465"/>
    </row>
    <row r="466" spans="1:37">
      <c r="A466" s="3" t="s">
        <v>809</v>
      </c>
      <c r="B466" s="3">
        <v>44</v>
      </c>
      <c r="C466" s="3" t="s">
        <v>37</v>
      </c>
      <c r="D466" s="5">
        <v>44997</v>
      </c>
      <c r="F466" s="3">
        <f ca="1">TODAY() - Table1[[#This Row],[SubscriptionStart]]</f>
        <v>984</v>
      </c>
      <c r="G466" s="4">
        <v>36</v>
      </c>
      <c r="H466" s="3" t="s">
        <v>24</v>
      </c>
      <c r="I466" s="3" t="s">
        <v>30</v>
      </c>
      <c r="J466" s="7" cm="1">
        <f t="array" ref="J466">_xlfn.IFS(Table1[[#This Row],[Tier]]="Basic",10,Table1[[#This Row],[Tier]]="Standard",18,Table1[[#This Row],[Tier]]="Premium",25)</f>
        <v>10</v>
      </c>
      <c r="K466" s="7" cm="1">
        <f t="array" ref="K46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466" s="7" cm="1">
        <f t="array" ref="L46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232</v>
      </c>
      <c r="M466" s="3" t="str" cm="1">
        <f t="array" ref="M46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66" s="3" t="s">
        <v>34</v>
      </c>
      <c r="O466" s="3" t="s">
        <v>49</v>
      </c>
      <c r="Q466" s="3" t="str" cm="1">
        <f t="array" ref="Q466">_xlfn.IFS(Table1[[#This Row],[TotalRevenue]]&lt;100,"Low",Table1[[#This Row],[TotalRevenue]]&lt;300,"Medium",Table1[[#This Row],[TotalRevenue]]&lt;600,"High",TRUE,"Very High")</f>
        <v>Medium</v>
      </c>
      <c r="R466" s="3" t="str" cm="1">
        <f t="array" ref="R46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66" s="3" t="str">
        <f>IF(Table1[[#This Row],[NextBillingDate]]="","Cancelled",IF(Table1[[#This Row],[CancellationDate]]&lt;&gt;"","Cancelled","Active"))</f>
        <v>Active</v>
      </c>
      <c r="T466" s="7" cm="1">
        <f t="array" ref="T46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312</v>
      </c>
      <c r="V466" s="5">
        <v>46077</v>
      </c>
      <c r="W466" s="5">
        <v>46077</v>
      </c>
      <c r="X466" s="3">
        <v>2</v>
      </c>
      <c r="Y466" s="5">
        <f ca="1">IF(Table1[[#This Row],[ChurnStatus]]="Cancelled",Table1[[#This Row],[CancellationDate]],TODAY())</f>
        <v>45981</v>
      </c>
      <c r="Z466" s="46">
        <f ca="1">IF(AND(Table1[[#This Row],[SubscriptionStart]] &lt;= TODAY(), Table1[[#This Row],[EffectiveEndDate]] &gt;= TODAY()),1,0)</f>
        <v>1</v>
      </c>
      <c r="AA466" s="46">
        <f ca="1">IF(AND(Table1[[#This Row],[SubscriptionStart]]&lt;=Settings!$A$2,Table1[[#This Row],[EffectiveEndDate]]&gt;=Settings!$A$2),1,0)</f>
        <v>0</v>
      </c>
      <c r="AB466" s="46">
        <f ca="1">IF(AND(Table1[[#This Row],[SubscriptionStart]]&lt;=Settings!$B$2,Table1[[#This Row],[EffectiveEndDate]]&gt;=Settings!$B$2),1,0)</f>
        <v>0</v>
      </c>
      <c r="AC466" s="46">
        <f ca="1">IF(AND(Table1[[#This Row],[SubscriptionStart]]&lt;=Settings!$C$2,Table1[[#This Row],[EffectiveEndDate]]&gt;=Settings!$C$2),1,0)</f>
        <v>0</v>
      </c>
      <c r="AD466" s="46">
        <f ca="1">IF(AND(Table1[[#This Row],[SubscriptionStart]]&lt;=Settings!$D$2,Table1[[#This Row],[EffectiveEndDate]]&gt;=Settings!$D$2),1,0)</f>
        <v>1</v>
      </c>
      <c r="AE466" s="46">
        <f ca="1">IF(AND(Table1[[#This Row],[SubscriptionStart]]&lt;=Settings!$E$2,Table1[[#This Row],[EffectiveEndDate]]&gt;=Settings!$E$2),1,0)</f>
        <v>1</v>
      </c>
      <c r="AF466"/>
      <c r="AG466"/>
      <c r="AH466"/>
      <c r="AI466"/>
      <c r="AJ466"/>
      <c r="AK466"/>
    </row>
    <row r="467" spans="1:37">
      <c r="A467" s="3" t="s">
        <v>563</v>
      </c>
      <c r="B467" s="3">
        <v>51</v>
      </c>
      <c r="C467" s="3" t="s">
        <v>37</v>
      </c>
      <c r="D467" s="5">
        <v>44998</v>
      </c>
      <c r="E467" s="5">
        <v>45358</v>
      </c>
      <c r="F467" s="3">
        <f ca="1">TODAY() - Table1[[#This Row],[SubscriptionStart]]</f>
        <v>983</v>
      </c>
      <c r="G467" s="4">
        <v>12</v>
      </c>
      <c r="H467" s="3" t="s">
        <v>24</v>
      </c>
      <c r="I467" s="3" t="s">
        <v>30</v>
      </c>
      <c r="J467" s="7" cm="1">
        <f t="array" ref="J467">_xlfn.IFS(Table1[[#This Row],[Tier]]="Basic",10,Table1[[#This Row],[Tier]]="Standard",18,Table1[[#This Row],[Tier]]="Premium",25)</f>
        <v>10</v>
      </c>
      <c r="K467" s="7" cm="1">
        <f t="array" ref="K46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467" s="7" cm="1">
        <f t="array" ref="L46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467" s="3" t="str" cm="1">
        <f t="array" ref="M46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67" s="3" t="s">
        <v>26</v>
      </c>
      <c r="O467" s="3" t="s">
        <v>27</v>
      </c>
      <c r="P467" s="3" t="s">
        <v>47</v>
      </c>
      <c r="Q467" s="3" t="str" cm="1">
        <f t="array" ref="Q467">_xlfn.IFS(Table1[[#This Row],[TotalRevenue]]&lt;100,"Low",Table1[[#This Row],[TotalRevenue]]&lt;300,"Medium",Table1[[#This Row],[TotalRevenue]]&lt;600,"High",TRUE,"Very High")</f>
        <v>Low</v>
      </c>
      <c r="R467" s="3" t="str" cm="1">
        <f t="array" ref="R46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67" s="3" t="str">
        <f>IF(Table1[[#This Row],[NextBillingDate]]="","Cancelled",IF(Table1[[#This Row],[CancellationDate]]&lt;&gt;"","Cancelled","Active"))</f>
        <v>Cancelled</v>
      </c>
      <c r="T467" s="7" cm="1">
        <f t="array" ref="T46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467" s="5">
        <v>45358</v>
      </c>
      <c r="W467" s="5">
        <v>45358</v>
      </c>
      <c r="X467" s="3">
        <v>0</v>
      </c>
      <c r="Y467" s="5">
        <f ca="1">IF(Table1[[#This Row],[ChurnStatus]]="Cancelled",Table1[[#This Row],[CancellationDate]],TODAY())</f>
        <v>45358</v>
      </c>
      <c r="Z467" s="46">
        <f ca="1">IF(AND(Table1[[#This Row],[SubscriptionStart]] &lt;= TODAY(), Table1[[#This Row],[EffectiveEndDate]] &gt;= TODAY()),1,0)</f>
        <v>0</v>
      </c>
      <c r="AA467" s="46">
        <f ca="1">IF(AND(Table1[[#This Row],[SubscriptionStart]]&lt;=Settings!$A$2,Table1[[#This Row],[EffectiveEndDate]]&gt;=Settings!$A$2),1,0)</f>
        <v>0</v>
      </c>
      <c r="AB467" s="46">
        <f ca="1">IF(AND(Table1[[#This Row],[SubscriptionStart]]&lt;=Settings!$B$2,Table1[[#This Row],[EffectiveEndDate]]&gt;=Settings!$B$2),1,0)</f>
        <v>0</v>
      </c>
      <c r="AC467" s="46">
        <f ca="1">IF(AND(Table1[[#This Row],[SubscriptionStart]]&lt;=Settings!$C$2,Table1[[#This Row],[EffectiveEndDate]]&gt;=Settings!$C$2),1,0)</f>
        <v>0</v>
      </c>
      <c r="AD467" s="46">
        <f ca="1">IF(AND(Table1[[#This Row],[SubscriptionStart]]&lt;=Settings!$D$2,Table1[[#This Row],[EffectiveEndDate]]&gt;=Settings!$D$2),1,0)</f>
        <v>1</v>
      </c>
      <c r="AE467" s="46">
        <f ca="1">IF(AND(Table1[[#This Row],[SubscriptionStart]]&lt;=Settings!$E$2,Table1[[#This Row],[EffectiveEndDate]]&gt;=Settings!$E$2),1,0)</f>
        <v>0</v>
      </c>
      <c r="AF467"/>
      <c r="AG467"/>
      <c r="AH467"/>
      <c r="AI467"/>
      <c r="AJ467"/>
      <c r="AK467"/>
    </row>
    <row r="468" spans="1:37">
      <c r="A468" s="3" t="s">
        <v>288</v>
      </c>
      <c r="B468" s="3">
        <v>57</v>
      </c>
      <c r="C468" s="3" t="s">
        <v>37</v>
      </c>
      <c r="D468" s="5">
        <v>44999</v>
      </c>
      <c r="E468" s="5">
        <v>45029</v>
      </c>
      <c r="F468" s="3">
        <f ca="1">TODAY() - Table1[[#This Row],[SubscriptionStart]]</f>
        <v>982</v>
      </c>
      <c r="G468" s="4">
        <v>1</v>
      </c>
      <c r="H468" s="3" t="s">
        <v>29</v>
      </c>
      <c r="I468" s="3" t="s">
        <v>30</v>
      </c>
      <c r="J468" s="7" cm="1">
        <f t="array" ref="J468">_xlfn.IFS(Table1[[#This Row],[Tier]]="Basic",10,Table1[[#This Row],[Tier]]="Standard",18,Table1[[#This Row],[Tier]]="Premium",25)</f>
        <v>10</v>
      </c>
      <c r="K468" s="7" cm="1">
        <f t="array" ref="K46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468" s="7" cm="1">
        <f t="array" ref="L46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68" s="3" t="str" cm="1">
        <f t="array" ref="M46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68" s="3" t="s">
        <v>52</v>
      </c>
      <c r="O468" s="3" t="s">
        <v>43</v>
      </c>
      <c r="P468" s="3" t="s">
        <v>35</v>
      </c>
      <c r="Q468" s="3" t="str" cm="1">
        <f t="array" ref="Q468">_xlfn.IFS(Table1[[#This Row],[TotalRevenue]]&lt;100,"Low",Table1[[#This Row],[TotalRevenue]]&lt;300,"Medium",Table1[[#This Row],[TotalRevenue]]&lt;600,"High",TRUE,"Very High")</f>
        <v>Low</v>
      </c>
      <c r="R468" s="3" t="str" cm="1">
        <f t="array" ref="R46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68" s="3" t="str">
        <f>IF(Table1[[#This Row],[NextBillingDate]]="","Cancelled",IF(Table1[[#This Row],[CancellationDate]]&lt;&gt;"","Cancelled","Active"))</f>
        <v>Cancelled</v>
      </c>
      <c r="T468" s="7" cm="1">
        <f t="array" ref="T46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68" s="5">
        <v>45029</v>
      </c>
      <c r="W468" s="5">
        <v>45029</v>
      </c>
      <c r="X468" s="3">
        <v>0</v>
      </c>
      <c r="Y468" s="5">
        <f ca="1">IF(Table1[[#This Row],[ChurnStatus]]="Cancelled",Table1[[#This Row],[CancellationDate]],TODAY())</f>
        <v>45029</v>
      </c>
      <c r="Z468" s="46">
        <f ca="1">IF(AND(Table1[[#This Row],[SubscriptionStart]] &lt;= TODAY(), Table1[[#This Row],[EffectiveEndDate]] &gt;= TODAY()),1,0)</f>
        <v>0</v>
      </c>
      <c r="AA468" s="46">
        <f ca="1">IF(AND(Table1[[#This Row],[SubscriptionStart]]&lt;=Settings!$A$2,Table1[[#This Row],[EffectiveEndDate]]&gt;=Settings!$A$2),1,0)</f>
        <v>0</v>
      </c>
      <c r="AB468" s="46">
        <f ca="1">IF(AND(Table1[[#This Row],[SubscriptionStart]]&lt;=Settings!$B$2,Table1[[#This Row],[EffectiveEndDate]]&gt;=Settings!$B$2),1,0)</f>
        <v>0</v>
      </c>
      <c r="AC468" s="46">
        <f ca="1">IF(AND(Table1[[#This Row],[SubscriptionStart]]&lt;=Settings!$C$2,Table1[[#This Row],[EffectiveEndDate]]&gt;=Settings!$C$2),1,0)</f>
        <v>0</v>
      </c>
      <c r="AD468" s="46">
        <f ca="1">IF(AND(Table1[[#This Row],[SubscriptionStart]]&lt;=Settings!$D$2,Table1[[#This Row],[EffectiveEndDate]]&gt;=Settings!$D$2),1,0)</f>
        <v>0</v>
      </c>
      <c r="AE468" s="46">
        <f ca="1">IF(AND(Table1[[#This Row],[SubscriptionStart]]&lt;=Settings!$E$2,Table1[[#This Row],[EffectiveEndDate]]&gt;=Settings!$E$2),1,0)</f>
        <v>0</v>
      </c>
      <c r="AF468"/>
      <c r="AG468"/>
      <c r="AH468"/>
      <c r="AI468"/>
      <c r="AJ468"/>
      <c r="AK468"/>
    </row>
    <row r="469" spans="1:37">
      <c r="A469" s="3" t="s">
        <v>134</v>
      </c>
      <c r="B469" s="3">
        <v>22</v>
      </c>
      <c r="C469" s="3" t="s">
        <v>37</v>
      </c>
      <c r="D469" s="5">
        <v>45000</v>
      </c>
      <c r="E469" s="5">
        <v>45360</v>
      </c>
      <c r="F469" s="3">
        <f ca="1">TODAY() - Table1[[#This Row],[SubscriptionStart]]</f>
        <v>981</v>
      </c>
      <c r="G469" s="4">
        <v>12</v>
      </c>
      <c r="H469" s="3" t="s">
        <v>24</v>
      </c>
      <c r="I469" s="3" t="s">
        <v>39</v>
      </c>
      <c r="J469" s="7" cm="1">
        <f t="array" ref="J469">_xlfn.IFS(Table1[[#This Row],[Tier]]="Basic",10,Table1[[#This Row],[Tier]]="Standard",18,Table1[[#This Row],[Tier]]="Premium",25)</f>
        <v>18</v>
      </c>
      <c r="K469" s="7" cm="1">
        <f t="array" ref="K46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469" s="7" cm="1">
        <f t="array" ref="L46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469" s="3" t="str" cm="1">
        <f t="array" ref="M469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469" s="3" t="s">
        <v>31</v>
      </c>
      <c r="O469" s="3" t="s">
        <v>40</v>
      </c>
      <c r="P469" s="3" t="s">
        <v>44</v>
      </c>
      <c r="Q469" s="3" t="str" cm="1">
        <f t="array" ref="Q469">_xlfn.IFS(Table1[[#This Row],[TotalRevenue]]&lt;100,"Low",Table1[[#This Row],[TotalRevenue]]&lt;300,"Medium",Table1[[#This Row],[TotalRevenue]]&lt;600,"High",TRUE,"Very High")</f>
        <v>Medium</v>
      </c>
      <c r="R469" s="3" t="str" cm="1">
        <f t="array" ref="R469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469" s="3" t="str">
        <f>IF(Table1[[#This Row],[NextBillingDate]]="","Cancelled",IF(Table1[[#This Row],[CancellationDate]]&lt;&gt;"","Cancelled","Active"))</f>
        <v>Cancelled</v>
      </c>
      <c r="T469" s="7" cm="1">
        <f t="array" ref="T46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469" s="5">
        <v>45360</v>
      </c>
      <c r="W469" s="5">
        <v>45360</v>
      </c>
      <c r="X469" s="3">
        <v>0</v>
      </c>
      <c r="Y469" s="5">
        <f ca="1">IF(Table1[[#This Row],[ChurnStatus]]="Cancelled",Table1[[#This Row],[CancellationDate]],TODAY())</f>
        <v>45360</v>
      </c>
      <c r="Z469" s="46">
        <f ca="1">IF(AND(Table1[[#This Row],[SubscriptionStart]] &lt;= TODAY(), Table1[[#This Row],[EffectiveEndDate]] &gt;= TODAY()),1,0)</f>
        <v>0</v>
      </c>
      <c r="AA469" s="46">
        <f ca="1">IF(AND(Table1[[#This Row],[SubscriptionStart]]&lt;=Settings!$A$2,Table1[[#This Row],[EffectiveEndDate]]&gt;=Settings!$A$2),1,0)</f>
        <v>0</v>
      </c>
      <c r="AB469" s="46">
        <f ca="1">IF(AND(Table1[[#This Row],[SubscriptionStart]]&lt;=Settings!$B$2,Table1[[#This Row],[EffectiveEndDate]]&gt;=Settings!$B$2),1,0)</f>
        <v>0</v>
      </c>
      <c r="AC469" s="46">
        <f ca="1">IF(AND(Table1[[#This Row],[SubscriptionStart]]&lt;=Settings!$C$2,Table1[[#This Row],[EffectiveEndDate]]&gt;=Settings!$C$2),1,0)</f>
        <v>0</v>
      </c>
      <c r="AD469" s="46">
        <f ca="1">IF(AND(Table1[[#This Row],[SubscriptionStart]]&lt;=Settings!$D$2,Table1[[#This Row],[EffectiveEndDate]]&gt;=Settings!$D$2),1,0)</f>
        <v>1</v>
      </c>
      <c r="AE469" s="46">
        <f ca="1">IF(AND(Table1[[#This Row],[SubscriptionStart]]&lt;=Settings!$E$2,Table1[[#This Row],[EffectiveEndDate]]&gt;=Settings!$E$2),1,0)</f>
        <v>0</v>
      </c>
      <c r="AF469"/>
      <c r="AG469"/>
      <c r="AH469"/>
      <c r="AI469"/>
      <c r="AJ469"/>
      <c r="AK469"/>
    </row>
    <row r="470" spans="1:37">
      <c r="A470" s="3" t="s">
        <v>546</v>
      </c>
      <c r="B470" s="3">
        <v>23</v>
      </c>
      <c r="C470" s="3" t="s">
        <v>23</v>
      </c>
      <c r="D470" s="5">
        <v>45000</v>
      </c>
      <c r="E470" s="5">
        <v>45360</v>
      </c>
      <c r="F470" s="3">
        <f ca="1">TODAY() - Table1[[#This Row],[SubscriptionStart]]</f>
        <v>981</v>
      </c>
      <c r="G470" s="4">
        <v>12</v>
      </c>
      <c r="H470" s="3" t="s">
        <v>24</v>
      </c>
      <c r="I470" s="3" t="s">
        <v>25</v>
      </c>
      <c r="J470" s="7" cm="1">
        <f t="array" ref="J470">_xlfn.IFS(Table1[[#This Row],[Tier]]="Basic",10,Table1[[#This Row],[Tier]]="Standard",18,Table1[[#This Row],[Tier]]="Premium",25)</f>
        <v>25</v>
      </c>
      <c r="K470" s="7" cm="1">
        <f t="array" ref="K47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470" s="7" cm="1">
        <f t="array" ref="L47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470" s="3" t="str" cm="1">
        <f t="array" ref="M470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470" s="3" t="s">
        <v>26</v>
      </c>
      <c r="O470" s="3" t="s">
        <v>40</v>
      </c>
      <c r="P470" s="3" t="s">
        <v>47</v>
      </c>
      <c r="Q470" s="3" t="str" cm="1">
        <f t="array" ref="Q470">_xlfn.IFS(Table1[[#This Row],[TotalRevenue]]&lt;100,"Low",Table1[[#This Row],[TotalRevenue]]&lt;300,"Medium",Table1[[#This Row],[TotalRevenue]]&lt;600,"High",TRUE,"Very High")</f>
        <v>Medium</v>
      </c>
      <c r="R470" s="3" t="str" cm="1">
        <f t="array" ref="R470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470" s="3" t="str">
        <f>IF(Table1[[#This Row],[NextBillingDate]]="","Cancelled",IF(Table1[[#This Row],[CancellationDate]]&lt;&gt;"","Cancelled","Active"))</f>
        <v>Cancelled</v>
      </c>
      <c r="T470" s="7" cm="1">
        <f t="array" ref="T47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470" s="5">
        <v>45360</v>
      </c>
      <c r="W470" s="5">
        <v>45360</v>
      </c>
      <c r="X470" s="3">
        <v>0</v>
      </c>
      <c r="Y470" s="5">
        <f ca="1">IF(Table1[[#This Row],[ChurnStatus]]="Cancelled",Table1[[#This Row],[CancellationDate]],TODAY())</f>
        <v>45360</v>
      </c>
      <c r="Z470" s="46">
        <f ca="1">IF(AND(Table1[[#This Row],[SubscriptionStart]] &lt;= TODAY(), Table1[[#This Row],[EffectiveEndDate]] &gt;= TODAY()),1,0)</f>
        <v>0</v>
      </c>
      <c r="AA470" s="46">
        <f ca="1">IF(AND(Table1[[#This Row],[SubscriptionStart]]&lt;=Settings!$A$2,Table1[[#This Row],[EffectiveEndDate]]&gt;=Settings!$A$2),1,0)</f>
        <v>0</v>
      </c>
      <c r="AB470" s="46">
        <f ca="1">IF(AND(Table1[[#This Row],[SubscriptionStart]]&lt;=Settings!$B$2,Table1[[#This Row],[EffectiveEndDate]]&gt;=Settings!$B$2),1,0)</f>
        <v>0</v>
      </c>
      <c r="AC470" s="46">
        <f ca="1">IF(AND(Table1[[#This Row],[SubscriptionStart]]&lt;=Settings!$C$2,Table1[[#This Row],[EffectiveEndDate]]&gt;=Settings!$C$2),1,0)</f>
        <v>0</v>
      </c>
      <c r="AD470" s="46">
        <f ca="1">IF(AND(Table1[[#This Row],[SubscriptionStart]]&lt;=Settings!$D$2,Table1[[#This Row],[EffectiveEndDate]]&gt;=Settings!$D$2),1,0)</f>
        <v>1</v>
      </c>
      <c r="AE470" s="46">
        <f ca="1">IF(AND(Table1[[#This Row],[SubscriptionStart]]&lt;=Settings!$E$2,Table1[[#This Row],[EffectiveEndDate]]&gt;=Settings!$E$2),1,0)</f>
        <v>0</v>
      </c>
      <c r="AF470"/>
      <c r="AG470"/>
      <c r="AH470"/>
      <c r="AI470"/>
      <c r="AJ470"/>
      <c r="AK470"/>
    </row>
    <row r="471" spans="1:37">
      <c r="A471" s="3" t="s">
        <v>196</v>
      </c>
      <c r="B471" s="3">
        <v>32</v>
      </c>
      <c r="C471" s="3" t="s">
        <v>37</v>
      </c>
      <c r="D471" s="5">
        <v>45001</v>
      </c>
      <c r="E471" s="5">
        <v>45181</v>
      </c>
      <c r="F471" s="3">
        <f ca="1">TODAY() - Table1[[#This Row],[SubscriptionStart]]</f>
        <v>980</v>
      </c>
      <c r="G471" s="4">
        <v>6</v>
      </c>
      <c r="H471" s="3" t="s">
        <v>38</v>
      </c>
      <c r="I471" s="3" t="s">
        <v>30</v>
      </c>
      <c r="J471" s="7" cm="1">
        <f t="array" ref="J471">_xlfn.IFS(Table1[[#This Row],[Tier]]="Basic",10,Table1[[#This Row],[Tier]]="Standard",18,Table1[[#This Row],[Tier]]="Premium",25)</f>
        <v>10</v>
      </c>
      <c r="K471" s="7" cm="1">
        <f t="array" ref="K47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471" s="7" cm="1">
        <f t="array" ref="L47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471" s="3" t="str" cm="1">
        <f t="array" ref="M47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71" s="3" t="s">
        <v>31</v>
      </c>
      <c r="O471" s="3" t="s">
        <v>49</v>
      </c>
      <c r="P471" s="3" t="s">
        <v>47</v>
      </c>
      <c r="Q471" s="3" t="str" cm="1">
        <f t="array" ref="Q471">_xlfn.IFS(Table1[[#This Row],[TotalRevenue]]&lt;100,"Low",Table1[[#This Row],[TotalRevenue]]&lt;300,"Medium",Table1[[#This Row],[TotalRevenue]]&lt;600,"High",TRUE,"Very High")</f>
        <v>Low</v>
      </c>
      <c r="R471" s="3" t="str" cm="1">
        <f t="array" ref="R47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71" s="3" t="str">
        <f>IF(Table1[[#This Row],[NextBillingDate]]="","Cancelled",IF(Table1[[#This Row],[CancellationDate]]&lt;&gt;"","Cancelled","Active"))</f>
        <v>Cancelled</v>
      </c>
      <c r="T471" s="7" cm="1">
        <f t="array" ref="T47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471" s="5">
        <v>45181</v>
      </c>
      <c r="W471" s="5">
        <v>45181</v>
      </c>
      <c r="X471" s="3">
        <v>0</v>
      </c>
      <c r="Y471" s="5">
        <f ca="1">IF(Table1[[#This Row],[ChurnStatus]]="Cancelled",Table1[[#This Row],[CancellationDate]],TODAY())</f>
        <v>45181</v>
      </c>
      <c r="Z471" s="46">
        <f ca="1">IF(AND(Table1[[#This Row],[SubscriptionStart]] &lt;= TODAY(), Table1[[#This Row],[EffectiveEndDate]] &gt;= TODAY()),1,0)</f>
        <v>0</v>
      </c>
      <c r="AA471" s="46">
        <f ca="1">IF(AND(Table1[[#This Row],[SubscriptionStart]]&lt;=Settings!$A$2,Table1[[#This Row],[EffectiveEndDate]]&gt;=Settings!$A$2),1,0)</f>
        <v>0</v>
      </c>
      <c r="AB471" s="46">
        <f ca="1">IF(AND(Table1[[#This Row],[SubscriptionStart]]&lt;=Settings!$B$2,Table1[[#This Row],[EffectiveEndDate]]&gt;=Settings!$B$2),1,0)</f>
        <v>0</v>
      </c>
      <c r="AC471" s="46">
        <f ca="1">IF(AND(Table1[[#This Row],[SubscriptionStart]]&lt;=Settings!$C$2,Table1[[#This Row],[EffectiveEndDate]]&gt;=Settings!$C$2),1,0)</f>
        <v>0</v>
      </c>
      <c r="AD471" s="46">
        <f ca="1">IF(AND(Table1[[#This Row],[SubscriptionStart]]&lt;=Settings!$D$2,Table1[[#This Row],[EffectiveEndDate]]&gt;=Settings!$D$2),1,0)</f>
        <v>1</v>
      </c>
      <c r="AE471" s="46">
        <f ca="1">IF(AND(Table1[[#This Row],[SubscriptionStart]]&lt;=Settings!$E$2,Table1[[#This Row],[EffectiveEndDate]]&gt;=Settings!$E$2),1,0)</f>
        <v>0</v>
      </c>
      <c r="AF471"/>
      <c r="AG471"/>
      <c r="AH471"/>
      <c r="AI471"/>
      <c r="AJ471"/>
      <c r="AK471"/>
    </row>
    <row r="472" spans="1:37">
      <c r="A472" s="3" t="s">
        <v>358</v>
      </c>
      <c r="B472" s="3">
        <v>51</v>
      </c>
      <c r="C472" s="3" t="s">
        <v>23</v>
      </c>
      <c r="D472" s="5">
        <v>45005</v>
      </c>
      <c r="E472" s="5">
        <v>45185</v>
      </c>
      <c r="F472" s="3">
        <f ca="1">TODAY() - Table1[[#This Row],[SubscriptionStart]]</f>
        <v>976</v>
      </c>
      <c r="G472" s="4">
        <v>6</v>
      </c>
      <c r="H472" s="3" t="s">
        <v>38</v>
      </c>
      <c r="I472" s="3" t="s">
        <v>25</v>
      </c>
      <c r="J472" s="7" cm="1">
        <f t="array" ref="J472">_xlfn.IFS(Table1[[#This Row],[Tier]]="Basic",10,Table1[[#This Row],[Tier]]="Standard",18,Table1[[#This Row],[Tier]]="Premium",25)</f>
        <v>25</v>
      </c>
      <c r="K472" s="7" cm="1">
        <f t="array" ref="K47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472" s="7" cm="1">
        <f t="array" ref="L47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472" s="3" t="str" cm="1">
        <f t="array" ref="M472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72" s="3" t="s">
        <v>26</v>
      </c>
      <c r="O472" s="3" t="s">
        <v>40</v>
      </c>
      <c r="P472" s="3" t="s">
        <v>47</v>
      </c>
      <c r="Q472" s="3" t="str" cm="1">
        <f t="array" ref="Q472">_xlfn.IFS(Table1[[#This Row],[TotalRevenue]]&lt;100,"Low",Table1[[#This Row],[TotalRevenue]]&lt;300,"Medium",Table1[[#This Row],[TotalRevenue]]&lt;600,"High",TRUE,"Very High")</f>
        <v>Medium</v>
      </c>
      <c r="R472" s="3" t="str" cm="1">
        <f t="array" ref="R47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72" s="3" t="str">
        <f>IF(Table1[[#This Row],[NextBillingDate]]="","Cancelled",IF(Table1[[#This Row],[CancellationDate]]&lt;&gt;"","Cancelled","Active"))</f>
        <v>Cancelled</v>
      </c>
      <c r="T472" s="7" cm="1">
        <f t="array" ref="T47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472" s="5">
        <v>45185</v>
      </c>
      <c r="W472" s="5">
        <v>45185</v>
      </c>
      <c r="X472" s="3">
        <v>0</v>
      </c>
      <c r="Y472" s="5">
        <f ca="1">IF(Table1[[#This Row],[ChurnStatus]]="Cancelled",Table1[[#This Row],[CancellationDate]],TODAY())</f>
        <v>45185</v>
      </c>
      <c r="Z472" s="46">
        <f ca="1">IF(AND(Table1[[#This Row],[SubscriptionStart]] &lt;= TODAY(), Table1[[#This Row],[EffectiveEndDate]] &gt;= TODAY()),1,0)</f>
        <v>0</v>
      </c>
      <c r="AA472" s="46">
        <f ca="1">IF(AND(Table1[[#This Row],[SubscriptionStart]]&lt;=Settings!$A$2,Table1[[#This Row],[EffectiveEndDate]]&gt;=Settings!$A$2),1,0)</f>
        <v>0</v>
      </c>
      <c r="AB472" s="46">
        <f ca="1">IF(AND(Table1[[#This Row],[SubscriptionStart]]&lt;=Settings!$B$2,Table1[[#This Row],[EffectiveEndDate]]&gt;=Settings!$B$2),1,0)</f>
        <v>0</v>
      </c>
      <c r="AC472" s="46">
        <f ca="1">IF(AND(Table1[[#This Row],[SubscriptionStart]]&lt;=Settings!$C$2,Table1[[#This Row],[EffectiveEndDate]]&gt;=Settings!$C$2),1,0)</f>
        <v>0</v>
      </c>
      <c r="AD472" s="46">
        <f ca="1">IF(AND(Table1[[#This Row],[SubscriptionStart]]&lt;=Settings!$D$2,Table1[[#This Row],[EffectiveEndDate]]&gt;=Settings!$D$2),1,0)</f>
        <v>1</v>
      </c>
      <c r="AE472" s="46">
        <f ca="1">IF(AND(Table1[[#This Row],[SubscriptionStart]]&lt;=Settings!$E$2,Table1[[#This Row],[EffectiveEndDate]]&gt;=Settings!$E$2),1,0)</f>
        <v>0</v>
      </c>
      <c r="AF472"/>
      <c r="AG472"/>
      <c r="AH472"/>
      <c r="AI472"/>
      <c r="AJ472"/>
      <c r="AK472"/>
    </row>
    <row r="473" spans="1:37">
      <c r="A473" s="3" t="s">
        <v>193</v>
      </c>
      <c r="B473" s="3">
        <v>57</v>
      </c>
      <c r="C473" s="3" t="s">
        <v>37</v>
      </c>
      <c r="D473" s="5">
        <v>45005</v>
      </c>
      <c r="E473" s="5">
        <v>45365</v>
      </c>
      <c r="F473" s="3">
        <f ca="1">TODAY() - Table1[[#This Row],[SubscriptionStart]]</f>
        <v>976</v>
      </c>
      <c r="G473" s="4">
        <v>12</v>
      </c>
      <c r="H473" s="3" t="s">
        <v>24</v>
      </c>
      <c r="I473" s="3" t="s">
        <v>30</v>
      </c>
      <c r="J473" s="7" cm="1">
        <f t="array" ref="J473">_xlfn.IFS(Table1[[#This Row],[Tier]]="Basic",10,Table1[[#This Row],[Tier]]="Standard",18,Table1[[#This Row],[Tier]]="Premium",25)</f>
        <v>10</v>
      </c>
      <c r="K473" s="7" cm="1">
        <f t="array" ref="K47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473" s="7" cm="1">
        <f t="array" ref="L47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473" s="3" t="str" cm="1">
        <f t="array" ref="M47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73" s="3" t="s">
        <v>52</v>
      </c>
      <c r="O473" s="3" t="s">
        <v>32</v>
      </c>
      <c r="P473" s="3" t="s">
        <v>41</v>
      </c>
      <c r="Q473" s="3" t="str" cm="1">
        <f t="array" ref="Q473">_xlfn.IFS(Table1[[#This Row],[TotalRevenue]]&lt;100,"Low",Table1[[#This Row],[TotalRevenue]]&lt;300,"Medium",Table1[[#This Row],[TotalRevenue]]&lt;600,"High",TRUE,"Very High")</f>
        <v>Low</v>
      </c>
      <c r="R473" s="3" t="str" cm="1">
        <f t="array" ref="R47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73" s="3" t="str">
        <f>IF(Table1[[#This Row],[NextBillingDate]]="","Cancelled",IF(Table1[[#This Row],[CancellationDate]]&lt;&gt;"","Cancelled","Active"))</f>
        <v>Cancelled</v>
      </c>
      <c r="T473" s="7" cm="1">
        <f t="array" ref="T47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473" s="5">
        <v>45365</v>
      </c>
      <c r="W473" s="5">
        <v>45365</v>
      </c>
      <c r="X473" s="3">
        <v>0</v>
      </c>
      <c r="Y473" s="5">
        <f ca="1">IF(Table1[[#This Row],[ChurnStatus]]="Cancelled",Table1[[#This Row],[CancellationDate]],TODAY())</f>
        <v>45365</v>
      </c>
      <c r="Z473" s="46">
        <f ca="1">IF(AND(Table1[[#This Row],[SubscriptionStart]] &lt;= TODAY(), Table1[[#This Row],[EffectiveEndDate]] &gt;= TODAY()),1,0)</f>
        <v>0</v>
      </c>
      <c r="AA473" s="46">
        <f ca="1">IF(AND(Table1[[#This Row],[SubscriptionStart]]&lt;=Settings!$A$2,Table1[[#This Row],[EffectiveEndDate]]&gt;=Settings!$A$2),1,0)</f>
        <v>0</v>
      </c>
      <c r="AB473" s="46">
        <f ca="1">IF(AND(Table1[[#This Row],[SubscriptionStart]]&lt;=Settings!$B$2,Table1[[#This Row],[EffectiveEndDate]]&gt;=Settings!$B$2),1,0)</f>
        <v>0</v>
      </c>
      <c r="AC473" s="46">
        <f ca="1">IF(AND(Table1[[#This Row],[SubscriptionStart]]&lt;=Settings!$C$2,Table1[[#This Row],[EffectiveEndDate]]&gt;=Settings!$C$2),1,0)</f>
        <v>0</v>
      </c>
      <c r="AD473" s="46">
        <f ca="1">IF(AND(Table1[[#This Row],[SubscriptionStart]]&lt;=Settings!$D$2,Table1[[#This Row],[EffectiveEndDate]]&gt;=Settings!$D$2),1,0)</f>
        <v>1</v>
      </c>
      <c r="AE473" s="46">
        <f ca="1">IF(AND(Table1[[#This Row],[SubscriptionStart]]&lt;=Settings!$E$2,Table1[[#This Row],[EffectiveEndDate]]&gt;=Settings!$E$2),1,0)</f>
        <v>0</v>
      </c>
      <c r="AF473"/>
      <c r="AG473"/>
      <c r="AH473"/>
      <c r="AI473"/>
      <c r="AJ473"/>
      <c r="AK473"/>
    </row>
    <row r="474" spans="1:37">
      <c r="A474" s="3" t="s">
        <v>204</v>
      </c>
      <c r="B474" s="3">
        <v>48</v>
      </c>
      <c r="C474" s="3" t="s">
        <v>37</v>
      </c>
      <c r="D474" s="5">
        <v>45005</v>
      </c>
      <c r="E474" s="5">
        <v>45365</v>
      </c>
      <c r="F474" s="3">
        <f ca="1">TODAY() - Table1[[#This Row],[SubscriptionStart]]</f>
        <v>976</v>
      </c>
      <c r="G474" s="4">
        <v>12</v>
      </c>
      <c r="H474" s="3" t="s">
        <v>24</v>
      </c>
      <c r="I474" s="3" t="s">
        <v>30</v>
      </c>
      <c r="J474" s="7" cm="1">
        <f t="array" ref="J474">_xlfn.IFS(Table1[[#This Row],[Tier]]="Basic",10,Table1[[#This Row],[Tier]]="Standard",18,Table1[[#This Row],[Tier]]="Premium",25)</f>
        <v>10</v>
      </c>
      <c r="K474" s="7" cm="1">
        <f t="array" ref="K47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474" s="7" cm="1">
        <f t="array" ref="L47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474" s="3" t="str" cm="1">
        <f t="array" ref="M47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74" s="3" t="s">
        <v>31</v>
      </c>
      <c r="O474" s="3" t="s">
        <v>40</v>
      </c>
      <c r="P474" s="3" t="s">
        <v>41</v>
      </c>
      <c r="Q474" s="3" t="str" cm="1">
        <f t="array" ref="Q474">_xlfn.IFS(Table1[[#This Row],[TotalRevenue]]&lt;100,"Low",Table1[[#This Row],[TotalRevenue]]&lt;300,"Medium",Table1[[#This Row],[TotalRevenue]]&lt;600,"High",TRUE,"Very High")</f>
        <v>Low</v>
      </c>
      <c r="R474" s="3" t="str" cm="1">
        <f t="array" ref="R47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74" s="3" t="str">
        <f>IF(Table1[[#This Row],[NextBillingDate]]="","Cancelled",IF(Table1[[#This Row],[CancellationDate]]&lt;&gt;"","Cancelled","Active"))</f>
        <v>Cancelled</v>
      </c>
      <c r="T474" s="7" cm="1">
        <f t="array" ref="T47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474" s="5">
        <v>45365</v>
      </c>
      <c r="W474" s="5">
        <v>45365</v>
      </c>
      <c r="X474" s="3">
        <v>0</v>
      </c>
      <c r="Y474" s="5">
        <f ca="1">IF(Table1[[#This Row],[ChurnStatus]]="Cancelled",Table1[[#This Row],[CancellationDate]],TODAY())</f>
        <v>45365</v>
      </c>
      <c r="Z474" s="46">
        <f ca="1">IF(AND(Table1[[#This Row],[SubscriptionStart]] &lt;= TODAY(), Table1[[#This Row],[EffectiveEndDate]] &gt;= TODAY()),1,0)</f>
        <v>0</v>
      </c>
      <c r="AA474" s="46">
        <f ca="1">IF(AND(Table1[[#This Row],[SubscriptionStart]]&lt;=Settings!$A$2,Table1[[#This Row],[EffectiveEndDate]]&gt;=Settings!$A$2),1,0)</f>
        <v>0</v>
      </c>
      <c r="AB474" s="46">
        <f ca="1">IF(AND(Table1[[#This Row],[SubscriptionStart]]&lt;=Settings!$B$2,Table1[[#This Row],[EffectiveEndDate]]&gt;=Settings!$B$2),1,0)</f>
        <v>0</v>
      </c>
      <c r="AC474" s="46">
        <f ca="1">IF(AND(Table1[[#This Row],[SubscriptionStart]]&lt;=Settings!$C$2,Table1[[#This Row],[EffectiveEndDate]]&gt;=Settings!$C$2),1,0)</f>
        <v>0</v>
      </c>
      <c r="AD474" s="46">
        <f ca="1">IF(AND(Table1[[#This Row],[SubscriptionStart]]&lt;=Settings!$D$2,Table1[[#This Row],[EffectiveEndDate]]&gt;=Settings!$D$2),1,0)</f>
        <v>1</v>
      </c>
      <c r="AE474" s="46">
        <f ca="1">IF(AND(Table1[[#This Row],[SubscriptionStart]]&lt;=Settings!$E$2,Table1[[#This Row],[EffectiveEndDate]]&gt;=Settings!$E$2),1,0)</f>
        <v>0</v>
      </c>
      <c r="AF474"/>
      <c r="AG474"/>
      <c r="AH474"/>
      <c r="AI474"/>
      <c r="AJ474"/>
      <c r="AK474"/>
    </row>
    <row r="475" spans="1:37">
      <c r="A475" s="3" t="s">
        <v>618</v>
      </c>
      <c r="B475" s="3">
        <v>72</v>
      </c>
      <c r="C475" s="3" t="s">
        <v>37</v>
      </c>
      <c r="D475" s="5">
        <v>45005</v>
      </c>
      <c r="E475" s="5">
        <v>45365</v>
      </c>
      <c r="F475" s="3">
        <f ca="1">TODAY() - Table1[[#This Row],[SubscriptionStart]]</f>
        <v>976</v>
      </c>
      <c r="G475" s="4">
        <v>12</v>
      </c>
      <c r="H475" s="3" t="s">
        <v>24</v>
      </c>
      <c r="I475" s="3" t="s">
        <v>30</v>
      </c>
      <c r="J475" s="7" cm="1">
        <f t="array" ref="J475">_xlfn.IFS(Table1[[#This Row],[Tier]]="Basic",10,Table1[[#This Row],[Tier]]="Standard",18,Table1[[#This Row],[Tier]]="Premium",25)</f>
        <v>10</v>
      </c>
      <c r="K475" s="7" cm="1">
        <f t="array" ref="K47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475" s="7" cm="1">
        <f t="array" ref="L47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475" s="3" t="str" cm="1">
        <f t="array" ref="M475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475" s="3" t="s">
        <v>52</v>
      </c>
      <c r="O475" s="3" t="s">
        <v>49</v>
      </c>
      <c r="P475" s="3" t="s">
        <v>50</v>
      </c>
      <c r="Q475" s="3" t="str" cm="1">
        <f t="array" ref="Q475">_xlfn.IFS(Table1[[#This Row],[TotalRevenue]]&lt;100,"Low",Table1[[#This Row],[TotalRevenue]]&lt;300,"Medium",Table1[[#This Row],[TotalRevenue]]&lt;600,"High",TRUE,"Very High")</f>
        <v>Low</v>
      </c>
      <c r="R475" s="3" t="str" cm="1">
        <f t="array" ref="R475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475" s="3" t="str">
        <f>IF(Table1[[#This Row],[NextBillingDate]]="","Cancelled",IF(Table1[[#This Row],[CancellationDate]]&lt;&gt;"","Cancelled","Active"))</f>
        <v>Cancelled</v>
      </c>
      <c r="T475" s="7" cm="1">
        <f t="array" ref="T47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475" s="5">
        <v>45365</v>
      </c>
      <c r="W475" s="5">
        <v>45365</v>
      </c>
      <c r="X475" s="3">
        <v>0</v>
      </c>
      <c r="Y475" s="5">
        <f ca="1">IF(Table1[[#This Row],[ChurnStatus]]="Cancelled",Table1[[#This Row],[CancellationDate]],TODAY())</f>
        <v>45365</v>
      </c>
      <c r="Z475" s="46">
        <f ca="1">IF(AND(Table1[[#This Row],[SubscriptionStart]] &lt;= TODAY(), Table1[[#This Row],[EffectiveEndDate]] &gt;= TODAY()),1,0)</f>
        <v>0</v>
      </c>
      <c r="AA475" s="46">
        <f ca="1">IF(AND(Table1[[#This Row],[SubscriptionStart]]&lt;=Settings!$A$2,Table1[[#This Row],[EffectiveEndDate]]&gt;=Settings!$A$2),1,0)</f>
        <v>0</v>
      </c>
      <c r="AB475" s="46">
        <f ca="1">IF(AND(Table1[[#This Row],[SubscriptionStart]]&lt;=Settings!$B$2,Table1[[#This Row],[EffectiveEndDate]]&gt;=Settings!$B$2),1,0)</f>
        <v>0</v>
      </c>
      <c r="AC475" s="46">
        <f ca="1">IF(AND(Table1[[#This Row],[SubscriptionStart]]&lt;=Settings!$C$2,Table1[[#This Row],[EffectiveEndDate]]&gt;=Settings!$C$2),1,0)</f>
        <v>0</v>
      </c>
      <c r="AD475" s="46">
        <f ca="1">IF(AND(Table1[[#This Row],[SubscriptionStart]]&lt;=Settings!$D$2,Table1[[#This Row],[EffectiveEndDate]]&gt;=Settings!$D$2),1,0)</f>
        <v>1</v>
      </c>
      <c r="AE475" s="46">
        <f ca="1">IF(AND(Table1[[#This Row],[SubscriptionStart]]&lt;=Settings!$E$2,Table1[[#This Row],[EffectiveEndDate]]&gt;=Settings!$E$2),1,0)</f>
        <v>0</v>
      </c>
      <c r="AF475"/>
      <c r="AG475"/>
      <c r="AH475"/>
      <c r="AI475"/>
      <c r="AJ475"/>
      <c r="AK475"/>
    </row>
    <row r="476" spans="1:37">
      <c r="A476" s="3" t="s">
        <v>841</v>
      </c>
      <c r="B476" s="3">
        <v>61</v>
      </c>
      <c r="C476" s="3" t="s">
        <v>37</v>
      </c>
      <c r="D476" s="5">
        <v>45006</v>
      </c>
      <c r="F476" s="3">
        <f ca="1">TODAY() - Table1[[#This Row],[SubscriptionStart]]</f>
        <v>975</v>
      </c>
      <c r="G476" s="4">
        <v>36</v>
      </c>
      <c r="H476" s="3" t="s">
        <v>38</v>
      </c>
      <c r="I476" s="3" t="s">
        <v>25</v>
      </c>
      <c r="J476" s="7" cm="1">
        <f t="array" ref="J476">_xlfn.IFS(Table1[[#This Row],[Tier]]="Basic",10,Table1[[#This Row],[Tier]]="Standard",18,Table1[[#This Row],[Tier]]="Premium",25)</f>
        <v>25</v>
      </c>
      <c r="K476" s="7" cm="1">
        <f t="array" ref="K47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18.75</v>
      </c>
      <c r="L476" s="7" cm="1">
        <f t="array" ref="L47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652.5</v>
      </c>
      <c r="M476" s="3" t="str" cm="1">
        <f t="array" ref="M476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76" s="3" t="s">
        <v>31</v>
      </c>
      <c r="O476" s="3" t="s">
        <v>43</v>
      </c>
      <c r="Q476" s="3" t="str" cm="1">
        <f t="array" ref="Q476">_xlfn.IFS(Table1[[#This Row],[TotalRevenue]]&lt;100,"Low",Table1[[#This Row],[TotalRevenue]]&lt;300,"Medium",Table1[[#This Row],[TotalRevenue]]&lt;600,"High",TRUE,"Very High")</f>
        <v>Very High</v>
      </c>
      <c r="R476" s="3" t="str" cm="1">
        <f t="array" ref="R476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476" s="3" t="str">
        <f>IF(Table1[[#This Row],[NextBillingDate]]="","Cancelled",IF(Table1[[#This Row],[CancellationDate]]&lt;&gt;"","Cancelled","Active"))</f>
        <v>Active</v>
      </c>
      <c r="T476" s="7" cm="1">
        <f t="array" ref="T47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765</v>
      </c>
      <c r="V476" s="5">
        <v>46086</v>
      </c>
      <c r="W476" s="5">
        <v>46086</v>
      </c>
      <c r="X476" s="3">
        <v>5</v>
      </c>
      <c r="Y476" s="5">
        <f ca="1">IF(Table1[[#This Row],[ChurnStatus]]="Cancelled",Table1[[#This Row],[CancellationDate]],TODAY())</f>
        <v>45981</v>
      </c>
      <c r="Z476" s="46">
        <f ca="1">IF(AND(Table1[[#This Row],[SubscriptionStart]] &lt;= TODAY(), Table1[[#This Row],[EffectiveEndDate]] &gt;= TODAY()),1,0)</f>
        <v>1</v>
      </c>
      <c r="AA476" s="46">
        <f ca="1">IF(AND(Table1[[#This Row],[SubscriptionStart]]&lt;=Settings!$A$2,Table1[[#This Row],[EffectiveEndDate]]&gt;=Settings!$A$2),1,0)</f>
        <v>0</v>
      </c>
      <c r="AB476" s="46">
        <f ca="1">IF(AND(Table1[[#This Row],[SubscriptionStart]]&lt;=Settings!$B$2,Table1[[#This Row],[EffectiveEndDate]]&gt;=Settings!$B$2),1,0)</f>
        <v>0</v>
      </c>
      <c r="AC476" s="46">
        <f ca="1">IF(AND(Table1[[#This Row],[SubscriptionStart]]&lt;=Settings!$C$2,Table1[[#This Row],[EffectiveEndDate]]&gt;=Settings!$C$2),1,0)</f>
        <v>0</v>
      </c>
      <c r="AD476" s="46">
        <f ca="1">IF(AND(Table1[[#This Row],[SubscriptionStart]]&lt;=Settings!$D$2,Table1[[#This Row],[EffectiveEndDate]]&gt;=Settings!$D$2),1,0)</f>
        <v>1</v>
      </c>
      <c r="AE476" s="46">
        <f ca="1">IF(AND(Table1[[#This Row],[SubscriptionStart]]&lt;=Settings!$E$2,Table1[[#This Row],[EffectiveEndDate]]&gt;=Settings!$E$2),1,0)</f>
        <v>1</v>
      </c>
      <c r="AF476"/>
      <c r="AG476"/>
      <c r="AH476"/>
      <c r="AI476"/>
      <c r="AJ476"/>
      <c r="AK476"/>
    </row>
    <row r="477" spans="1:37">
      <c r="A477" s="3" t="s">
        <v>448</v>
      </c>
      <c r="B477" s="3">
        <v>60</v>
      </c>
      <c r="C477" s="3" t="s">
        <v>23</v>
      </c>
      <c r="D477" s="5">
        <v>45009</v>
      </c>
      <c r="E477" s="5">
        <v>45189</v>
      </c>
      <c r="F477" s="3">
        <f ca="1">TODAY() - Table1[[#This Row],[SubscriptionStart]]</f>
        <v>972</v>
      </c>
      <c r="G477" s="4">
        <v>6</v>
      </c>
      <c r="H477" s="3" t="s">
        <v>38</v>
      </c>
      <c r="I477" s="3" t="s">
        <v>30</v>
      </c>
      <c r="J477" s="7" cm="1">
        <f t="array" ref="J477">_xlfn.IFS(Table1[[#This Row],[Tier]]="Basic",10,Table1[[#This Row],[Tier]]="Standard",18,Table1[[#This Row],[Tier]]="Premium",25)</f>
        <v>10</v>
      </c>
      <c r="K477" s="7" cm="1">
        <f t="array" ref="K47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477" s="7" cm="1">
        <f t="array" ref="L47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477" s="3" t="str" cm="1">
        <f t="array" ref="M477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77" s="3" t="s">
        <v>26</v>
      </c>
      <c r="O477" s="3" t="s">
        <v>32</v>
      </c>
      <c r="P477" s="3" t="s">
        <v>44</v>
      </c>
      <c r="Q477" s="3" t="str" cm="1">
        <f t="array" ref="Q477">_xlfn.IFS(Table1[[#This Row],[TotalRevenue]]&lt;100,"Low",Table1[[#This Row],[TotalRevenue]]&lt;300,"Medium",Table1[[#This Row],[TotalRevenue]]&lt;600,"High",TRUE,"Very High")</f>
        <v>Low</v>
      </c>
      <c r="R477" s="3" t="str" cm="1">
        <f t="array" ref="R477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477" s="3" t="str">
        <f>IF(Table1[[#This Row],[NextBillingDate]]="","Cancelled",IF(Table1[[#This Row],[CancellationDate]]&lt;&gt;"","Cancelled","Active"))</f>
        <v>Cancelled</v>
      </c>
      <c r="T477" s="7" cm="1">
        <f t="array" ref="T47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477" s="5">
        <v>45189</v>
      </c>
      <c r="W477" s="5">
        <v>45189</v>
      </c>
      <c r="X477" s="3">
        <v>0</v>
      </c>
      <c r="Y477" s="5">
        <f ca="1">IF(Table1[[#This Row],[ChurnStatus]]="Cancelled",Table1[[#This Row],[CancellationDate]],TODAY())</f>
        <v>45189</v>
      </c>
      <c r="Z477" s="46">
        <f ca="1">IF(AND(Table1[[#This Row],[SubscriptionStart]] &lt;= TODAY(), Table1[[#This Row],[EffectiveEndDate]] &gt;= TODAY()),1,0)</f>
        <v>0</v>
      </c>
      <c r="AA477" s="46">
        <f ca="1">IF(AND(Table1[[#This Row],[SubscriptionStart]]&lt;=Settings!$A$2,Table1[[#This Row],[EffectiveEndDate]]&gt;=Settings!$A$2),1,0)</f>
        <v>0</v>
      </c>
      <c r="AB477" s="46">
        <f ca="1">IF(AND(Table1[[#This Row],[SubscriptionStart]]&lt;=Settings!$B$2,Table1[[#This Row],[EffectiveEndDate]]&gt;=Settings!$B$2),1,0)</f>
        <v>0</v>
      </c>
      <c r="AC477" s="46">
        <f ca="1">IF(AND(Table1[[#This Row],[SubscriptionStart]]&lt;=Settings!$C$2,Table1[[#This Row],[EffectiveEndDate]]&gt;=Settings!$C$2),1,0)</f>
        <v>0</v>
      </c>
      <c r="AD477" s="46">
        <f ca="1">IF(AND(Table1[[#This Row],[SubscriptionStart]]&lt;=Settings!$D$2,Table1[[#This Row],[EffectiveEndDate]]&gt;=Settings!$D$2),1,0)</f>
        <v>1</v>
      </c>
      <c r="AE477" s="46">
        <f ca="1">IF(AND(Table1[[#This Row],[SubscriptionStart]]&lt;=Settings!$E$2,Table1[[#This Row],[EffectiveEndDate]]&gt;=Settings!$E$2),1,0)</f>
        <v>0</v>
      </c>
      <c r="AF477"/>
      <c r="AG477"/>
      <c r="AH477"/>
      <c r="AI477"/>
      <c r="AJ477"/>
      <c r="AK477"/>
    </row>
    <row r="478" spans="1:37">
      <c r="A478" s="3" t="s">
        <v>607</v>
      </c>
      <c r="B478" s="3">
        <v>62</v>
      </c>
      <c r="C478" s="3" t="s">
        <v>23</v>
      </c>
      <c r="D478" s="5">
        <v>45009</v>
      </c>
      <c r="F478" s="3">
        <f ca="1">TODAY() - Table1[[#This Row],[SubscriptionStart]]</f>
        <v>972</v>
      </c>
      <c r="G478" s="4">
        <v>36</v>
      </c>
      <c r="H478" s="3" t="s">
        <v>38</v>
      </c>
      <c r="I478" s="3" t="s">
        <v>25</v>
      </c>
      <c r="J478" s="7" cm="1">
        <f t="array" ref="J478">_xlfn.IFS(Table1[[#This Row],[Tier]]="Basic",10,Table1[[#This Row],[Tier]]="Standard",18,Table1[[#This Row],[Tier]]="Premium",25)</f>
        <v>25</v>
      </c>
      <c r="K478" s="7" cm="1">
        <f t="array" ref="K47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18.75</v>
      </c>
      <c r="L478" s="7" cm="1">
        <f t="array" ref="L47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652.5</v>
      </c>
      <c r="M478" s="3" t="str" cm="1">
        <f t="array" ref="M478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78" s="3" t="s">
        <v>52</v>
      </c>
      <c r="O478" s="3" t="s">
        <v>49</v>
      </c>
      <c r="Q478" s="3" t="str" cm="1">
        <f t="array" ref="Q478">_xlfn.IFS(Table1[[#This Row],[TotalRevenue]]&lt;100,"Low",Table1[[#This Row],[TotalRevenue]]&lt;300,"Medium",Table1[[#This Row],[TotalRevenue]]&lt;600,"High",TRUE,"Very High")</f>
        <v>Very High</v>
      </c>
      <c r="R478" s="3" t="str" cm="1">
        <f t="array" ref="R478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478" s="3" t="str">
        <f>IF(Table1[[#This Row],[NextBillingDate]]="","Cancelled",IF(Table1[[#This Row],[CancellationDate]]&lt;&gt;"","Cancelled","Active"))</f>
        <v>Active</v>
      </c>
      <c r="T478" s="7" cm="1">
        <f t="array" ref="T47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765</v>
      </c>
      <c r="V478" s="5">
        <v>46089</v>
      </c>
      <c r="W478" s="5">
        <v>46089</v>
      </c>
      <c r="X478" s="3">
        <v>5</v>
      </c>
      <c r="Y478" s="5">
        <f ca="1">IF(Table1[[#This Row],[ChurnStatus]]="Cancelled",Table1[[#This Row],[CancellationDate]],TODAY())</f>
        <v>45981</v>
      </c>
      <c r="Z478" s="46">
        <f ca="1">IF(AND(Table1[[#This Row],[SubscriptionStart]] &lt;= TODAY(), Table1[[#This Row],[EffectiveEndDate]] &gt;= TODAY()),1,0)</f>
        <v>1</v>
      </c>
      <c r="AA478" s="46">
        <f ca="1">IF(AND(Table1[[#This Row],[SubscriptionStart]]&lt;=Settings!$A$2,Table1[[#This Row],[EffectiveEndDate]]&gt;=Settings!$A$2),1,0)</f>
        <v>0</v>
      </c>
      <c r="AB478" s="46">
        <f ca="1">IF(AND(Table1[[#This Row],[SubscriptionStart]]&lt;=Settings!$B$2,Table1[[#This Row],[EffectiveEndDate]]&gt;=Settings!$B$2),1,0)</f>
        <v>0</v>
      </c>
      <c r="AC478" s="46">
        <f ca="1">IF(AND(Table1[[#This Row],[SubscriptionStart]]&lt;=Settings!$C$2,Table1[[#This Row],[EffectiveEndDate]]&gt;=Settings!$C$2),1,0)</f>
        <v>0</v>
      </c>
      <c r="AD478" s="46">
        <f ca="1">IF(AND(Table1[[#This Row],[SubscriptionStart]]&lt;=Settings!$D$2,Table1[[#This Row],[EffectiveEndDate]]&gt;=Settings!$D$2),1,0)</f>
        <v>1</v>
      </c>
      <c r="AE478" s="46">
        <f ca="1">IF(AND(Table1[[#This Row],[SubscriptionStart]]&lt;=Settings!$E$2,Table1[[#This Row],[EffectiveEndDate]]&gt;=Settings!$E$2),1,0)</f>
        <v>1</v>
      </c>
      <c r="AF478"/>
      <c r="AG478"/>
      <c r="AH478"/>
      <c r="AI478"/>
      <c r="AJ478"/>
      <c r="AK478"/>
    </row>
    <row r="479" spans="1:37">
      <c r="A479" s="3" t="s">
        <v>33</v>
      </c>
      <c r="B479" s="3">
        <v>34</v>
      </c>
      <c r="C479" s="3" t="s">
        <v>23</v>
      </c>
      <c r="D479" s="5">
        <v>45010</v>
      </c>
      <c r="E479" s="5">
        <v>45040</v>
      </c>
      <c r="F479" s="3">
        <f ca="1">TODAY() - Table1[[#This Row],[SubscriptionStart]]</f>
        <v>971</v>
      </c>
      <c r="G479" s="4">
        <v>1</v>
      </c>
      <c r="H479" s="3" t="s">
        <v>29</v>
      </c>
      <c r="I479" s="3" t="s">
        <v>25</v>
      </c>
      <c r="J479" s="7" cm="1">
        <f t="array" ref="J479">_xlfn.IFS(Table1[[#This Row],[Tier]]="Basic",10,Table1[[#This Row],[Tier]]="Standard",18,Table1[[#This Row],[Tier]]="Premium",25)</f>
        <v>25</v>
      </c>
      <c r="K479" s="7" cm="1">
        <f t="array" ref="K47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479" s="7" cm="1">
        <f t="array" ref="L47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79" s="3" t="str" cm="1">
        <f t="array" ref="M47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79" s="3" t="s">
        <v>34</v>
      </c>
      <c r="O479" s="3" t="s">
        <v>32</v>
      </c>
      <c r="P479" s="3" t="s">
        <v>35</v>
      </c>
      <c r="Q479" s="3" t="str" cm="1">
        <f t="array" ref="Q479">_xlfn.IFS(Table1[[#This Row],[TotalRevenue]]&lt;100,"Low",Table1[[#This Row],[TotalRevenue]]&lt;300,"Medium",Table1[[#This Row],[TotalRevenue]]&lt;600,"High",TRUE,"Very High")</f>
        <v>Low</v>
      </c>
      <c r="R479" s="3" t="str" cm="1">
        <f t="array" ref="R47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79" s="3" t="str">
        <f>IF(Table1[[#This Row],[NextBillingDate]]="","Cancelled",IF(Table1[[#This Row],[CancellationDate]]&lt;&gt;"","Cancelled","Active"))</f>
        <v>Cancelled</v>
      </c>
      <c r="T479" s="7" cm="1">
        <f t="array" ref="T47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79" s="5">
        <v>45040</v>
      </c>
      <c r="W479" s="5">
        <v>45040</v>
      </c>
      <c r="X479" s="3">
        <v>0</v>
      </c>
      <c r="Y479" s="5">
        <f ca="1">IF(Table1[[#This Row],[ChurnStatus]]="Cancelled",Table1[[#This Row],[CancellationDate]],TODAY())</f>
        <v>45040</v>
      </c>
      <c r="Z479" s="46">
        <f ca="1">IF(AND(Table1[[#This Row],[SubscriptionStart]] &lt;= TODAY(), Table1[[#This Row],[EffectiveEndDate]] &gt;= TODAY()),1,0)</f>
        <v>0</v>
      </c>
      <c r="AA479" s="46">
        <f ca="1">IF(AND(Table1[[#This Row],[SubscriptionStart]]&lt;=Settings!$A$2,Table1[[#This Row],[EffectiveEndDate]]&gt;=Settings!$A$2),1,0)</f>
        <v>0</v>
      </c>
      <c r="AB479" s="46">
        <f ca="1">IF(AND(Table1[[#This Row],[SubscriptionStart]]&lt;=Settings!$B$2,Table1[[#This Row],[EffectiveEndDate]]&gt;=Settings!$B$2),1,0)</f>
        <v>0</v>
      </c>
      <c r="AC479" s="46">
        <f ca="1">IF(AND(Table1[[#This Row],[SubscriptionStart]]&lt;=Settings!$C$2,Table1[[#This Row],[EffectiveEndDate]]&gt;=Settings!$C$2),1,0)</f>
        <v>0</v>
      </c>
      <c r="AD479" s="46">
        <f ca="1">IF(AND(Table1[[#This Row],[SubscriptionStart]]&lt;=Settings!$D$2,Table1[[#This Row],[EffectiveEndDate]]&gt;=Settings!$D$2),1,0)</f>
        <v>0</v>
      </c>
      <c r="AE479" s="46">
        <f ca="1">IF(AND(Table1[[#This Row],[SubscriptionStart]]&lt;=Settings!$E$2,Table1[[#This Row],[EffectiveEndDate]]&gt;=Settings!$E$2),1,0)</f>
        <v>0</v>
      </c>
      <c r="AF479"/>
      <c r="AG479"/>
      <c r="AH479"/>
      <c r="AI479"/>
      <c r="AJ479"/>
      <c r="AK479"/>
    </row>
    <row r="480" spans="1:37">
      <c r="A480" s="3" t="s">
        <v>691</v>
      </c>
      <c r="B480" s="3">
        <v>43</v>
      </c>
      <c r="C480" s="3" t="s">
        <v>23</v>
      </c>
      <c r="D480" s="5">
        <v>45010</v>
      </c>
      <c r="E480" s="5">
        <v>45190</v>
      </c>
      <c r="F480" s="3">
        <f ca="1">TODAY() - Table1[[#This Row],[SubscriptionStart]]</f>
        <v>971</v>
      </c>
      <c r="G480" s="4">
        <v>6</v>
      </c>
      <c r="H480" s="3" t="s">
        <v>38</v>
      </c>
      <c r="I480" s="3" t="s">
        <v>39</v>
      </c>
      <c r="J480" s="7" cm="1">
        <f t="array" ref="J480">_xlfn.IFS(Table1[[#This Row],[Tier]]="Basic",10,Table1[[#This Row],[Tier]]="Standard",18,Table1[[#This Row],[Tier]]="Premium",25)</f>
        <v>18</v>
      </c>
      <c r="K480" s="7" cm="1">
        <f t="array" ref="K48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480" s="7" cm="1">
        <f t="array" ref="L48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480" s="3" t="str" cm="1">
        <f t="array" ref="M48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80" s="3" t="s">
        <v>31</v>
      </c>
      <c r="O480" s="3" t="s">
        <v>32</v>
      </c>
      <c r="P480" s="3" t="s">
        <v>44</v>
      </c>
      <c r="Q480" s="3" t="str" cm="1">
        <f t="array" ref="Q480">_xlfn.IFS(Table1[[#This Row],[TotalRevenue]]&lt;100,"Low",Table1[[#This Row],[TotalRevenue]]&lt;300,"Medium",Table1[[#This Row],[TotalRevenue]]&lt;600,"High",TRUE,"Very High")</f>
        <v>Low</v>
      </c>
      <c r="R480" s="3" t="str" cm="1">
        <f t="array" ref="R48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80" s="3" t="str">
        <f>IF(Table1[[#This Row],[NextBillingDate]]="","Cancelled",IF(Table1[[#This Row],[CancellationDate]]&lt;&gt;"","Cancelled","Active"))</f>
        <v>Cancelled</v>
      </c>
      <c r="T480" s="7" cm="1">
        <f t="array" ref="T48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480" s="5">
        <v>45190</v>
      </c>
      <c r="W480" s="5">
        <v>45190</v>
      </c>
      <c r="X480" s="3">
        <v>0</v>
      </c>
      <c r="Y480" s="5">
        <f ca="1">IF(Table1[[#This Row],[ChurnStatus]]="Cancelled",Table1[[#This Row],[CancellationDate]],TODAY())</f>
        <v>45190</v>
      </c>
      <c r="Z480" s="46">
        <f ca="1">IF(AND(Table1[[#This Row],[SubscriptionStart]] &lt;= TODAY(), Table1[[#This Row],[EffectiveEndDate]] &gt;= TODAY()),1,0)</f>
        <v>0</v>
      </c>
      <c r="AA480" s="46">
        <f ca="1">IF(AND(Table1[[#This Row],[SubscriptionStart]]&lt;=Settings!$A$2,Table1[[#This Row],[EffectiveEndDate]]&gt;=Settings!$A$2),1,0)</f>
        <v>0</v>
      </c>
      <c r="AB480" s="46">
        <f ca="1">IF(AND(Table1[[#This Row],[SubscriptionStart]]&lt;=Settings!$B$2,Table1[[#This Row],[EffectiveEndDate]]&gt;=Settings!$B$2),1,0)</f>
        <v>0</v>
      </c>
      <c r="AC480" s="46">
        <f ca="1">IF(AND(Table1[[#This Row],[SubscriptionStart]]&lt;=Settings!$C$2,Table1[[#This Row],[EffectiveEndDate]]&gt;=Settings!$C$2),1,0)</f>
        <v>0</v>
      </c>
      <c r="AD480" s="46">
        <f ca="1">IF(AND(Table1[[#This Row],[SubscriptionStart]]&lt;=Settings!$D$2,Table1[[#This Row],[EffectiveEndDate]]&gt;=Settings!$D$2),1,0)</f>
        <v>1</v>
      </c>
      <c r="AE480" s="46">
        <f ca="1">IF(AND(Table1[[#This Row],[SubscriptionStart]]&lt;=Settings!$E$2,Table1[[#This Row],[EffectiveEndDate]]&gt;=Settings!$E$2),1,0)</f>
        <v>0</v>
      </c>
      <c r="AF480"/>
      <c r="AG480"/>
      <c r="AH480"/>
      <c r="AI480"/>
      <c r="AJ480"/>
      <c r="AK480"/>
    </row>
    <row r="481" spans="1:37">
      <c r="A481" s="3" t="s">
        <v>826</v>
      </c>
      <c r="B481" s="3">
        <v>37</v>
      </c>
      <c r="C481" s="3" t="s">
        <v>37</v>
      </c>
      <c r="D481" s="5">
        <v>45010</v>
      </c>
      <c r="E481" s="5">
        <v>45190</v>
      </c>
      <c r="F481" s="3">
        <f ca="1">TODAY() - Table1[[#This Row],[SubscriptionStart]]</f>
        <v>971</v>
      </c>
      <c r="G481" s="4">
        <v>6</v>
      </c>
      <c r="H481" s="3" t="s">
        <v>38</v>
      </c>
      <c r="I481" s="3" t="s">
        <v>39</v>
      </c>
      <c r="J481" s="7" cm="1">
        <f t="array" ref="J481">_xlfn.IFS(Table1[[#This Row],[Tier]]="Basic",10,Table1[[#This Row],[Tier]]="Standard",18,Table1[[#This Row],[Tier]]="Premium",25)</f>
        <v>18</v>
      </c>
      <c r="K481" s="7" cm="1">
        <f t="array" ref="K48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481" s="7" cm="1">
        <f t="array" ref="L48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481" s="3" t="str" cm="1">
        <f t="array" ref="M48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81" s="3" t="s">
        <v>52</v>
      </c>
      <c r="O481" s="3" t="s">
        <v>43</v>
      </c>
      <c r="P481" s="3" t="s">
        <v>50</v>
      </c>
      <c r="Q481" s="3" t="str" cm="1">
        <f t="array" ref="Q481">_xlfn.IFS(Table1[[#This Row],[TotalRevenue]]&lt;100,"Low",Table1[[#This Row],[TotalRevenue]]&lt;300,"Medium",Table1[[#This Row],[TotalRevenue]]&lt;600,"High",TRUE,"Very High")</f>
        <v>Low</v>
      </c>
      <c r="R481" s="3" t="str" cm="1">
        <f t="array" ref="R48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81" s="3" t="str">
        <f>IF(Table1[[#This Row],[NextBillingDate]]="","Cancelled",IF(Table1[[#This Row],[CancellationDate]]&lt;&gt;"","Cancelled","Active"))</f>
        <v>Cancelled</v>
      </c>
      <c r="T481" s="7" cm="1">
        <f t="array" ref="T48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481" s="5">
        <v>45190</v>
      </c>
      <c r="W481" s="5">
        <v>45190</v>
      </c>
      <c r="X481" s="3">
        <v>0</v>
      </c>
      <c r="Y481" s="5">
        <f ca="1">IF(Table1[[#This Row],[ChurnStatus]]="Cancelled",Table1[[#This Row],[CancellationDate]],TODAY())</f>
        <v>45190</v>
      </c>
      <c r="Z481" s="46">
        <f ca="1">IF(AND(Table1[[#This Row],[SubscriptionStart]] &lt;= TODAY(), Table1[[#This Row],[EffectiveEndDate]] &gt;= TODAY()),1,0)</f>
        <v>0</v>
      </c>
      <c r="AA481" s="46">
        <f ca="1">IF(AND(Table1[[#This Row],[SubscriptionStart]]&lt;=Settings!$A$2,Table1[[#This Row],[EffectiveEndDate]]&gt;=Settings!$A$2),1,0)</f>
        <v>0</v>
      </c>
      <c r="AB481" s="46">
        <f ca="1">IF(AND(Table1[[#This Row],[SubscriptionStart]]&lt;=Settings!$B$2,Table1[[#This Row],[EffectiveEndDate]]&gt;=Settings!$B$2),1,0)</f>
        <v>0</v>
      </c>
      <c r="AC481" s="46">
        <f ca="1">IF(AND(Table1[[#This Row],[SubscriptionStart]]&lt;=Settings!$C$2,Table1[[#This Row],[EffectiveEndDate]]&gt;=Settings!$C$2),1,0)</f>
        <v>0</v>
      </c>
      <c r="AD481" s="46">
        <f ca="1">IF(AND(Table1[[#This Row],[SubscriptionStart]]&lt;=Settings!$D$2,Table1[[#This Row],[EffectiveEndDate]]&gt;=Settings!$D$2),1,0)</f>
        <v>1</v>
      </c>
      <c r="AE481" s="46">
        <f ca="1">IF(AND(Table1[[#This Row],[SubscriptionStart]]&lt;=Settings!$E$2,Table1[[#This Row],[EffectiveEndDate]]&gt;=Settings!$E$2),1,0)</f>
        <v>0</v>
      </c>
      <c r="AF481"/>
      <c r="AG481"/>
      <c r="AH481"/>
      <c r="AI481"/>
      <c r="AJ481"/>
      <c r="AK481"/>
    </row>
    <row r="482" spans="1:37">
      <c r="A482" s="3" t="s">
        <v>509</v>
      </c>
      <c r="B482" s="3">
        <v>23</v>
      </c>
      <c r="C482" s="3" t="s">
        <v>37</v>
      </c>
      <c r="D482" s="5">
        <v>45012</v>
      </c>
      <c r="E482" s="5">
        <v>45042</v>
      </c>
      <c r="F482" s="3">
        <f ca="1">TODAY() - Table1[[#This Row],[SubscriptionStart]]</f>
        <v>969</v>
      </c>
      <c r="G482" s="4">
        <v>1</v>
      </c>
      <c r="H482" s="3" t="s">
        <v>29</v>
      </c>
      <c r="I482" s="3" t="s">
        <v>30</v>
      </c>
      <c r="J482" s="7" cm="1">
        <f t="array" ref="J482">_xlfn.IFS(Table1[[#This Row],[Tier]]="Basic",10,Table1[[#This Row],[Tier]]="Standard",18,Table1[[#This Row],[Tier]]="Premium",25)</f>
        <v>10</v>
      </c>
      <c r="K482" s="7" cm="1">
        <f t="array" ref="K48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482" s="7" cm="1">
        <f t="array" ref="L48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82" s="3" t="str" cm="1">
        <f t="array" ref="M482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482" s="3" t="s">
        <v>26</v>
      </c>
      <c r="O482" s="3" t="s">
        <v>40</v>
      </c>
      <c r="P482" s="3" t="s">
        <v>50</v>
      </c>
      <c r="Q482" s="3" t="str" cm="1">
        <f t="array" ref="Q482">_xlfn.IFS(Table1[[#This Row],[TotalRevenue]]&lt;100,"Low",Table1[[#This Row],[TotalRevenue]]&lt;300,"Medium",Table1[[#This Row],[TotalRevenue]]&lt;600,"High",TRUE,"Very High")</f>
        <v>Low</v>
      </c>
      <c r="R482" s="3" t="str" cm="1">
        <f t="array" ref="R482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482" s="3" t="str">
        <f>IF(Table1[[#This Row],[NextBillingDate]]="","Cancelled",IF(Table1[[#This Row],[CancellationDate]]&lt;&gt;"","Cancelled","Active"))</f>
        <v>Cancelled</v>
      </c>
      <c r="T482" s="7" cm="1">
        <f t="array" ref="T48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82" s="5">
        <v>45042</v>
      </c>
      <c r="W482" s="5">
        <v>45042</v>
      </c>
      <c r="X482" s="3">
        <v>0</v>
      </c>
      <c r="Y482" s="5">
        <f ca="1">IF(Table1[[#This Row],[ChurnStatus]]="Cancelled",Table1[[#This Row],[CancellationDate]],TODAY())</f>
        <v>45042</v>
      </c>
      <c r="Z482" s="46">
        <f ca="1">IF(AND(Table1[[#This Row],[SubscriptionStart]] &lt;= TODAY(), Table1[[#This Row],[EffectiveEndDate]] &gt;= TODAY()),1,0)</f>
        <v>0</v>
      </c>
      <c r="AA482" s="46">
        <f ca="1">IF(AND(Table1[[#This Row],[SubscriptionStart]]&lt;=Settings!$A$2,Table1[[#This Row],[EffectiveEndDate]]&gt;=Settings!$A$2),1,0)</f>
        <v>0</v>
      </c>
      <c r="AB482" s="46">
        <f ca="1">IF(AND(Table1[[#This Row],[SubscriptionStart]]&lt;=Settings!$B$2,Table1[[#This Row],[EffectiveEndDate]]&gt;=Settings!$B$2),1,0)</f>
        <v>0</v>
      </c>
      <c r="AC482" s="46">
        <f ca="1">IF(AND(Table1[[#This Row],[SubscriptionStart]]&lt;=Settings!$C$2,Table1[[#This Row],[EffectiveEndDate]]&gt;=Settings!$C$2),1,0)</f>
        <v>0</v>
      </c>
      <c r="AD482" s="46">
        <f ca="1">IF(AND(Table1[[#This Row],[SubscriptionStart]]&lt;=Settings!$D$2,Table1[[#This Row],[EffectiveEndDate]]&gt;=Settings!$D$2),1,0)</f>
        <v>0</v>
      </c>
      <c r="AE482" s="46">
        <f ca="1">IF(AND(Table1[[#This Row],[SubscriptionStart]]&lt;=Settings!$E$2,Table1[[#This Row],[EffectiveEndDate]]&gt;=Settings!$E$2),1,0)</f>
        <v>0</v>
      </c>
      <c r="AF482"/>
      <c r="AG482"/>
      <c r="AH482"/>
      <c r="AI482"/>
      <c r="AJ482"/>
      <c r="AK482"/>
    </row>
    <row r="483" spans="1:37">
      <c r="A483" s="3" t="s">
        <v>322</v>
      </c>
      <c r="B483" s="3">
        <v>25</v>
      </c>
      <c r="C483" s="3" t="s">
        <v>23</v>
      </c>
      <c r="D483" s="5">
        <v>45012</v>
      </c>
      <c r="E483" s="5">
        <v>45372</v>
      </c>
      <c r="F483" s="3">
        <f ca="1">TODAY() - Table1[[#This Row],[SubscriptionStart]]</f>
        <v>969</v>
      </c>
      <c r="G483" s="4">
        <v>12</v>
      </c>
      <c r="H483" s="3" t="s">
        <v>24</v>
      </c>
      <c r="I483" s="3" t="s">
        <v>25</v>
      </c>
      <c r="J483" s="7" cm="1">
        <f t="array" ref="J483">_xlfn.IFS(Table1[[#This Row],[Tier]]="Basic",10,Table1[[#This Row],[Tier]]="Standard",18,Table1[[#This Row],[Tier]]="Premium",25)</f>
        <v>25</v>
      </c>
      <c r="K483" s="7" cm="1">
        <f t="array" ref="K48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483" s="7" cm="1">
        <f t="array" ref="L48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483" s="3" t="str" cm="1">
        <f t="array" ref="M483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483" s="3" t="s">
        <v>52</v>
      </c>
      <c r="O483" s="3" t="s">
        <v>43</v>
      </c>
      <c r="P483" s="3" t="s">
        <v>35</v>
      </c>
      <c r="Q483" s="3" t="str" cm="1">
        <f t="array" ref="Q483">_xlfn.IFS(Table1[[#This Row],[TotalRevenue]]&lt;100,"Low",Table1[[#This Row],[TotalRevenue]]&lt;300,"Medium",Table1[[#This Row],[TotalRevenue]]&lt;600,"High",TRUE,"Very High")</f>
        <v>Medium</v>
      </c>
      <c r="R483" s="3" t="str" cm="1">
        <f t="array" ref="R483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483" s="3" t="str">
        <f>IF(Table1[[#This Row],[NextBillingDate]]="","Cancelled",IF(Table1[[#This Row],[CancellationDate]]&lt;&gt;"","Cancelled","Active"))</f>
        <v>Cancelled</v>
      </c>
      <c r="T483" s="7" cm="1">
        <f t="array" ref="T48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483" s="5">
        <v>45372</v>
      </c>
      <c r="W483" s="5">
        <v>45372</v>
      </c>
      <c r="X483" s="3">
        <v>0</v>
      </c>
      <c r="Y483" s="5">
        <f ca="1">IF(Table1[[#This Row],[ChurnStatus]]="Cancelled",Table1[[#This Row],[CancellationDate]],TODAY())</f>
        <v>45372</v>
      </c>
      <c r="Z483" s="46">
        <f ca="1">IF(AND(Table1[[#This Row],[SubscriptionStart]] &lt;= TODAY(), Table1[[#This Row],[EffectiveEndDate]] &gt;= TODAY()),1,0)</f>
        <v>0</v>
      </c>
      <c r="AA483" s="46">
        <f ca="1">IF(AND(Table1[[#This Row],[SubscriptionStart]]&lt;=Settings!$A$2,Table1[[#This Row],[EffectiveEndDate]]&gt;=Settings!$A$2),1,0)</f>
        <v>0</v>
      </c>
      <c r="AB483" s="46">
        <f ca="1">IF(AND(Table1[[#This Row],[SubscriptionStart]]&lt;=Settings!$B$2,Table1[[#This Row],[EffectiveEndDate]]&gt;=Settings!$B$2),1,0)</f>
        <v>0</v>
      </c>
      <c r="AC483" s="46">
        <f ca="1">IF(AND(Table1[[#This Row],[SubscriptionStart]]&lt;=Settings!$C$2,Table1[[#This Row],[EffectiveEndDate]]&gt;=Settings!$C$2),1,0)</f>
        <v>0</v>
      </c>
      <c r="AD483" s="46">
        <f ca="1">IF(AND(Table1[[#This Row],[SubscriptionStart]]&lt;=Settings!$D$2,Table1[[#This Row],[EffectiveEndDate]]&gt;=Settings!$D$2),1,0)</f>
        <v>1</v>
      </c>
      <c r="AE483" s="46">
        <f ca="1">IF(AND(Table1[[#This Row],[SubscriptionStart]]&lt;=Settings!$E$2,Table1[[#This Row],[EffectiveEndDate]]&gt;=Settings!$E$2),1,0)</f>
        <v>0</v>
      </c>
      <c r="AF483"/>
      <c r="AG483"/>
      <c r="AH483"/>
      <c r="AI483"/>
      <c r="AJ483"/>
      <c r="AK483"/>
    </row>
    <row r="484" spans="1:37">
      <c r="A484" s="3" t="s">
        <v>562</v>
      </c>
      <c r="B484" s="3">
        <v>60</v>
      </c>
      <c r="C484" s="3" t="s">
        <v>23</v>
      </c>
      <c r="D484" s="5">
        <v>45012</v>
      </c>
      <c r="F484" s="3">
        <f ca="1">TODAY() - Table1[[#This Row],[SubscriptionStart]]</f>
        <v>969</v>
      </c>
      <c r="G484" s="4">
        <v>33</v>
      </c>
      <c r="H484" s="3" t="s">
        <v>29</v>
      </c>
      <c r="I484" s="3" t="s">
        <v>30</v>
      </c>
      <c r="J484" s="7" cm="1">
        <f t="array" ref="J484">_xlfn.IFS(Table1[[#This Row],[Tier]]="Basic",10,Table1[[#This Row],[Tier]]="Standard",18,Table1[[#This Row],[Tier]]="Premium",25)</f>
        <v>10</v>
      </c>
      <c r="K484" s="7" cm="1">
        <f t="array" ref="K48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484" s="7" cm="1">
        <f t="array" ref="L48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309</v>
      </c>
      <c r="M484" s="3" t="str" cm="1">
        <f t="array" ref="M48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84" s="3" t="s">
        <v>26</v>
      </c>
      <c r="O484" s="3" t="s">
        <v>49</v>
      </c>
      <c r="Q484" s="3" t="str" cm="1">
        <f t="array" ref="Q484">_xlfn.IFS(Table1[[#This Row],[TotalRevenue]]&lt;100,"Low",Table1[[#This Row],[TotalRevenue]]&lt;300,"Medium",Table1[[#This Row],[TotalRevenue]]&lt;600,"High",TRUE,"Very High")</f>
        <v>High</v>
      </c>
      <c r="R484" s="3" t="str" cm="1">
        <f t="array" ref="R48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484" s="3" t="str">
        <f>IF(Table1[[#This Row],[NextBillingDate]]="","Cancelled",IF(Table1[[#This Row],[CancellationDate]]&lt;&gt;"","Cancelled","Active"))</f>
        <v>Active</v>
      </c>
      <c r="T484" s="7" cm="1">
        <f t="array" ref="T48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319</v>
      </c>
      <c r="V484" s="5">
        <v>46002</v>
      </c>
      <c r="W484" s="5">
        <v>46002</v>
      </c>
      <c r="X484" s="3">
        <v>32</v>
      </c>
      <c r="Y484" s="5">
        <f ca="1">IF(Table1[[#This Row],[ChurnStatus]]="Cancelled",Table1[[#This Row],[CancellationDate]],TODAY())</f>
        <v>45981</v>
      </c>
      <c r="Z484" s="46">
        <f ca="1">IF(AND(Table1[[#This Row],[SubscriptionStart]] &lt;= TODAY(), Table1[[#This Row],[EffectiveEndDate]] &gt;= TODAY()),1,0)</f>
        <v>1</v>
      </c>
      <c r="AA484" s="46">
        <f ca="1">IF(AND(Table1[[#This Row],[SubscriptionStart]]&lt;=Settings!$A$2,Table1[[#This Row],[EffectiveEndDate]]&gt;=Settings!$A$2),1,0)</f>
        <v>0</v>
      </c>
      <c r="AB484" s="46">
        <f ca="1">IF(AND(Table1[[#This Row],[SubscriptionStart]]&lt;=Settings!$B$2,Table1[[#This Row],[EffectiveEndDate]]&gt;=Settings!$B$2),1,0)</f>
        <v>0</v>
      </c>
      <c r="AC484" s="46">
        <f ca="1">IF(AND(Table1[[#This Row],[SubscriptionStart]]&lt;=Settings!$C$2,Table1[[#This Row],[EffectiveEndDate]]&gt;=Settings!$C$2),1,0)</f>
        <v>0</v>
      </c>
      <c r="AD484" s="46">
        <f ca="1">IF(AND(Table1[[#This Row],[SubscriptionStart]]&lt;=Settings!$D$2,Table1[[#This Row],[EffectiveEndDate]]&gt;=Settings!$D$2),1,0)</f>
        <v>1</v>
      </c>
      <c r="AE484" s="46">
        <f ca="1">IF(AND(Table1[[#This Row],[SubscriptionStart]]&lt;=Settings!$E$2,Table1[[#This Row],[EffectiveEndDate]]&gt;=Settings!$E$2),1,0)</f>
        <v>1</v>
      </c>
      <c r="AF484"/>
      <c r="AG484"/>
      <c r="AH484"/>
      <c r="AI484"/>
      <c r="AJ484"/>
      <c r="AK484"/>
    </row>
    <row r="485" spans="1:37">
      <c r="A485" s="3" t="s">
        <v>576</v>
      </c>
      <c r="B485" s="3">
        <v>59</v>
      </c>
      <c r="C485" s="3" t="s">
        <v>23</v>
      </c>
      <c r="D485" s="5">
        <v>45013</v>
      </c>
      <c r="F485" s="3">
        <f ca="1">TODAY() - Table1[[#This Row],[SubscriptionStart]]</f>
        <v>968</v>
      </c>
      <c r="G485" s="4">
        <v>36</v>
      </c>
      <c r="H485" s="3" t="s">
        <v>38</v>
      </c>
      <c r="I485" s="3" t="s">
        <v>25</v>
      </c>
      <c r="J485" s="7" cm="1">
        <f t="array" ref="J485">_xlfn.IFS(Table1[[#This Row],[Tier]]="Basic",10,Table1[[#This Row],[Tier]]="Standard",18,Table1[[#This Row],[Tier]]="Premium",25)</f>
        <v>25</v>
      </c>
      <c r="K485" s="7" cm="1">
        <f t="array" ref="K48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18.75</v>
      </c>
      <c r="L485" s="7" cm="1">
        <f t="array" ref="L48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652.5</v>
      </c>
      <c r="M485" s="3" t="str" cm="1">
        <f t="array" ref="M485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85" s="3" t="s">
        <v>26</v>
      </c>
      <c r="O485" s="3" t="s">
        <v>49</v>
      </c>
      <c r="Q485" s="3" t="str" cm="1">
        <f t="array" ref="Q485">_xlfn.IFS(Table1[[#This Row],[TotalRevenue]]&lt;100,"Low",Table1[[#This Row],[TotalRevenue]]&lt;300,"Medium",Table1[[#This Row],[TotalRevenue]]&lt;600,"High",TRUE,"Very High")</f>
        <v>Very High</v>
      </c>
      <c r="R485" s="3" t="str" cm="1">
        <f t="array" ref="R48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85" s="3" t="str">
        <f>IF(Table1[[#This Row],[NextBillingDate]]="","Cancelled",IF(Table1[[#This Row],[CancellationDate]]&lt;&gt;"","Cancelled","Active"))</f>
        <v>Active</v>
      </c>
      <c r="T485" s="7" cm="1">
        <f t="array" ref="T48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765</v>
      </c>
      <c r="V485" s="5">
        <v>46093</v>
      </c>
      <c r="W485" s="5">
        <v>46093</v>
      </c>
      <c r="X485" s="3">
        <v>5</v>
      </c>
      <c r="Y485" s="5">
        <f ca="1">IF(Table1[[#This Row],[ChurnStatus]]="Cancelled",Table1[[#This Row],[CancellationDate]],TODAY())</f>
        <v>45981</v>
      </c>
      <c r="Z485" s="46">
        <f ca="1">IF(AND(Table1[[#This Row],[SubscriptionStart]] &lt;= TODAY(), Table1[[#This Row],[EffectiveEndDate]] &gt;= TODAY()),1,0)</f>
        <v>1</v>
      </c>
      <c r="AA485" s="46">
        <f ca="1">IF(AND(Table1[[#This Row],[SubscriptionStart]]&lt;=Settings!$A$2,Table1[[#This Row],[EffectiveEndDate]]&gt;=Settings!$A$2),1,0)</f>
        <v>0</v>
      </c>
      <c r="AB485" s="46">
        <f ca="1">IF(AND(Table1[[#This Row],[SubscriptionStart]]&lt;=Settings!$B$2,Table1[[#This Row],[EffectiveEndDate]]&gt;=Settings!$B$2),1,0)</f>
        <v>0</v>
      </c>
      <c r="AC485" s="46">
        <f ca="1">IF(AND(Table1[[#This Row],[SubscriptionStart]]&lt;=Settings!$C$2,Table1[[#This Row],[EffectiveEndDate]]&gt;=Settings!$C$2),1,0)</f>
        <v>0</v>
      </c>
      <c r="AD485" s="46">
        <f ca="1">IF(AND(Table1[[#This Row],[SubscriptionStart]]&lt;=Settings!$D$2,Table1[[#This Row],[EffectiveEndDate]]&gt;=Settings!$D$2),1,0)</f>
        <v>1</v>
      </c>
      <c r="AE485" s="46">
        <f ca="1">IF(AND(Table1[[#This Row],[SubscriptionStart]]&lt;=Settings!$E$2,Table1[[#This Row],[EffectiveEndDate]]&gt;=Settings!$E$2),1,0)</f>
        <v>1</v>
      </c>
      <c r="AF485"/>
      <c r="AG485"/>
      <c r="AH485"/>
      <c r="AI485"/>
      <c r="AJ485"/>
      <c r="AK485"/>
    </row>
    <row r="486" spans="1:37">
      <c r="A486" s="3" t="s">
        <v>63</v>
      </c>
      <c r="B486" s="3">
        <v>71</v>
      </c>
      <c r="C486" s="3" t="s">
        <v>23</v>
      </c>
      <c r="D486" s="5">
        <v>45014</v>
      </c>
      <c r="E486" s="5">
        <v>45044</v>
      </c>
      <c r="F486" s="3">
        <f ca="1">TODAY() - Table1[[#This Row],[SubscriptionStart]]</f>
        <v>967</v>
      </c>
      <c r="G486" s="4">
        <v>1</v>
      </c>
      <c r="H486" s="3" t="s">
        <v>29</v>
      </c>
      <c r="I486" s="3" t="s">
        <v>30</v>
      </c>
      <c r="J486" s="7" cm="1">
        <f t="array" ref="J486">_xlfn.IFS(Table1[[#This Row],[Tier]]="Basic",10,Table1[[#This Row],[Tier]]="Standard",18,Table1[[#This Row],[Tier]]="Premium",25)</f>
        <v>10</v>
      </c>
      <c r="K486" s="7" cm="1">
        <f t="array" ref="K48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486" s="7" cm="1">
        <f t="array" ref="L48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86" s="3" t="str" cm="1">
        <f t="array" ref="M486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486" s="3" t="s">
        <v>26</v>
      </c>
      <c r="O486" s="3" t="s">
        <v>43</v>
      </c>
      <c r="P486" s="3" t="s">
        <v>41</v>
      </c>
      <c r="Q486" s="3" t="str" cm="1">
        <f t="array" ref="Q486">_xlfn.IFS(Table1[[#This Row],[TotalRevenue]]&lt;100,"Low",Table1[[#This Row],[TotalRevenue]]&lt;300,"Medium",Table1[[#This Row],[TotalRevenue]]&lt;600,"High",TRUE,"Very High")</f>
        <v>Low</v>
      </c>
      <c r="R486" s="3" t="str" cm="1">
        <f t="array" ref="R486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486" s="3" t="str">
        <f>IF(Table1[[#This Row],[NextBillingDate]]="","Cancelled",IF(Table1[[#This Row],[CancellationDate]]&lt;&gt;"","Cancelled","Active"))</f>
        <v>Cancelled</v>
      </c>
      <c r="T486" s="7" cm="1">
        <f t="array" ref="T48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86" s="5">
        <v>45044</v>
      </c>
      <c r="W486" s="5">
        <v>45044</v>
      </c>
      <c r="X486" s="3">
        <v>0</v>
      </c>
      <c r="Y486" s="5">
        <f ca="1">IF(Table1[[#This Row],[ChurnStatus]]="Cancelled",Table1[[#This Row],[CancellationDate]],TODAY())</f>
        <v>45044</v>
      </c>
      <c r="Z486" s="46">
        <f ca="1">IF(AND(Table1[[#This Row],[SubscriptionStart]] &lt;= TODAY(), Table1[[#This Row],[EffectiveEndDate]] &gt;= TODAY()),1,0)</f>
        <v>0</v>
      </c>
      <c r="AA486" s="46">
        <f ca="1">IF(AND(Table1[[#This Row],[SubscriptionStart]]&lt;=Settings!$A$2,Table1[[#This Row],[EffectiveEndDate]]&gt;=Settings!$A$2),1,0)</f>
        <v>0</v>
      </c>
      <c r="AB486" s="46">
        <f ca="1">IF(AND(Table1[[#This Row],[SubscriptionStart]]&lt;=Settings!$B$2,Table1[[#This Row],[EffectiveEndDate]]&gt;=Settings!$B$2),1,0)</f>
        <v>0</v>
      </c>
      <c r="AC486" s="46">
        <f ca="1">IF(AND(Table1[[#This Row],[SubscriptionStart]]&lt;=Settings!$C$2,Table1[[#This Row],[EffectiveEndDate]]&gt;=Settings!$C$2),1,0)</f>
        <v>0</v>
      </c>
      <c r="AD486" s="46">
        <f ca="1">IF(AND(Table1[[#This Row],[SubscriptionStart]]&lt;=Settings!$D$2,Table1[[#This Row],[EffectiveEndDate]]&gt;=Settings!$D$2),1,0)</f>
        <v>0</v>
      </c>
      <c r="AE486" s="46">
        <f ca="1">IF(AND(Table1[[#This Row],[SubscriptionStart]]&lt;=Settings!$E$2,Table1[[#This Row],[EffectiveEndDate]]&gt;=Settings!$E$2),1,0)</f>
        <v>0</v>
      </c>
      <c r="AF486"/>
      <c r="AG486"/>
      <c r="AH486"/>
      <c r="AI486"/>
      <c r="AJ486"/>
      <c r="AK486"/>
    </row>
    <row r="487" spans="1:37">
      <c r="A487" s="3" t="s">
        <v>799</v>
      </c>
      <c r="B487" s="3">
        <v>33</v>
      </c>
      <c r="C487" s="3" t="s">
        <v>37</v>
      </c>
      <c r="D487" s="5">
        <v>45014</v>
      </c>
      <c r="E487" s="5">
        <v>45374</v>
      </c>
      <c r="F487" s="3">
        <f ca="1">TODAY() - Table1[[#This Row],[SubscriptionStart]]</f>
        <v>967</v>
      </c>
      <c r="G487" s="4">
        <v>12</v>
      </c>
      <c r="H487" s="3" t="s">
        <v>24</v>
      </c>
      <c r="I487" s="3" t="s">
        <v>25</v>
      </c>
      <c r="J487" s="7" cm="1">
        <f t="array" ref="J487">_xlfn.IFS(Table1[[#This Row],[Tier]]="Basic",10,Table1[[#This Row],[Tier]]="Standard",18,Table1[[#This Row],[Tier]]="Premium",25)</f>
        <v>25</v>
      </c>
      <c r="K487" s="7" cm="1">
        <f t="array" ref="K48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487" s="7" cm="1">
        <f t="array" ref="L48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487" s="3" t="str" cm="1">
        <f t="array" ref="M48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87" s="3" t="s">
        <v>52</v>
      </c>
      <c r="O487" s="3" t="s">
        <v>32</v>
      </c>
      <c r="P487" s="3" t="s">
        <v>47</v>
      </c>
      <c r="Q487" s="3" t="str" cm="1">
        <f t="array" ref="Q487">_xlfn.IFS(Table1[[#This Row],[TotalRevenue]]&lt;100,"Low",Table1[[#This Row],[TotalRevenue]]&lt;300,"Medium",Table1[[#This Row],[TotalRevenue]]&lt;600,"High",TRUE,"Very High")</f>
        <v>Medium</v>
      </c>
      <c r="R487" s="3" t="str" cm="1">
        <f t="array" ref="R48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87" s="3" t="str">
        <f>IF(Table1[[#This Row],[NextBillingDate]]="","Cancelled",IF(Table1[[#This Row],[CancellationDate]]&lt;&gt;"","Cancelled","Active"))</f>
        <v>Cancelled</v>
      </c>
      <c r="T487" s="7" cm="1">
        <f t="array" ref="T48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487" s="5">
        <v>45374</v>
      </c>
      <c r="W487" s="5">
        <v>45374</v>
      </c>
      <c r="X487" s="3">
        <v>0</v>
      </c>
      <c r="Y487" s="5">
        <f ca="1">IF(Table1[[#This Row],[ChurnStatus]]="Cancelled",Table1[[#This Row],[CancellationDate]],TODAY())</f>
        <v>45374</v>
      </c>
      <c r="Z487" s="46">
        <f ca="1">IF(AND(Table1[[#This Row],[SubscriptionStart]] &lt;= TODAY(), Table1[[#This Row],[EffectiveEndDate]] &gt;= TODAY()),1,0)</f>
        <v>0</v>
      </c>
      <c r="AA487" s="46">
        <f ca="1">IF(AND(Table1[[#This Row],[SubscriptionStart]]&lt;=Settings!$A$2,Table1[[#This Row],[EffectiveEndDate]]&gt;=Settings!$A$2),1,0)</f>
        <v>0</v>
      </c>
      <c r="AB487" s="46">
        <f ca="1">IF(AND(Table1[[#This Row],[SubscriptionStart]]&lt;=Settings!$B$2,Table1[[#This Row],[EffectiveEndDate]]&gt;=Settings!$B$2),1,0)</f>
        <v>0</v>
      </c>
      <c r="AC487" s="46">
        <f ca="1">IF(AND(Table1[[#This Row],[SubscriptionStart]]&lt;=Settings!$C$2,Table1[[#This Row],[EffectiveEndDate]]&gt;=Settings!$C$2),1,0)</f>
        <v>0</v>
      </c>
      <c r="AD487" s="46">
        <f ca="1">IF(AND(Table1[[#This Row],[SubscriptionStart]]&lt;=Settings!$D$2,Table1[[#This Row],[EffectiveEndDate]]&gt;=Settings!$D$2),1,0)</f>
        <v>1</v>
      </c>
      <c r="AE487" s="46">
        <f ca="1">IF(AND(Table1[[#This Row],[SubscriptionStart]]&lt;=Settings!$E$2,Table1[[#This Row],[EffectiveEndDate]]&gt;=Settings!$E$2),1,0)</f>
        <v>0</v>
      </c>
      <c r="AF487"/>
      <c r="AG487"/>
      <c r="AH487"/>
      <c r="AI487"/>
      <c r="AJ487"/>
      <c r="AK487"/>
    </row>
    <row r="488" spans="1:37">
      <c r="A488" s="3" t="s">
        <v>827</v>
      </c>
      <c r="B488" s="3">
        <v>42</v>
      </c>
      <c r="C488" s="3" t="s">
        <v>23</v>
      </c>
      <c r="D488" s="5">
        <v>45014</v>
      </c>
      <c r="E488" s="5">
        <v>45374</v>
      </c>
      <c r="F488" s="3">
        <f ca="1">TODAY() - Table1[[#This Row],[SubscriptionStart]]</f>
        <v>967</v>
      </c>
      <c r="G488" s="4">
        <v>12</v>
      </c>
      <c r="H488" s="3" t="s">
        <v>24</v>
      </c>
      <c r="I488" s="3" t="s">
        <v>39</v>
      </c>
      <c r="J488" s="7" cm="1">
        <f t="array" ref="J488">_xlfn.IFS(Table1[[#This Row],[Tier]]="Basic",10,Table1[[#This Row],[Tier]]="Standard",18,Table1[[#This Row],[Tier]]="Premium",25)</f>
        <v>18</v>
      </c>
      <c r="K488" s="7" cm="1">
        <f t="array" ref="K48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488" s="7" cm="1">
        <f t="array" ref="L48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488" s="3" t="str" cm="1">
        <f t="array" ref="M48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88" s="3" t="s">
        <v>52</v>
      </c>
      <c r="O488" s="3" t="s">
        <v>32</v>
      </c>
      <c r="P488" s="3" t="s">
        <v>44</v>
      </c>
      <c r="Q488" s="3" t="str" cm="1">
        <f t="array" ref="Q488">_xlfn.IFS(Table1[[#This Row],[TotalRevenue]]&lt;100,"Low",Table1[[#This Row],[TotalRevenue]]&lt;300,"Medium",Table1[[#This Row],[TotalRevenue]]&lt;600,"High",TRUE,"Very High")</f>
        <v>Medium</v>
      </c>
      <c r="R488" s="3" t="str" cm="1">
        <f t="array" ref="R48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88" s="3" t="str">
        <f>IF(Table1[[#This Row],[NextBillingDate]]="","Cancelled",IF(Table1[[#This Row],[CancellationDate]]&lt;&gt;"","Cancelled","Active"))</f>
        <v>Cancelled</v>
      </c>
      <c r="T488" s="7" cm="1">
        <f t="array" ref="T48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488" s="5">
        <v>45374</v>
      </c>
      <c r="W488" s="5">
        <v>45374</v>
      </c>
      <c r="X488" s="3">
        <v>0</v>
      </c>
      <c r="Y488" s="5">
        <f ca="1">IF(Table1[[#This Row],[ChurnStatus]]="Cancelled",Table1[[#This Row],[CancellationDate]],TODAY())</f>
        <v>45374</v>
      </c>
      <c r="Z488" s="46">
        <f ca="1">IF(AND(Table1[[#This Row],[SubscriptionStart]] &lt;= TODAY(), Table1[[#This Row],[EffectiveEndDate]] &gt;= TODAY()),1,0)</f>
        <v>0</v>
      </c>
      <c r="AA488" s="46">
        <f ca="1">IF(AND(Table1[[#This Row],[SubscriptionStart]]&lt;=Settings!$A$2,Table1[[#This Row],[EffectiveEndDate]]&gt;=Settings!$A$2),1,0)</f>
        <v>0</v>
      </c>
      <c r="AB488" s="46">
        <f ca="1">IF(AND(Table1[[#This Row],[SubscriptionStart]]&lt;=Settings!$B$2,Table1[[#This Row],[EffectiveEndDate]]&gt;=Settings!$B$2),1,0)</f>
        <v>0</v>
      </c>
      <c r="AC488" s="46">
        <f ca="1">IF(AND(Table1[[#This Row],[SubscriptionStart]]&lt;=Settings!$C$2,Table1[[#This Row],[EffectiveEndDate]]&gt;=Settings!$C$2),1,0)</f>
        <v>0</v>
      </c>
      <c r="AD488" s="46">
        <f ca="1">IF(AND(Table1[[#This Row],[SubscriptionStart]]&lt;=Settings!$D$2,Table1[[#This Row],[EffectiveEndDate]]&gt;=Settings!$D$2),1,0)</f>
        <v>1</v>
      </c>
      <c r="AE488" s="46">
        <f ca="1">IF(AND(Table1[[#This Row],[SubscriptionStart]]&lt;=Settings!$E$2,Table1[[#This Row],[EffectiveEndDate]]&gt;=Settings!$E$2),1,0)</f>
        <v>0</v>
      </c>
      <c r="AF488"/>
      <c r="AG488"/>
      <c r="AH488"/>
      <c r="AI488"/>
      <c r="AJ488"/>
      <c r="AK488"/>
    </row>
    <row r="489" spans="1:37">
      <c r="A489" s="3" t="s">
        <v>234</v>
      </c>
      <c r="B489" s="3">
        <v>63</v>
      </c>
      <c r="C489" s="3" t="s">
        <v>37</v>
      </c>
      <c r="D489" s="5">
        <v>45014</v>
      </c>
      <c r="F489" s="3">
        <f ca="1">TODAY() - Table1[[#This Row],[SubscriptionStart]]</f>
        <v>967</v>
      </c>
      <c r="G489" s="4">
        <v>33</v>
      </c>
      <c r="H489" s="3" t="s">
        <v>29</v>
      </c>
      <c r="I489" s="3" t="s">
        <v>30</v>
      </c>
      <c r="J489" s="7" cm="1">
        <f t="array" ref="J489">_xlfn.IFS(Table1[[#This Row],[Tier]]="Basic",10,Table1[[#This Row],[Tier]]="Standard",18,Table1[[#This Row],[Tier]]="Premium",25)</f>
        <v>10</v>
      </c>
      <c r="K489" s="7" cm="1">
        <f t="array" ref="K48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489" s="7" cm="1">
        <f t="array" ref="L48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309</v>
      </c>
      <c r="M489" s="3" t="str" cm="1">
        <f t="array" ref="M48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89" s="3" t="s">
        <v>34</v>
      </c>
      <c r="O489" s="3" t="s">
        <v>49</v>
      </c>
      <c r="Q489" s="3" t="str" cm="1">
        <f t="array" ref="Q489">_xlfn.IFS(Table1[[#This Row],[TotalRevenue]]&lt;100,"Low",Table1[[#This Row],[TotalRevenue]]&lt;300,"Medium",Table1[[#This Row],[TotalRevenue]]&lt;600,"High",TRUE,"Very High")</f>
        <v>High</v>
      </c>
      <c r="R489" s="3" t="str" cm="1">
        <f t="array" ref="R48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489" s="3" t="str">
        <f>IF(Table1[[#This Row],[NextBillingDate]]="","Cancelled",IF(Table1[[#This Row],[CancellationDate]]&lt;&gt;"","Cancelled","Active"))</f>
        <v>Active</v>
      </c>
      <c r="T489" s="7" cm="1">
        <f t="array" ref="T48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319</v>
      </c>
      <c r="V489" s="5">
        <v>46004</v>
      </c>
      <c r="W489" s="5">
        <v>46004</v>
      </c>
      <c r="X489" s="3">
        <v>32</v>
      </c>
      <c r="Y489" s="5">
        <f ca="1">IF(Table1[[#This Row],[ChurnStatus]]="Cancelled",Table1[[#This Row],[CancellationDate]],TODAY())</f>
        <v>45981</v>
      </c>
      <c r="Z489" s="46">
        <f ca="1">IF(AND(Table1[[#This Row],[SubscriptionStart]] &lt;= TODAY(), Table1[[#This Row],[EffectiveEndDate]] &gt;= TODAY()),1,0)</f>
        <v>1</v>
      </c>
      <c r="AA489" s="46">
        <f ca="1">IF(AND(Table1[[#This Row],[SubscriptionStart]]&lt;=Settings!$A$2,Table1[[#This Row],[EffectiveEndDate]]&gt;=Settings!$A$2),1,0)</f>
        <v>0</v>
      </c>
      <c r="AB489" s="46">
        <f ca="1">IF(AND(Table1[[#This Row],[SubscriptionStart]]&lt;=Settings!$B$2,Table1[[#This Row],[EffectiveEndDate]]&gt;=Settings!$B$2),1,0)</f>
        <v>0</v>
      </c>
      <c r="AC489" s="46">
        <f ca="1">IF(AND(Table1[[#This Row],[SubscriptionStart]]&lt;=Settings!$C$2,Table1[[#This Row],[EffectiveEndDate]]&gt;=Settings!$C$2),1,0)</f>
        <v>0</v>
      </c>
      <c r="AD489" s="46">
        <f ca="1">IF(AND(Table1[[#This Row],[SubscriptionStart]]&lt;=Settings!$D$2,Table1[[#This Row],[EffectiveEndDate]]&gt;=Settings!$D$2),1,0)</f>
        <v>1</v>
      </c>
      <c r="AE489" s="46">
        <f ca="1">IF(AND(Table1[[#This Row],[SubscriptionStart]]&lt;=Settings!$E$2,Table1[[#This Row],[EffectiveEndDate]]&gt;=Settings!$E$2),1,0)</f>
        <v>1</v>
      </c>
      <c r="AF489"/>
      <c r="AG489"/>
      <c r="AH489"/>
      <c r="AI489"/>
      <c r="AJ489"/>
      <c r="AK489"/>
    </row>
    <row r="490" spans="1:37">
      <c r="A490" s="3" t="s">
        <v>720</v>
      </c>
      <c r="B490" s="3">
        <v>53</v>
      </c>
      <c r="C490" s="3" t="s">
        <v>37</v>
      </c>
      <c r="D490" s="5">
        <v>45015</v>
      </c>
      <c r="F490" s="3">
        <f ca="1">TODAY() - Table1[[#This Row],[SubscriptionStart]]</f>
        <v>966</v>
      </c>
      <c r="G490" s="4">
        <v>36</v>
      </c>
      <c r="H490" s="3" t="s">
        <v>38</v>
      </c>
      <c r="I490" s="3" t="s">
        <v>39</v>
      </c>
      <c r="J490" s="7" cm="1">
        <f t="array" ref="J490">_xlfn.IFS(Table1[[#This Row],[Tier]]="Basic",10,Table1[[#This Row],[Tier]]="Standard",18,Table1[[#This Row],[Tier]]="Premium",25)</f>
        <v>18</v>
      </c>
      <c r="K490" s="7" cm="1">
        <f t="array" ref="K49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490" s="7" cm="1">
        <f t="array" ref="L49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469.8</v>
      </c>
      <c r="M490" s="3" t="str" cm="1">
        <f t="array" ref="M49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90" s="3" t="s">
        <v>34</v>
      </c>
      <c r="O490" s="3" t="s">
        <v>40</v>
      </c>
      <c r="Q490" s="3" t="str" cm="1">
        <f t="array" ref="Q490">_xlfn.IFS(Table1[[#This Row],[TotalRevenue]]&lt;100,"Low",Table1[[#This Row],[TotalRevenue]]&lt;300,"Medium",Table1[[#This Row],[TotalRevenue]]&lt;600,"High",TRUE,"Very High")</f>
        <v>High</v>
      </c>
      <c r="R490" s="3" t="str" cm="1">
        <f t="array" ref="R49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90" s="3" t="str">
        <f>IF(Table1[[#This Row],[NextBillingDate]]="","Cancelled",IF(Table1[[#This Row],[CancellationDate]]&lt;&gt;"","Cancelled","Active"))</f>
        <v>Active</v>
      </c>
      <c r="T490" s="7" cm="1">
        <f t="array" ref="T49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550.79999999999995</v>
      </c>
      <c r="V490" s="5">
        <v>46095</v>
      </c>
      <c r="W490" s="5">
        <v>46095</v>
      </c>
      <c r="X490" s="3">
        <v>5</v>
      </c>
      <c r="Y490" s="5">
        <f ca="1">IF(Table1[[#This Row],[ChurnStatus]]="Cancelled",Table1[[#This Row],[CancellationDate]],TODAY())</f>
        <v>45981</v>
      </c>
      <c r="Z490" s="46">
        <f ca="1">IF(AND(Table1[[#This Row],[SubscriptionStart]] &lt;= TODAY(), Table1[[#This Row],[EffectiveEndDate]] &gt;= TODAY()),1,0)</f>
        <v>1</v>
      </c>
      <c r="AA490" s="46">
        <f ca="1">IF(AND(Table1[[#This Row],[SubscriptionStart]]&lt;=Settings!$A$2,Table1[[#This Row],[EffectiveEndDate]]&gt;=Settings!$A$2),1,0)</f>
        <v>0</v>
      </c>
      <c r="AB490" s="46">
        <f ca="1">IF(AND(Table1[[#This Row],[SubscriptionStart]]&lt;=Settings!$B$2,Table1[[#This Row],[EffectiveEndDate]]&gt;=Settings!$B$2),1,0)</f>
        <v>0</v>
      </c>
      <c r="AC490" s="46">
        <f ca="1">IF(AND(Table1[[#This Row],[SubscriptionStart]]&lt;=Settings!$C$2,Table1[[#This Row],[EffectiveEndDate]]&gt;=Settings!$C$2),1,0)</f>
        <v>0</v>
      </c>
      <c r="AD490" s="46">
        <f ca="1">IF(AND(Table1[[#This Row],[SubscriptionStart]]&lt;=Settings!$D$2,Table1[[#This Row],[EffectiveEndDate]]&gt;=Settings!$D$2),1,0)</f>
        <v>1</v>
      </c>
      <c r="AE490" s="46">
        <f ca="1">IF(AND(Table1[[#This Row],[SubscriptionStart]]&lt;=Settings!$E$2,Table1[[#This Row],[EffectiveEndDate]]&gt;=Settings!$E$2),1,0)</f>
        <v>1</v>
      </c>
      <c r="AF490"/>
      <c r="AG490"/>
      <c r="AH490"/>
      <c r="AI490"/>
      <c r="AJ490"/>
      <c r="AK490"/>
    </row>
    <row r="491" spans="1:37">
      <c r="A491" s="3" t="s">
        <v>712</v>
      </c>
      <c r="B491" s="3">
        <v>26</v>
      </c>
      <c r="C491" s="3" t="s">
        <v>37</v>
      </c>
      <c r="D491" s="5">
        <v>45016</v>
      </c>
      <c r="E491" s="5">
        <v>45046</v>
      </c>
      <c r="F491" s="3">
        <f ca="1">TODAY() - Table1[[#This Row],[SubscriptionStart]]</f>
        <v>965</v>
      </c>
      <c r="G491" s="4">
        <v>1</v>
      </c>
      <c r="H491" s="3" t="s">
        <v>29</v>
      </c>
      <c r="I491" s="3" t="s">
        <v>39</v>
      </c>
      <c r="J491" s="7" cm="1">
        <f t="array" ref="J491">_xlfn.IFS(Table1[[#This Row],[Tier]]="Basic",10,Table1[[#This Row],[Tier]]="Standard",18,Table1[[#This Row],[Tier]]="Premium",25)</f>
        <v>18</v>
      </c>
      <c r="K491" s="7" cm="1">
        <f t="array" ref="K49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491" s="7" cm="1">
        <f t="array" ref="L49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91" s="3" t="str" cm="1">
        <f t="array" ref="M49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91" s="3" t="s">
        <v>34</v>
      </c>
      <c r="O491" s="3" t="s">
        <v>27</v>
      </c>
      <c r="P491" s="3" t="s">
        <v>50</v>
      </c>
      <c r="Q491" s="3" t="str" cm="1">
        <f t="array" ref="Q491">_xlfn.IFS(Table1[[#This Row],[TotalRevenue]]&lt;100,"Low",Table1[[#This Row],[TotalRevenue]]&lt;300,"Medium",Table1[[#This Row],[TotalRevenue]]&lt;600,"High",TRUE,"Very High")</f>
        <v>Low</v>
      </c>
      <c r="R491" s="3" t="str" cm="1">
        <f t="array" ref="R49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91" s="3" t="str">
        <f>IF(Table1[[#This Row],[NextBillingDate]]="","Cancelled",IF(Table1[[#This Row],[CancellationDate]]&lt;&gt;"","Cancelled","Active"))</f>
        <v>Cancelled</v>
      </c>
      <c r="T491" s="7" cm="1">
        <f t="array" ref="T49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91" s="5">
        <v>45046</v>
      </c>
      <c r="W491" s="5">
        <v>45046</v>
      </c>
      <c r="X491" s="3">
        <v>0</v>
      </c>
      <c r="Y491" s="5">
        <f ca="1">IF(Table1[[#This Row],[ChurnStatus]]="Cancelled",Table1[[#This Row],[CancellationDate]],TODAY())</f>
        <v>45046</v>
      </c>
      <c r="Z491" s="46">
        <f ca="1">IF(AND(Table1[[#This Row],[SubscriptionStart]] &lt;= TODAY(), Table1[[#This Row],[EffectiveEndDate]] &gt;= TODAY()),1,0)</f>
        <v>0</v>
      </c>
      <c r="AA491" s="46">
        <f ca="1">IF(AND(Table1[[#This Row],[SubscriptionStart]]&lt;=Settings!$A$2,Table1[[#This Row],[EffectiveEndDate]]&gt;=Settings!$A$2),1,0)</f>
        <v>0</v>
      </c>
      <c r="AB491" s="46">
        <f ca="1">IF(AND(Table1[[#This Row],[SubscriptionStart]]&lt;=Settings!$B$2,Table1[[#This Row],[EffectiveEndDate]]&gt;=Settings!$B$2),1,0)</f>
        <v>0</v>
      </c>
      <c r="AC491" s="46">
        <f ca="1">IF(AND(Table1[[#This Row],[SubscriptionStart]]&lt;=Settings!$C$2,Table1[[#This Row],[EffectiveEndDate]]&gt;=Settings!$C$2),1,0)</f>
        <v>0</v>
      </c>
      <c r="AD491" s="46">
        <f ca="1">IF(AND(Table1[[#This Row],[SubscriptionStart]]&lt;=Settings!$D$2,Table1[[#This Row],[EffectiveEndDate]]&gt;=Settings!$D$2),1,0)</f>
        <v>0</v>
      </c>
      <c r="AE491" s="46">
        <f ca="1">IF(AND(Table1[[#This Row],[SubscriptionStart]]&lt;=Settings!$E$2,Table1[[#This Row],[EffectiveEndDate]]&gt;=Settings!$E$2),1,0)</f>
        <v>0</v>
      </c>
      <c r="AF491"/>
      <c r="AG491"/>
      <c r="AH491"/>
      <c r="AI491"/>
      <c r="AJ491"/>
      <c r="AK491"/>
    </row>
    <row r="492" spans="1:37">
      <c r="A492" s="3" t="s">
        <v>252</v>
      </c>
      <c r="B492" s="3">
        <v>54</v>
      </c>
      <c r="C492" s="3" t="s">
        <v>37</v>
      </c>
      <c r="D492" s="5">
        <v>45016</v>
      </c>
      <c r="F492" s="3">
        <f ca="1">TODAY() - Table1[[#This Row],[SubscriptionStart]]</f>
        <v>965</v>
      </c>
      <c r="G492" s="4">
        <v>33</v>
      </c>
      <c r="H492" s="3" t="s">
        <v>29</v>
      </c>
      <c r="I492" s="3" t="s">
        <v>39</v>
      </c>
      <c r="J492" s="7" cm="1">
        <f t="array" ref="J492">_xlfn.IFS(Table1[[#This Row],[Tier]]="Basic",10,Table1[[#This Row],[Tier]]="Standard",18,Table1[[#This Row],[Tier]]="Premium",25)</f>
        <v>18</v>
      </c>
      <c r="K492" s="7" cm="1">
        <f t="array" ref="K49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492" s="7" cm="1">
        <f t="array" ref="L49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556.20000000000005</v>
      </c>
      <c r="M492" s="3" t="str" cm="1">
        <f t="array" ref="M492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92" s="3" t="s">
        <v>26</v>
      </c>
      <c r="O492" s="3" t="s">
        <v>40</v>
      </c>
      <c r="Q492" s="3" t="str" cm="1">
        <f t="array" ref="Q492">_xlfn.IFS(Table1[[#This Row],[TotalRevenue]]&lt;100,"Low",Table1[[#This Row],[TotalRevenue]]&lt;300,"Medium",Table1[[#This Row],[TotalRevenue]]&lt;600,"High",TRUE,"Very High")</f>
        <v>High</v>
      </c>
      <c r="R492" s="3" t="str" cm="1">
        <f t="array" ref="R49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92" s="3" t="str">
        <f>IF(Table1[[#This Row],[NextBillingDate]]="","Cancelled",IF(Table1[[#This Row],[CancellationDate]]&lt;&gt;"","Cancelled","Active"))</f>
        <v>Active</v>
      </c>
      <c r="T492" s="7" cm="1">
        <f t="array" ref="T49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574.20000000000005</v>
      </c>
      <c r="V492" s="5">
        <v>46006</v>
      </c>
      <c r="W492" s="5">
        <v>46006</v>
      </c>
      <c r="X492" s="3">
        <v>32</v>
      </c>
      <c r="Y492" s="5">
        <f ca="1">IF(Table1[[#This Row],[ChurnStatus]]="Cancelled",Table1[[#This Row],[CancellationDate]],TODAY())</f>
        <v>45981</v>
      </c>
      <c r="Z492" s="46">
        <f ca="1">IF(AND(Table1[[#This Row],[SubscriptionStart]] &lt;= TODAY(), Table1[[#This Row],[EffectiveEndDate]] &gt;= TODAY()),1,0)</f>
        <v>1</v>
      </c>
      <c r="AA492" s="46">
        <f ca="1">IF(AND(Table1[[#This Row],[SubscriptionStart]]&lt;=Settings!$A$2,Table1[[#This Row],[EffectiveEndDate]]&gt;=Settings!$A$2),1,0)</f>
        <v>0</v>
      </c>
      <c r="AB492" s="46">
        <f ca="1">IF(AND(Table1[[#This Row],[SubscriptionStart]]&lt;=Settings!$B$2,Table1[[#This Row],[EffectiveEndDate]]&gt;=Settings!$B$2),1,0)</f>
        <v>0</v>
      </c>
      <c r="AC492" s="46">
        <f ca="1">IF(AND(Table1[[#This Row],[SubscriptionStart]]&lt;=Settings!$C$2,Table1[[#This Row],[EffectiveEndDate]]&gt;=Settings!$C$2),1,0)</f>
        <v>0</v>
      </c>
      <c r="AD492" s="46">
        <f ca="1">IF(AND(Table1[[#This Row],[SubscriptionStart]]&lt;=Settings!$D$2,Table1[[#This Row],[EffectiveEndDate]]&gt;=Settings!$D$2),1,0)</f>
        <v>1</v>
      </c>
      <c r="AE492" s="46">
        <f ca="1">IF(AND(Table1[[#This Row],[SubscriptionStart]]&lt;=Settings!$E$2,Table1[[#This Row],[EffectiveEndDate]]&gt;=Settings!$E$2),1,0)</f>
        <v>1</v>
      </c>
      <c r="AF492"/>
      <c r="AG492"/>
      <c r="AH492"/>
      <c r="AI492"/>
      <c r="AJ492"/>
      <c r="AK492"/>
    </row>
    <row r="493" spans="1:37">
      <c r="A493" s="3" t="s">
        <v>177</v>
      </c>
      <c r="B493" s="3">
        <v>63</v>
      </c>
      <c r="C493" s="3" t="s">
        <v>37</v>
      </c>
      <c r="D493" s="5">
        <v>45017</v>
      </c>
      <c r="F493" s="3">
        <f ca="1">TODAY() - Table1[[#This Row],[SubscriptionStart]]</f>
        <v>964</v>
      </c>
      <c r="G493" s="4">
        <v>36</v>
      </c>
      <c r="H493" s="3" t="s">
        <v>38</v>
      </c>
      <c r="I493" s="3" t="s">
        <v>30</v>
      </c>
      <c r="J493" s="7" cm="1">
        <f t="array" ref="J493">_xlfn.IFS(Table1[[#This Row],[Tier]]="Basic",10,Table1[[#This Row],[Tier]]="Standard",18,Table1[[#This Row],[Tier]]="Premium",25)</f>
        <v>10</v>
      </c>
      <c r="K493" s="7" cm="1">
        <f t="array" ref="K49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493" s="7" cm="1">
        <f t="array" ref="L49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261</v>
      </c>
      <c r="M493" s="3" t="str" cm="1">
        <f t="array" ref="M493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93" s="3" t="s">
        <v>31</v>
      </c>
      <c r="O493" s="3" t="s">
        <v>27</v>
      </c>
      <c r="Q493" s="3" t="str" cm="1">
        <f t="array" ref="Q493">_xlfn.IFS(Table1[[#This Row],[TotalRevenue]]&lt;100,"Low",Table1[[#This Row],[TotalRevenue]]&lt;300,"Medium",Table1[[#This Row],[TotalRevenue]]&lt;600,"High",TRUE,"Very High")</f>
        <v>Medium</v>
      </c>
      <c r="R493" s="3" t="str" cm="1">
        <f t="array" ref="R493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493" s="3" t="str">
        <f>IF(Table1[[#This Row],[NextBillingDate]]="","Cancelled",IF(Table1[[#This Row],[CancellationDate]]&lt;&gt;"","Cancelled","Active"))</f>
        <v>Active</v>
      </c>
      <c r="T493" s="7" cm="1">
        <f t="array" ref="T49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306</v>
      </c>
      <c r="V493" s="5">
        <v>46097</v>
      </c>
      <c r="W493" s="5">
        <v>46097</v>
      </c>
      <c r="X493" s="3">
        <v>5</v>
      </c>
      <c r="Y493" s="5">
        <f ca="1">IF(Table1[[#This Row],[ChurnStatus]]="Cancelled",Table1[[#This Row],[CancellationDate]],TODAY())</f>
        <v>45981</v>
      </c>
      <c r="Z493" s="46">
        <f ca="1">IF(AND(Table1[[#This Row],[SubscriptionStart]] &lt;= TODAY(), Table1[[#This Row],[EffectiveEndDate]] &gt;= TODAY()),1,0)</f>
        <v>1</v>
      </c>
      <c r="AA493" s="46">
        <f ca="1">IF(AND(Table1[[#This Row],[SubscriptionStart]]&lt;=Settings!$A$2,Table1[[#This Row],[EffectiveEndDate]]&gt;=Settings!$A$2),1,0)</f>
        <v>0</v>
      </c>
      <c r="AB493" s="46">
        <f ca="1">IF(AND(Table1[[#This Row],[SubscriptionStart]]&lt;=Settings!$B$2,Table1[[#This Row],[EffectiveEndDate]]&gt;=Settings!$B$2),1,0)</f>
        <v>0</v>
      </c>
      <c r="AC493" s="46">
        <f ca="1">IF(AND(Table1[[#This Row],[SubscriptionStart]]&lt;=Settings!$C$2,Table1[[#This Row],[EffectiveEndDate]]&gt;=Settings!$C$2),1,0)</f>
        <v>0</v>
      </c>
      <c r="AD493" s="46">
        <f ca="1">IF(AND(Table1[[#This Row],[SubscriptionStart]]&lt;=Settings!$D$2,Table1[[#This Row],[EffectiveEndDate]]&gt;=Settings!$D$2),1,0)</f>
        <v>1</v>
      </c>
      <c r="AE493" s="46">
        <f ca="1">IF(AND(Table1[[#This Row],[SubscriptionStart]]&lt;=Settings!$E$2,Table1[[#This Row],[EffectiveEndDate]]&gt;=Settings!$E$2),1,0)</f>
        <v>1</v>
      </c>
      <c r="AF493"/>
      <c r="AG493"/>
      <c r="AH493"/>
      <c r="AI493"/>
      <c r="AJ493"/>
      <c r="AK493"/>
    </row>
    <row r="494" spans="1:37">
      <c r="A494" s="3" t="s">
        <v>810</v>
      </c>
      <c r="B494" s="3">
        <v>63</v>
      </c>
      <c r="C494" s="3" t="s">
        <v>37</v>
      </c>
      <c r="D494" s="5">
        <v>45018</v>
      </c>
      <c r="F494" s="3">
        <f ca="1">TODAY() - Table1[[#This Row],[SubscriptionStart]]</f>
        <v>963</v>
      </c>
      <c r="G494" s="4">
        <v>36</v>
      </c>
      <c r="H494" s="3" t="s">
        <v>24</v>
      </c>
      <c r="I494" s="3" t="s">
        <v>39</v>
      </c>
      <c r="J494" s="7" cm="1">
        <f t="array" ref="J494">_xlfn.IFS(Table1[[#This Row],[Tier]]="Basic",10,Table1[[#This Row],[Tier]]="Standard",18,Table1[[#This Row],[Tier]]="Premium",25)</f>
        <v>18</v>
      </c>
      <c r="K494" s="7" cm="1">
        <f t="array" ref="K49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494" s="7" cm="1">
        <f t="array" ref="L49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417.6</v>
      </c>
      <c r="M494" s="3" t="str" cm="1">
        <f t="array" ref="M49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494" s="3" t="s">
        <v>34</v>
      </c>
      <c r="O494" s="3" t="s">
        <v>40</v>
      </c>
      <c r="Q494" s="3" t="str" cm="1">
        <f t="array" ref="Q494">_xlfn.IFS(Table1[[#This Row],[TotalRevenue]]&lt;100,"Low",Table1[[#This Row],[TotalRevenue]]&lt;300,"Medium",Table1[[#This Row],[TotalRevenue]]&lt;600,"High",TRUE,"Very High")</f>
        <v>High</v>
      </c>
      <c r="R494" s="3" t="str" cm="1">
        <f t="array" ref="R49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494" s="3" t="str">
        <f>IF(Table1[[#This Row],[NextBillingDate]]="","Cancelled",IF(Table1[[#This Row],[CancellationDate]]&lt;&gt;"","Cancelled","Active"))</f>
        <v>Active</v>
      </c>
      <c r="T494" s="7" cm="1">
        <f t="array" ref="T49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561.6</v>
      </c>
      <c r="V494" s="5">
        <v>46098</v>
      </c>
      <c r="W494" s="5">
        <v>46098</v>
      </c>
      <c r="X494" s="3">
        <v>2</v>
      </c>
      <c r="Y494" s="5">
        <f ca="1">IF(Table1[[#This Row],[ChurnStatus]]="Cancelled",Table1[[#This Row],[CancellationDate]],TODAY())</f>
        <v>45981</v>
      </c>
      <c r="Z494" s="46">
        <f ca="1">IF(AND(Table1[[#This Row],[SubscriptionStart]] &lt;= TODAY(), Table1[[#This Row],[EffectiveEndDate]] &gt;= TODAY()),1,0)</f>
        <v>1</v>
      </c>
      <c r="AA494" s="46">
        <f ca="1">IF(AND(Table1[[#This Row],[SubscriptionStart]]&lt;=Settings!$A$2,Table1[[#This Row],[EffectiveEndDate]]&gt;=Settings!$A$2),1,0)</f>
        <v>0</v>
      </c>
      <c r="AB494" s="46">
        <f ca="1">IF(AND(Table1[[#This Row],[SubscriptionStart]]&lt;=Settings!$B$2,Table1[[#This Row],[EffectiveEndDate]]&gt;=Settings!$B$2),1,0)</f>
        <v>0</v>
      </c>
      <c r="AC494" s="46">
        <f ca="1">IF(AND(Table1[[#This Row],[SubscriptionStart]]&lt;=Settings!$C$2,Table1[[#This Row],[EffectiveEndDate]]&gt;=Settings!$C$2),1,0)</f>
        <v>0</v>
      </c>
      <c r="AD494" s="46">
        <f ca="1">IF(AND(Table1[[#This Row],[SubscriptionStart]]&lt;=Settings!$D$2,Table1[[#This Row],[EffectiveEndDate]]&gt;=Settings!$D$2),1,0)</f>
        <v>1</v>
      </c>
      <c r="AE494" s="46">
        <f ca="1">IF(AND(Table1[[#This Row],[SubscriptionStart]]&lt;=Settings!$E$2,Table1[[#This Row],[EffectiveEndDate]]&gt;=Settings!$E$2),1,0)</f>
        <v>1</v>
      </c>
      <c r="AF494"/>
      <c r="AG494"/>
      <c r="AH494"/>
      <c r="AI494"/>
      <c r="AJ494"/>
      <c r="AK494"/>
    </row>
    <row r="495" spans="1:37">
      <c r="A495" s="3" t="s">
        <v>115</v>
      </c>
      <c r="B495" s="3">
        <v>40</v>
      </c>
      <c r="C495" s="3" t="s">
        <v>23</v>
      </c>
      <c r="D495" s="5">
        <v>45019</v>
      </c>
      <c r="E495" s="5">
        <v>45049</v>
      </c>
      <c r="F495" s="3">
        <f ca="1">TODAY() - Table1[[#This Row],[SubscriptionStart]]</f>
        <v>962</v>
      </c>
      <c r="G495" s="4">
        <v>1</v>
      </c>
      <c r="H495" s="3" t="s">
        <v>29</v>
      </c>
      <c r="I495" s="3" t="s">
        <v>25</v>
      </c>
      <c r="J495" s="7" cm="1">
        <f t="array" ref="J495">_xlfn.IFS(Table1[[#This Row],[Tier]]="Basic",10,Table1[[#This Row],[Tier]]="Standard",18,Table1[[#This Row],[Tier]]="Premium",25)</f>
        <v>25</v>
      </c>
      <c r="K495" s="7" cm="1">
        <f t="array" ref="K49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495" s="7" cm="1">
        <f t="array" ref="L49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95" s="3" t="str" cm="1">
        <f t="array" ref="M49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95" s="3" t="s">
        <v>26</v>
      </c>
      <c r="O495" s="3" t="s">
        <v>40</v>
      </c>
      <c r="P495" s="3" t="s">
        <v>41</v>
      </c>
      <c r="Q495" s="3" t="str" cm="1">
        <f t="array" ref="Q495">_xlfn.IFS(Table1[[#This Row],[TotalRevenue]]&lt;100,"Low",Table1[[#This Row],[TotalRevenue]]&lt;300,"Medium",Table1[[#This Row],[TotalRevenue]]&lt;600,"High",TRUE,"Very High")</f>
        <v>Low</v>
      </c>
      <c r="R495" s="3" t="str" cm="1">
        <f t="array" ref="R49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95" s="3" t="str">
        <f>IF(Table1[[#This Row],[NextBillingDate]]="","Cancelled",IF(Table1[[#This Row],[CancellationDate]]&lt;&gt;"","Cancelled","Active"))</f>
        <v>Cancelled</v>
      </c>
      <c r="T495" s="7" cm="1">
        <f t="array" ref="T49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95" s="5">
        <v>45049</v>
      </c>
      <c r="W495" s="5">
        <v>45049</v>
      </c>
      <c r="X495" s="3">
        <v>0</v>
      </c>
      <c r="Y495" s="5">
        <f ca="1">IF(Table1[[#This Row],[ChurnStatus]]="Cancelled",Table1[[#This Row],[CancellationDate]],TODAY())</f>
        <v>45049</v>
      </c>
      <c r="Z495" s="46">
        <f ca="1">IF(AND(Table1[[#This Row],[SubscriptionStart]] &lt;= TODAY(), Table1[[#This Row],[EffectiveEndDate]] &gt;= TODAY()),1,0)</f>
        <v>0</v>
      </c>
      <c r="AA495" s="46">
        <f ca="1">IF(AND(Table1[[#This Row],[SubscriptionStart]]&lt;=Settings!$A$2,Table1[[#This Row],[EffectiveEndDate]]&gt;=Settings!$A$2),1,0)</f>
        <v>0</v>
      </c>
      <c r="AB495" s="46">
        <f ca="1">IF(AND(Table1[[#This Row],[SubscriptionStart]]&lt;=Settings!$B$2,Table1[[#This Row],[EffectiveEndDate]]&gt;=Settings!$B$2),1,0)</f>
        <v>0</v>
      </c>
      <c r="AC495" s="46">
        <f ca="1">IF(AND(Table1[[#This Row],[SubscriptionStart]]&lt;=Settings!$C$2,Table1[[#This Row],[EffectiveEndDate]]&gt;=Settings!$C$2),1,0)</f>
        <v>0</v>
      </c>
      <c r="AD495" s="46">
        <f ca="1">IF(AND(Table1[[#This Row],[SubscriptionStart]]&lt;=Settings!$D$2,Table1[[#This Row],[EffectiveEndDate]]&gt;=Settings!$D$2),1,0)</f>
        <v>0</v>
      </c>
      <c r="AE495" s="46">
        <f ca="1">IF(AND(Table1[[#This Row],[SubscriptionStart]]&lt;=Settings!$E$2,Table1[[#This Row],[EffectiveEndDate]]&gt;=Settings!$E$2),1,0)</f>
        <v>0</v>
      </c>
      <c r="AF495"/>
      <c r="AG495"/>
      <c r="AH495"/>
      <c r="AI495"/>
      <c r="AJ495"/>
      <c r="AK495"/>
    </row>
    <row r="496" spans="1:37">
      <c r="A496" s="3" t="s">
        <v>273</v>
      </c>
      <c r="B496" s="3">
        <v>39</v>
      </c>
      <c r="C496" s="3" t="s">
        <v>23</v>
      </c>
      <c r="D496" s="5">
        <v>45019</v>
      </c>
      <c r="F496" s="3">
        <f ca="1">TODAY() - Table1[[#This Row],[SubscriptionStart]]</f>
        <v>962</v>
      </c>
      <c r="G496" s="4">
        <v>33</v>
      </c>
      <c r="H496" s="3" t="s">
        <v>29</v>
      </c>
      <c r="I496" s="3" t="s">
        <v>25</v>
      </c>
      <c r="J496" s="7" cm="1">
        <f t="array" ref="J496">_xlfn.IFS(Table1[[#This Row],[Tier]]="Basic",10,Table1[[#This Row],[Tier]]="Standard",18,Table1[[#This Row],[Tier]]="Premium",25)</f>
        <v>25</v>
      </c>
      <c r="K496" s="7" cm="1">
        <f t="array" ref="K49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496" s="7" cm="1">
        <f t="array" ref="L49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772.5</v>
      </c>
      <c r="M496" s="3" t="str" cm="1">
        <f t="array" ref="M49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96" s="3" t="s">
        <v>26</v>
      </c>
      <c r="O496" s="3" t="s">
        <v>27</v>
      </c>
      <c r="Q496" s="3" t="str" cm="1">
        <f t="array" ref="Q496">_xlfn.IFS(Table1[[#This Row],[TotalRevenue]]&lt;100,"Low",Table1[[#This Row],[TotalRevenue]]&lt;300,"Medium",Table1[[#This Row],[TotalRevenue]]&lt;600,"High",TRUE,"Very High")</f>
        <v>Very High</v>
      </c>
      <c r="R496" s="3" t="str" cm="1">
        <f t="array" ref="R49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96" s="3" t="str">
        <f>IF(Table1[[#This Row],[NextBillingDate]]="","Cancelled",IF(Table1[[#This Row],[CancellationDate]]&lt;&gt;"","Cancelled","Active"))</f>
        <v>Active</v>
      </c>
      <c r="T496" s="7" cm="1">
        <f t="array" ref="T49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797.5</v>
      </c>
      <c r="V496" s="5">
        <v>46009</v>
      </c>
      <c r="W496" s="5">
        <v>46009</v>
      </c>
      <c r="X496" s="3">
        <v>32</v>
      </c>
      <c r="Y496" s="5">
        <f ca="1">IF(Table1[[#This Row],[ChurnStatus]]="Cancelled",Table1[[#This Row],[CancellationDate]],TODAY())</f>
        <v>45981</v>
      </c>
      <c r="Z496" s="46">
        <f ca="1">IF(AND(Table1[[#This Row],[SubscriptionStart]] &lt;= TODAY(), Table1[[#This Row],[EffectiveEndDate]] &gt;= TODAY()),1,0)</f>
        <v>1</v>
      </c>
      <c r="AA496" s="46">
        <f ca="1">IF(AND(Table1[[#This Row],[SubscriptionStart]]&lt;=Settings!$A$2,Table1[[#This Row],[EffectiveEndDate]]&gt;=Settings!$A$2),1,0)</f>
        <v>0</v>
      </c>
      <c r="AB496" s="46">
        <f ca="1">IF(AND(Table1[[#This Row],[SubscriptionStart]]&lt;=Settings!$B$2,Table1[[#This Row],[EffectiveEndDate]]&gt;=Settings!$B$2),1,0)</f>
        <v>0</v>
      </c>
      <c r="AC496" s="46">
        <f ca="1">IF(AND(Table1[[#This Row],[SubscriptionStart]]&lt;=Settings!$C$2,Table1[[#This Row],[EffectiveEndDate]]&gt;=Settings!$C$2),1,0)</f>
        <v>0</v>
      </c>
      <c r="AD496" s="46">
        <f ca="1">IF(AND(Table1[[#This Row],[SubscriptionStart]]&lt;=Settings!$D$2,Table1[[#This Row],[EffectiveEndDate]]&gt;=Settings!$D$2),1,0)</f>
        <v>1</v>
      </c>
      <c r="AE496" s="46">
        <f ca="1">IF(AND(Table1[[#This Row],[SubscriptionStart]]&lt;=Settings!$E$2,Table1[[#This Row],[EffectiveEndDate]]&gt;=Settings!$E$2),1,0)</f>
        <v>1</v>
      </c>
      <c r="AF496"/>
      <c r="AG496"/>
      <c r="AH496"/>
      <c r="AI496"/>
      <c r="AJ496"/>
      <c r="AK496"/>
    </row>
    <row r="497" spans="1:37">
      <c r="A497" s="3" t="s">
        <v>220</v>
      </c>
      <c r="B497" s="3">
        <v>53</v>
      </c>
      <c r="C497" s="3" t="s">
        <v>37</v>
      </c>
      <c r="D497" s="5">
        <v>45021</v>
      </c>
      <c r="F497" s="3">
        <f ca="1">TODAY() - Table1[[#This Row],[SubscriptionStart]]</f>
        <v>960</v>
      </c>
      <c r="G497" s="4">
        <v>32</v>
      </c>
      <c r="H497" s="3" t="s">
        <v>29</v>
      </c>
      <c r="I497" s="3" t="s">
        <v>39</v>
      </c>
      <c r="J497" s="7" cm="1">
        <f t="array" ref="J497">_xlfn.IFS(Table1[[#This Row],[Tier]]="Basic",10,Table1[[#This Row],[Tier]]="Standard",18,Table1[[#This Row],[Tier]]="Premium",25)</f>
        <v>18</v>
      </c>
      <c r="K497" s="7" cm="1">
        <f t="array" ref="K49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497" s="7" cm="1">
        <f t="array" ref="L49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538.20000000000005</v>
      </c>
      <c r="M497" s="3" t="str" cm="1">
        <f t="array" ref="M49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497" s="3" t="s">
        <v>34</v>
      </c>
      <c r="O497" s="3" t="s">
        <v>49</v>
      </c>
      <c r="Q497" s="3" t="str" cm="1">
        <f t="array" ref="Q497">_xlfn.IFS(Table1[[#This Row],[TotalRevenue]]&lt;100,"Low",Table1[[#This Row],[TotalRevenue]]&lt;300,"Medium",Table1[[#This Row],[TotalRevenue]]&lt;600,"High",TRUE,"Very High")</f>
        <v>High</v>
      </c>
      <c r="R497" s="3" t="str" cm="1">
        <f t="array" ref="R49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97" s="3" t="str">
        <f>IF(Table1[[#This Row],[NextBillingDate]]="","Cancelled",IF(Table1[[#This Row],[CancellationDate]]&lt;&gt;"","Cancelled","Active"))</f>
        <v>Active</v>
      </c>
      <c r="T497" s="7" cm="1">
        <f t="array" ref="T49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556.20000000000005</v>
      </c>
      <c r="V497" s="5">
        <v>45981</v>
      </c>
      <c r="W497" s="5">
        <v>45981</v>
      </c>
      <c r="X497" s="3">
        <v>31</v>
      </c>
      <c r="Y497" s="5">
        <f ca="1">IF(Table1[[#This Row],[ChurnStatus]]="Cancelled",Table1[[#This Row],[CancellationDate]],TODAY())</f>
        <v>45981</v>
      </c>
      <c r="Z497" s="46">
        <f ca="1">IF(AND(Table1[[#This Row],[SubscriptionStart]] &lt;= TODAY(), Table1[[#This Row],[EffectiveEndDate]] &gt;= TODAY()),1,0)</f>
        <v>1</v>
      </c>
      <c r="AA497" s="46">
        <f ca="1">IF(AND(Table1[[#This Row],[SubscriptionStart]]&lt;=Settings!$A$2,Table1[[#This Row],[EffectiveEndDate]]&gt;=Settings!$A$2),1,0)</f>
        <v>0</v>
      </c>
      <c r="AB497" s="46">
        <f ca="1">IF(AND(Table1[[#This Row],[SubscriptionStart]]&lt;=Settings!$B$2,Table1[[#This Row],[EffectiveEndDate]]&gt;=Settings!$B$2),1,0)</f>
        <v>0</v>
      </c>
      <c r="AC497" s="46">
        <f ca="1">IF(AND(Table1[[#This Row],[SubscriptionStart]]&lt;=Settings!$C$2,Table1[[#This Row],[EffectiveEndDate]]&gt;=Settings!$C$2),1,0)</f>
        <v>0</v>
      </c>
      <c r="AD497" s="46">
        <f ca="1">IF(AND(Table1[[#This Row],[SubscriptionStart]]&lt;=Settings!$D$2,Table1[[#This Row],[EffectiveEndDate]]&gt;=Settings!$D$2),1,0)</f>
        <v>1</v>
      </c>
      <c r="AE497" s="46">
        <f ca="1">IF(AND(Table1[[#This Row],[SubscriptionStart]]&lt;=Settings!$E$2,Table1[[#This Row],[EffectiveEndDate]]&gt;=Settings!$E$2),1,0)</f>
        <v>1</v>
      </c>
      <c r="AF497"/>
      <c r="AG497"/>
      <c r="AH497"/>
      <c r="AI497"/>
      <c r="AJ497"/>
      <c r="AK497"/>
    </row>
    <row r="498" spans="1:37">
      <c r="A498" s="3" t="s">
        <v>127</v>
      </c>
      <c r="B498" s="3">
        <v>20</v>
      </c>
      <c r="C498" s="3" t="s">
        <v>37</v>
      </c>
      <c r="D498" s="5">
        <v>45022</v>
      </c>
      <c r="E498" s="5">
        <v>45052</v>
      </c>
      <c r="F498" s="3">
        <f ca="1">TODAY() - Table1[[#This Row],[SubscriptionStart]]</f>
        <v>959</v>
      </c>
      <c r="G498" s="4">
        <v>1</v>
      </c>
      <c r="H498" s="3" t="s">
        <v>29</v>
      </c>
      <c r="I498" s="3" t="s">
        <v>39</v>
      </c>
      <c r="J498" s="7" cm="1">
        <f t="array" ref="J498">_xlfn.IFS(Table1[[#This Row],[Tier]]="Basic",10,Table1[[#This Row],[Tier]]="Standard",18,Table1[[#This Row],[Tier]]="Premium",25)</f>
        <v>18</v>
      </c>
      <c r="K498" s="7" cm="1">
        <f t="array" ref="K49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498" s="7" cm="1">
        <f t="array" ref="L49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498" s="3" t="str" cm="1">
        <f t="array" ref="M498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498" s="3" t="s">
        <v>31</v>
      </c>
      <c r="O498" s="3" t="s">
        <v>27</v>
      </c>
      <c r="P498" s="3" t="s">
        <v>35</v>
      </c>
      <c r="Q498" s="3" t="str" cm="1">
        <f t="array" ref="Q498">_xlfn.IFS(Table1[[#This Row],[TotalRevenue]]&lt;100,"Low",Table1[[#This Row],[TotalRevenue]]&lt;300,"Medium",Table1[[#This Row],[TotalRevenue]]&lt;600,"High",TRUE,"Very High")</f>
        <v>Low</v>
      </c>
      <c r="R498" s="3" t="str" cm="1">
        <f t="array" ref="R498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498" s="3" t="str">
        <f>IF(Table1[[#This Row],[NextBillingDate]]="","Cancelled",IF(Table1[[#This Row],[CancellationDate]]&lt;&gt;"","Cancelled","Active"))</f>
        <v>Cancelled</v>
      </c>
      <c r="T498" s="7" cm="1">
        <f t="array" ref="T49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498" s="5">
        <v>45052</v>
      </c>
      <c r="W498" s="5">
        <v>45052</v>
      </c>
      <c r="X498" s="3">
        <v>0</v>
      </c>
      <c r="Y498" s="5">
        <f ca="1">IF(Table1[[#This Row],[ChurnStatus]]="Cancelled",Table1[[#This Row],[CancellationDate]],TODAY())</f>
        <v>45052</v>
      </c>
      <c r="Z498" s="46">
        <f ca="1">IF(AND(Table1[[#This Row],[SubscriptionStart]] &lt;= TODAY(), Table1[[#This Row],[EffectiveEndDate]] &gt;= TODAY()),1,0)</f>
        <v>0</v>
      </c>
      <c r="AA498" s="46">
        <f ca="1">IF(AND(Table1[[#This Row],[SubscriptionStart]]&lt;=Settings!$A$2,Table1[[#This Row],[EffectiveEndDate]]&gt;=Settings!$A$2),1,0)</f>
        <v>0</v>
      </c>
      <c r="AB498" s="46">
        <f ca="1">IF(AND(Table1[[#This Row],[SubscriptionStart]]&lt;=Settings!$B$2,Table1[[#This Row],[EffectiveEndDate]]&gt;=Settings!$B$2),1,0)</f>
        <v>0</v>
      </c>
      <c r="AC498" s="46">
        <f ca="1">IF(AND(Table1[[#This Row],[SubscriptionStart]]&lt;=Settings!$C$2,Table1[[#This Row],[EffectiveEndDate]]&gt;=Settings!$C$2),1,0)</f>
        <v>0</v>
      </c>
      <c r="AD498" s="46">
        <f ca="1">IF(AND(Table1[[#This Row],[SubscriptionStart]]&lt;=Settings!$D$2,Table1[[#This Row],[EffectiveEndDate]]&gt;=Settings!$D$2),1,0)</f>
        <v>0</v>
      </c>
      <c r="AE498" s="46">
        <f ca="1">IF(AND(Table1[[#This Row],[SubscriptionStart]]&lt;=Settings!$E$2,Table1[[#This Row],[EffectiveEndDate]]&gt;=Settings!$E$2),1,0)</f>
        <v>0</v>
      </c>
      <c r="AF498"/>
      <c r="AG498"/>
      <c r="AH498"/>
      <c r="AI498"/>
      <c r="AJ498"/>
      <c r="AK498"/>
    </row>
    <row r="499" spans="1:37">
      <c r="A499" s="3" t="s">
        <v>495</v>
      </c>
      <c r="B499" s="3">
        <v>40</v>
      </c>
      <c r="C499" s="3" t="s">
        <v>23</v>
      </c>
      <c r="D499" s="5">
        <v>45022</v>
      </c>
      <c r="E499" s="5">
        <v>45202</v>
      </c>
      <c r="F499" s="3">
        <f ca="1">TODAY() - Table1[[#This Row],[SubscriptionStart]]</f>
        <v>959</v>
      </c>
      <c r="G499" s="4">
        <v>6</v>
      </c>
      <c r="H499" s="3" t="s">
        <v>38</v>
      </c>
      <c r="I499" s="3" t="s">
        <v>25</v>
      </c>
      <c r="J499" s="7" cm="1">
        <f t="array" ref="J499">_xlfn.IFS(Table1[[#This Row],[Tier]]="Basic",10,Table1[[#This Row],[Tier]]="Standard",18,Table1[[#This Row],[Tier]]="Premium",25)</f>
        <v>25</v>
      </c>
      <c r="K499" s="7" cm="1">
        <f t="array" ref="K49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499" s="7" cm="1">
        <f t="array" ref="L49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499" s="3" t="str" cm="1">
        <f t="array" ref="M49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499" s="3" t="s">
        <v>31</v>
      </c>
      <c r="O499" s="3" t="s">
        <v>27</v>
      </c>
      <c r="P499" s="3" t="s">
        <v>35</v>
      </c>
      <c r="Q499" s="3" t="str" cm="1">
        <f t="array" ref="Q499">_xlfn.IFS(Table1[[#This Row],[TotalRevenue]]&lt;100,"Low",Table1[[#This Row],[TotalRevenue]]&lt;300,"Medium",Table1[[#This Row],[TotalRevenue]]&lt;600,"High",TRUE,"Very High")</f>
        <v>Medium</v>
      </c>
      <c r="R499" s="3" t="str" cm="1">
        <f t="array" ref="R49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499" s="3" t="str">
        <f>IF(Table1[[#This Row],[NextBillingDate]]="","Cancelled",IF(Table1[[#This Row],[CancellationDate]]&lt;&gt;"","Cancelled","Active"))</f>
        <v>Cancelled</v>
      </c>
      <c r="T499" s="7" cm="1">
        <f t="array" ref="T49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499" s="5">
        <v>45202</v>
      </c>
      <c r="W499" s="5">
        <v>45202</v>
      </c>
      <c r="X499" s="3">
        <v>0</v>
      </c>
      <c r="Y499" s="5">
        <f ca="1">IF(Table1[[#This Row],[ChurnStatus]]="Cancelled",Table1[[#This Row],[CancellationDate]],TODAY())</f>
        <v>45202</v>
      </c>
      <c r="Z499" s="46">
        <f ca="1">IF(AND(Table1[[#This Row],[SubscriptionStart]] &lt;= TODAY(), Table1[[#This Row],[EffectiveEndDate]] &gt;= TODAY()),1,0)</f>
        <v>0</v>
      </c>
      <c r="AA499" s="46">
        <f ca="1">IF(AND(Table1[[#This Row],[SubscriptionStart]]&lt;=Settings!$A$2,Table1[[#This Row],[EffectiveEndDate]]&gt;=Settings!$A$2),1,0)</f>
        <v>0</v>
      </c>
      <c r="AB499" s="46">
        <f ca="1">IF(AND(Table1[[#This Row],[SubscriptionStart]]&lt;=Settings!$B$2,Table1[[#This Row],[EffectiveEndDate]]&gt;=Settings!$B$2),1,0)</f>
        <v>0</v>
      </c>
      <c r="AC499" s="46">
        <f ca="1">IF(AND(Table1[[#This Row],[SubscriptionStart]]&lt;=Settings!$C$2,Table1[[#This Row],[EffectiveEndDate]]&gt;=Settings!$C$2),1,0)</f>
        <v>0</v>
      </c>
      <c r="AD499" s="46">
        <f ca="1">IF(AND(Table1[[#This Row],[SubscriptionStart]]&lt;=Settings!$D$2,Table1[[#This Row],[EffectiveEndDate]]&gt;=Settings!$D$2),1,0)</f>
        <v>1</v>
      </c>
      <c r="AE499" s="46">
        <f ca="1">IF(AND(Table1[[#This Row],[SubscriptionStart]]&lt;=Settings!$E$2,Table1[[#This Row],[EffectiveEndDate]]&gt;=Settings!$E$2),1,0)</f>
        <v>0</v>
      </c>
      <c r="AF499"/>
      <c r="AG499"/>
      <c r="AH499"/>
      <c r="AI499"/>
      <c r="AJ499"/>
      <c r="AK499"/>
    </row>
    <row r="500" spans="1:37">
      <c r="A500" s="3" t="s">
        <v>230</v>
      </c>
      <c r="B500" s="3">
        <v>39</v>
      </c>
      <c r="C500" s="3" t="s">
        <v>37</v>
      </c>
      <c r="D500" s="5">
        <v>45022</v>
      </c>
      <c r="E500" s="5">
        <v>45382</v>
      </c>
      <c r="F500" s="3">
        <f ca="1">TODAY() - Table1[[#This Row],[SubscriptionStart]]</f>
        <v>959</v>
      </c>
      <c r="G500" s="4">
        <v>12</v>
      </c>
      <c r="H500" s="3" t="s">
        <v>24</v>
      </c>
      <c r="I500" s="3" t="s">
        <v>39</v>
      </c>
      <c r="J500" s="7" cm="1">
        <f t="array" ref="J500">_xlfn.IFS(Table1[[#This Row],[Tier]]="Basic",10,Table1[[#This Row],[Tier]]="Standard",18,Table1[[#This Row],[Tier]]="Premium",25)</f>
        <v>18</v>
      </c>
      <c r="K500" s="7" cm="1">
        <f t="array" ref="K50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500" s="7" cm="1">
        <f t="array" ref="L50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500" s="3" t="str" cm="1">
        <f t="array" ref="M50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00" s="3" t="s">
        <v>26</v>
      </c>
      <c r="O500" s="3" t="s">
        <v>32</v>
      </c>
      <c r="P500" s="3" t="s">
        <v>44</v>
      </c>
      <c r="Q500" s="3" t="str" cm="1">
        <f t="array" ref="Q500">_xlfn.IFS(Table1[[#This Row],[TotalRevenue]]&lt;100,"Low",Table1[[#This Row],[TotalRevenue]]&lt;300,"Medium",Table1[[#This Row],[TotalRevenue]]&lt;600,"High",TRUE,"Very High")</f>
        <v>Medium</v>
      </c>
      <c r="R500" s="3" t="str" cm="1">
        <f t="array" ref="R50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00" s="3" t="str">
        <f>IF(Table1[[#This Row],[NextBillingDate]]="","Cancelled",IF(Table1[[#This Row],[CancellationDate]]&lt;&gt;"","Cancelled","Active"))</f>
        <v>Cancelled</v>
      </c>
      <c r="T500" s="7" cm="1">
        <f t="array" ref="T50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500" s="5">
        <v>45382</v>
      </c>
      <c r="W500" s="5">
        <v>45382</v>
      </c>
      <c r="X500" s="3">
        <v>0</v>
      </c>
      <c r="Y500" s="5">
        <f ca="1">IF(Table1[[#This Row],[ChurnStatus]]="Cancelled",Table1[[#This Row],[CancellationDate]],TODAY())</f>
        <v>45382</v>
      </c>
      <c r="Z500" s="46">
        <f ca="1">IF(AND(Table1[[#This Row],[SubscriptionStart]] &lt;= TODAY(), Table1[[#This Row],[EffectiveEndDate]] &gt;= TODAY()),1,0)</f>
        <v>0</v>
      </c>
      <c r="AA500" s="46">
        <f ca="1">IF(AND(Table1[[#This Row],[SubscriptionStart]]&lt;=Settings!$A$2,Table1[[#This Row],[EffectiveEndDate]]&gt;=Settings!$A$2),1,0)</f>
        <v>0</v>
      </c>
      <c r="AB500" s="46">
        <f ca="1">IF(AND(Table1[[#This Row],[SubscriptionStart]]&lt;=Settings!$B$2,Table1[[#This Row],[EffectiveEndDate]]&gt;=Settings!$B$2),1,0)</f>
        <v>0</v>
      </c>
      <c r="AC500" s="46">
        <f ca="1">IF(AND(Table1[[#This Row],[SubscriptionStart]]&lt;=Settings!$C$2,Table1[[#This Row],[EffectiveEndDate]]&gt;=Settings!$C$2),1,0)</f>
        <v>0</v>
      </c>
      <c r="AD500" s="46">
        <f ca="1">IF(AND(Table1[[#This Row],[SubscriptionStart]]&lt;=Settings!$D$2,Table1[[#This Row],[EffectiveEndDate]]&gt;=Settings!$D$2),1,0)</f>
        <v>1</v>
      </c>
      <c r="AE500" s="46">
        <f ca="1">IF(AND(Table1[[#This Row],[SubscriptionStart]]&lt;=Settings!$E$2,Table1[[#This Row],[EffectiveEndDate]]&gt;=Settings!$E$2),1,0)</f>
        <v>0</v>
      </c>
      <c r="AF500"/>
      <c r="AG500"/>
      <c r="AH500"/>
      <c r="AI500"/>
      <c r="AJ500"/>
      <c r="AK500"/>
    </row>
    <row r="501" spans="1:37">
      <c r="A501" s="3" t="s">
        <v>436</v>
      </c>
      <c r="B501" s="3">
        <v>32</v>
      </c>
      <c r="C501" s="3" t="s">
        <v>37</v>
      </c>
      <c r="D501" s="5">
        <v>45022</v>
      </c>
      <c r="E501" s="5">
        <v>45382</v>
      </c>
      <c r="F501" s="3">
        <f ca="1">TODAY() - Table1[[#This Row],[SubscriptionStart]]</f>
        <v>959</v>
      </c>
      <c r="G501" s="4">
        <v>12</v>
      </c>
      <c r="H501" s="3" t="s">
        <v>24</v>
      </c>
      <c r="I501" s="3" t="s">
        <v>30</v>
      </c>
      <c r="J501" s="7" cm="1">
        <f t="array" ref="J501">_xlfn.IFS(Table1[[#This Row],[Tier]]="Basic",10,Table1[[#This Row],[Tier]]="Standard",18,Table1[[#This Row],[Tier]]="Premium",25)</f>
        <v>10</v>
      </c>
      <c r="K501" s="7" cm="1">
        <f t="array" ref="K50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01" s="7" cm="1">
        <f t="array" ref="L50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01" s="3" t="str" cm="1">
        <f t="array" ref="M50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01" s="3" t="s">
        <v>34</v>
      </c>
      <c r="O501" s="3" t="s">
        <v>49</v>
      </c>
      <c r="P501" s="3" t="s">
        <v>50</v>
      </c>
      <c r="Q501" s="3" t="str" cm="1">
        <f t="array" ref="Q501">_xlfn.IFS(Table1[[#This Row],[TotalRevenue]]&lt;100,"Low",Table1[[#This Row],[TotalRevenue]]&lt;300,"Medium",Table1[[#This Row],[TotalRevenue]]&lt;600,"High",TRUE,"Very High")</f>
        <v>Low</v>
      </c>
      <c r="R501" s="3" t="str" cm="1">
        <f t="array" ref="R50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01" s="3" t="str">
        <f>IF(Table1[[#This Row],[NextBillingDate]]="","Cancelled",IF(Table1[[#This Row],[CancellationDate]]&lt;&gt;"","Cancelled","Active"))</f>
        <v>Cancelled</v>
      </c>
      <c r="T501" s="7" cm="1">
        <f t="array" ref="T50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01" s="5">
        <v>45382</v>
      </c>
      <c r="W501" s="5">
        <v>45382</v>
      </c>
      <c r="X501" s="3">
        <v>0</v>
      </c>
      <c r="Y501" s="5">
        <f ca="1">IF(Table1[[#This Row],[ChurnStatus]]="Cancelled",Table1[[#This Row],[CancellationDate]],TODAY())</f>
        <v>45382</v>
      </c>
      <c r="Z501" s="46">
        <f ca="1">IF(AND(Table1[[#This Row],[SubscriptionStart]] &lt;= TODAY(), Table1[[#This Row],[EffectiveEndDate]] &gt;= TODAY()),1,0)</f>
        <v>0</v>
      </c>
      <c r="AA501" s="46">
        <f ca="1">IF(AND(Table1[[#This Row],[SubscriptionStart]]&lt;=Settings!$A$2,Table1[[#This Row],[EffectiveEndDate]]&gt;=Settings!$A$2),1,0)</f>
        <v>0</v>
      </c>
      <c r="AB501" s="46">
        <f ca="1">IF(AND(Table1[[#This Row],[SubscriptionStart]]&lt;=Settings!$B$2,Table1[[#This Row],[EffectiveEndDate]]&gt;=Settings!$B$2),1,0)</f>
        <v>0</v>
      </c>
      <c r="AC501" s="46">
        <f ca="1">IF(AND(Table1[[#This Row],[SubscriptionStart]]&lt;=Settings!$C$2,Table1[[#This Row],[EffectiveEndDate]]&gt;=Settings!$C$2),1,0)</f>
        <v>0</v>
      </c>
      <c r="AD501" s="46">
        <f ca="1">IF(AND(Table1[[#This Row],[SubscriptionStart]]&lt;=Settings!$D$2,Table1[[#This Row],[EffectiveEndDate]]&gt;=Settings!$D$2),1,0)</f>
        <v>1</v>
      </c>
      <c r="AE501" s="46">
        <f ca="1">IF(AND(Table1[[#This Row],[SubscriptionStart]]&lt;=Settings!$E$2,Table1[[#This Row],[EffectiveEndDate]]&gt;=Settings!$E$2),1,0)</f>
        <v>0</v>
      </c>
      <c r="AF501"/>
      <c r="AG501"/>
      <c r="AH501"/>
      <c r="AI501"/>
      <c r="AJ501"/>
      <c r="AK501"/>
    </row>
    <row r="502" spans="1:37">
      <c r="A502" s="3" t="s">
        <v>465</v>
      </c>
      <c r="B502" s="3">
        <v>22</v>
      </c>
      <c r="C502" s="3" t="s">
        <v>37</v>
      </c>
      <c r="D502" s="5">
        <v>45023</v>
      </c>
      <c r="E502" s="5">
        <v>45053</v>
      </c>
      <c r="F502" s="3">
        <f ca="1">TODAY() - Table1[[#This Row],[SubscriptionStart]]</f>
        <v>958</v>
      </c>
      <c r="G502" s="4">
        <v>1</v>
      </c>
      <c r="H502" s="3" t="s">
        <v>29</v>
      </c>
      <c r="I502" s="3" t="s">
        <v>30</v>
      </c>
      <c r="J502" s="7" cm="1">
        <f t="array" ref="J502">_xlfn.IFS(Table1[[#This Row],[Tier]]="Basic",10,Table1[[#This Row],[Tier]]="Standard",18,Table1[[#This Row],[Tier]]="Premium",25)</f>
        <v>10</v>
      </c>
      <c r="K502" s="7" cm="1">
        <f t="array" ref="K50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502" s="7" cm="1">
        <f t="array" ref="L50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502" s="3" t="str" cm="1">
        <f t="array" ref="M502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02" s="3" t="s">
        <v>34</v>
      </c>
      <c r="O502" s="3" t="s">
        <v>49</v>
      </c>
      <c r="P502" s="3" t="s">
        <v>35</v>
      </c>
      <c r="Q502" s="3" t="str" cm="1">
        <f t="array" ref="Q502">_xlfn.IFS(Table1[[#This Row],[TotalRevenue]]&lt;100,"Low",Table1[[#This Row],[TotalRevenue]]&lt;300,"Medium",Table1[[#This Row],[TotalRevenue]]&lt;600,"High",TRUE,"Very High")</f>
        <v>Low</v>
      </c>
      <c r="R502" s="3" t="str" cm="1">
        <f t="array" ref="R502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02" s="3" t="str">
        <f>IF(Table1[[#This Row],[NextBillingDate]]="","Cancelled",IF(Table1[[#This Row],[CancellationDate]]&lt;&gt;"","Cancelled","Active"))</f>
        <v>Cancelled</v>
      </c>
      <c r="T502" s="7" cm="1">
        <f t="array" ref="T50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502" s="5">
        <v>45053</v>
      </c>
      <c r="W502" s="5">
        <v>45053</v>
      </c>
      <c r="X502" s="3">
        <v>0</v>
      </c>
      <c r="Y502" s="5">
        <f ca="1">IF(Table1[[#This Row],[ChurnStatus]]="Cancelled",Table1[[#This Row],[CancellationDate]],TODAY())</f>
        <v>45053</v>
      </c>
      <c r="Z502" s="46">
        <f ca="1">IF(AND(Table1[[#This Row],[SubscriptionStart]] &lt;= TODAY(), Table1[[#This Row],[EffectiveEndDate]] &gt;= TODAY()),1,0)</f>
        <v>0</v>
      </c>
      <c r="AA502" s="46">
        <f ca="1">IF(AND(Table1[[#This Row],[SubscriptionStart]]&lt;=Settings!$A$2,Table1[[#This Row],[EffectiveEndDate]]&gt;=Settings!$A$2),1,0)</f>
        <v>0</v>
      </c>
      <c r="AB502" s="46">
        <f ca="1">IF(AND(Table1[[#This Row],[SubscriptionStart]]&lt;=Settings!$B$2,Table1[[#This Row],[EffectiveEndDate]]&gt;=Settings!$B$2),1,0)</f>
        <v>0</v>
      </c>
      <c r="AC502" s="46">
        <f ca="1">IF(AND(Table1[[#This Row],[SubscriptionStart]]&lt;=Settings!$C$2,Table1[[#This Row],[EffectiveEndDate]]&gt;=Settings!$C$2),1,0)</f>
        <v>0</v>
      </c>
      <c r="AD502" s="46">
        <f ca="1">IF(AND(Table1[[#This Row],[SubscriptionStart]]&lt;=Settings!$D$2,Table1[[#This Row],[EffectiveEndDate]]&gt;=Settings!$D$2),1,0)</f>
        <v>0</v>
      </c>
      <c r="AE502" s="46">
        <f ca="1">IF(AND(Table1[[#This Row],[SubscriptionStart]]&lt;=Settings!$E$2,Table1[[#This Row],[EffectiveEndDate]]&gt;=Settings!$E$2),1,0)</f>
        <v>0</v>
      </c>
      <c r="AF502"/>
      <c r="AG502"/>
      <c r="AH502"/>
      <c r="AI502"/>
      <c r="AJ502"/>
      <c r="AK502"/>
    </row>
    <row r="503" spans="1:37">
      <c r="A503" s="3" t="s">
        <v>86</v>
      </c>
      <c r="B503" s="3">
        <v>54</v>
      </c>
      <c r="C503" s="3" t="s">
        <v>37</v>
      </c>
      <c r="D503" s="5">
        <v>45024</v>
      </c>
      <c r="E503" s="5">
        <v>45384</v>
      </c>
      <c r="F503" s="3">
        <f ca="1">TODAY() - Table1[[#This Row],[SubscriptionStart]]</f>
        <v>957</v>
      </c>
      <c r="G503" s="4">
        <v>12</v>
      </c>
      <c r="H503" s="3" t="s">
        <v>24</v>
      </c>
      <c r="I503" s="3" t="s">
        <v>30</v>
      </c>
      <c r="J503" s="7" cm="1">
        <f t="array" ref="J503">_xlfn.IFS(Table1[[#This Row],[Tier]]="Basic",10,Table1[[#This Row],[Tier]]="Standard",18,Table1[[#This Row],[Tier]]="Premium",25)</f>
        <v>10</v>
      </c>
      <c r="K503" s="7" cm="1">
        <f t="array" ref="K50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03" s="7" cm="1">
        <f t="array" ref="L50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03" s="3" t="str" cm="1">
        <f t="array" ref="M50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03" s="3" t="s">
        <v>52</v>
      </c>
      <c r="O503" s="3" t="s">
        <v>27</v>
      </c>
      <c r="P503" s="3" t="s">
        <v>50</v>
      </c>
      <c r="Q503" s="3" t="str" cm="1">
        <f t="array" ref="Q503">_xlfn.IFS(Table1[[#This Row],[TotalRevenue]]&lt;100,"Low",Table1[[#This Row],[TotalRevenue]]&lt;300,"Medium",Table1[[#This Row],[TotalRevenue]]&lt;600,"High",TRUE,"Very High")</f>
        <v>Low</v>
      </c>
      <c r="R503" s="3" t="str" cm="1">
        <f t="array" ref="R50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03" s="3" t="str">
        <f>IF(Table1[[#This Row],[NextBillingDate]]="","Cancelled",IF(Table1[[#This Row],[CancellationDate]]&lt;&gt;"","Cancelled","Active"))</f>
        <v>Cancelled</v>
      </c>
      <c r="T503" s="7" cm="1">
        <f t="array" ref="T50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03" s="5">
        <v>45384</v>
      </c>
      <c r="W503" s="5">
        <v>45384</v>
      </c>
      <c r="X503" s="3">
        <v>0</v>
      </c>
      <c r="Y503" s="5">
        <f ca="1">IF(Table1[[#This Row],[ChurnStatus]]="Cancelled",Table1[[#This Row],[CancellationDate]],TODAY())</f>
        <v>45384</v>
      </c>
      <c r="Z503" s="46">
        <f ca="1">IF(AND(Table1[[#This Row],[SubscriptionStart]] &lt;= TODAY(), Table1[[#This Row],[EffectiveEndDate]] &gt;= TODAY()),1,0)</f>
        <v>0</v>
      </c>
      <c r="AA503" s="46">
        <f ca="1">IF(AND(Table1[[#This Row],[SubscriptionStart]]&lt;=Settings!$A$2,Table1[[#This Row],[EffectiveEndDate]]&gt;=Settings!$A$2),1,0)</f>
        <v>0</v>
      </c>
      <c r="AB503" s="46">
        <f ca="1">IF(AND(Table1[[#This Row],[SubscriptionStart]]&lt;=Settings!$B$2,Table1[[#This Row],[EffectiveEndDate]]&gt;=Settings!$B$2),1,0)</f>
        <v>0</v>
      </c>
      <c r="AC503" s="46">
        <f ca="1">IF(AND(Table1[[#This Row],[SubscriptionStart]]&lt;=Settings!$C$2,Table1[[#This Row],[EffectiveEndDate]]&gt;=Settings!$C$2),1,0)</f>
        <v>0</v>
      </c>
      <c r="AD503" s="46">
        <f ca="1">IF(AND(Table1[[#This Row],[SubscriptionStart]]&lt;=Settings!$D$2,Table1[[#This Row],[EffectiveEndDate]]&gt;=Settings!$D$2),1,0)</f>
        <v>1</v>
      </c>
      <c r="AE503" s="46">
        <f ca="1">IF(AND(Table1[[#This Row],[SubscriptionStart]]&lt;=Settings!$E$2,Table1[[#This Row],[EffectiveEndDate]]&gt;=Settings!$E$2),1,0)</f>
        <v>0</v>
      </c>
      <c r="AF503"/>
      <c r="AG503"/>
      <c r="AH503"/>
      <c r="AI503"/>
      <c r="AJ503"/>
      <c r="AK503"/>
    </row>
    <row r="504" spans="1:37">
      <c r="A504" s="3" t="s">
        <v>470</v>
      </c>
      <c r="B504" s="3">
        <v>35</v>
      </c>
      <c r="C504" s="3" t="s">
        <v>37</v>
      </c>
      <c r="D504" s="5">
        <v>45025</v>
      </c>
      <c r="E504" s="5">
        <v>45205</v>
      </c>
      <c r="F504" s="3">
        <f ca="1">TODAY() - Table1[[#This Row],[SubscriptionStart]]</f>
        <v>956</v>
      </c>
      <c r="G504" s="4">
        <v>6</v>
      </c>
      <c r="H504" s="3" t="s">
        <v>38</v>
      </c>
      <c r="I504" s="3" t="s">
        <v>30</v>
      </c>
      <c r="J504" s="7" cm="1">
        <f t="array" ref="J504">_xlfn.IFS(Table1[[#This Row],[Tier]]="Basic",10,Table1[[#This Row],[Tier]]="Standard",18,Table1[[#This Row],[Tier]]="Premium",25)</f>
        <v>10</v>
      </c>
      <c r="K504" s="7" cm="1">
        <f t="array" ref="K50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504" s="7" cm="1">
        <f t="array" ref="L50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504" s="3" t="str" cm="1">
        <f t="array" ref="M50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04" s="3" t="s">
        <v>52</v>
      </c>
      <c r="O504" s="3" t="s">
        <v>43</v>
      </c>
      <c r="P504" s="3" t="s">
        <v>35</v>
      </c>
      <c r="Q504" s="3" t="str" cm="1">
        <f t="array" ref="Q504">_xlfn.IFS(Table1[[#This Row],[TotalRevenue]]&lt;100,"Low",Table1[[#This Row],[TotalRevenue]]&lt;300,"Medium",Table1[[#This Row],[TotalRevenue]]&lt;600,"High",TRUE,"Very High")</f>
        <v>Low</v>
      </c>
      <c r="R504" s="3" t="str" cm="1">
        <f t="array" ref="R50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04" s="3" t="str">
        <f>IF(Table1[[#This Row],[NextBillingDate]]="","Cancelled",IF(Table1[[#This Row],[CancellationDate]]&lt;&gt;"","Cancelled","Active"))</f>
        <v>Cancelled</v>
      </c>
      <c r="T504" s="7" cm="1">
        <f t="array" ref="T50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504" s="5">
        <v>45205</v>
      </c>
      <c r="W504" s="5">
        <v>45205</v>
      </c>
      <c r="X504" s="3">
        <v>0</v>
      </c>
      <c r="Y504" s="5">
        <f ca="1">IF(Table1[[#This Row],[ChurnStatus]]="Cancelled",Table1[[#This Row],[CancellationDate]],TODAY())</f>
        <v>45205</v>
      </c>
      <c r="Z504" s="46">
        <f ca="1">IF(AND(Table1[[#This Row],[SubscriptionStart]] &lt;= TODAY(), Table1[[#This Row],[EffectiveEndDate]] &gt;= TODAY()),1,0)</f>
        <v>0</v>
      </c>
      <c r="AA504" s="46">
        <f ca="1">IF(AND(Table1[[#This Row],[SubscriptionStart]]&lt;=Settings!$A$2,Table1[[#This Row],[EffectiveEndDate]]&gt;=Settings!$A$2),1,0)</f>
        <v>0</v>
      </c>
      <c r="AB504" s="46">
        <f ca="1">IF(AND(Table1[[#This Row],[SubscriptionStart]]&lt;=Settings!$B$2,Table1[[#This Row],[EffectiveEndDate]]&gt;=Settings!$B$2),1,0)</f>
        <v>0</v>
      </c>
      <c r="AC504" s="46">
        <f ca="1">IF(AND(Table1[[#This Row],[SubscriptionStart]]&lt;=Settings!$C$2,Table1[[#This Row],[EffectiveEndDate]]&gt;=Settings!$C$2),1,0)</f>
        <v>0</v>
      </c>
      <c r="AD504" s="46">
        <f ca="1">IF(AND(Table1[[#This Row],[SubscriptionStart]]&lt;=Settings!$D$2,Table1[[#This Row],[EffectiveEndDate]]&gt;=Settings!$D$2),1,0)</f>
        <v>1</v>
      </c>
      <c r="AE504" s="46">
        <f ca="1">IF(AND(Table1[[#This Row],[SubscriptionStart]]&lt;=Settings!$E$2,Table1[[#This Row],[EffectiveEndDate]]&gt;=Settings!$E$2),1,0)</f>
        <v>0</v>
      </c>
      <c r="AF504"/>
      <c r="AG504"/>
      <c r="AH504"/>
      <c r="AI504"/>
      <c r="AJ504"/>
      <c r="AK504"/>
    </row>
    <row r="505" spans="1:37">
      <c r="A505" s="3" t="s">
        <v>256</v>
      </c>
      <c r="B505" s="3">
        <v>19</v>
      </c>
      <c r="C505" s="3" t="s">
        <v>37</v>
      </c>
      <c r="D505" s="5">
        <v>45026</v>
      </c>
      <c r="E505" s="5">
        <v>45206</v>
      </c>
      <c r="F505" s="3">
        <f ca="1">TODAY() - Table1[[#This Row],[SubscriptionStart]]</f>
        <v>955</v>
      </c>
      <c r="G505" s="4">
        <v>6</v>
      </c>
      <c r="H505" s="3" t="s">
        <v>38</v>
      </c>
      <c r="I505" s="3" t="s">
        <v>25</v>
      </c>
      <c r="J505" s="7" cm="1">
        <f t="array" ref="J505">_xlfn.IFS(Table1[[#This Row],[Tier]]="Basic",10,Table1[[#This Row],[Tier]]="Standard",18,Table1[[#This Row],[Tier]]="Premium",25)</f>
        <v>25</v>
      </c>
      <c r="K505" s="7" cm="1">
        <f t="array" ref="K50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505" s="7" cm="1">
        <f t="array" ref="L50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505" s="3" t="str" cm="1">
        <f t="array" ref="M505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05" s="3" t="s">
        <v>31</v>
      </c>
      <c r="O505" s="3" t="s">
        <v>43</v>
      </c>
      <c r="P505" s="3" t="s">
        <v>50</v>
      </c>
      <c r="Q505" s="3" t="str" cm="1">
        <f t="array" ref="Q505">_xlfn.IFS(Table1[[#This Row],[TotalRevenue]]&lt;100,"Low",Table1[[#This Row],[TotalRevenue]]&lt;300,"Medium",Table1[[#This Row],[TotalRevenue]]&lt;600,"High",TRUE,"Very High")</f>
        <v>Medium</v>
      </c>
      <c r="R505" s="3" t="str" cm="1">
        <f t="array" ref="R505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05" s="3" t="str">
        <f>IF(Table1[[#This Row],[NextBillingDate]]="","Cancelled",IF(Table1[[#This Row],[CancellationDate]]&lt;&gt;"","Cancelled","Active"))</f>
        <v>Cancelled</v>
      </c>
      <c r="T505" s="7" cm="1">
        <f t="array" ref="T50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505" s="5">
        <v>45206</v>
      </c>
      <c r="W505" s="5">
        <v>45206</v>
      </c>
      <c r="X505" s="3">
        <v>0</v>
      </c>
      <c r="Y505" s="5">
        <f ca="1">IF(Table1[[#This Row],[ChurnStatus]]="Cancelled",Table1[[#This Row],[CancellationDate]],TODAY())</f>
        <v>45206</v>
      </c>
      <c r="Z505" s="46">
        <f ca="1">IF(AND(Table1[[#This Row],[SubscriptionStart]] &lt;= TODAY(), Table1[[#This Row],[EffectiveEndDate]] &gt;= TODAY()),1,0)</f>
        <v>0</v>
      </c>
      <c r="AA505" s="46">
        <f ca="1">IF(AND(Table1[[#This Row],[SubscriptionStart]]&lt;=Settings!$A$2,Table1[[#This Row],[EffectiveEndDate]]&gt;=Settings!$A$2),1,0)</f>
        <v>0</v>
      </c>
      <c r="AB505" s="46">
        <f ca="1">IF(AND(Table1[[#This Row],[SubscriptionStart]]&lt;=Settings!$B$2,Table1[[#This Row],[EffectiveEndDate]]&gt;=Settings!$B$2),1,0)</f>
        <v>0</v>
      </c>
      <c r="AC505" s="46">
        <f ca="1">IF(AND(Table1[[#This Row],[SubscriptionStart]]&lt;=Settings!$C$2,Table1[[#This Row],[EffectiveEndDate]]&gt;=Settings!$C$2),1,0)</f>
        <v>0</v>
      </c>
      <c r="AD505" s="46">
        <f ca="1">IF(AND(Table1[[#This Row],[SubscriptionStart]]&lt;=Settings!$D$2,Table1[[#This Row],[EffectiveEndDate]]&gt;=Settings!$D$2),1,0)</f>
        <v>1</v>
      </c>
      <c r="AE505" s="46">
        <f ca="1">IF(AND(Table1[[#This Row],[SubscriptionStart]]&lt;=Settings!$E$2,Table1[[#This Row],[EffectiveEndDate]]&gt;=Settings!$E$2),1,0)</f>
        <v>0</v>
      </c>
      <c r="AF505"/>
      <c r="AG505"/>
      <c r="AH505"/>
      <c r="AI505"/>
      <c r="AJ505"/>
      <c r="AK505"/>
    </row>
    <row r="506" spans="1:37">
      <c r="A506" s="3" t="s">
        <v>516</v>
      </c>
      <c r="B506" s="3">
        <v>55</v>
      </c>
      <c r="C506" s="3" t="s">
        <v>37</v>
      </c>
      <c r="D506" s="5">
        <v>45026</v>
      </c>
      <c r="E506" s="5">
        <v>45386</v>
      </c>
      <c r="F506" s="3">
        <f ca="1">TODAY() - Table1[[#This Row],[SubscriptionStart]]</f>
        <v>955</v>
      </c>
      <c r="G506" s="4">
        <v>12</v>
      </c>
      <c r="H506" s="3" t="s">
        <v>24</v>
      </c>
      <c r="I506" s="3" t="s">
        <v>30</v>
      </c>
      <c r="J506" s="7" cm="1">
        <f t="array" ref="J506">_xlfn.IFS(Table1[[#This Row],[Tier]]="Basic",10,Table1[[#This Row],[Tier]]="Standard",18,Table1[[#This Row],[Tier]]="Premium",25)</f>
        <v>10</v>
      </c>
      <c r="K506" s="7" cm="1">
        <f t="array" ref="K50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06" s="7" cm="1">
        <f t="array" ref="L50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06" s="3" t="str" cm="1">
        <f t="array" ref="M506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06" s="3" t="s">
        <v>31</v>
      </c>
      <c r="O506" s="3" t="s">
        <v>49</v>
      </c>
      <c r="P506" s="3" t="s">
        <v>41</v>
      </c>
      <c r="Q506" s="3" t="str" cm="1">
        <f t="array" ref="Q506">_xlfn.IFS(Table1[[#This Row],[TotalRevenue]]&lt;100,"Low",Table1[[#This Row],[TotalRevenue]]&lt;300,"Medium",Table1[[#This Row],[TotalRevenue]]&lt;600,"High",TRUE,"Very High")</f>
        <v>Low</v>
      </c>
      <c r="R506" s="3" t="str" cm="1">
        <f t="array" ref="R50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06" s="3" t="str">
        <f>IF(Table1[[#This Row],[NextBillingDate]]="","Cancelled",IF(Table1[[#This Row],[CancellationDate]]&lt;&gt;"","Cancelled","Active"))</f>
        <v>Cancelled</v>
      </c>
      <c r="T506" s="7" cm="1">
        <f t="array" ref="T50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06" s="5">
        <v>45386</v>
      </c>
      <c r="W506" s="5">
        <v>45386</v>
      </c>
      <c r="X506" s="3">
        <v>0</v>
      </c>
      <c r="Y506" s="5">
        <f ca="1">IF(Table1[[#This Row],[ChurnStatus]]="Cancelled",Table1[[#This Row],[CancellationDate]],TODAY())</f>
        <v>45386</v>
      </c>
      <c r="Z506" s="46">
        <f ca="1">IF(AND(Table1[[#This Row],[SubscriptionStart]] &lt;= TODAY(), Table1[[#This Row],[EffectiveEndDate]] &gt;= TODAY()),1,0)</f>
        <v>0</v>
      </c>
      <c r="AA506" s="46">
        <f ca="1">IF(AND(Table1[[#This Row],[SubscriptionStart]]&lt;=Settings!$A$2,Table1[[#This Row],[EffectiveEndDate]]&gt;=Settings!$A$2),1,0)</f>
        <v>0</v>
      </c>
      <c r="AB506" s="46">
        <f ca="1">IF(AND(Table1[[#This Row],[SubscriptionStart]]&lt;=Settings!$B$2,Table1[[#This Row],[EffectiveEndDate]]&gt;=Settings!$B$2),1,0)</f>
        <v>0</v>
      </c>
      <c r="AC506" s="46">
        <f ca="1">IF(AND(Table1[[#This Row],[SubscriptionStart]]&lt;=Settings!$C$2,Table1[[#This Row],[EffectiveEndDate]]&gt;=Settings!$C$2),1,0)</f>
        <v>0</v>
      </c>
      <c r="AD506" s="46">
        <f ca="1">IF(AND(Table1[[#This Row],[SubscriptionStart]]&lt;=Settings!$D$2,Table1[[#This Row],[EffectiveEndDate]]&gt;=Settings!$D$2),1,0)</f>
        <v>1</v>
      </c>
      <c r="AE506" s="46">
        <f ca="1">IF(AND(Table1[[#This Row],[SubscriptionStart]]&lt;=Settings!$E$2,Table1[[#This Row],[EffectiveEndDate]]&gt;=Settings!$E$2),1,0)</f>
        <v>0</v>
      </c>
      <c r="AF506"/>
      <c r="AG506"/>
      <c r="AH506"/>
      <c r="AI506"/>
      <c r="AJ506"/>
      <c r="AK506"/>
    </row>
    <row r="507" spans="1:37">
      <c r="A507" s="3" t="s">
        <v>80</v>
      </c>
      <c r="B507" s="3">
        <v>22</v>
      </c>
      <c r="C507" s="3" t="s">
        <v>37</v>
      </c>
      <c r="D507" s="5">
        <v>45027</v>
      </c>
      <c r="E507" s="5">
        <v>45387</v>
      </c>
      <c r="F507" s="3">
        <f ca="1">TODAY() - Table1[[#This Row],[SubscriptionStart]]</f>
        <v>954</v>
      </c>
      <c r="G507" s="4">
        <v>12</v>
      </c>
      <c r="H507" s="3" t="s">
        <v>24</v>
      </c>
      <c r="I507" s="3" t="s">
        <v>30</v>
      </c>
      <c r="J507" s="7" cm="1">
        <f t="array" ref="J507">_xlfn.IFS(Table1[[#This Row],[Tier]]="Basic",10,Table1[[#This Row],[Tier]]="Standard",18,Table1[[#This Row],[Tier]]="Premium",25)</f>
        <v>10</v>
      </c>
      <c r="K507" s="7" cm="1">
        <f t="array" ref="K50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07" s="7" cm="1">
        <f t="array" ref="L50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07" s="3" t="str" cm="1">
        <f t="array" ref="M507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07" s="3" t="s">
        <v>31</v>
      </c>
      <c r="O507" s="3" t="s">
        <v>49</v>
      </c>
      <c r="P507" s="3" t="s">
        <v>41</v>
      </c>
      <c r="Q507" s="3" t="str" cm="1">
        <f t="array" ref="Q507">_xlfn.IFS(Table1[[#This Row],[TotalRevenue]]&lt;100,"Low",Table1[[#This Row],[TotalRevenue]]&lt;300,"Medium",Table1[[#This Row],[TotalRevenue]]&lt;600,"High",TRUE,"Very High")</f>
        <v>Low</v>
      </c>
      <c r="R507" s="3" t="str" cm="1">
        <f t="array" ref="R507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07" s="3" t="str">
        <f>IF(Table1[[#This Row],[NextBillingDate]]="","Cancelled",IF(Table1[[#This Row],[CancellationDate]]&lt;&gt;"","Cancelled","Active"))</f>
        <v>Cancelled</v>
      </c>
      <c r="T507" s="7" cm="1">
        <f t="array" ref="T50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07" s="5">
        <v>45387</v>
      </c>
      <c r="W507" s="5">
        <v>45387</v>
      </c>
      <c r="X507" s="3">
        <v>0</v>
      </c>
      <c r="Y507" s="5">
        <f ca="1">IF(Table1[[#This Row],[ChurnStatus]]="Cancelled",Table1[[#This Row],[CancellationDate]],TODAY())</f>
        <v>45387</v>
      </c>
      <c r="Z507" s="46">
        <f ca="1">IF(AND(Table1[[#This Row],[SubscriptionStart]] &lt;= TODAY(), Table1[[#This Row],[EffectiveEndDate]] &gt;= TODAY()),1,0)</f>
        <v>0</v>
      </c>
      <c r="AA507" s="46">
        <f ca="1">IF(AND(Table1[[#This Row],[SubscriptionStart]]&lt;=Settings!$A$2,Table1[[#This Row],[EffectiveEndDate]]&gt;=Settings!$A$2),1,0)</f>
        <v>0</v>
      </c>
      <c r="AB507" s="46">
        <f ca="1">IF(AND(Table1[[#This Row],[SubscriptionStart]]&lt;=Settings!$B$2,Table1[[#This Row],[EffectiveEndDate]]&gt;=Settings!$B$2),1,0)</f>
        <v>0</v>
      </c>
      <c r="AC507" s="46">
        <f ca="1">IF(AND(Table1[[#This Row],[SubscriptionStart]]&lt;=Settings!$C$2,Table1[[#This Row],[EffectiveEndDate]]&gt;=Settings!$C$2),1,0)</f>
        <v>0</v>
      </c>
      <c r="AD507" s="46">
        <f ca="1">IF(AND(Table1[[#This Row],[SubscriptionStart]]&lt;=Settings!$D$2,Table1[[#This Row],[EffectiveEndDate]]&gt;=Settings!$D$2),1,0)</f>
        <v>1</v>
      </c>
      <c r="AE507" s="46">
        <f ca="1">IF(AND(Table1[[#This Row],[SubscriptionStart]]&lt;=Settings!$E$2,Table1[[#This Row],[EffectiveEndDate]]&gt;=Settings!$E$2),1,0)</f>
        <v>0</v>
      </c>
      <c r="AF507"/>
      <c r="AG507"/>
      <c r="AH507"/>
      <c r="AI507"/>
      <c r="AJ507"/>
      <c r="AK507"/>
    </row>
    <row r="508" spans="1:37">
      <c r="A508" s="3" t="s">
        <v>375</v>
      </c>
      <c r="B508" s="3">
        <v>73</v>
      </c>
      <c r="C508" s="3" t="s">
        <v>37</v>
      </c>
      <c r="D508" s="5">
        <v>45027</v>
      </c>
      <c r="E508" s="5">
        <v>45387</v>
      </c>
      <c r="F508" s="3">
        <f ca="1">TODAY() - Table1[[#This Row],[SubscriptionStart]]</f>
        <v>954</v>
      </c>
      <c r="G508" s="4">
        <v>12</v>
      </c>
      <c r="H508" s="3" t="s">
        <v>24</v>
      </c>
      <c r="I508" s="3" t="s">
        <v>30</v>
      </c>
      <c r="J508" s="7" cm="1">
        <f t="array" ref="J508">_xlfn.IFS(Table1[[#This Row],[Tier]]="Basic",10,Table1[[#This Row],[Tier]]="Standard",18,Table1[[#This Row],[Tier]]="Premium",25)</f>
        <v>10</v>
      </c>
      <c r="K508" s="7" cm="1">
        <f t="array" ref="K50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08" s="7" cm="1">
        <f t="array" ref="L50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08" s="3" t="str" cm="1">
        <f t="array" ref="M508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508" s="3" t="s">
        <v>26</v>
      </c>
      <c r="O508" s="3" t="s">
        <v>43</v>
      </c>
      <c r="P508" s="3" t="s">
        <v>47</v>
      </c>
      <c r="Q508" s="3" t="str" cm="1">
        <f t="array" ref="Q508">_xlfn.IFS(Table1[[#This Row],[TotalRevenue]]&lt;100,"Low",Table1[[#This Row],[TotalRevenue]]&lt;300,"Medium",Table1[[#This Row],[TotalRevenue]]&lt;600,"High",TRUE,"Very High")</f>
        <v>Low</v>
      </c>
      <c r="R508" s="3" t="str" cm="1">
        <f t="array" ref="R508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508" s="3" t="str">
        <f>IF(Table1[[#This Row],[NextBillingDate]]="","Cancelled",IF(Table1[[#This Row],[CancellationDate]]&lt;&gt;"","Cancelled","Active"))</f>
        <v>Cancelled</v>
      </c>
      <c r="T508" s="7" cm="1">
        <f t="array" ref="T50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08" s="5">
        <v>45387</v>
      </c>
      <c r="W508" s="5">
        <v>45387</v>
      </c>
      <c r="X508" s="3">
        <v>0</v>
      </c>
      <c r="Y508" s="5">
        <f ca="1">IF(Table1[[#This Row],[ChurnStatus]]="Cancelled",Table1[[#This Row],[CancellationDate]],TODAY())</f>
        <v>45387</v>
      </c>
      <c r="Z508" s="46">
        <f ca="1">IF(AND(Table1[[#This Row],[SubscriptionStart]] &lt;= TODAY(), Table1[[#This Row],[EffectiveEndDate]] &gt;= TODAY()),1,0)</f>
        <v>0</v>
      </c>
      <c r="AA508" s="46">
        <f ca="1">IF(AND(Table1[[#This Row],[SubscriptionStart]]&lt;=Settings!$A$2,Table1[[#This Row],[EffectiveEndDate]]&gt;=Settings!$A$2),1,0)</f>
        <v>0</v>
      </c>
      <c r="AB508" s="46">
        <f ca="1">IF(AND(Table1[[#This Row],[SubscriptionStart]]&lt;=Settings!$B$2,Table1[[#This Row],[EffectiveEndDate]]&gt;=Settings!$B$2),1,0)</f>
        <v>0</v>
      </c>
      <c r="AC508" s="46">
        <f ca="1">IF(AND(Table1[[#This Row],[SubscriptionStart]]&lt;=Settings!$C$2,Table1[[#This Row],[EffectiveEndDate]]&gt;=Settings!$C$2),1,0)</f>
        <v>0</v>
      </c>
      <c r="AD508" s="46">
        <f ca="1">IF(AND(Table1[[#This Row],[SubscriptionStart]]&lt;=Settings!$D$2,Table1[[#This Row],[EffectiveEndDate]]&gt;=Settings!$D$2),1,0)</f>
        <v>1</v>
      </c>
      <c r="AE508" s="46">
        <f ca="1">IF(AND(Table1[[#This Row],[SubscriptionStart]]&lt;=Settings!$E$2,Table1[[#This Row],[EffectiveEndDate]]&gt;=Settings!$E$2),1,0)</f>
        <v>0</v>
      </c>
      <c r="AF508"/>
      <c r="AG508"/>
      <c r="AH508"/>
      <c r="AI508"/>
      <c r="AJ508"/>
      <c r="AK508"/>
    </row>
    <row r="509" spans="1:37">
      <c r="A509" s="3" t="s">
        <v>612</v>
      </c>
      <c r="B509" s="3">
        <v>66</v>
      </c>
      <c r="C509" s="3" t="s">
        <v>37</v>
      </c>
      <c r="D509" s="5">
        <v>45029</v>
      </c>
      <c r="E509" s="5">
        <v>45389</v>
      </c>
      <c r="F509" s="3">
        <f ca="1">TODAY() - Table1[[#This Row],[SubscriptionStart]]</f>
        <v>952</v>
      </c>
      <c r="G509" s="4">
        <v>12</v>
      </c>
      <c r="H509" s="3" t="s">
        <v>24</v>
      </c>
      <c r="I509" s="3" t="s">
        <v>25</v>
      </c>
      <c r="J509" s="7" cm="1">
        <f t="array" ref="J509">_xlfn.IFS(Table1[[#This Row],[Tier]]="Basic",10,Table1[[#This Row],[Tier]]="Standard",18,Table1[[#This Row],[Tier]]="Premium",25)</f>
        <v>25</v>
      </c>
      <c r="K509" s="7" cm="1">
        <f t="array" ref="K50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09" s="7" cm="1">
        <f t="array" ref="L50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09" s="3" t="str" cm="1">
        <f t="array" ref="M50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509" s="3" t="s">
        <v>34</v>
      </c>
      <c r="O509" s="3" t="s">
        <v>43</v>
      </c>
      <c r="P509" s="3" t="s">
        <v>35</v>
      </c>
      <c r="Q509" s="3" t="str" cm="1">
        <f t="array" ref="Q509">_xlfn.IFS(Table1[[#This Row],[TotalRevenue]]&lt;100,"Low",Table1[[#This Row],[TotalRevenue]]&lt;300,"Medium",Table1[[#This Row],[TotalRevenue]]&lt;600,"High",TRUE,"Very High")</f>
        <v>Medium</v>
      </c>
      <c r="R509" s="3" t="str" cm="1">
        <f t="array" ref="R50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509" s="3" t="str">
        <f>IF(Table1[[#This Row],[NextBillingDate]]="","Cancelled",IF(Table1[[#This Row],[CancellationDate]]&lt;&gt;"","Cancelled","Active"))</f>
        <v>Cancelled</v>
      </c>
      <c r="T509" s="7" cm="1">
        <f t="array" ref="T50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09" s="5">
        <v>45389</v>
      </c>
      <c r="W509" s="5">
        <v>45389</v>
      </c>
      <c r="X509" s="3">
        <v>0</v>
      </c>
      <c r="Y509" s="5">
        <f ca="1">IF(Table1[[#This Row],[ChurnStatus]]="Cancelled",Table1[[#This Row],[CancellationDate]],TODAY())</f>
        <v>45389</v>
      </c>
      <c r="Z509" s="46">
        <f ca="1">IF(AND(Table1[[#This Row],[SubscriptionStart]] &lt;= TODAY(), Table1[[#This Row],[EffectiveEndDate]] &gt;= TODAY()),1,0)</f>
        <v>0</v>
      </c>
      <c r="AA509" s="46">
        <f ca="1">IF(AND(Table1[[#This Row],[SubscriptionStart]]&lt;=Settings!$A$2,Table1[[#This Row],[EffectiveEndDate]]&gt;=Settings!$A$2),1,0)</f>
        <v>0</v>
      </c>
      <c r="AB509" s="46">
        <f ca="1">IF(AND(Table1[[#This Row],[SubscriptionStart]]&lt;=Settings!$B$2,Table1[[#This Row],[EffectiveEndDate]]&gt;=Settings!$B$2),1,0)</f>
        <v>0</v>
      </c>
      <c r="AC509" s="46">
        <f ca="1">IF(AND(Table1[[#This Row],[SubscriptionStart]]&lt;=Settings!$C$2,Table1[[#This Row],[EffectiveEndDate]]&gt;=Settings!$C$2),1,0)</f>
        <v>0</v>
      </c>
      <c r="AD509" s="46">
        <f ca="1">IF(AND(Table1[[#This Row],[SubscriptionStart]]&lt;=Settings!$D$2,Table1[[#This Row],[EffectiveEndDate]]&gt;=Settings!$D$2),1,0)</f>
        <v>1</v>
      </c>
      <c r="AE509" s="46">
        <f ca="1">IF(AND(Table1[[#This Row],[SubscriptionStart]]&lt;=Settings!$E$2,Table1[[#This Row],[EffectiveEndDate]]&gt;=Settings!$E$2),1,0)</f>
        <v>0</v>
      </c>
      <c r="AF509"/>
      <c r="AG509"/>
      <c r="AH509"/>
      <c r="AI509"/>
      <c r="AJ509"/>
      <c r="AK509"/>
    </row>
    <row r="510" spans="1:37">
      <c r="A510" s="3" t="s">
        <v>145</v>
      </c>
      <c r="B510" s="3">
        <v>55</v>
      </c>
      <c r="C510" s="3" t="s">
        <v>37</v>
      </c>
      <c r="D510" s="5">
        <v>45030</v>
      </c>
      <c r="E510" s="5">
        <v>45390</v>
      </c>
      <c r="F510" s="3">
        <f ca="1">TODAY() - Table1[[#This Row],[SubscriptionStart]]</f>
        <v>951</v>
      </c>
      <c r="G510" s="4">
        <v>12</v>
      </c>
      <c r="H510" s="3" t="s">
        <v>24</v>
      </c>
      <c r="I510" s="3" t="s">
        <v>25</v>
      </c>
      <c r="J510" s="7" cm="1">
        <f t="array" ref="J510">_xlfn.IFS(Table1[[#This Row],[Tier]]="Basic",10,Table1[[#This Row],[Tier]]="Standard",18,Table1[[#This Row],[Tier]]="Premium",25)</f>
        <v>25</v>
      </c>
      <c r="K510" s="7" cm="1">
        <f t="array" ref="K51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10" s="7" cm="1">
        <f t="array" ref="L51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10" s="3" t="str" cm="1">
        <f t="array" ref="M51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10" s="3" t="s">
        <v>31</v>
      </c>
      <c r="O510" s="3" t="s">
        <v>27</v>
      </c>
      <c r="P510" s="3" t="s">
        <v>44</v>
      </c>
      <c r="Q510" s="3" t="str" cm="1">
        <f t="array" ref="Q510">_xlfn.IFS(Table1[[#This Row],[TotalRevenue]]&lt;100,"Low",Table1[[#This Row],[TotalRevenue]]&lt;300,"Medium",Table1[[#This Row],[TotalRevenue]]&lt;600,"High",TRUE,"Very High")</f>
        <v>Medium</v>
      </c>
      <c r="R510" s="3" t="str" cm="1">
        <f t="array" ref="R51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10" s="3" t="str">
        <f>IF(Table1[[#This Row],[NextBillingDate]]="","Cancelled",IF(Table1[[#This Row],[CancellationDate]]&lt;&gt;"","Cancelled","Active"))</f>
        <v>Cancelled</v>
      </c>
      <c r="T510" s="7" cm="1">
        <f t="array" ref="T51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10" s="5">
        <v>45390</v>
      </c>
      <c r="W510" s="5">
        <v>45390</v>
      </c>
      <c r="X510" s="3">
        <v>0</v>
      </c>
      <c r="Y510" s="5">
        <f ca="1">IF(Table1[[#This Row],[ChurnStatus]]="Cancelled",Table1[[#This Row],[CancellationDate]],TODAY())</f>
        <v>45390</v>
      </c>
      <c r="Z510" s="46">
        <f ca="1">IF(AND(Table1[[#This Row],[SubscriptionStart]] &lt;= TODAY(), Table1[[#This Row],[EffectiveEndDate]] &gt;= TODAY()),1,0)</f>
        <v>0</v>
      </c>
      <c r="AA510" s="46">
        <f ca="1">IF(AND(Table1[[#This Row],[SubscriptionStart]]&lt;=Settings!$A$2,Table1[[#This Row],[EffectiveEndDate]]&gt;=Settings!$A$2),1,0)</f>
        <v>0</v>
      </c>
      <c r="AB510" s="46">
        <f ca="1">IF(AND(Table1[[#This Row],[SubscriptionStart]]&lt;=Settings!$B$2,Table1[[#This Row],[EffectiveEndDate]]&gt;=Settings!$B$2),1,0)</f>
        <v>0</v>
      </c>
      <c r="AC510" s="46">
        <f ca="1">IF(AND(Table1[[#This Row],[SubscriptionStart]]&lt;=Settings!$C$2,Table1[[#This Row],[EffectiveEndDate]]&gt;=Settings!$C$2),1,0)</f>
        <v>0</v>
      </c>
      <c r="AD510" s="46">
        <f ca="1">IF(AND(Table1[[#This Row],[SubscriptionStart]]&lt;=Settings!$D$2,Table1[[#This Row],[EffectiveEndDate]]&gt;=Settings!$D$2),1,0)</f>
        <v>1</v>
      </c>
      <c r="AE510" s="46">
        <f ca="1">IF(AND(Table1[[#This Row],[SubscriptionStart]]&lt;=Settings!$E$2,Table1[[#This Row],[EffectiveEndDate]]&gt;=Settings!$E$2),1,0)</f>
        <v>0</v>
      </c>
      <c r="AF510"/>
      <c r="AG510"/>
      <c r="AH510"/>
      <c r="AI510"/>
      <c r="AJ510"/>
      <c r="AK510"/>
    </row>
    <row r="511" spans="1:37">
      <c r="A511" s="3" t="s">
        <v>28</v>
      </c>
      <c r="B511" s="3">
        <v>53</v>
      </c>
      <c r="C511" s="3" t="s">
        <v>23</v>
      </c>
      <c r="D511" s="5">
        <v>45032</v>
      </c>
      <c r="F511" s="3">
        <f ca="1">TODAY() - Table1[[#This Row],[SubscriptionStart]]</f>
        <v>949</v>
      </c>
      <c r="G511" s="4">
        <v>32</v>
      </c>
      <c r="H511" s="3" t="s">
        <v>29</v>
      </c>
      <c r="I511" s="3" t="s">
        <v>30</v>
      </c>
      <c r="J511" s="7" cm="1">
        <f t="array" ref="J511">_xlfn.IFS(Table1[[#This Row],[Tier]]="Basic",10,Table1[[#This Row],[Tier]]="Standard",18,Table1[[#This Row],[Tier]]="Premium",25)</f>
        <v>10</v>
      </c>
      <c r="K511" s="7" cm="1">
        <f t="array" ref="K51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511" s="7" cm="1">
        <f t="array" ref="L51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299</v>
      </c>
      <c r="M511" s="3" t="str" cm="1">
        <f t="array" ref="M511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11" s="3" t="s">
        <v>31</v>
      </c>
      <c r="O511" s="3" t="s">
        <v>32</v>
      </c>
      <c r="Q511" s="3" t="str" cm="1">
        <f t="array" ref="Q511">_xlfn.IFS(Table1[[#This Row],[TotalRevenue]]&lt;100,"Low",Table1[[#This Row],[TotalRevenue]]&lt;300,"Medium",Table1[[#This Row],[TotalRevenue]]&lt;600,"High",TRUE,"Very High")</f>
        <v>Medium</v>
      </c>
      <c r="R511" s="3" t="str" cm="1">
        <f t="array" ref="R51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11" s="3" t="str">
        <f>IF(Table1[[#This Row],[NextBillingDate]]="","Cancelled",IF(Table1[[#This Row],[CancellationDate]]&lt;&gt;"","Cancelled","Active"))</f>
        <v>Active</v>
      </c>
      <c r="T511" s="7" cm="1">
        <f t="array" ref="T51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309</v>
      </c>
      <c r="V511" s="5">
        <v>45992</v>
      </c>
      <c r="W511" s="5">
        <v>45992</v>
      </c>
      <c r="X511" s="3">
        <v>31</v>
      </c>
      <c r="Y511" s="5">
        <f ca="1">IF(Table1[[#This Row],[ChurnStatus]]="Cancelled",Table1[[#This Row],[CancellationDate]],TODAY())</f>
        <v>45981</v>
      </c>
      <c r="Z511" s="46">
        <f ca="1">IF(AND(Table1[[#This Row],[SubscriptionStart]] &lt;= TODAY(), Table1[[#This Row],[EffectiveEndDate]] &gt;= TODAY()),1,0)</f>
        <v>1</v>
      </c>
      <c r="AA511" s="46">
        <f ca="1">IF(AND(Table1[[#This Row],[SubscriptionStart]]&lt;=Settings!$A$2,Table1[[#This Row],[EffectiveEndDate]]&gt;=Settings!$A$2),1,0)</f>
        <v>0</v>
      </c>
      <c r="AB511" s="46">
        <f ca="1">IF(AND(Table1[[#This Row],[SubscriptionStart]]&lt;=Settings!$B$2,Table1[[#This Row],[EffectiveEndDate]]&gt;=Settings!$B$2),1,0)</f>
        <v>0</v>
      </c>
      <c r="AC511" s="46">
        <f ca="1">IF(AND(Table1[[#This Row],[SubscriptionStart]]&lt;=Settings!$C$2,Table1[[#This Row],[EffectiveEndDate]]&gt;=Settings!$C$2),1,0)</f>
        <v>0</v>
      </c>
      <c r="AD511" s="46">
        <f ca="1">IF(AND(Table1[[#This Row],[SubscriptionStart]]&lt;=Settings!$D$2,Table1[[#This Row],[EffectiveEndDate]]&gt;=Settings!$D$2),1,0)</f>
        <v>1</v>
      </c>
      <c r="AE511" s="46">
        <f ca="1">IF(AND(Table1[[#This Row],[SubscriptionStart]]&lt;=Settings!$E$2,Table1[[#This Row],[EffectiveEndDate]]&gt;=Settings!$E$2),1,0)</f>
        <v>1</v>
      </c>
      <c r="AF511"/>
      <c r="AG511"/>
      <c r="AH511"/>
      <c r="AI511"/>
      <c r="AJ511"/>
      <c r="AK511"/>
    </row>
    <row r="512" spans="1:37">
      <c r="A512" s="3" t="s">
        <v>253</v>
      </c>
      <c r="B512" s="3">
        <v>41</v>
      </c>
      <c r="C512" s="3" t="s">
        <v>23</v>
      </c>
      <c r="D512" s="5">
        <v>45034</v>
      </c>
      <c r="E512" s="5">
        <v>45064</v>
      </c>
      <c r="F512" s="3">
        <f ca="1">TODAY() - Table1[[#This Row],[SubscriptionStart]]</f>
        <v>947</v>
      </c>
      <c r="G512" s="4">
        <v>1</v>
      </c>
      <c r="H512" s="3" t="s">
        <v>29</v>
      </c>
      <c r="I512" s="3" t="s">
        <v>25</v>
      </c>
      <c r="J512" s="7" cm="1">
        <f t="array" ref="J512">_xlfn.IFS(Table1[[#This Row],[Tier]]="Basic",10,Table1[[#This Row],[Tier]]="Standard",18,Table1[[#This Row],[Tier]]="Premium",25)</f>
        <v>25</v>
      </c>
      <c r="K512" s="7" cm="1">
        <f t="array" ref="K51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512" s="7" cm="1">
        <f t="array" ref="L51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512" s="3" t="str" cm="1">
        <f t="array" ref="M51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12" s="3" t="s">
        <v>26</v>
      </c>
      <c r="O512" s="3" t="s">
        <v>40</v>
      </c>
      <c r="P512" s="3" t="s">
        <v>35</v>
      </c>
      <c r="Q512" s="3" t="str" cm="1">
        <f t="array" ref="Q512">_xlfn.IFS(Table1[[#This Row],[TotalRevenue]]&lt;100,"Low",Table1[[#This Row],[TotalRevenue]]&lt;300,"Medium",Table1[[#This Row],[TotalRevenue]]&lt;600,"High",TRUE,"Very High")</f>
        <v>Low</v>
      </c>
      <c r="R512" s="3" t="str" cm="1">
        <f t="array" ref="R51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12" s="3" t="str">
        <f>IF(Table1[[#This Row],[NextBillingDate]]="","Cancelled",IF(Table1[[#This Row],[CancellationDate]]&lt;&gt;"","Cancelled","Active"))</f>
        <v>Cancelled</v>
      </c>
      <c r="T512" s="7" cm="1">
        <f t="array" ref="T51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512" s="5">
        <v>45064</v>
      </c>
      <c r="W512" s="5">
        <v>45064</v>
      </c>
      <c r="X512" s="3">
        <v>0</v>
      </c>
      <c r="Y512" s="5">
        <f ca="1">IF(Table1[[#This Row],[ChurnStatus]]="Cancelled",Table1[[#This Row],[CancellationDate]],TODAY())</f>
        <v>45064</v>
      </c>
      <c r="Z512" s="46">
        <f ca="1">IF(AND(Table1[[#This Row],[SubscriptionStart]] &lt;= TODAY(), Table1[[#This Row],[EffectiveEndDate]] &gt;= TODAY()),1,0)</f>
        <v>0</v>
      </c>
      <c r="AA512" s="46">
        <f ca="1">IF(AND(Table1[[#This Row],[SubscriptionStart]]&lt;=Settings!$A$2,Table1[[#This Row],[EffectiveEndDate]]&gt;=Settings!$A$2),1,0)</f>
        <v>0</v>
      </c>
      <c r="AB512" s="46">
        <f ca="1">IF(AND(Table1[[#This Row],[SubscriptionStart]]&lt;=Settings!$B$2,Table1[[#This Row],[EffectiveEndDate]]&gt;=Settings!$B$2),1,0)</f>
        <v>0</v>
      </c>
      <c r="AC512" s="46">
        <f ca="1">IF(AND(Table1[[#This Row],[SubscriptionStart]]&lt;=Settings!$C$2,Table1[[#This Row],[EffectiveEndDate]]&gt;=Settings!$C$2),1,0)</f>
        <v>0</v>
      </c>
      <c r="AD512" s="46">
        <f ca="1">IF(AND(Table1[[#This Row],[SubscriptionStart]]&lt;=Settings!$D$2,Table1[[#This Row],[EffectiveEndDate]]&gt;=Settings!$D$2),1,0)</f>
        <v>0</v>
      </c>
      <c r="AE512" s="46">
        <f ca="1">IF(AND(Table1[[#This Row],[SubscriptionStart]]&lt;=Settings!$E$2,Table1[[#This Row],[EffectiveEndDate]]&gt;=Settings!$E$2),1,0)</f>
        <v>0</v>
      </c>
      <c r="AF512"/>
      <c r="AG512"/>
      <c r="AH512"/>
      <c r="AI512"/>
      <c r="AJ512"/>
      <c r="AK512"/>
    </row>
    <row r="513" spans="1:37">
      <c r="A513" s="3" t="s">
        <v>499</v>
      </c>
      <c r="B513" s="3">
        <v>19</v>
      </c>
      <c r="C513" s="3" t="s">
        <v>37</v>
      </c>
      <c r="D513" s="5">
        <v>45034</v>
      </c>
      <c r="E513" s="5">
        <v>45214</v>
      </c>
      <c r="F513" s="3">
        <f ca="1">TODAY() - Table1[[#This Row],[SubscriptionStart]]</f>
        <v>947</v>
      </c>
      <c r="G513" s="4">
        <v>6</v>
      </c>
      <c r="H513" s="3" t="s">
        <v>38</v>
      </c>
      <c r="I513" s="3" t="s">
        <v>39</v>
      </c>
      <c r="J513" s="7" cm="1">
        <f t="array" ref="J513">_xlfn.IFS(Table1[[#This Row],[Tier]]="Basic",10,Table1[[#This Row],[Tier]]="Standard",18,Table1[[#This Row],[Tier]]="Premium",25)</f>
        <v>18</v>
      </c>
      <c r="K513" s="7" cm="1">
        <f t="array" ref="K51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513" s="7" cm="1">
        <f t="array" ref="L51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513" s="3" t="str" cm="1">
        <f t="array" ref="M513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13" s="3" t="s">
        <v>31</v>
      </c>
      <c r="O513" s="3" t="s">
        <v>49</v>
      </c>
      <c r="P513" s="3" t="s">
        <v>44</v>
      </c>
      <c r="Q513" s="3" t="str" cm="1">
        <f t="array" ref="Q513">_xlfn.IFS(Table1[[#This Row],[TotalRevenue]]&lt;100,"Low",Table1[[#This Row],[TotalRevenue]]&lt;300,"Medium",Table1[[#This Row],[TotalRevenue]]&lt;600,"High",TRUE,"Very High")</f>
        <v>Low</v>
      </c>
      <c r="R513" s="3" t="str" cm="1">
        <f t="array" ref="R513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13" s="3" t="str">
        <f>IF(Table1[[#This Row],[NextBillingDate]]="","Cancelled",IF(Table1[[#This Row],[CancellationDate]]&lt;&gt;"","Cancelled","Active"))</f>
        <v>Cancelled</v>
      </c>
      <c r="T513" s="7" cm="1">
        <f t="array" ref="T51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513" s="5">
        <v>45214</v>
      </c>
      <c r="W513" s="5">
        <v>45214</v>
      </c>
      <c r="X513" s="3">
        <v>0</v>
      </c>
      <c r="Y513" s="5">
        <f ca="1">IF(Table1[[#This Row],[ChurnStatus]]="Cancelled",Table1[[#This Row],[CancellationDate]],TODAY())</f>
        <v>45214</v>
      </c>
      <c r="Z513" s="46">
        <f ca="1">IF(AND(Table1[[#This Row],[SubscriptionStart]] &lt;= TODAY(), Table1[[#This Row],[EffectiveEndDate]] &gt;= TODAY()),1,0)</f>
        <v>0</v>
      </c>
      <c r="AA513" s="46">
        <f ca="1">IF(AND(Table1[[#This Row],[SubscriptionStart]]&lt;=Settings!$A$2,Table1[[#This Row],[EffectiveEndDate]]&gt;=Settings!$A$2),1,0)</f>
        <v>0</v>
      </c>
      <c r="AB513" s="46">
        <f ca="1">IF(AND(Table1[[#This Row],[SubscriptionStart]]&lt;=Settings!$B$2,Table1[[#This Row],[EffectiveEndDate]]&gt;=Settings!$B$2),1,0)</f>
        <v>0</v>
      </c>
      <c r="AC513" s="46">
        <f ca="1">IF(AND(Table1[[#This Row],[SubscriptionStart]]&lt;=Settings!$C$2,Table1[[#This Row],[EffectiveEndDate]]&gt;=Settings!$C$2),1,0)</f>
        <v>0</v>
      </c>
      <c r="AD513" s="46">
        <f ca="1">IF(AND(Table1[[#This Row],[SubscriptionStart]]&lt;=Settings!$D$2,Table1[[#This Row],[EffectiveEndDate]]&gt;=Settings!$D$2),1,0)</f>
        <v>1</v>
      </c>
      <c r="AE513" s="46">
        <f ca="1">IF(AND(Table1[[#This Row],[SubscriptionStart]]&lt;=Settings!$E$2,Table1[[#This Row],[EffectiveEndDate]]&gt;=Settings!$E$2),1,0)</f>
        <v>0</v>
      </c>
      <c r="AF513"/>
      <c r="AG513"/>
      <c r="AH513"/>
      <c r="AI513"/>
      <c r="AJ513"/>
      <c r="AK513"/>
    </row>
    <row r="514" spans="1:37">
      <c r="A514" s="3" t="s">
        <v>262</v>
      </c>
      <c r="B514" s="3">
        <v>72</v>
      </c>
      <c r="C514" s="3" t="s">
        <v>37</v>
      </c>
      <c r="D514" s="5">
        <v>45035</v>
      </c>
      <c r="F514" s="3">
        <f ca="1">TODAY() - Table1[[#This Row],[SubscriptionStart]]</f>
        <v>946</v>
      </c>
      <c r="G514" s="4">
        <v>32</v>
      </c>
      <c r="H514" s="3" t="s">
        <v>29</v>
      </c>
      <c r="I514" s="3" t="s">
        <v>25</v>
      </c>
      <c r="J514" s="7" cm="1">
        <f t="array" ref="J514">_xlfn.IFS(Table1[[#This Row],[Tier]]="Basic",10,Table1[[#This Row],[Tier]]="Standard",18,Table1[[#This Row],[Tier]]="Premium",25)</f>
        <v>25</v>
      </c>
      <c r="K514" s="7" cm="1">
        <f t="array" ref="K51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514" s="7" cm="1">
        <f t="array" ref="L51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747.5</v>
      </c>
      <c r="M514" s="3" t="str" cm="1">
        <f t="array" ref="M514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514" s="3" t="s">
        <v>31</v>
      </c>
      <c r="O514" s="3" t="s">
        <v>40</v>
      </c>
      <c r="Q514" s="3" t="str" cm="1">
        <f t="array" ref="Q514">_xlfn.IFS(Table1[[#This Row],[TotalRevenue]]&lt;100,"Low",Table1[[#This Row],[TotalRevenue]]&lt;300,"Medium",Table1[[#This Row],[TotalRevenue]]&lt;600,"High",TRUE,"Very High")</f>
        <v>Very High</v>
      </c>
      <c r="R514" s="3" t="str" cm="1">
        <f t="array" ref="R514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514" s="3" t="str">
        <f>IF(Table1[[#This Row],[NextBillingDate]]="","Cancelled",IF(Table1[[#This Row],[CancellationDate]]&lt;&gt;"","Cancelled","Active"))</f>
        <v>Active</v>
      </c>
      <c r="T514" s="7" cm="1">
        <f t="array" ref="T51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772.5</v>
      </c>
      <c r="V514" s="5">
        <v>45995</v>
      </c>
      <c r="W514" s="5">
        <v>45995</v>
      </c>
      <c r="X514" s="3">
        <v>31</v>
      </c>
      <c r="Y514" s="5">
        <f ca="1">IF(Table1[[#This Row],[ChurnStatus]]="Cancelled",Table1[[#This Row],[CancellationDate]],TODAY())</f>
        <v>45981</v>
      </c>
      <c r="Z514" s="46">
        <f ca="1">IF(AND(Table1[[#This Row],[SubscriptionStart]] &lt;= TODAY(), Table1[[#This Row],[EffectiveEndDate]] &gt;= TODAY()),1,0)</f>
        <v>1</v>
      </c>
      <c r="AA514" s="46">
        <f ca="1">IF(AND(Table1[[#This Row],[SubscriptionStart]]&lt;=Settings!$A$2,Table1[[#This Row],[EffectiveEndDate]]&gt;=Settings!$A$2),1,0)</f>
        <v>0</v>
      </c>
      <c r="AB514" s="46">
        <f ca="1">IF(AND(Table1[[#This Row],[SubscriptionStart]]&lt;=Settings!$B$2,Table1[[#This Row],[EffectiveEndDate]]&gt;=Settings!$B$2),1,0)</f>
        <v>0</v>
      </c>
      <c r="AC514" s="46">
        <f ca="1">IF(AND(Table1[[#This Row],[SubscriptionStart]]&lt;=Settings!$C$2,Table1[[#This Row],[EffectiveEndDate]]&gt;=Settings!$C$2),1,0)</f>
        <v>0</v>
      </c>
      <c r="AD514" s="46">
        <f ca="1">IF(AND(Table1[[#This Row],[SubscriptionStart]]&lt;=Settings!$D$2,Table1[[#This Row],[EffectiveEndDate]]&gt;=Settings!$D$2),1,0)</f>
        <v>1</v>
      </c>
      <c r="AE514" s="46">
        <f ca="1">IF(AND(Table1[[#This Row],[SubscriptionStart]]&lt;=Settings!$E$2,Table1[[#This Row],[EffectiveEndDate]]&gt;=Settings!$E$2),1,0)</f>
        <v>1</v>
      </c>
      <c r="AF514"/>
      <c r="AG514"/>
      <c r="AH514"/>
      <c r="AI514"/>
      <c r="AJ514"/>
      <c r="AK514"/>
    </row>
    <row r="515" spans="1:37">
      <c r="A515" s="3" t="s">
        <v>182</v>
      </c>
      <c r="B515" s="3">
        <v>46</v>
      </c>
      <c r="C515" s="3" t="s">
        <v>23</v>
      </c>
      <c r="D515" s="5">
        <v>45036</v>
      </c>
      <c r="E515" s="5">
        <v>45396</v>
      </c>
      <c r="F515" s="3">
        <f ca="1">TODAY() - Table1[[#This Row],[SubscriptionStart]]</f>
        <v>945</v>
      </c>
      <c r="G515" s="4">
        <v>12</v>
      </c>
      <c r="H515" s="3" t="s">
        <v>24</v>
      </c>
      <c r="I515" s="3" t="s">
        <v>25</v>
      </c>
      <c r="J515" s="7" cm="1">
        <f t="array" ref="J515">_xlfn.IFS(Table1[[#This Row],[Tier]]="Basic",10,Table1[[#This Row],[Tier]]="Standard",18,Table1[[#This Row],[Tier]]="Premium",25)</f>
        <v>25</v>
      </c>
      <c r="K515" s="7" cm="1">
        <f t="array" ref="K51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15" s="7" cm="1">
        <f t="array" ref="L51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15" s="3" t="str" cm="1">
        <f t="array" ref="M51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15" s="3" t="s">
        <v>52</v>
      </c>
      <c r="O515" s="3" t="s">
        <v>43</v>
      </c>
      <c r="P515" s="3" t="s">
        <v>44</v>
      </c>
      <c r="Q515" s="3" t="str" cm="1">
        <f t="array" ref="Q515">_xlfn.IFS(Table1[[#This Row],[TotalRevenue]]&lt;100,"Low",Table1[[#This Row],[TotalRevenue]]&lt;300,"Medium",Table1[[#This Row],[TotalRevenue]]&lt;600,"High",TRUE,"Very High")</f>
        <v>Medium</v>
      </c>
      <c r="R515" s="3" t="str" cm="1">
        <f t="array" ref="R51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15" s="3" t="str">
        <f>IF(Table1[[#This Row],[NextBillingDate]]="","Cancelled",IF(Table1[[#This Row],[CancellationDate]]&lt;&gt;"","Cancelled","Active"))</f>
        <v>Cancelled</v>
      </c>
      <c r="T515" s="7" cm="1">
        <f t="array" ref="T51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15" s="5">
        <v>45396</v>
      </c>
      <c r="W515" s="5">
        <v>45396</v>
      </c>
      <c r="X515" s="3">
        <v>0</v>
      </c>
      <c r="Y515" s="5">
        <f ca="1">IF(Table1[[#This Row],[ChurnStatus]]="Cancelled",Table1[[#This Row],[CancellationDate]],TODAY())</f>
        <v>45396</v>
      </c>
      <c r="Z515" s="46">
        <f ca="1">IF(AND(Table1[[#This Row],[SubscriptionStart]] &lt;= TODAY(), Table1[[#This Row],[EffectiveEndDate]] &gt;= TODAY()),1,0)</f>
        <v>0</v>
      </c>
      <c r="AA515" s="46">
        <f ca="1">IF(AND(Table1[[#This Row],[SubscriptionStart]]&lt;=Settings!$A$2,Table1[[#This Row],[EffectiveEndDate]]&gt;=Settings!$A$2),1,0)</f>
        <v>0</v>
      </c>
      <c r="AB515" s="46">
        <f ca="1">IF(AND(Table1[[#This Row],[SubscriptionStart]]&lt;=Settings!$B$2,Table1[[#This Row],[EffectiveEndDate]]&gt;=Settings!$B$2),1,0)</f>
        <v>0</v>
      </c>
      <c r="AC515" s="46">
        <f ca="1">IF(AND(Table1[[#This Row],[SubscriptionStart]]&lt;=Settings!$C$2,Table1[[#This Row],[EffectiveEndDate]]&gt;=Settings!$C$2),1,0)</f>
        <v>0</v>
      </c>
      <c r="AD515" s="46">
        <f ca="1">IF(AND(Table1[[#This Row],[SubscriptionStart]]&lt;=Settings!$D$2,Table1[[#This Row],[EffectiveEndDate]]&gt;=Settings!$D$2),1,0)</f>
        <v>1</v>
      </c>
      <c r="AE515" s="46">
        <f ca="1">IF(AND(Table1[[#This Row],[SubscriptionStart]]&lt;=Settings!$E$2,Table1[[#This Row],[EffectiveEndDate]]&gt;=Settings!$E$2),1,0)</f>
        <v>0</v>
      </c>
      <c r="AF515"/>
      <c r="AG515"/>
      <c r="AH515"/>
      <c r="AI515"/>
      <c r="AJ515"/>
      <c r="AK515"/>
    </row>
    <row r="516" spans="1:37">
      <c r="A516" s="3" t="s">
        <v>573</v>
      </c>
      <c r="B516" s="3">
        <v>45</v>
      </c>
      <c r="C516" s="3" t="s">
        <v>37</v>
      </c>
      <c r="D516" s="5">
        <v>45036</v>
      </c>
      <c r="E516" s="5">
        <v>45396</v>
      </c>
      <c r="F516" s="3">
        <f ca="1">TODAY() - Table1[[#This Row],[SubscriptionStart]]</f>
        <v>945</v>
      </c>
      <c r="G516" s="4">
        <v>12</v>
      </c>
      <c r="H516" s="3" t="s">
        <v>24</v>
      </c>
      <c r="I516" s="3" t="s">
        <v>30</v>
      </c>
      <c r="J516" s="7" cm="1">
        <f t="array" ref="J516">_xlfn.IFS(Table1[[#This Row],[Tier]]="Basic",10,Table1[[#This Row],[Tier]]="Standard",18,Table1[[#This Row],[Tier]]="Premium",25)</f>
        <v>10</v>
      </c>
      <c r="K516" s="7" cm="1">
        <f t="array" ref="K51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16" s="7" cm="1">
        <f t="array" ref="L51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16" s="3" t="str" cm="1">
        <f t="array" ref="M51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16" s="3" t="s">
        <v>34</v>
      </c>
      <c r="O516" s="3" t="s">
        <v>40</v>
      </c>
      <c r="P516" s="3" t="s">
        <v>41</v>
      </c>
      <c r="Q516" s="3" t="str" cm="1">
        <f t="array" ref="Q516">_xlfn.IFS(Table1[[#This Row],[TotalRevenue]]&lt;100,"Low",Table1[[#This Row],[TotalRevenue]]&lt;300,"Medium",Table1[[#This Row],[TotalRevenue]]&lt;600,"High",TRUE,"Very High")</f>
        <v>Low</v>
      </c>
      <c r="R516" s="3" t="str" cm="1">
        <f t="array" ref="R51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16" s="3" t="str">
        <f>IF(Table1[[#This Row],[NextBillingDate]]="","Cancelled",IF(Table1[[#This Row],[CancellationDate]]&lt;&gt;"","Cancelled","Active"))</f>
        <v>Cancelled</v>
      </c>
      <c r="T516" s="7" cm="1">
        <f t="array" ref="T51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16" s="5">
        <v>45396</v>
      </c>
      <c r="W516" s="5">
        <v>45396</v>
      </c>
      <c r="X516" s="3">
        <v>0</v>
      </c>
      <c r="Y516" s="5">
        <f ca="1">IF(Table1[[#This Row],[ChurnStatus]]="Cancelled",Table1[[#This Row],[CancellationDate]],TODAY())</f>
        <v>45396</v>
      </c>
      <c r="Z516" s="46">
        <f ca="1">IF(AND(Table1[[#This Row],[SubscriptionStart]] &lt;= TODAY(), Table1[[#This Row],[EffectiveEndDate]] &gt;= TODAY()),1,0)</f>
        <v>0</v>
      </c>
      <c r="AA516" s="46">
        <f ca="1">IF(AND(Table1[[#This Row],[SubscriptionStart]]&lt;=Settings!$A$2,Table1[[#This Row],[EffectiveEndDate]]&gt;=Settings!$A$2),1,0)</f>
        <v>0</v>
      </c>
      <c r="AB516" s="46">
        <f ca="1">IF(AND(Table1[[#This Row],[SubscriptionStart]]&lt;=Settings!$B$2,Table1[[#This Row],[EffectiveEndDate]]&gt;=Settings!$B$2),1,0)</f>
        <v>0</v>
      </c>
      <c r="AC516" s="46">
        <f ca="1">IF(AND(Table1[[#This Row],[SubscriptionStart]]&lt;=Settings!$C$2,Table1[[#This Row],[EffectiveEndDate]]&gt;=Settings!$C$2),1,0)</f>
        <v>0</v>
      </c>
      <c r="AD516" s="46">
        <f ca="1">IF(AND(Table1[[#This Row],[SubscriptionStart]]&lt;=Settings!$D$2,Table1[[#This Row],[EffectiveEndDate]]&gt;=Settings!$D$2),1,0)</f>
        <v>1</v>
      </c>
      <c r="AE516" s="46">
        <f ca="1">IF(AND(Table1[[#This Row],[SubscriptionStart]]&lt;=Settings!$E$2,Table1[[#This Row],[EffectiveEndDate]]&gt;=Settings!$E$2),1,0)</f>
        <v>0</v>
      </c>
      <c r="AF516"/>
      <c r="AG516"/>
      <c r="AH516"/>
      <c r="AI516"/>
      <c r="AJ516"/>
      <c r="AK516"/>
    </row>
    <row r="517" spans="1:37">
      <c r="A517" s="3" t="s">
        <v>497</v>
      </c>
      <c r="B517" s="3">
        <v>35</v>
      </c>
      <c r="C517" s="3" t="s">
        <v>23</v>
      </c>
      <c r="D517" s="5">
        <v>45037</v>
      </c>
      <c r="E517" s="5">
        <v>45217</v>
      </c>
      <c r="F517" s="3">
        <f ca="1">TODAY() - Table1[[#This Row],[SubscriptionStart]]</f>
        <v>944</v>
      </c>
      <c r="G517" s="4">
        <v>6</v>
      </c>
      <c r="H517" s="3" t="s">
        <v>38</v>
      </c>
      <c r="I517" s="3" t="s">
        <v>39</v>
      </c>
      <c r="J517" s="7" cm="1">
        <f t="array" ref="J517">_xlfn.IFS(Table1[[#This Row],[Tier]]="Basic",10,Table1[[#This Row],[Tier]]="Standard",18,Table1[[#This Row],[Tier]]="Premium",25)</f>
        <v>18</v>
      </c>
      <c r="K517" s="7" cm="1">
        <f t="array" ref="K51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517" s="7" cm="1">
        <f t="array" ref="L51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517" s="3" t="str" cm="1">
        <f t="array" ref="M51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17" s="3" t="s">
        <v>52</v>
      </c>
      <c r="O517" s="3" t="s">
        <v>32</v>
      </c>
      <c r="P517" s="3" t="s">
        <v>35</v>
      </c>
      <c r="Q517" s="3" t="str" cm="1">
        <f t="array" ref="Q517">_xlfn.IFS(Table1[[#This Row],[TotalRevenue]]&lt;100,"Low",Table1[[#This Row],[TotalRevenue]]&lt;300,"Medium",Table1[[#This Row],[TotalRevenue]]&lt;600,"High",TRUE,"Very High")</f>
        <v>Low</v>
      </c>
      <c r="R517" s="3" t="str" cm="1">
        <f t="array" ref="R51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17" s="3" t="str">
        <f>IF(Table1[[#This Row],[NextBillingDate]]="","Cancelled",IF(Table1[[#This Row],[CancellationDate]]&lt;&gt;"","Cancelled","Active"))</f>
        <v>Cancelled</v>
      </c>
      <c r="T517" s="7" cm="1">
        <f t="array" ref="T51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517" s="5">
        <v>45217</v>
      </c>
      <c r="W517" s="5">
        <v>45217</v>
      </c>
      <c r="X517" s="3">
        <v>0</v>
      </c>
      <c r="Y517" s="5">
        <f ca="1">IF(Table1[[#This Row],[ChurnStatus]]="Cancelled",Table1[[#This Row],[CancellationDate]],TODAY())</f>
        <v>45217</v>
      </c>
      <c r="Z517" s="46">
        <f ca="1">IF(AND(Table1[[#This Row],[SubscriptionStart]] &lt;= TODAY(), Table1[[#This Row],[EffectiveEndDate]] &gt;= TODAY()),1,0)</f>
        <v>0</v>
      </c>
      <c r="AA517" s="46">
        <f ca="1">IF(AND(Table1[[#This Row],[SubscriptionStart]]&lt;=Settings!$A$2,Table1[[#This Row],[EffectiveEndDate]]&gt;=Settings!$A$2),1,0)</f>
        <v>0</v>
      </c>
      <c r="AB517" s="46">
        <f ca="1">IF(AND(Table1[[#This Row],[SubscriptionStart]]&lt;=Settings!$B$2,Table1[[#This Row],[EffectiveEndDate]]&gt;=Settings!$B$2),1,0)</f>
        <v>0</v>
      </c>
      <c r="AC517" s="46">
        <f ca="1">IF(AND(Table1[[#This Row],[SubscriptionStart]]&lt;=Settings!$C$2,Table1[[#This Row],[EffectiveEndDate]]&gt;=Settings!$C$2),1,0)</f>
        <v>0</v>
      </c>
      <c r="AD517" s="46">
        <f ca="1">IF(AND(Table1[[#This Row],[SubscriptionStart]]&lt;=Settings!$D$2,Table1[[#This Row],[EffectiveEndDate]]&gt;=Settings!$D$2),1,0)</f>
        <v>1</v>
      </c>
      <c r="AE517" s="46">
        <f ca="1">IF(AND(Table1[[#This Row],[SubscriptionStart]]&lt;=Settings!$E$2,Table1[[#This Row],[EffectiveEndDate]]&gt;=Settings!$E$2),1,0)</f>
        <v>0</v>
      </c>
      <c r="AF517"/>
      <c r="AG517"/>
      <c r="AH517"/>
      <c r="AI517"/>
      <c r="AJ517"/>
      <c r="AK517"/>
    </row>
    <row r="518" spans="1:37">
      <c r="A518" s="3" t="s">
        <v>398</v>
      </c>
      <c r="B518" s="3">
        <v>39</v>
      </c>
      <c r="C518" s="3" t="s">
        <v>37</v>
      </c>
      <c r="D518" s="5">
        <v>45037</v>
      </c>
      <c r="F518" s="3">
        <f ca="1">TODAY() - Table1[[#This Row],[SubscriptionStart]]</f>
        <v>944</v>
      </c>
      <c r="G518" s="4">
        <v>36</v>
      </c>
      <c r="H518" s="3" t="s">
        <v>38</v>
      </c>
      <c r="I518" s="3" t="s">
        <v>25</v>
      </c>
      <c r="J518" s="7" cm="1">
        <f t="array" ref="J518">_xlfn.IFS(Table1[[#This Row],[Tier]]="Basic",10,Table1[[#This Row],[Tier]]="Standard",18,Table1[[#This Row],[Tier]]="Premium",25)</f>
        <v>25</v>
      </c>
      <c r="K518" s="7" cm="1">
        <f t="array" ref="K51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18.75</v>
      </c>
      <c r="L518" s="7" cm="1">
        <f t="array" ref="L51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652.5</v>
      </c>
      <c r="M518" s="3" t="str" cm="1">
        <f t="array" ref="M51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18" s="3" t="s">
        <v>52</v>
      </c>
      <c r="O518" s="3" t="s">
        <v>27</v>
      </c>
      <c r="Q518" s="3" t="str" cm="1">
        <f t="array" ref="Q518">_xlfn.IFS(Table1[[#This Row],[TotalRevenue]]&lt;100,"Low",Table1[[#This Row],[TotalRevenue]]&lt;300,"Medium",Table1[[#This Row],[TotalRevenue]]&lt;600,"High",TRUE,"Very High")</f>
        <v>Very High</v>
      </c>
      <c r="R518" s="3" t="str" cm="1">
        <f t="array" ref="R51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18" s="3" t="str">
        <f>IF(Table1[[#This Row],[NextBillingDate]]="","Cancelled",IF(Table1[[#This Row],[CancellationDate]]&lt;&gt;"","Cancelled","Active"))</f>
        <v>Active</v>
      </c>
      <c r="T518" s="7" cm="1">
        <f t="array" ref="T51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765</v>
      </c>
      <c r="V518" s="5">
        <v>46117</v>
      </c>
      <c r="W518" s="5">
        <v>46117</v>
      </c>
      <c r="X518" s="3">
        <v>5</v>
      </c>
      <c r="Y518" s="5">
        <f ca="1">IF(Table1[[#This Row],[ChurnStatus]]="Cancelled",Table1[[#This Row],[CancellationDate]],TODAY())</f>
        <v>45981</v>
      </c>
      <c r="Z518" s="46">
        <f ca="1">IF(AND(Table1[[#This Row],[SubscriptionStart]] &lt;= TODAY(), Table1[[#This Row],[EffectiveEndDate]] &gt;= TODAY()),1,0)</f>
        <v>1</v>
      </c>
      <c r="AA518" s="46">
        <f ca="1">IF(AND(Table1[[#This Row],[SubscriptionStart]]&lt;=Settings!$A$2,Table1[[#This Row],[EffectiveEndDate]]&gt;=Settings!$A$2),1,0)</f>
        <v>0</v>
      </c>
      <c r="AB518" s="46">
        <f ca="1">IF(AND(Table1[[#This Row],[SubscriptionStart]]&lt;=Settings!$B$2,Table1[[#This Row],[EffectiveEndDate]]&gt;=Settings!$B$2),1,0)</f>
        <v>0</v>
      </c>
      <c r="AC518" s="46">
        <f ca="1">IF(AND(Table1[[#This Row],[SubscriptionStart]]&lt;=Settings!$C$2,Table1[[#This Row],[EffectiveEndDate]]&gt;=Settings!$C$2),1,0)</f>
        <v>0</v>
      </c>
      <c r="AD518" s="46">
        <f ca="1">IF(AND(Table1[[#This Row],[SubscriptionStart]]&lt;=Settings!$D$2,Table1[[#This Row],[EffectiveEndDate]]&gt;=Settings!$D$2),1,0)</f>
        <v>1</v>
      </c>
      <c r="AE518" s="46">
        <f ca="1">IF(AND(Table1[[#This Row],[SubscriptionStart]]&lt;=Settings!$E$2,Table1[[#This Row],[EffectiveEndDate]]&gt;=Settings!$E$2),1,0)</f>
        <v>1</v>
      </c>
      <c r="AF518"/>
      <c r="AG518"/>
      <c r="AH518"/>
      <c r="AI518"/>
      <c r="AJ518"/>
      <c r="AK518"/>
    </row>
    <row r="519" spans="1:37">
      <c r="A519" s="3" t="s">
        <v>834</v>
      </c>
      <c r="B519" s="3">
        <v>74</v>
      </c>
      <c r="C519" s="3" t="s">
        <v>37</v>
      </c>
      <c r="D519" s="5">
        <v>45038</v>
      </c>
      <c r="E519" s="5">
        <v>45398</v>
      </c>
      <c r="F519" s="3">
        <f ca="1">TODAY() - Table1[[#This Row],[SubscriptionStart]]</f>
        <v>943</v>
      </c>
      <c r="G519" s="4">
        <v>12</v>
      </c>
      <c r="H519" s="3" t="s">
        <v>24</v>
      </c>
      <c r="I519" s="3" t="s">
        <v>25</v>
      </c>
      <c r="J519" s="7" cm="1">
        <f t="array" ref="J519">_xlfn.IFS(Table1[[#This Row],[Tier]]="Basic",10,Table1[[#This Row],[Tier]]="Standard",18,Table1[[#This Row],[Tier]]="Premium",25)</f>
        <v>25</v>
      </c>
      <c r="K519" s="7" cm="1">
        <f t="array" ref="K51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19" s="7" cm="1">
        <f t="array" ref="L51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19" s="3" t="str" cm="1">
        <f t="array" ref="M519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519" s="3" t="s">
        <v>26</v>
      </c>
      <c r="O519" s="3" t="s">
        <v>49</v>
      </c>
      <c r="P519" s="3" t="s">
        <v>41</v>
      </c>
      <c r="Q519" s="3" t="str" cm="1">
        <f t="array" ref="Q519">_xlfn.IFS(Table1[[#This Row],[TotalRevenue]]&lt;100,"Low",Table1[[#This Row],[TotalRevenue]]&lt;300,"Medium",Table1[[#This Row],[TotalRevenue]]&lt;600,"High",TRUE,"Very High")</f>
        <v>Medium</v>
      </c>
      <c r="R519" s="3" t="str" cm="1">
        <f t="array" ref="R519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519" s="3" t="str">
        <f>IF(Table1[[#This Row],[NextBillingDate]]="","Cancelled",IF(Table1[[#This Row],[CancellationDate]]&lt;&gt;"","Cancelled","Active"))</f>
        <v>Cancelled</v>
      </c>
      <c r="T519" s="7" cm="1">
        <f t="array" ref="T51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19" s="5">
        <v>45398</v>
      </c>
      <c r="W519" s="5">
        <v>45398</v>
      </c>
      <c r="X519" s="3">
        <v>0</v>
      </c>
      <c r="Y519" s="5">
        <f ca="1">IF(Table1[[#This Row],[ChurnStatus]]="Cancelled",Table1[[#This Row],[CancellationDate]],TODAY())</f>
        <v>45398</v>
      </c>
      <c r="Z519" s="46">
        <f ca="1">IF(AND(Table1[[#This Row],[SubscriptionStart]] &lt;= TODAY(), Table1[[#This Row],[EffectiveEndDate]] &gt;= TODAY()),1,0)</f>
        <v>0</v>
      </c>
      <c r="AA519" s="46">
        <f ca="1">IF(AND(Table1[[#This Row],[SubscriptionStart]]&lt;=Settings!$A$2,Table1[[#This Row],[EffectiveEndDate]]&gt;=Settings!$A$2),1,0)</f>
        <v>0</v>
      </c>
      <c r="AB519" s="46">
        <f ca="1">IF(AND(Table1[[#This Row],[SubscriptionStart]]&lt;=Settings!$B$2,Table1[[#This Row],[EffectiveEndDate]]&gt;=Settings!$B$2),1,0)</f>
        <v>0</v>
      </c>
      <c r="AC519" s="46">
        <f ca="1">IF(AND(Table1[[#This Row],[SubscriptionStart]]&lt;=Settings!$C$2,Table1[[#This Row],[EffectiveEndDate]]&gt;=Settings!$C$2),1,0)</f>
        <v>0</v>
      </c>
      <c r="AD519" s="46">
        <f ca="1">IF(AND(Table1[[#This Row],[SubscriptionStart]]&lt;=Settings!$D$2,Table1[[#This Row],[EffectiveEndDate]]&gt;=Settings!$D$2),1,0)</f>
        <v>1</v>
      </c>
      <c r="AE519" s="46">
        <f ca="1">IF(AND(Table1[[#This Row],[SubscriptionStart]]&lt;=Settings!$E$2,Table1[[#This Row],[EffectiveEndDate]]&gt;=Settings!$E$2),1,0)</f>
        <v>0</v>
      </c>
      <c r="AF519"/>
      <c r="AG519"/>
      <c r="AH519"/>
      <c r="AI519"/>
      <c r="AJ519"/>
      <c r="AK519"/>
    </row>
    <row r="520" spans="1:37">
      <c r="A520" s="3" t="s">
        <v>141</v>
      </c>
      <c r="B520" s="3">
        <v>74</v>
      </c>
      <c r="C520" s="3" t="s">
        <v>37</v>
      </c>
      <c r="D520" s="5">
        <v>45039</v>
      </c>
      <c r="F520" s="3">
        <f ca="1">TODAY() - Table1[[#This Row],[SubscriptionStart]]</f>
        <v>942</v>
      </c>
      <c r="G520" s="4">
        <v>32</v>
      </c>
      <c r="H520" s="3" t="s">
        <v>29</v>
      </c>
      <c r="I520" s="3" t="s">
        <v>30</v>
      </c>
      <c r="J520" s="7" cm="1">
        <f t="array" ref="J520">_xlfn.IFS(Table1[[#This Row],[Tier]]="Basic",10,Table1[[#This Row],[Tier]]="Standard",18,Table1[[#This Row],[Tier]]="Premium",25)</f>
        <v>10</v>
      </c>
      <c r="K520" s="7" cm="1">
        <f t="array" ref="K52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520" s="7" cm="1">
        <f t="array" ref="L52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299</v>
      </c>
      <c r="M520" s="3" t="str" cm="1">
        <f t="array" ref="M520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520" s="3" t="s">
        <v>26</v>
      </c>
      <c r="O520" s="3" t="s">
        <v>27</v>
      </c>
      <c r="Q520" s="3" t="str" cm="1">
        <f t="array" ref="Q520">_xlfn.IFS(Table1[[#This Row],[TotalRevenue]]&lt;100,"Low",Table1[[#This Row],[TotalRevenue]]&lt;300,"Medium",Table1[[#This Row],[TotalRevenue]]&lt;600,"High",TRUE,"Very High")</f>
        <v>Medium</v>
      </c>
      <c r="R520" s="3" t="str" cm="1">
        <f t="array" ref="R520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520" s="3" t="str">
        <f>IF(Table1[[#This Row],[NextBillingDate]]="","Cancelled",IF(Table1[[#This Row],[CancellationDate]]&lt;&gt;"","Cancelled","Active"))</f>
        <v>Active</v>
      </c>
      <c r="T520" s="7" cm="1">
        <f t="array" ref="T52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309</v>
      </c>
      <c r="V520" s="5">
        <v>45999</v>
      </c>
      <c r="W520" s="5">
        <v>45999</v>
      </c>
      <c r="X520" s="3">
        <v>31</v>
      </c>
      <c r="Y520" s="5">
        <f ca="1">IF(Table1[[#This Row],[ChurnStatus]]="Cancelled",Table1[[#This Row],[CancellationDate]],TODAY())</f>
        <v>45981</v>
      </c>
      <c r="Z520" s="46">
        <f ca="1">IF(AND(Table1[[#This Row],[SubscriptionStart]] &lt;= TODAY(), Table1[[#This Row],[EffectiveEndDate]] &gt;= TODAY()),1,0)</f>
        <v>1</v>
      </c>
      <c r="AA520" s="46">
        <f ca="1">IF(AND(Table1[[#This Row],[SubscriptionStart]]&lt;=Settings!$A$2,Table1[[#This Row],[EffectiveEndDate]]&gt;=Settings!$A$2),1,0)</f>
        <v>0</v>
      </c>
      <c r="AB520" s="46">
        <f ca="1">IF(AND(Table1[[#This Row],[SubscriptionStart]]&lt;=Settings!$B$2,Table1[[#This Row],[EffectiveEndDate]]&gt;=Settings!$B$2),1,0)</f>
        <v>0</v>
      </c>
      <c r="AC520" s="46">
        <f ca="1">IF(AND(Table1[[#This Row],[SubscriptionStart]]&lt;=Settings!$C$2,Table1[[#This Row],[EffectiveEndDate]]&gt;=Settings!$C$2),1,0)</f>
        <v>0</v>
      </c>
      <c r="AD520" s="46">
        <f ca="1">IF(AND(Table1[[#This Row],[SubscriptionStart]]&lt;=Settings!$D$2,Table1[[#This Row],[EffectiveEndDate]]&gt;=Settings!$D$2),1,0)</f>
        <v>1</v>
      </c>
      <c r="AE520" s="46">
        <f ca="1">IF(AND(Table1[[#This Row],[SubscriptionStart]]&lt;=Settings!$E$2,Table1[[#This Row],[EffectiveEndDate]]&gt;=Settings!$E$2),1,0)</f>
        <v>1</v>
      </c>
      <c r="AF520"/>
      <c r="AG520"/>
      <c r="AH520"/>
      <c r="AI520"/>
      <c r="AJ520"/>
      <c r="AK520"/>
    </row>
    <row r="521" spans="1:37">
      <c r="A521" s="3" t="s">
        <v>840</v>
      </c>
      <c r="B521" s="3">
        <v>48</v>
      </c>
      <c r="C521" s="3" t="s">
        <v>37</v>
      </c>
      <c r="D521" s="5">
        <v>45040</v>
      </c>
      <c r="E521" s="5">
        <v>45400</v>
      </c>
      <c r="F521" s="3">
        <f ca="1">TODAY() - Table1[[#This Row],[SubscriptionStart]]</f>
        <v>941</v>
      </c>
      <c r="G521" s="4">
        <v>12</v>
      </c>
      <c r="H521" s="3" t="s">
        <v>24</v>
      </c>
      <c r="I521" s="3" t="s">
        <v>39</v>
      </c>
      <c r="J521" s="7" cm="1">
        <f t="array" ref="J521">_xlfn.IFS(Table1[[#This Row],[Tier]]="Basic",10,Table1[[#This Row],[Tier]]="Standard",18,Table1[[#This Row],[Tier]]="Premium",25)</f>
        <v>18</v>
      </c>
      <c r="K521" s="7" cm="1">
        <f t="array" ref="K52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521" s="7" cm="1">
        <f t="array" ref="L52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521" s="3" t="str" cm="1">
        <f t="array" ref="M52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21" s="3" t="s">
        <v>26</v>
      </c>
      <c r="O521" s="3" t="s">
        <v>32</v>
      </c>
      <c r="P521" s="3" t="s">
        <v>47</v>
      </c>
      <c r="Q521" s="3" t="str" cm="1">
        <f t="array" ref="Q521">_xlfn.IFS(Table1[[#This Row],[TotalRevenue]]&lt;100,"Low",Table1[[#This Row],[TotalRevenue]]&lt;300,"Medium",Table1[[#This Row],[TotalRevenue]]&lt;600,"High",TRUE,"Very High")</f>
        <v>Medium</v>
      </c>
      <c r="R521" s="3" t="str" cm="1">
        <f t="array" ref="R52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21" s="3" t="str">
        <f>IF(Table1[[#This Row],[NextBillingDate]]="","Cancelled",IF(Table1[[#This Row],[CancellationDate]]&lt;&gt;"","Cancelled","Active"))</f>
        <v>Cancelled</v>
      </c>
      <c r="T521" s="7" cm="1">
        <f t="array" ref="T52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521" s="5">
        <v>45400</v>
      </c>
      <c r="W521" s="5">
        <v>45400</v>
      </c>
      <c r="X521" s="3">
        <v>0</v>
      </c>
      <c r="Y521" s="5">
        <f ca="1">IF(Table1[[#This Row],[ChurnStatus]]="Cancelled",Table1[[#This Row],[CancellationDate]],TODAY())</f>
        <v>45400</v>
      </c>
      <c r="Z521" s="46">
        <f ca="1">IF(AND(Table1[[#This Row],[SubscriptionStart]] &lt;= TODAY(), Table1[[#This Row],[EffectiveEndDate]] &gt;= TODAY()),1,0)</f>
        <v>0</v>
      </c>
      <c r="AA521" s="46">
        <f ca="1">IF(AND(Table1[[#This Row],[SubscriptionStart]]&lt;=Settings!$A$2,Table1[[#This Row],[EffectiveEndDate]]&gt;=Settings!$A$2),1,0)</f>
        <v>0</v>
      </c>
      <c r="AB521" s="46">
        <f ca="1">IF(AND(Table1[[#This Row],[SubscriptionStart]]&lt;=Settings!$B$2,Table1[[#This Row],[EffectiveEndDate]]&gt;=Settings!$B$2),1,0)</f>
        <v>0</v>
      </c>
      <c r="AC521" s="46">
        <f ca="1">IF(AND(Table1[[#This Row],[SubscriptionStart]]&lt;=Settings!$C$2,Table1[[#This Row],[EffectiveEndDate]]&gt;=Settings!$C$2),1,0)</f>
        <v>0</v>
      </c>
      <c r="AD521" s="46">
        <f ca="1">IF(AND(Table1[[#This Row],[SubscriptionStart]]&lt;=Settings!$D$2,Table1[[#This Row],[EffectiveEndDate]]&gt;=Settings!$D$2),1,0)</f>
        <v>1</v>
      </c>
      <c r="AE521" s="46">
        <f ca="1">IF(AND(Table1[[#This Row],[SubscriptionStart]]&lt;=Settings!$E$2,Table1[[#This Row],[EffectiveEndDate]]&gt;=Settings!$E$2),1,0)</f>
        <v>0</v>
      </c>
      <c r="AF521"/>
      <c r="AG521"/>
      <c r="AH521"/>
      <c r="AI521"/>
      <c r="AJ521"/>
      <c r="AK521"/>
    </row>
    <row r="522" spans="1:37">
      <c r="A522" s="3" t="s">
        <v>647</v>
      </c>
      <c r="B522" s="3">
        <v>19</v>
      </c>
      <c r="C522" s="3" t="s">
        <v>23</v>
      </c>
      <c r="D522" s="5">
        <v>45041</v>
      </c>
      <c r="E522" s="5">
        <v>45401</v>
      </c>
      <c r="F522" s="3">
        <f ca="1">TODAY() - Table1[[#This Row],[SubscriptionStart]]</f>
        <v>940</v>
      </c>
      <c r="G522" s="4">
        <v>12</v>
      </c>
      <c r="H522" s="3" t="s">
        <v>24</v>
      </c>
      <c r="I522" s="3" t="s">
        <v>39</v>
      </c>
      <c r="J522" s="7" cm="1">
        <f t="array" ref="J522">_xlfn.IFS(Table1[[#This Row],[Tier]]="Basic",10,Table1[[#This Row],[Tier]]="Standard",18,Table1[[#This Row],[Tier]]="Premium",25)</f>
        <v>18</v>
      </c>
      <c r="K522" s="7" cm="1">
        <f t="array" ref="K52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522" s="7" cm="1">
        <f t="array" ref="L52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522" s="3" t="str" cm="1">
        <f t="array" ref="M522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22" s="3" t="s">
        <v>31</v>
      </c>
      <c r="O522" s="3" t="s">
        <v>32</v>
      </c>
      <c r="P522" s="3" t="s">
        <v>50</v>
      </c>
      <c r="Q522" s="3" t="str" cm="1">
        <f t="array" ref="Q522">_xlfn.IFS(Table1[[#This Row],[TotalRevenue]]&lt;100,"Low",Table1[[#This Row],[TotalRevenue]]&lt;300,"Medium",Table1[[#This Row],[TotalRevenue]]&lt;600,"High",TRUE,"Very High")</f>
        <v>Medium</v>
      </c>
      <c r="R522" s="3" t="str" cm="1">
        <f t="array" ref="R522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22" s="3" t="str">
        <f>IF(Table1[[#This Row],[NextBillingDate]]="","Cancelled",IF(Table1[[#This Row],[CancellationDate]]&lt;&gt;"","Cancelled","Active"))</f>
        <v>Cancelled</v>
      </c>
      <c r="T522" s="7" cm="1">
        <f t="array" ref="T52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522" s="5">
        <v>45401</v>
      </c>
      <c r="W522" s="5">
        <v>45401</v>
      </c>
      <c r="X522" s="3">
        <v>0</v>
      </c>
      <c r="Y522" s="5">
        <f ca="1">IF(Table1[[#This Row],[ChurnStatus]]="Cancelled",Table1[[#This Row],[CancellationDate]],TODAY())</f>
        <v>45401</v>
      </c>
      <c r="Z522" s="46">
        <f ca="1">IF(AND(Table1[[#This Row],[SubscriptionStart]] &lt;= TODAY(), Table1[[#This Row],[EffectiveEndDate]] &gt;= TODAY()),1,0)</f>
        <v>0</v>
      </c>
      <c r="AA522" s="46">
        <f ca="1">IF(AND(Table1[[#This Row],[SubscriptionStart]]&lt;=Settings!$A$2,Table1[[#This Row],[EffectiveEndDate]]&gt;=Settings!$A$2),1,0)</f>
        <v>0</v>
      </c>
      <c r="AB522" s="46">
        <f ca="1">IF(AND(Table1[[#This Row],[SubscriptionStart]]&lt;=Settings!$B$2,Table1[[#This Row],[EffectiveEndDate]]&gt;=Settings!$B$2),1,0)</f>
        <v>0</v>
      </c>
      <c r="AC522" s="46">
        <f ca="1">IF(AND(Table1[[#This Row],[SubscriptionStart]]&lt;=Settings!$C$2,Table1[[#This Row],[EffectiveEndDate]]&gt;=Settings!$C$2),1,0)</f>
        <v>0</v>
      </c>
      <c r="AD522" s="46">
        <f ca="1">IF(AND(Table1[[#This Row],[SubscriptionStart]]&lt;=Settings!$D$2,Table1[[#This Row],[EffectiveEndDate]]&gt;=Settings!$D$2),1,0)</f>
        <v>1</v>
      </c>
      <c r="AE522" s="46">
        <f ca="1">IF(AND(Table1[[#This Row],[SubscriptionStart]]&lt;=Settings!$E$2,Table1[[#This Row],[EffectiveEndDate]]&gt;=Settings!$E$2),1,0)</f>
        <v>0</v>
      </c>
      <c r="AF522"/>
      <c r="AG522"/>
      <c r="AH522"/>
      <c r="AI522"/>
      <c r="AJ522"/>
      <c r="AK522"/>
    </row>
    <row r="523" spans="1:37">
      <c r="A523" s="3" t="s">
        <v>379</v>
      </c>
      <c r="B523" s="3">
        <v>57</v>
      </c>
      <c r="C523" s="3" t="s">
        <v>23</v>
      </c>
      <c r="D523" s="5">
        <v>45042</v>
      </c>
      <c r="E523" s="5">
        <v>45402</v>
      </c>
      <c r="F523" s="3">
        <f ca="1">TODAY() - Table1[[#This Row],[SubscriptionStart]]</f>
        <v>939</v>
      </c>
      <c r="G523" s="4">
        <v>12</v>
      </c>
      <c r="H523" s="3" t="s">
        <v>24</v>
      </c>
      <c r="I523" s="3" t="s">
        <v>39</v>
      </c>
      <c r="J523" s="7" cm="1">
        <f t="array" ref="J523">_xlfn.IFS(Table1[[#This Row],[Tier]]="Basic",10,Table1[[#This Row],[Tier]]="Standard",18,Table1[[#This Row],[Tier]]="Premium",25)</f>
        <v>18</v>
      </c>
      <c r="K523" s="7" cm="1">
        <f t="array" ref="K52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523" s="7" cm="1">
        <f t="array" ref="L52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523" s="3" t="str" cm="1">
        <f t="array" ref="M52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23" s="3" t="s">
        <v>26</v>
      </c>
      <c r="O523" s="3" t="s">
        <v>43</v>
      </c>
      <c r="P523" s="3" t="s">
        <v>44</v>
      </c>
      <c r="Q523" s="3" t="str" cm="1">
        <f t="array" ref="Q523">_xlfn.IFS(Table1[[#This Row],[TotalRevenue]]&lt;100,"Low",Table1[[#This Row],[TotalRevenue]]&lt;300,"Medium",Table1[[#This Row],[TotalRevenue]]&lt;600,"High",TRUE,"Very High")</f>
        <v>Medium</v>
      </c>
      <c r="R523" s="3" t="str" cm="1">
        <f t="array" ref="R52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23" s="3" t="str">
        <f>IF(Table1[[#This Row],[NextBillingDate]]="","Cancelled",IF(Table1[[#This Row],[CancellationDate]]&lt;&gt;"","Cancelled","Active"))</f>
        <v>Cancelled</v>
      </c>
      <c r="T523" s="7" cm="1">
        <f t="array" ref="T52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523" s="5">
        <v>45402</v>
      </c>
      <c r="W523" s="5">
        <v>45402</v>
      </c>
      <c r="X523" s="3">
        <v>0</v>
      </c>
      <c r="Y523" s="5">
        <f ca="1">IF(Table1[[#This Row],[ChurnStatus]]="Cancelled",Table1[[#This Row],[CancellationDate]],TODAY())</f>
        <v>45402</v>
      </c>
      <c r="Z523" s="46">
        <f ca="1">IF(AND(Table1[[#This Row],[SubscriptionStart]] &lt;= TODAY(), Table1[[#This Row],[EffectiveEndDate]] &gt;= TODAY()),1,0)</f>
        <v>0</v>
      </c>
      <c r="AA523" s="46">
        <f ca="1">IF(AND(Table1[[#This Row],[SubscriptionStart]]&lt;=Settings!$A$2,Table1[[#This Row],[EffectiveEndDate]]&gt;=Settings!$A$2),1,0)</f>
        <v>0</v>
      </c>
      <c r="AB523" s="46">
        <f ca="1">IF(AND(Table1[[#This Row],[SubscriptionStart]]&lt;=Settings!$B$2,Table1[[#This Row],[EffectiveEndDate]]&gt;=Settings!$B$2),1,0)</f>
        <v>0</v>
      </c>
      <c r="AC523" s="46">
        <f ca="1">IF(AND(Table1[[#This Row],[SubscriptionStart]]&lt;=Settings!$C$2,Table1[[#This Row],[EffectiveEndDate]]&gt;=Settings!$C$2),1,0)</f>
        <v>0</v>
      </c>
      <c r="AD523" s="46">
        <f ca="1">IF(AND(Table1[[#This Row],[SubscriptionStart]]&lt;=Settings!$D$2,Table1[[#This Row],[EffectiveEndDate]]&gt;=Settings!$D$2),1,0)</f>
        <v>1</v>
      </c>
      <c r="AE523" s="46">
        <f ca="1">IF(AND(Table1[[#This Row],[SubscriptionStart]]&lt;=Settings!$E$2,Table1[[#This Row],[EffectiveEndDate]]&gt;=Settings!$E$2),1,0)</f>
        <v>0</v>
      </c>
      <c r="AF523"/>
      <c r="AG523"/>
      <c r="AH523"/>
      <c r="AI523"/>
      <c r="AJ523"/>
      <c r="AK523"/>
    </row>
    <row r="524" spans="1:37">
      <c r="A524" s="3" t="s">
        <v>707</v>
      </c>
      <c r="B524" s="3">
        <v>40</v>
      </c>
      <c r="C524" s="3" t="s">
        <v>37</v>
      </c>
      <c r="D524" s="5">
        <v>45042</v>
      </c>
      <c r="E524" s="5">
        <v>45402</v>
      </c>
      <c r="F524" s="3">
        <f ca="1">TODAY() - Table1[[#This Row],[SubscriptionStart]]</f>
        <v>939</v>
      </c>
      <c r="G524" s="4">
        <v>12</v>
      </c>
      <c r="H524" s="3" t="s">
        <v>24</v>
      </c>
      <c r="I524" s="3" t="s">
        <v>39</v>
      </c>
      <c r="J524" s="7" cm="1">
        <f t="array" ref="J524">_xlfn.IFS(Table1[[#This Row],[Tier]]="Basic",10,Table1[[#This Row],[Tier]]="Standard",18,Table1[[#This Row],[Tier]]="Premium",25)</f>
        <v>18</v>
      </c>
      <c r="K524" s="7" cm="1">
        <f t="array" ref="K52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524" s="7" cm="1">
        <f t="array" ref="L52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524" s="3" t="str" cm="1">
        <f t="array" ref="M52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24" s="3" t="s">
        <v>26</v>
      </c>
      <c r="O524" s="3" t="s">
        <v>27</v>
      </c>
      <c r="P524" s="3" t="s">
        <v>41</v>
      </c>
      <c r="Q524" s="3" t="str" cm="1">
        <f t="array" ref="Q524">_xlfn.IFS(Table1[[#This Row],[TotalRevenue]]&lt;100,"Low",Table1[[#This Row],[TotalRevenue]]&lt;300,"Medium",Table1[[#This Row],[TotalRevenue]]&lt;600,"High",TRUE,"Very High")</f>
        <v>Medium</v>
      </c>
      <c r="R524" s="3" t="str" cm="1">
        <f t="array" ref="R52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24" s="3" t="str">
        <f>IF(Table1[[#This Row],[NextBillingDate]]="","Cancelled",IF(Table1[[#This Row],[CancellationDate]]&lt;&gt;"","Cancelled","Active"))</f>
        <v>Cancelled</v>
      </c>
      <c r="T524" s="7" cm="1">
        <f t="array" ref="T52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524" s="5">
        <v>45402</v>
      </c>
      <c r="W524" s="5">
        <v>45402</v>
      </c>
      <c r="X524" s="3">
        <v>0</v>
      </c>
      <c r="Y524" s="5">
        <f ca="1">IF(Table1[[#This Row],[ChurnStatus]]="Cancelled",Table1[[#This Row],[CancellationDate]],TODAY())</f>
        <v>45402</v>
      </c>
      <c r="Z524" s="46">
        <f ca="1">IF(AND(Table1[[#This Row],[SubscriptionStart]] &lt;= TODAY(), Table1[[#This Row],[EffectiveEndDate]] &gt;= TODAY()),1,0)</f>
        <v>0</v>
      </c>
      <c r="AA524" s="46">
        <f ca="1">IF(AND(Table1[[#This Row],[SubscriptionStart]]&lt;=Settings!$A$2,Table1[[#This Row],[EffectiveEndDate]]&gt;=Settings!$A$2),1,0)</f>
        <v>0</v>
      </c>
      <c r="AB524" s="46">
        <f ca="1">IF(AND(Table1[[#This Row],[SubscriptionStart]]&lt;=Settings!$B$2,Table1[[#This Row],[EffectiveEndDate]]&gt;=Settings!$B$2),1,0)</f>
        <v>0</v>
      </c>
      <c r="AC524" s="46">
        <f ca="1">IF(AND(Table1[[#This Row],[SubscriptionStart]]&lt;=Settings!$C$2,Table1[[#This Row],[EffectiveEndDate]]&gt;=Settings!$C$2),1,0)</f>
        <v>0</v>
      </c>
      <c r="AD524" s="46">
        <f ca="1">IF(AND(Table1[[#This Row],[SubscriptionStart]]&lt;=Settings!$D$2,Table1[[#This Row],[EffectiveEndDate]]&gt;=Settings!$D$2),1,0)</f>
        <v>1</v>
      </c>
      <c r="AE524" s="46">
        <f ca="1">IF(AND(Table1[[#This Row],[SubscriptionStart]]&lt;=Settings!$E$2,Table1[[#This Row],[EffectiveEndDate]]&gt;=Settings!$E$2),1,0)</f>
        <v>0</v>
      </c>
      <c r="AF524"/>
      <c r="AG524"/>
      <c r="AH524"/>
      <c r="AI524"/>
      <c r="AJ524"/>
      <c r="AK524"/>
    </row>
    <row r="525" spans="1:37">
      <c r="A525" s="3" t="s">
        <v>656</v>
      </c>
      <c r="B525" s="3">
        <v>30</v>
      </c>
      <c r="C525" s="3" t="s">
        <v>37</v>
      </c>
      <c r="D525" s="5">
        <v>45043</v>
      </c>
      <c r="E525" s="5">
        <v>45223</v>
      </c>
      <c r="F525" s="3">
        <f ca="1">TODAY() - Table1[[#This Row],[SubscriptionStart]]</f>
        <v>938</v>
      </c>
      <c r="G525" s="4">
        <v>6</v>
      </c>
      <c r="H525" s="3" t="s">
        <v>38</v>
      </c>
      <c r="I525" s="3" t="s">
        <v>39</v>
      </c>
      <c r="J525" s="7" cm="1">
        <f t="array" ref="J525">_xlfn.IFS(Table1[[#This Row],[Tier]]="Basic",10,Table1[[#This Row],[Tier]]="Standard",18,Table1[[#This Row],[Tier]]="Premium",25)</f>
        <v>18</v>
      </c>
      <c r="K525" s="7" cm="1">
        <f t="array" ref="K52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525" s="7" cm="1">
        <f t="array" ref="L52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525" s="3" t="str" cm="1">
        <f t="array" ref="M52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25" s="3" t="s">
        <v>31</v>
      </c>
      <c r="O525" s="3" t="s">
        <v>27</v>
      </c>
      <c r="P525" s="3" t="s">
        <v>44</v>
      </c>
      <c r="Q525" s="3" t="str" cm="1">
        <f t="array" ref="Q525">_xlfn.IFS(Table1[[#This Row],[TotalRevenue]]&lt;100,"Low",Table1[[#This Row],[TotalRevenue]]&lt;300,"Medium",Table1[[#This Row],[TotalRevenue]]&lt;600,"High",TRUE,"Very High")</f>
        <v>Low</v>
      </c>
      <c r="R525" s="3" t="str" cm="1">
        <f t="array" ref="R52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25" s="3" t="str">
        <f>IF(Table1[[#This Row],[NextBillingDate]]="","Cancelled",IF(Table1[[#This Row],[CancellationDate]]&lt;&gt;"","Cancelled","Active"))</f>
        <v>Cancelled</v>
      </c>
      <c r="T525" s="7" cm="1">
        <f t="array" ref="T52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525" s="5">
        <v>45223</v>
      </c>
      <c r="W525" s="5">
        <v>45223</v>
      </c>
      <c r="X525" s="3">
        <v>0</v>
      </c>
      <c r="Y525" s="5">
        <f ca="1">IF(Table1[[#This Row],[ChurnStatus]]="Cancelled",Table1[[#This Row],[CancellationDate]],TODAY())</f>
        <v>45223</v>
      </c>
      <c r="Z525" s="46">
        <f ca="1">IF(AND(Table1[[#This Row],[SubscriptionStart]] &lt;= TODAY(), Table1[[#This Row],[EffectiveEndDate]] &gt;= TODAY()),1,0)</f>
        <v>0</v>
      </c>
      <c r="AA525" s="46">
        <f ca="1">IF(AND(Table1[[#This Row],[SubscriptionStart]]&lt;=Settings!$A$2,Table1[[#This Row],[EffectiveEndDate]]&gt;=Settings!$A$2),1,0)</f>
        <v>0</v>
      </c>
      <c r="AB525" s="46">
        <f ca="1">IF(AND(Table1[[#This Row],[SubscriptionStart]]&lt;=Settings!$B$2,Table1[[#This Row],[EffectiveEndDate]]&gt;=Settings!$B$2),1,0)</f>
        <v>0</v>
      </c>
      <c r="AC525" s="46">
        <f ca="1">IF(AND(Table1[[#This Row],[SubscriptionStart]]&lt;=Settings!$C$2,Table1[[#This Row],[EffectiveEndDate]]&gt;=Settings!$C$2),1,0)</f>
        <v>0</v>
      </c>
      <c r="AD525" s="46">
        <f ca="1">IF(AND(Table1[[#This Row],[SubscriptionStart]]&lt;=Settings!$D$2,Table1[[#This Row],[EffectiveEndDate]]&gt;=Settings!$D$2),1,0)</f>
        <v>1</v>
      </c>
      <c r="AE525" s="46">
        <f ca="1">IF(AND(Table1[[#This Row],[SubscriptionStart]]&lt;=Settings!$E$2,Table1[[#This Row],[EffectiveEndDate]]&gt;=Settings!$E$2),1,0)</f>
        <v>0</v>
      </c>
      <c r="AF525"/>
      <c r="AG525"/>
      <c r="AH525"/>
      <c r="AI525"/>
      <c r="AJ525"/>
      <c r="AK525"/>
    </row>
    <row r="526" spans="1:37">
      <c r="A526" s="3" t="s">
        <v>476</v>
      </c>
      <c r="B526" s="3">
        <v>44</v>
      </c>
      <c r="C526" s="3" t="s">
        <v>37</v>
      </c>
      <c r="D526" s="5">
        <v>45044</v>
      </c>
      <c r="E526" s="5">
        <v>45404</v>
      </c>
      <c r="F526" s="3">
        <f ca="1">TODAY() - Table1[[#This Row],[SubscriptionStart]]</f>
        <v>937</v>
      </c>
      <c r="G526" s="4">
        <v>12</v>
      </c>
      <c r="H526" s="3" t="s">
        <v>24</v>
      </c>
      <c r="I526" s="3" t="s">
        <v>30</v>
      </c>
      <c r="J526" s="7" cm="1">
        <f t="array" ref="J526">_xlfn.IFS(Table1[[#This Row],[Tier]]="Basic",10,Table1[[#This Row],[Tier]]="Standard",18,Table1[[#This Row],[Tier]]="Premium",25)</f>
        <v>10</v>
      </c>
      <c r="K526" s="7" cm="1">
        <f t="array" ref="K52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26" s="7" cm="1">
        <f t="array" ref="L52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26" s="3" t="str" cm="1">
        <f t="array" ref="M52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26" s="3" t="s">
        <v>31</v>
      </c>
      <c r="O526" s="3" t="s">
        <v>32</v>
      </c>
      <c r="P526" s="3" t="s">
        <v>41</v>
      </c>
      <c r="Q526" s="3" t="str" cm="1">
        <f t="array" ref="Q526">_xlfn.IFS(Table1[[#This Row],[TotalRevenue]]&lt;100,"Low",Table1[[#This Row],[TotalRevenue]]&lt;300,"Medium",Table1[[#This Row],[TotalRevenue]]&lt;600,"High",TRUE,"Very High")</f>
        <v>Low</v>
      </c>
      <c r="R526" s="3" t="str" cm="1">
        <f t="array" ref="R52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26" s="3" t="str">
        <f>IF(Table1[[#This Row],[NextBillingDate]]="","Cancelled",IF(Table1[[#This Row],[CancellationDate]]&lt;&gt;"","Cancelled","Active"))</f>
        <v>Cancelled</v>
      </c>
      <c r="T526" s="7" cm="1">
        <f t="array" ref="T52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26" s="5">
        <v>45404</v>
      </c>
      <c r="W526" s="5">
        <v>45404</v>
      </c>
      <c r="X526" s="3">
        <v>0</v>
      </c>
      <c r="Y526" s="5">
        <f ca="1">IF(Table1[[#This Row],[ChurnStatus]]="Cancelled",Table1[[#This Row],[CancellationDate]],TODAY())</f>
        <v>45404</v>
      </c>
      <c r="Z526" s="46">
        <f ca="1">IF(AND(Table1[[#This Row],[SubscriptionStart]] &lt;= TODAY(), Table1[[#This Row],[EffectiveEndDate]] &gt;= TODAY()),1,0)</f>
        <v>0</v>
      </c>
      <c r="AA526" s="46">
        <f ca="1">IF(AND(Table1[[#This Row],[SubscriptionStart]]&lt;=Settings!$A$2,Table1[[#This Row],[EffectiveEndDate]]&gt;=Settings!$A$2),1,0)</f>
        <v>0</v>
      </c>
      <c r="AB526" s="46">
        <f ca="1">IF(AND(Table1[[#This Row],[SubscriptionStart]]&lt;=Settings!$B$2,Table1[[#This Row],[EffectiveEndDate]]&gt;=Settings!$B$2),1,0)</f>
        <v>0</v>
      </c>
      <c r="AC526" s="46">
        <f ca="1">IF(AND(Table1[[#This Row],[SubscriptionStart]]&lt;=Settings!$C$2,Table1[[#This Row],[EffectiveEndDate]]&gt;=Settings!$C$2),1,0)</f>
        <v>0</v>
      </c>
      <c r="AD526" s="46">
        <f ca="1">IF(AND(Table1[[#This Row],[SubscriptionStart]]&lt;=Settings!$D$2,Table1[[#This Row],[EffectiveEndDate]]&gt;=Settings!$D$2),1,0)</f>
        <v>1</v>
      </c>
      <c r="AE526" s="46">
        <f ca="1">IF(AND(Table1[[#This Row],[SubscriptionStart]]&lt;=Settings!$E$2,Table1[[#This Row],[EffectiveEndDate]]&gt;=Settings!$E$2),1,0)</f>
        <v>0</v>
      </c>
      <c r="AF526"/>
      <c r="AG526"/>
      <c r="AH526"/>
      <c r="AI526"/>
      <c r="AJ526"/>
      <c r="AK526"/>
    </row>
    <row r="527" spans="1:37">
      <c r="A527" s="3" t="s">
        <v>549</v>
      </c>
      <c r="B527" s="3">
        <v>65</v>
      </c>
      <c r="C527" s="3" t="s">
        <v>37</v>
      </c>
      <c r="D527" s="5">
        <v>45045</v>
      </c>
      <c r="E527" s="5">
        <v>45075</v>
      </c>
      <c r="F527" s="3">
        <f ca="1">TODAY() - Table1[[#This Row],[SubscriptionStart]]</f>
        <v>936</v>
      </c>
      <c r="G527" s="4">
        <v>1</v>
      </c>
      <c r="H527" s="3" t="s">
        <v>29</v>
      </c>
      <c r="I527" s="3" t="s">
        <v>30</v>
      </c>
      <c r="J527" s="7" cm="1">
        <f t="array" ref="J527">_xlfn.IFS(Table1[[#This Row],[Tier]]="Basic",10,Table1[[#This Row],[Tier]]="Standard",18,Table1[[#This Row],[Tier]]="Premium",25)</f>
        <v>10</v>
      </c>
      <c r="K527" s="7" cm="1">
        <f t="array" ref="K52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527" s="7" cm="1">
        <f t="array" ref="L52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527" s="3" t="str" cm="1">
        <f t="array" ref="M527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527" s="3" t="s">
        <v>31</v>
      </c>
      <c r="O527" s="3" t="s">
        <v>27</v>
      </c>
      <c r="P527" s="3" t="s">
        <v>47</v>
      </c>
      <c r="Q527" s="3" t="str" cm="1">
        <f t="array" ref="Q527">_xlfn.IFS(Table1[[#This Row],[TotalRevenue]]&lt;100,"Low",Table1[[#This Row],[TotalRevenue]]&lt;300,"Medium",Table1[[#This Row],[TotalRevenue]]&lt;600,"High",TRUE,"Very High")</f>
        <v>Low</v>
      </c>
      <c r="R527" s="3" t="str" cm="1">
        <f t="array" ref="R527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527" s="3" t="str">
        <f>IF(Table1[[#This Row],[NextBillingDate]]="","Cancelled",IF(Table1[[#This Row],[CancellationDate]]&lt;&gt;"","Cancelled","Active"))</f>
        <v>Cancelled</v>
      </c>
      <c r="T527" s="7" cm="1">
        <f t="array" ref="T52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527" s="5">
        <v>45075</v>
      </c>
      <c r="W527" s="5">
        <v>45075</v>
      </c>
      <c r="X527" s="3">
        <v>0</v>
      </c>
      <c r="Y527" s="5">
        <f ca="1">IF(Table1[[#This Row],[ChurnStatus]]="Cancelled",Table1[[#This Row],[CancellationDate]],TODAY())</f>
        <v>45075</v>
      </c>
      <c r="Z527" s="46">
        <f ca="1">IF(AND(Table1[[#This Row],[SubscriptionStart]] &lt;= TODAY(), Table1[[#This Row],[EffectiveEndDate]] &gt;= TODAY()),1,0)</f>
        <v>0</v>
      </c>
      <c r="AA527" s="46">
        <f ca="1">IF(AND(Table1[[#This Row],[SubscriptionStart]]&lt;=Settings!$A$2,Table1[[#This Row],[EffectiveEndDate]]&gt;=Settings!$A$2),1,0)</f>
        <v>0</v>
      </c>
      <c r="AB527" s="46">
        <f ca="1">IF(AND(Table1[[#This Row],[SubscriptionStart]]&lt;=Settings!$B$2,Table1[[#This Row],[EffectiveEndDate]]&gt;=Settings!$B$2),1,0)</f>
        <v>0</v>
      </c>
      <c r="AC527" s="46">
        <f ca="1">IF(AND(Table1[[#This Row],[SubscriptionStart]]&lt;=Settings!$C$2,Table1[[#This Row],[EffectiveEndDate]]&gt;=Settings!$C$2),1,0)</f>
        <v>0</v>
      </c>
      <c r="AD527" s="46">
        <f ca="1">IF(AND(Table1[[#This Row],[SubscriptionStart]]&lt;=Settings!$D$2,Table1[[#This Row],[EffectiveEndDate]]&gt;=Settings!$D$2),1,0)</f>
        <v>0</v>
      </c>
      <c r="AE527" s="46">
        <f ca="1">IF(AND(Table1[[#This Row],[SubscriptionStart]]&lt;=Settings!$E$2,Table1[[#This Row],[EffectiveEndDate]]&gt;=Settings!$E$2),1,0)</f>
        <v>0</v>
      </c>
      <c r="AF527"/>
      <c r="AG527"/>
      <c r="AH527"/>
      <c r="AI527"/>
      <c r="AJ527"/>
      <c r="AK527"/>
    </row>
    <row r="528" spans="1:37">
      <c r="A528" s="3" t="s">
        <v>755</v>
      </c>
      <c r="B528" s="3">
        <v>26</v>
      </c>
      <c r="C528" s="3" t="s">
        <v>37</v>
      </c>
      <c r="D528" s="5">
        <v>45045</v>
      </c>
      <c r="E528" s="5">
        <v>45075</v>
      </c>
      <c r="F528" s="3">
        <f ca="1">TODAY() - Table1[[#This Row],[SubscriptionStart]]</f>
        <v>936</v>
      </c>
      <c r="G528" s="4">
        <v>1</v>
      </c>
      <c r="H528" s="3" t="s">
        <v>29</v>
      </c>
      <c r="I528" s="3" t="s">
        <v>25</v>
      </c>
      <c r="J528" s="7" cm="1">
        <f t="array" ref="J528">_xlfn.IFS(Table1[[#This Row],[Tier]]="Basic",10,Table1[[#This Row],[Tier]]="Standard",18,Table1[[#This Row],[Tier]]="Premium",25)</f>
        <v>25</v>
      </c>
      <c r="K528" s="7" cm="1">
        <f t="array" ref="K52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528" s="7" cm="1">
        <f t="array" ref="L52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528" s="3" t="str" cm="1">
        <f t="array" ref="M52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28" s="3" t="s">
        <v>26</v>
      </c>
      <c r="O528" s="3" t="s">
        <v>49</v>
      </c>
      <c r="P528" s="3" t="s">
        <v>47</v>
      </c>
      <c r="Q528" s="3" t="str" cm="1">
        <f t="array" ref="Q528">_xlfn.IFS(Table1[[#This Row],[TotalRevenue]]&lt;100,"Low",Table1[[#This Row],[TotalRevenue]]&lt;300,"Medium",Table1[[#This Row],[TotalRevenue]]&lt;600,"High",TRUE,"Very High")</f>
        <v>Low</v>
      </c>
      <c r="R528" s="3" t="str" cm="1">
        <f t="array" ref="R52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28" s="3" t="str">
        <f>IF(Table1[[#This Row],[NextBillingDate]]="","Cancelled",IF(Table1[[#This Row],[CancellationDate]]&lt;&gt;"","Cancelled","Active"))</f>
        <v>Cancelled</v>
      </c>
      <c r="T528" s="7" cm="1">
        <f t="array" ref="T52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528" s="5">
        <v>45075</v>
      </c>
      <c r="W528" s="5">
        <v>45075</v>
      </c>
      <c r="X528" s="3">
        <v>0</v>
      </c>
      <c r="Y528" s="5">
        <f ca="1">IF(Table1[[#This Row],[ChurnStatus]]="Cancelled",Table1[[#This Row],[CancellationDate]],TODAY())</f>
        <v>45075</v>
      </c>
      <c r="Z528" s="46">
        <f ca="1">IF(AND(Table1[[#This Row],[SubscriptionStart]] &lt;= TODAY(), Table1[[#This Row],[EffectiveEndDate]] &gt;= TODAY()),1,0)</f>
        <v>0</v>
      </c>
      <c r="AA528" s="46">
        <f ca="1">IF(AND(Table1[[#This Row],[SubscriptionStart]]&lt;=Settings!$A$2,Table1[[#This Row],[EffectiveEndDate]]&gt;=Settings!$A$2),1,0)</f>
        <v>0</v>
      </c>
      <c r="AB528" s="46">
        <f ca="1">IF(AND(Table1[[#This Row],[SubscriptionStart]]&lt;=Settings!$B$2,Table1[[#This Row],[EffectiveEndDate]]&gt;=Settings!$B$2),1,0)</f>
        <v>0</v>
      </c>
      <c r="AC528" s="46">
        <f ca="1">IF(AND(Table1[[#This Row],[SubscriptionStart]]&lt;=Settings!$C$2,Table1[[#This Row],[EffectiveEndDate]]&gt;=Settings!$C$2),1,0)</f>
        <v>0</v>
      </c>
      <c r="AD528" s="46">
        <f ca="1">IF(AND(Table1[[#This Row],[SubscriptionStart]]&lt;=Settings!$D$2,Table1[[#This Row],[EffectiveEndDate]]&gt;=Settings!$D$2),1,0)</f>
        <v>0</v>
      </c>
      <c r="AE528" s="46">
        <f ca="1">IF(AND(Table1[[#This Row],[SubscriptionStart]]&lt;=Settings!$E$2,Table1[[#This Row],[EffectiveEndDate]]&gt;=Settings!$E$2),1,0)</f>
        <v>0</v>
      </c>
      <c r="AF528"/>
      <c r="AG528"/>
      <c r="AH528"/>
      <c r="AI528"/>
      <c r="AJ528"/>
      <c r="AK528"/>
    </row>
    <row r="529" spans="1:37">
      <c r="A529" s="3" t="s">
        <v>594</v>
      </c>
      <c r="B529" s="3">
        <v>25</v>
      </c>
      <c r="C529" s="3" t="s">
        <v>37</v>
      </c>
      <c r="D529" s="5">
        <v>45045</v>
      </c>
      <c r="E529" s="5">
        <v>45405</v>
      </c>
      <c r="F529" s="3">
        <f ca="1">TODAY() - Table1[[#This Row],[SubscriptionStart]]</f>
        <v>936</v>
      </c>
      <c r="G529" s="4">
        <v>12</v>
      </c>
      <c r="H529" s="3" t="s">
        <v>24</v>
      </c>
      <c r="I529" s="3" t="s">
        <v>39</v>
      </c>
      <c r="J529" s="7" cm="1">
        <f t="array" ref="J529">_xlfn.IFS(Table1[[#This Row],[Tier]]="Basic",10,Table1[[#This Row],[Tier]]="Standard",18,Table1[[#This Row],[Tier]]="Premium",25)</f>
        <v>18</v>
      </c>
      <c r="K529" s="7" cm="1">
        <f t="array" ref="K52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529" s="7" cm="1">
        <f t="array" ref="L52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529" s="3" t="str" cm="1">
        <f t="array" ref="M529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29" s="3" t="s">
        <v>31</v>
      </c>
      <c r="O529" s="3" t="s">
        <v>27</v>
      </c>
      <c r="P529" s="3" t="s">
        <v>41</v>
      </c>
      <c r="Q529" s="3" t="str" cm="1">
        <f t="array" ref="Q529">_xlfn.IFS(Table1[[#This Row],[TotalRevenue]]&lt;100,"Low",Table1[[#This Row],[TotalRevenue]]&lt;300,"Medium",Table1[[#This Row],[TotalRevenue]]&lt;600,"High",TRUE,"Very High")</f>
        <v>Medium</v>
      </c>
      <c r="R529" s="3" t="str" cm="1">
        <f t="array" ref="R529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29" s="3" t="str">
        <f>IF(Table1[[#This Row],[NextBillingDate]]="","Cancelled",IF(Table1[[#This Row],[CancellationDate]]&lt;&gt;"","Cancelled","Active"))</f>
        <v>Cancelled</v>
      </c>
      <c r="T529" s="7" cm="1">
        <f t="array" ref="T52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529" s="5">
        <v>45405</v>
      </c>
      <c r="W529" s="5">
        <v>45405</v>
      </c>
      <c r="X529" s="3">
        <v>0</v>
      </c>
      <c r="Y529" s="5">
        <f ca="1">IF(Table1[[#This Row],[ChurnStatus]]="Cancelled",Table1[[#This Row],[CancellationDate]],TODAY())</f>
        <v>45405</v>
      </c>
      <c r="Z529" s="46">
        <f ca="1">IF(AND(Table1[[#This Row],[SubscriptionStart]] &lt;= TODAY(), Table1[[#This Row],[EffectiveEndDate]] &gt;= TODAY()),1,0)</f>
        <v>0</v>
      </c>
      <c r="AA529" s="46">
        <f ca="1">IF(AND(Table1[[#This Row],[SubscriptionStart]]&lt;=Settings!$A$2,Table1[[#This Row],[EffectiveEndDate]]&gt;=Settings!$A$2),1,0)</f>
        <v>0</v>
      </c>
      <c r="AB529" s="46">
        <f ca="1">IF(AND(Table1[[#This Row],[SubscriptionStart]]&lt;=Settings!$B$2,Table1[[#This Row],[EffectiveEndDate]]&gt;=Settings!$B$2),1,0)</f>
        <v>0</v>
      </c>
      <c r="AC529" s="46">
        <f ca="1">IF(AND(Table1[[#This Row],[SubscriptionStart]]&lt;=Settings!$C$2,Table1[[#This Row],[EffectiveEndDate]]&gt;=Settings!$C$2),1,0)</f>
        <v>0</v>
      </c>
      <c r="AD529" s="46">
        <f ca="1">IF(AND(Table1[[#This Row],[SubscriptionStart]]&lt;=Settings!$D$2,Table1[[#This Row],[EffectiveEndDate]]&gt;=Settings!$D$2),1,0)</f>
        <v>1</v>
      </c>
      <c r="AE529" s="46">
        <f ca="1">IF(AND(Table1[[#This Row],[SubscriptionStart]]&lt;=Settings!$E$2,Table1[[#This Row],[EffectiveEndDate]]&gt;=Settings!$E$2),1,0)</f>
        <v>0</v>
      </c>
      <c r="AF529"/>
      <c r="AG529"/>
      <c r="AH529"/>
      <c r="AI529"/>
      <c r="AJ529"/>
      <c r="AK529"/>
    </row>
    <row r="530" spans="1:37">
      <c r="A530" s="3" t="s">
        <v>59</v>
      </c>
      <c r="B530" s="3">
        <v>44</v>
      </c>
      <c r="C530" s="3" t="s">
        <v>23</v>
      </c>
      <c r="D530" s="5">
        <v>45045</v>
      </c>
      <c r="F530" s="3">
        <f ca="1">TODAY() - Table1[[#This Row],[SubscriptionStart]]</f>
        <v>936</v>
      </c>
      <c r="G530" s="4">
        <v>32</v>
      </c>
      <c r="H530" s="3" t="s">
        <v>29</v>
      </c>
      <c r="I530" s="3" t="s">
        <v>30</v>
      </c>
      <c r="J530" s="7" cm="1">
        <f t="array" ref="J530">_xlfn.IFS(Table1[[#This Row],[Tier]]="Basic",10,Table1[[#This Row],[Tier]]="Standard",18,Table1[[#This Row],[Tier]]="Premium",25)</f>
        <v>10</v>
      </c>
      <c r="K530" s="7" cm="1">
        <f t="array" ref="K53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530" s="7" cm="1">
        <f t="array" ref="L53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299</v>
      </c>
      <c r="M530" s="3" t="str" cm="1">
        <f t="array" ref="M53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30" s="3" t="s">
        <v>31</v>
      </c>
      <c r="O530" s="3" t="s">
        <v>27</v>
      </c>
      <c r="Q530" s="3" t="str" cm="1">
        <f t="array" ref="Q530">_xlfn.IFS(Table1[[#This Row],[TotalRevenue]]&lt;100,"Low",Table1[[#This Row],[TotalRevenue]]&lt;300,"Medium",Table1[[#This Row],[TotalRevenue]]&lt;600,"High",TRUE,"Very High")</f>
        <v>Medium</v>
      </c>
      <c r="R530" s="3" t="str" cm="1">
        <f t="array" ref="R53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30" s="3" t="str">
        <f>IF(Table1[[#This Row],[NextBillingDate]]="","Cancelled",IF(Table1[[#This Row],[CancellationDate]]&lt;&gt;"","Cancelled","Active"))</f>
        <v>Active</v>
      </c>
      <c r="T530" s="7" cm="1">
        <f t="array" ref="T53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309</v>
      </c>
      <c r="V530" s="5">
        <v>46005</v>
      </c>
      <c r="W530" s="5">
        <v>46005</v>
      </c>
      <c r="X530" s="3">
        <v>31</v>
      </c>
      <c r="Y530" s="5">
        <f ca="1">IF(Table1[[#This Row],[ChurnStatus]]="Cancelled",Table1[[#This Row],[CancellationDate]],TODAY())</f>
        <v>45981</v>
      </c>
      <c r="Z530" s="46">
        <f ca="1">IF(AND(Table1[[#This Row],[SubscriptionStart]] &lt;= TODAY(), Table1[[#This Row],[EffectiveEndDate]] &gt;= TODAY()),1,0)</f>
        <v>1</v>
      </c>
      <c r="AA530" s="46">
        <f ca="1">IF(AND(Table1[[#This Row],[SubscriptionStart]]&lt;=Settings!$A$2,Table1[[#This Row],[EffectiveEndDate]]&gt;=Settings!$A$2),1,0)</f>
        <v>0</v>
      </c>
      <c r="AB530" s="46">
        <f ca="1">IF(AND(Table1[[#This Row],[SubscriptionStart]]&lt;=Settings!$B$2,Table1[[#This Row],[EffectiveEndDate]]&gt;=Settings!$B$2),1,0)</f>
        <v>0</v>
      </c>
      <c r="AC530" s="46">
        <f ca="1">IF(AND(Table1[[#This Row],[SubscriptionStart]]&lt;=Settings!$C$2,Table1[[#This Row],[EffectiveEndDate]]&gt;=Settings!$C$2),1,0)</f>
        <v>0</v>
      </c>
      <c r="AD530" s="46">
        <f ca="1">IF(AND(Table1[[#This Row],[SubscriptionStart]]&lt;=Settings!$D$2,Table1[[#This Row],[EffectiveEndDate]]&gt;=Settings!$D$2),1,0)</f>
        <v>1</v>
      </c>
      <c r="AE530" s="46">
        <f ca="1">IF(AND(Table1[[#This Row],[SubscriptionStart]]&lt;=Settings!$E$2,Table1[[#This Row],[EffectiveEndDate]]&gt;=Settings!$E$2),1,0)</f>
        <v>1</v>
      </c>
      <c r="AF530"/>
      <c r="AG530"/>
      <c r="AH530"/>
      <c r="AI530"/>
      <c r="AJ530"/>
      <c r="AK530"/>
    </row>
    <row r="531" spans="1:37">
      <c r="A531" s="3" t="s">
        <v>36</v>
      </c>
      <c r="B531" s="3">
        <v>40</v>
      </c>
      <c r="C531" s="3" t="s">
        <v>37</v>
      </c>
      <c r="D531" s="5">
        <v>45046</v>
      </c>
      <c r="E531" s="5">
        <v>45226</v>
      </c>
      <c r="F531" s="3">
        <f ca="1">TODAY() - Table1[[#This Row],[SubscriptionStart]]</f>
        <v>935</v>
      </c>
      <c r="G531" s="4">
        <v>6</v>
      </c>
      <c r="H531" s="3" t="s">
        <v>38</v>
      </c>
      <c r="I531" s="3" t="s">
        <v>39</v>
      </c>
      <c r="J531" s="7" cm="1">
        <f t="array" ref="J531">_xlfn.IFS(Table1[[#This Row],[Tier]]="Basic",10,Table1[[#This Row],[Tier]]="Standard",18,Table1[[#This Row],[Tier]]="Premium",25)</f>
        <v>18</v>
      </c>
      <c r="K531" s="7" cm="1">
        <f t="array" ref="K53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531" s="7" cm="1">
        <f t="array" ref="L53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531" s="3" t="str" cm="1">
        <f t="array" ref="M53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31" s="3" t="s">
        <v>34</v>
      </c>
      <c r="O531" s="3" t="s">
        <v>40</v>
      </c>
      <c r="P531" s="3" t="s">
        <v>41</v>
      </c>
      <c r="Q531" s="3" t="str" cm="1">
        <f t="array" ref="Q531">_xlfn.IFS(Table1[[#This Row],[TotalRevenue]]&lt;100,"Low",Table1[[#This Row],[TotalRevenue]]&lt;300,"Medium",Table1[[#This Row],[TotalRevenue]]&lt;600,"High",TRUE,"Very High")</f>
        <v>Low</v>
      </c>
      <c r="R531" s="3" t="str" cm="1">
        <f t="array" ref="R53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31" s="3" t="str">
        <f>IF(Table1[[#This Row],[NextBillingDate]]="","Cancelled",IF(Table1[[#This Row],[CancellationDate]]&lt;&gt;"","Cancelled","Active"))</f>
        <v>Cancelled</v>
      </c>
      <c r="T531" s="7" cm="1">
        <f t="array" ref="T53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531" s="5">
        <v>45226</v>
      </c>
      <c r="W531" s="5">
        <v>45226</v>
      </c>
      <c r="X531" s="3">
        <v>0</v>
      </c>
      <c r="Y531" s="5">
        <f ca="1">IF(Table1[[#This Row],[ChurnStatus]]="Cancelled",Table1[[#This Row],[CancellationDate]],TODAY())</f>
        <v>45226</v>
      </c>
      <c r="Z531" s="46">
        <f ca="1">IF(AND(Table1[[#This Row],[SubscriptionStart]] &lt;= TODAY(), Table1[[#This Row],[EffectiveEndDate]] &gt;= TODAY()),1,0)</f>
        <v>0</v>
      </c>
      <c r="AA531" s="46">
        <f ca="1">IF(AND(Table1[[#This Row],[SubscriptionStart]]&lt;=Settings!$A$2,Table1[[#This Row],[EffectiveEndDate]]&gt;=Settings!$A$2),1,0)</f>
        <v>0</v>
      </c>
      <c r="AB531" s="46">
        <f ca="1">IF(AND(Table1[[#This Row],[SubscriptionStart]]&lt;=Settings!$B$2,Table1[[#This Row],[EffectiveEndDate]]&gt;=Settings!$B$2),1,0)</f>
        <v>0</v>
      </c>
      <c r="AC531" s="46">
        <f ca="1">IF(AND(Table1[[#This Row],[SubscriptionStart]]&lt;=Settings!$C$2,Table1[[#This Row],[EffectiveEndDate]]&gt;=Settings!$C$2),1,0)</f>
        <v>0</v>
      </c>
      <c r="AD531" s="46">
        <f ca="1">IF(AND(Table1[[#This Row],[SubscriptionStart]]&lt;=Settings!$D$2,Table1[[#This Row],[EffectiveEndDate]]&gt;=Settings!$D$2),1,0)</f>
        <v>1</v>
      </c>
      <c r="AE531" s="46">
        <f ca="1">IF(AND(Table1[[#This Row],[SubscriptionStart]]&lt;=Settings!$E$2,Table1[[#This Row],[EffectiveEndDate]]&gt;=Settings!$E$2),1,0)</f>
        <v>0</v>
      </c>
      <c r="AF531"/>
      <c r="AG531"/>
      <c r="AH531"/>
      <c r="AI531"/>
      <c r="AJ531"/>
      <c r="AK531"/>
    </row>
    <row r="532" spans="1:37">
      <c r="A532" s="3" t="s">
        <v>356</v>
      </c>
      <c r="B532" s="3">
        <v>22</v>
      </c>
      <c r="C532" s="3" t="s">
        <v>37</v>
      </c>
      <c r="D532" s="5">
        <v>45050</v>
      </c>
      <c r="E532" s="5">
        <v>45410</v>
      </c>
      <c r="F532" s="3">
        <f ca="1">TODAY() - Table1[[#This Row],[SubscriptionStart]]</f>
        <v>931</v>
      </c>
      <c r="G532" s="4">
        <v>12</v>
      </c>
      <c r="H532" s="3" t="s">
        <v>24</v>
      </c>
      <c r="I532" s="3" t="s">
        <v>25</v>
      </c>
      <c r="J532" s="7" cm="1">
        <f t="array" ref="J532">_xlfn.IFS(Table1[[#This Row],[Tier]]="Basic",10,Table1[[#This Row],[Tier]]="Standard",18,Table1[[#This Row],[Tier]]="Premium",25)</f>
        <v>25</v>
      </c>
      <c r="K532" s="7" cm="1">
        <f t="array" ref="K53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32" s="7" cm="1">
        <f t="array" ref="L53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32" s="3" t="str" cm="1">
        <f t="array" ref="M532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32" s="3" t="s">
        <v>34</v>
      </c>
      <c r="O532" s="3" t="s">
        <v>43</v>
      </c>
      <c r="P532" s="3" t="s">
        <v>44</v>
      </c>
      <c r="Q532" s="3" t="str" cm="1">
        <f t="array" ref="Q532">_xlfn.IFS(Table1[[#This Row],[TotalRevenue]]&lt;100,"Low",Table1[[#This Row],[TotalRevenue]]&lt;300,"Medium",Table1[[#This Row],[TotalRevenue]]&lt;600,"High",TRUE,"Very High")</f>
        <v>Medium</v>
      </c>
      <c r="R532" s="3" t="str" cm="1">
        <f t="array" ref="R532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32" s="3" t="str">
        <f>IF(Table1[[#This Row],[NextBillingDate]]="","Cancelled",IF(Table1[[#This Row],[CancellationDate]]&lt;&gt;"","Cancelled","Active"))</f>
        <v>Cancelled</v>
      </c>
      <c r="T532" s="7" cm="1">
        <f t="array" ref="T53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32" s="5">
        <v>45410</v>
      </c>
      <c r="W532" s="5">
        <v>45410</v>
      </c>
      <c r="X532" s="3">
        <v>0</v>
      </c>
      <c r="Y532" s="5">
        <f ca="1">IF(Table1[[#This Row],[ChurnStatus]]="Cancelled",Table1[[#This Row],[CancellationDate]],TODAY())</f>
        <v>45410</v>
      </c>
      <c r="Z532" s="46">
        <f ca="1">IF(AND(Table1[[#This Row],[SubscriptionStart]] &lt;= TODAY(), Table1[[#This Row],[EffectiveEndDate]] &gt;= TODAY()),1,0)</f>
        <v>0</v>
      </c>
      <c r="AA532" s="46">
        <f ca="1">IF(AND(Table1[[#This Row],[SubscriptionStart]]&lt;=Settings!$A$2,Table1[[#This Row],[EffectiveEndDate]]&gt;=Settings!$A$2),1,0)</f>
        <v>0</v>
      </c>
      <c r="AB532" s="46">
        <f ca="1">IF(AND(Table1[[#This Row],[SubscriptionStart]]&lt;=Settings!$B$2,Table1[[#This Row],[EffectiveEndDate]]&gt;=Settings!$B$2),1,0)</f>
        <v>0</v>
      </c>
      <c r="AC532" s="46">
        <f ca="1">IF(AND(Table1[[#This Row],[SubscriptionStart]]&lt;=Settings!$C$2,Table1[[#This Row],[EffectiveEndDate]]&gt;=Settings!$C$2),1,0)</f>
        <v>0</v>
      </c>
      <c r="AD532" s="46">
        <f ca="1">IF(AND(Table1[[#This Row],[SubscriptionStart]]&lt;=Settings!$D$2,Table1[[#This Row],[EffectiveEndDate]]&gt;=Settings!$D$2),1,0)</f>
        <v>1</v>
      </c>
      <c r="AE532" s="46">
        <f ca="1">IF(AND(Table1[[#This Row],[SubscriptionStart]]&lt;=Settings!$E$2,Table1[[#This Row],[EffectiveEndDate]]&gt;=Settings!$E$2),1,0)</f>
        <v>0</v>
      </c>
      <c r="AF532"/>
      <c r="AG532"/>
      <c r="AH532"/>
      <c r="AI532"/>
      <c r="AJ532"/>
      <c r="AK532"/>
    </row>
    <row r="533" spans="1:37">
      <c r="A533" s="3" t="s">
        <v>504</v>
      </c>
      <c r="B533" s="3">
        <v>58</v>
      </c>
      <c r="C533" s="3" t="s">
        <v>37</v>
      </c>
      <c r="D533" s="5">
        <v>45050</v>
      </c>
      <c r="E533" s="5">
        <v>45410</v>
      </c>
      <c r="F533" s="3">
        <f ca="1">TODAY() - Table1[[#This Row],[SubscriptionStart]]</f>
        <v>931</v>
      </c>
      <c r="G533" s="4">
        <v>12</v>
      </c>
      <c r="H533" s="3" t="s">
        <v>24</v>
      </c>
      <c r="I533" s="3" t="s">
        <v>25</v>
      </c>
      <c r="J533" s="7" cm="1">
        <f t="array" ref="J533">_xlfn.IFS(Table1[[#This Row],[Tier]]="Basic",10,Table1[[#This Row],[Tier]]="Standard",18,Table1[[#This Row],[Tier]]="Premium",25)</f>
        <v>25</v>
      </c>
      <c r="K533" s="7" cm="1">
        <f t="array" ref="K53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33" s="7" cm="1">
        <f t="array" ref="L53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33" s="3" t="str" cm="1">
        <f t="array" ref="M53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33" s="3" t="s">
        <v>52</v>
      </c>
      <c r="O533" s="3" t="s">
        <v>32</v>
      </c>
      <c r="P533" s="3" t="s">
        <v>44</v>
      </c>
      <c r="Q533" s="3" t="str" cm="1">
        <f t="array" ref="Q533">_xlfn.IFS(Table1[[#This Row],[TotalRevenue]]&lt;100,"Low",Table1[[#This Row],[TotalRevenue]]&lt;300,"Medium",Table1[[#This Row],[TotalRevenue]]&lt;600,"High",TRUE,"Very High")</f>
        <v>Medium</v>
      </c>
      <c r="R533" s="3" t="str" cm="1">
        <f t="array" ref="R53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33" s="3" t="str">
        <f>IF(Table1[[#This Row],[NextBillingDate]]="","Cancelled",IF(Table1[[#This Row],[CancellationDate]]&lt;&gt;"","Cancelled","Active"))</f>
        <v>Cancelled</v>
      </c>
      <c r="T533" s="7" cm="1">
        <f t="array" ref="T53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33" s="5">
        <v>45410</v>
      </c>
      <c r="W533" s="5">
        <v>45410</v>
      </c>
      <c r="X533" s="3">
        <v>0</v>
      </c>
      <c r="Y533" s="5">
        <f ca="1">IF(Table1[[#This Row],[ChurnStatus]]="Cancelled",Table1[[#This Row],[CancellationDate]],TODAY())</f>
        <v>45410</v>
      </c>
      <c r="Z533" s="46">
        <f ca="1">IF(AND(Table1[[#This Row],[SubscriptionStart]] &lt;= TODAY(), Table1[[#This Row],[EffectiveEndDate]] &gt;= TODAY()),1,0)</f>
        <v>0</v>
      </c>
      <c r="AA533" s="46">
        <f ca="1">IF(AND(Table1[[#This Row],[SubscriptionStart]]&lt;=Settings!$A$2,Table1[[#This Row],[EffectiveEndDate]]&gt;=Settings!$A$2),1,0)</f>
        <v>0</v>
      </c>
      <c r="AB533" s="46">
        <f ca="1">IF(AND(Table1[[#This Row],[SubscriptionStart]]&lt;=Settings!$B$2,Table1[[#This Row],[EffectiveEndDate]]&gt;=Settings!$B$2),1,0)</f>
        <v>0</v>
      </c>
      <c r="AC533" s="46">
        <f ca="1">IF(AND(Table1[[#This Row],[SubscriptionStart]]&lt;=Settings!$C$2,Table1[[#This Row],[EffectiveEndDate]]&gt;=Settings!$C$2),1,0)</f>
        <v>0</v>
      </c>
      <c r="AD533" s="46">
        <f ca="1">IF(AND(Table1[[#This Row],[SubscriptionStart]]&lt;=Settings!$D$2,Table1[[#This Row],[EffectiveEndDate]]&gt;=Settings!$D$2),1,0)</f>
        <v>1</v>
      </c>
      <c r="AE533" s="46">
        <f ca="1">IF(AND(Table1[[#This Row],[SubscriptionStart]]&lt;=Settings!$E$2,Table1[[#This Row],[EffectiveEndDate]]&gt;=Settings!$E$2),1,0)</f>
        <v>0</v>
      </c>
      <c r="AF533"/>
      <c r="AG533"/>
      <c r="AH533"/>
      <c r="AI533"/>
      <c r="AJ533"/>
      <c r="AK533"/>
    </row>
    <row r="534" spans="1:37">
      <c r="A534" s="3" t="s">
        <v>588</v>
      </c>
      <c r="B534" s="3">
        <v>43</v>
      </c>
      <c r="C534" s="3" t="s">
        <v>37</v>
      </c>
      <c r="D534" s="5">
        <v>45050</v>
      </c>
      <c r="E534" s="5">
        <v>45410</v>
      </c>
      <c r="F534" s="3">
        <f ca="1">TODAY() - Table1[[#This Row],[SubscriptionStart]]</f>
        <v>931</v>
      </c>
      <c r="G534" s="4">
        <v>12</v>
      </c>
      <c r="H534" s="3" t="s">
        <v>24</v>
      </c>
      <c r="I534" s="3" t="s">
        <v>30</v>
      </c>
      <c r="J534" s="7" cm="1">
        <f t="array" ref="J534">_xlfn.IFS(Table1[[#This Row],[Tier]]="Basic",10,Table1[[#This Row],[Tier]]="Standard",18,Table1[[#This Row],[Tier]]="Premium",25)</f>
        <v>10</v>
      </c>
      <c r="K534" s="7" cm="1">
        <f t="array" ref="K53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34" s="7" cm="1">
        <f t="array" ref="L53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34" s="3" t="str" cm="1">
        <f t="array" ref="M53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34" s="3" t="s">
        <v>31</v>
      </c>
      <c r="O534" s="3" t="s">
        <v>40</v>
      </c>
      <c r="P534" s="3" t="s">
        <v>44</v>
      </c>
      <c r="Q534" s="3" t="str" cm="1">
        <f t="array" ref="Q534">_xlfn.IFS(Table1[[#This Row],[TotalRevenue]]&lt;100,"Low",Table1[[#This Row],[TotalRevenue]]&lt;300,"Medium",Table1[[#This Row],[TotalRevenue]]&lt;600,"High",TRUE,"Very High")</f>
        <v>Low</v>
      </c>
      <c r="R534" s="3" t="str" cm="1">
        <f t="array" ref="R53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34" s="3" t="str">
        <f>IF(Table1[[#This Row],[NextBillingDate]]="","Cancelled",IF(Table1[[#This Row],[CancellationDate]]&lt;&gt;"","Cancelled","Active"))</f>
        <v>Cancelled</v>
      </c>
      <c r="T534" s="7" cm="1">
        <f t="array" ref="T53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34" s="5">
        <v>45410</v>
      </c>
      <c r="W534" s="5">
        <v>45410</v>
      </c>
      <c r="X534" s="3">
        <v>0</v>
      </c>
      <c r="Y534" s="5">
        <f ca="1">IF(Table1[[#This Row],[ChurnStatus]]="Cancelled",Table1[[#This Row],[CancellationDate]],TODAY())</f>
        <v>45410</v>
      </c>
      <c r="Z534" s="46">
        <f ca="1">IF(AND(Table1[[#This Row],[SubscriptionStart]] &lt;= TODAY(), Table1[[#This Row],[EffectiveEndDate]] &gt;= TODAY()),1,0)</f>
        <v>0</v>
      </c>
      <c r="AA534" s="46">
        <f ca="1">IF(AND(Table1[[#This Row],[SubscriptionStart]]&lt;=Settings!$A$2,Table1[[#This Row],[EffectiveEndDate]]&gt;=Settings!$A$2),1,0)</f>
        <v>0</v>
      </c>
      <c r="AB534" s="46">
        <f ca="1">IF(AND(Table1[[#This Row],[SubscriptionStart]]&lt;=Settings!$B$2,Table1[[#This Row],[EffectiveEndDate]]&gt;=Settings!$B$2),1,0)</f>
        <v>0</v>
      </c>
      <c r="AC534" s="46">
        <f ca="1">IF(AND(Table1[[#This Row],[SubscriptionStart]]&lt;=Settings!$C$2,Table1[[#This Row],[EffectiveEndDate]]&gt;=Settings!$C$2),1,0)</f>
        <v>0</v>
      </c>
      <c r="AD534" s="46">
        <f ca="1">IF(AND(Table1[[#This Row],[SubscriptionStart]]&lt;=Settings!$D$2,Table1[[#This Row],[EffectiveEndDate]]&gt;=Settings!$D$2),1,0)</f>
        <v>1</v>
      </c>
      <c r="AE534" s="46">
        <f ca="1">IF(AND(Table1[[#This Row],[SubscriptionStart]]&lt;=Settings!$E$2,Table1[[#This Row],[EffectiveEndDate]]&gt;=Settings!$E$2),1,0)</f>
        <v>0</v>
      </c>
      <c r="AF534"/>
      <c r="AG534"/>
      <c r="AH534"/>
      <c r="AI534"/>
      <c r="AJ534"/>
      <c r="AK534"/>
    </row>
    <row r="535" spans="1:37">
      <c r="A535" s="3" t="s">
        <v>442</v>
      </c>
      <c r="B535" s="3">
        <v>48</v>
      </c>
      <c r="C535" s="3" t="s">
        <v>23</v>
      </c>
      <c r="D535" s="5">
        <v>45050</v>
      </c>
      <c r="F535" s="3">
        <f ca="1">TODAY() - Table1[[#This Row],[SubscriptionStart]]</f>
        <v>931</v>
      </c>
      <c r="G535" s="4">
        <v>36</v>
      </c>
      <c r="H535" s="3" t="s">
        <v>38</v>
      </c>
      <c r="I535" s="3" t="s">
        <v>39</v>
      </c>
      <c r="J535" s="7" cm="1">
        <f t="array" ref="J535">_xlfn.IFS(Table1[[#This Row],[Tier]]="Basic",10,Table1[[#This Row],[Tier]]="Standard",18,Table1[[#This Row],[Tier]]="Premium",25)</f>
        <v>18</v>
      </c>
      <c r="K535" s="7" cm="1">
        <f t="array" ref="K53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535" s="7" cm="1">
        <f t="array" ref="L53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469.8</v>
      </c>
      <c r="M535" s="3" t="str" cm="1">
        <f t="array" ref="M53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35" s="3" t="s">
        <v>31</v>
      </c>
      <c r="O535" s="3" t="s">
        <v>27</v>
      </c>
      <c r="Q535" s="3" t="str" cm="1">
        <f t="array" ref="Q535">_xlfn.IFS(Table1[[#This Row],[TotalRevenue]]&lt;100,"Low",Table1[[#This Row],[TotalRevenue]]&lt;300,"Medium",Table1[[#This Row],[TotalRevenue]]&lt;600,"High",TRUE,"Very High")</f>
        <v>High</v>
      </c>
      <c r="R535" s="3" t="str" cm="1">
        <f t="array" ref="R53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35" s="3" t="str">
        <f>IF(Table1[[#This Row],[NextBillingDate]]="","Cancelled",IF(Table1[[#This Row],[CancellationDate]]&lt;&gt;"","Cancelled","Active"))</f>
        <v>Active</v>
      </c>
      <c r="T535" s="7" cm="1">
        <f t="array" ref="T53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550.79999999999995</v>
      </c>
      <c r="V535" s="5">
        <v>46130</v>
      </c>
      <c r="W535" s="5">
        <v>46130</v>
      </c>
      <c r="X535" s="3">
        <v>5</v>
      </c>
      <c r="Y535" s="5">
        <f ca="1">IF(Table1[[#This Row],[ChurnStatus]]="Cancelled",Table1[[#This Row],[CancellationDate]],TODAY())</f>
        <v>45981</v>
      </c>
      <c r="Z535" s="46">
        <f ca="1">IF(AND(Table1[[#This Row],[SubscriptionStart]] &lt;= TODAY(), Table1[[#This Row],[EffectiveEndDate]] &gt;= TODAY()),1,0)</f>
        <v>1</v>
      </c>
      <c r="AA535" s="46">
        <f ca="1">IF(AND(Table1[[#This Row],[SubscriptionStart]]&lt;=Settings!$A$2,Table1[[#This Row],[EffectiveEndDate]]&gt;=Settings!$A$2),1,0)</f>
        <v>0</v>
      </c>
      <c r="AB535" s="46">
        <f ca="1">IF(AND(Table1[[#This Row],[SubscriptionStart]]&lt;=Settings!$B$2,Table1[[#This Row],[EffectiveEndDate]]&gt;=Settings!$B$2),1,0)</f>
        <v>0</v>
      </c>
      <c r="AC535" s="46">
        <f ca="1">IF(AND(Table1[[#This Row],[SubscriptionStart]]&lt;=Settings!$C$2,Table1[[#This Row],[EffectiveEndDate]]&gt;=Settings!$C$2),1,0)</f>
        <v>0</v>
      </c>
      <c r="AD535" s="46">
        <f ca="1">IF(AND(Table1[[#This Row],[SubscriptionStart]]&lt;=Settings!$D$2,Table1[[#This Row],[EffectiveEndDate]]&gt;=Settings!$D$2),1,0)</f>
        <v>1</v>
      </c>
      <c r="AE535" s="46">
        <f ca="1">IF(AND(Table1[[#This Row],[SubscriptionStart]]&lt;=Settings!$E$2,Table1[[#This Row],[EffectiveEndDate]]&gt;=Settings!$E$2),1,0)</f>
        <v>1</v>
      </c>
      <c r="AF535"/>
      <c r="AG535"/>
      <c r="AH535"/>
      <c r="AI535"/>
      <c r="AJ535"/>
      <c r="AK535"/>
    </row>
    <row r="536" spans="1:37">
      <c r="A536" s="3" t="s">
        <v>687</v>
      </c>
      <c r="B536" s="3">
        <v>24</v>
      </c>
      <c r="C536" s="3" t="s">
        <v>23</v>
      </c>
      <c r="D536" s="5">
        <v>45050</v>
      </c>
      <c r="F536" s="3">
        <f ca="1">TODAY() - Table1[[#This Row],[SubscriptionStart]]</f>
        <v>931</v>
      </c>
      <c r="G536" s="4">
        <v>36</v>
      </c>
      <c r="H536" s="3" t="s">
        <v>24</v>
      </c>
      <c r="I536" s="3" t="s">
        <v>30</v>
      </c>
      <c r="J536" s="7" cm="1">
        <f t="array" ref="J536">_xlfn.IFS(Table1[[#This Row],[Tier]]="Basic",10,Table1[[#This Row],[Tier]]="Standard",18,Table1[[#This Row],[Tier]]="Premium",25)</f>
        <v>10</v>
      </c>
      <c r="K536" s="7" cm="1">
        <f t="array" ref="K53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536" s="7" cm="1">
        <f t="array" ref="L53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232</v>
      </c>
      <c r="M536" s="3" t="str" cm="1">
        <f t="array" ref="M536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36" s="3" t="s">
        <v>26</v>
      </c>
      <c r="O536" s="3" t="s">
        <v>49</v>
      </c>
      <c r="Q536" s="3" t="str" cm="1">
        <f t="array" ref="Q536">_xlfn.IFS(Table1[[#This Row],[TotalRevenue]]&lt;100,"Low",Table1[[#This Row],[TotalRevenue]]&lt;300,"Medium",Table1[[#This Row],[TotalRevenue]]&lt;600,"High",TRUE,"Very High")</f>
        <v>Medium</v>
      </c>
      <c r="R536" s="3" t="str" cm="1">
        <f t="array" ref="R536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36" s="3" t="str">
        <f>IF(Table1[[#This Row],[NextBillingDate]]="","Cancelled",IF(Table1[[#This Row],[CancellationDate]]&lt;&gt;"","Cancelled","Active"))</f>
        <v>Active</v>
      </c>
      <c r="T536" s="7" cm="1">
        <f t="array" ref="T53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312</v>
      </c>
      <c r="V536" s="5">
        <v>46130</v>
      </c>
      <c r="W536" s="5">
        <v>46130</v>
      </c>
      <c r="X536" s="3">
        <v>2</v>
      </c>
      <c r="Y536" s="5">
        <f ca="1">IF(Table1[[#This Row],[ChurnStatus]]="Cancelled",Table1[[#This Row],[CancellationDate]],TODAY())</f>
        <v>45981</v>
      </c>
      <c r="Z536" s="46">
        <f ca="1">IF(AND(Table1[[#This Row],[SubscriptionStart]] &lt;= TODAY(), Table1[[#This Row],[EffectiveEndDate]] &gt;= TODAY()),1,0)</f>
        <v>1</v>
      </c>
      <c r="AA536" s="46">
        <f ca="1">IF(AND(Table1[[#This Row],[SubscriptionStart]]&lt;=Settings!$A$2,Table1[[#This Row],[EffectiveEndDate]]&gt;=Settings!$A$2),1,0)</f>
        <v>0</v>
      </c>
      <c r="AB536" s="46">
        <f ca="1">IF(AND(Table1[[#This Row],[SubscriptionStart]]&lt;=Settings!$B$2,Table1[[#This Row],[EffectiveEndDate]]&gt;=Settings!$B$2),1,0)</f>
        <v>0</v>
      </c>
      <c r="AC536" s="46">
        <f ca="1">IF(AND(Table1[[#This Row],[SubscriptionStart]]&lt;=Settings!$C$2,Table1[[#This Row],[EffectiveEndDate]]&gt;=Settings!$C$2),1,0)</f>
        <v>0</v>
      </c>
      <c r="AD536" s="46">
        <f ca="1">IF(AND(Table1[[#This Row],[SubscriptionStart]]&lt;=Settings!$D$2,Table1[[#This Row],[EffectiveEndDate]]&gt;=Settings!$D$2),1,0)</f>
        <v>1</v>
      </c>
      <c r="AE536" s="46">
        <f ca="1">IF(AND(Table1[[#This Row],[SubscriptionStart]]&lt;=Settings!$E$2,Table1[[#This Row],[EffectiveEndDate]]&gt;=Settings!$E$2),1,0)</f>
        <v>1</v>
      </c>
      <c r="AF536"/>
      <c r="AG536"/>
      <c r="AH536"/>
      <c r="AI536"/>
      <c r="AJ536"/>
      <c r="AK536"/>
    </row>
    <row r="537" spans="1:37">
      <c r="A537" s="3" t="s">
        <v>756</v>
      </c>
      <c r="B537" s="3">
        <v>52</v>
      </c>
      <c r="C537" s="3" t="s">
        <v>37</v>
      </c>
      <c r="D537" s="5">
        <v>45050</v>
      </c>
      <c r="F537" s="3">
        <f ca="1">TODAY() - Table1[[#This Row],[SubscriptionStart]]</f>
        <v>931</v>
      </c>
      <c r="G537" s="4">
        <v>36</v>
      </c>
      <c r="H537" s="3" t="s">
        <v>38</v>
      </c>
      <c r="I537" s="3" t="s">
        <v>25</v>
      </c>
      <c r="J537" s="7" cm="1">
        <f t="array" ref="J537">_xlfn.IFS(Table1[[#This Row],[Tier]]="Basic",10,Table1[[#This Row],[Tier]]="Standard",18,Table1[[#This Row],[Tier]]="Premium",25)</f>
        <v>25</v>
      </c>
      <c r="K537" s="7" cm="1">
        <f t="array" ref="K53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18.75</v>
      </c>
      <c r="L537" s="7" cm="1">
        <f t="array" ref="L53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652.5</v>
      </c>
      <c r="M537" s="3" t="str" cm="1">
        <f t="array" ref="M53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37" s="3" t="s">
        <v>31</v>
      </c>
      <c r="O537" s="3" t="s">
        <v>49</v>
      </c>
      <c r="Q537" s="3" t="str" cm="1">
        <f t="array" ref="Q537">_xlfn.IFS(Table1[[#This Row],[TotalRevenue]]&lt;100,"Low",Table1[[#This Row],[TotalRevenue]]&lt;300,"Medium",Table1[[#This Row],[TotalRevenue]]&lt;600,"High",TRUE,"Very High")</f>
        <v>Very High</v>
      </c>
      <c r="R537" s="3" t="str" cm="1">
        <f t="array" ref="R53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37" s="3" t="str">
        <f>IF(Table1[[#This Row],[NextBillingDate]]="","Cancelled",IF(Table1[[#This Row],[CancellationDate]]&lt;&gt;"","Cancelled","Active"))</f>
        <v>Active</v>
      </c>
      <c r="T537" s="7" cm="1">
        <f t="array" ref="T53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765</v>
      </c>
      <c r="V537" s="5">
        <v>46130</v>
      </c>
      <c r="W537" s="5">
        <v>46130</v>
      </c>
      <c r="X537" s="3">
        <v>5</v>
      </c>
      <c r="Y537" s="5">
        <f ca="1">IF(Table1[[#This Row],[ChurnStatus]]="Cancelled",Table1[[#This Row],[CancellationDate]],TODAY())</f>
        <v>45981</v>
      </c>
      <c r="Z537" s="46">
        <f ca="1">IF(AND(Table1[[#This Row],[SubscriptionStart]] &lt;= TODAY(), Table1[[#This Row],[EffectiveEndDate]] &gt;= TODAY()),1,0)</f>
        <v>1</v>
      </c>
      <c r="AA537" s="46">
        <f ca="1">IF(AND(Table1[[#This Row],[SubscriptionStart]]&lt;=Settings!$A$2,Table1[[#This Row],[EffectiveEndDate]]&gt;=Settings!$A$2),1,0)</f>
        <v>0</v>
      </c>
      <c r="AB537" s="46">
        <f ca="1">IF(AND(Table1[[#This Row],[SubscriptionStart]]&lt;=Settings!$B$2,Table1[[#This Row],[EffectiveEndDate]]&gt;=Settings!$B$2),1,0)</f>
        <v>0</v>
      </c>
      <c r="AC537" s="46">
        <f ca="1">IF(AND(Table1[[#This Row],[SubscriptionStart]]&lt;=Settings!$C$2,Table1[[#This Row],[EffectiveEndDate]]&gt;=Settings!$C$2),1,0)</f>
        <v>0</v>
      </c>
      <c r="AD537" s="46">
        <f ca="1">IF(AND(Table1[[#This Row],[SubscriptionStart]]&lt;=Settings!$D$2,Table1[[#This Row],[EffectiveEndDate]]&gt;=Settings!$D$2),1,0)</f>
        <v>1</v>
      </c>
      <c r="AE537" s="46">
        <f ca="1">IF(AND(Table1[[#This Row],[SubscriptionStart]]&lt;=Settings!$E$2,Table1[[#This Row],[EffectiveEndDate]]&gt;=Settings!$E$2),1,0)</f>
        <v>1</v>
      </c>
      <c r="AF537"/>
      <c r="AG537"/>
      <c r="AH537"/>
      <c r="AI537"/>
      <c r="AJ537"/>
      <c r="AK537"/>
    </row>
    <row r="538" spans="1:37">
      <c r="A538" s="3" t="s">
        <v>275</v>
      </c>
      <c r="B538" s="3">
        <v>35</v>
      </c>
      <c r="C538" s="3" t="s">
        <v>37</v>
      </c>
      <c r="D538" s="5">
        <v>45051</v>
      </c>
      <c r="E538" s="5">
        <v>45411</v>
      </c>
      <c r="F538" s="3">
        <f ca="1">TODAY() - Table1[[#This Row],[SubscriptionStart]]</f>
        <v>930</v>
      </c>
      <c r="G538" s="4">
        <v>12</v>
      </c>
      <c r="H538" s="3" t="s">
        <v>24</v>
      </c>
      <c r="I538" s="3" t="s">
        <v>25</v>
      </c>
      <c r="J538" s="7" cm="1">
        <f t="array" ref="J538">_xlfn.IFS(Table1[[#This Row],[Tier]]="Basic",10,Table1[[#This Row],[Tier]]="Standard",18,Table1[[#This Row],[Tier]]="Premium",25)</f>
        <v>25</v>
      </c>
      <c r="K538" s="7" cm="1">
        <f t="array" ref="K53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38" s="7" cm="1">
        <f t="array" ref="L53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38" s="3" t="str" cm="1">
        <f t="array" ref="M53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38" s="3" t="s">
        <v>52</v>
      </c>
      <c r="O538" s="3" t="s">
        <v>49</v>
      </c>
      <c r="P538" s="3" t="s">
        <v>35</v>
      </c>
      <c r="Q538" s="3" t="str" cm="1">
        <f t="array" ref="Q538">_xlfn.IFS(Table1[[#This Row],[TotalRevenue]]&lt;100,"Low",Table1[[#This Row],[TotalRevenue]]&lt;300,"Medium",Table1[[#This Row],[TotalRevenue]]&lt;600,"High",TRUE,"Very High")</f>
        <v>Medium</v>
      </c>
      <c r="R538" s="3" t="str" cm="1">
        <f t="array" ref="R53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38" s="3" t="str">
        <f>IF(Table1[[#This Row],[NextBillingDate]]="","Cancelled",IF(Table1[[#This Row],[CancellationDate]]&lt;&gt;"","Cancelled","Active"))</f>
        <v>Cancelled</v>
      </c>
      <c r="T538" s="7" cm="1">
        <f t="array" ref="T53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38" s="5">
        <v>45411</v>
      </c>
      <c r="W538" s="5">
        <v>45411</v>
      </c>
      <c r="X538" s="3">
        <v>0</v>
      </c>
      <c r="Y538" s="5">
        <f ca="1">IF(Table1[[#This Row],[ChurnStatus]]="Cancelled",Table1[[#This Row],[CancellationDate]],TODAY())</f>
        <v>45411</v>
      </c>
      <c r="Z538" s="46">
        <f ca="1">IF(AND(Table1[[#This Row],[SubscriptionStart]] &lt;= TODAY(), Table1[[#This Row],[EffectiveEndDate]] &gt;= TODAY()),1,0)</f>
        <v>0</v>
      </c>
      <c r="AA538" s="46">
        <f ca="1">IF(AND(Table1[[#This Row],[SubscriptionStart]]&lt;=Settings!$A$2,Table1[[#This Row],[EffectiveEndDate]]&gt;=Settings!$A$2),1,0)</f>
        <v>0</v>
      </c>
      <c r="AB538" s="46">
        <f ca="1">IF(AND(Table1[[#This Row],[SubscriptionStart]]&lt;=Settings!$B$2,Table1[[#This Row],[EffectiveEndDate]]&gt;=Settings!$B$2),1,0)</f>
        <v>0</v>
      </c>
      <c r="AC538" s="46">
        <f ca="1">IF(AND(Table1[[#This Row],[SubscriptionStart]]&lt;=Settings!$C$2,Table1[[#This Row],[EffectiveEndDate]]&gt;=Settings!$C$2),1,0)</f>
        <v>0</v>
      </c>
      <c r="AD538" s="46">
        <f ca="1">IF(AND(Table1[[#This Row],[SubscriptionStart]]&lt;=Settings!$D$2,Table1[[#This Row],[EffectiveEndDate]]&gt;=Settings!$D$2),1,0)</f>
        <v>1</v>
      </c>
      <c r="AE538" s="46">
        <f ca="1">IF(AND(Table1[[#This Row],[SubscriptionStart]]&lt;=Settings!$E$2,Table1[[#This Row],[EffectiveEndDate]]&gt;=Settings!$E$2),1,0)</f>
        <v>0</v>
      </c>
      <c r="AF538"/>
      <c r="AG538"/>
      <c r="AH538"/>
      <c r="AI538"/>
      <c r="AJ538"/>
      <c r="AK538"/>
    </row>
    <row r="539" spans="1:37">
      <c r="A539" s="3" t="s">
        <v>414</v>
      </c>
      <c r="B539" s="3">
        <v>68</v>
      </c>
      <c r="C539" s="3" t="s">
        <v>23</v>
      </c>
      <c r="D539" s="5">
        <v>45051</v>
      </c>
      <c r="E539" s="5">
        <v>45411</v>
      </c>
      <c r="F539" s="3">
        <f ca="1">TODAY() - Table1[[#This Row],[SubscriptionStart]]</f>
        <v>930</v>
      </c>
      <c r="G539" s="4">
        <v>12</v>
      </c>
      <c r="H539" s="3" t="s">
        <v>24</v>
      </c>
      <c r="I539" s="3" t="s">
        <v>39</v>
      </c>
      <c r="J539" s="7" cm="1">
        <f t="array" ref="J539">_xlfn.IFS(Table1[[#This Row],[Tier]]="Basic",10,Table1[[#This Row],[Tier]]="Standard",18,Table1[[#This Row],[Tier]]="Premium",25)</f>
        <v>18</v>
      </c>
      <c r="K539" s="7" cm="1">
        <f t="array" ref="K53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539" s="7" cm="1">
        <f t="array" ref="L53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539" s="3" t="str" cm="1">
        <f t="array" ref="M53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539" s="3" t="s">
        <v>34</v>
      </c>
      <c r="O539" s="3" t="s">
        <v>49</v>
      </c>
      <c r="P539" s="3" t="s">
        <v>50</v>
      </c>
      <c r="Q539" s="3" t="str" cm="1">
        <f t="array" ref="Q539">_xlfn.IFS(Table1[[#This Row],[TotalRevenue]]&lt;100,"Low",Table1[[#This Row],[TotalRevenue]]&lt;300,"Medium",Table1[[#This Row],[TotalRevenue]]&lt;600,"High",TRUE,"Very High")</f>
        <v>Medium</v>
      </c>
      <c r="R539" s="3" t="str" cm="1">
        <f t="array" ref="R53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539" s="3" t="str">
        <f>IF(Table1[[#This Row],[NextBillingDate]]="","Cancelled",IF(Table1[[#This Row],[CancellationDate]]&lt;&gt;"","Cancelled","Active"))</f>
        <v>Cancelled</v>
      </c>
      <c r="T539" s="7" cm="1">
        <f t="array" ref="T53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539" s="5">
        <v>45411</v>
      </c>
      <c r="W539" s="5">
        <v>45411</v>
      </c>
      <c r="X539" s="3">
        <v>0</v>
      </c>
      <c r="Y539" s="5">
        <f ca="1">IF(Table1[[#This Row],[ChurnStatus]]="Cancelled",Table1[[#This Row],[CancellationDate]],TODAY())</f>
        <v>45411</v>
      </c>
      <c r="Z539" s="46">
        <f ca="1">IF(AND(Table1[[#This Row],[SubscriptionStart]] &lt;= TODAY(), Table1[[#This Row],[EffectiveEndDate]] &gt;= TODAY()),1,0)</f>
        <v>0</v>
      </c>
      <c r="AA539" s="46">
        <f ca="1">IF(AND(Table1[[#This Row],[SubscriptionStart]]&lt;=Settings!$A$2,Table1[[#This Row],[EffectiveEndDate]]&gt;=Settings!$A$2),1,0)</f>
        <v>0</v>
      </c>
      <c r="AB539" s="46">
        <f ca="1">IF(AND(Table1[[#This Row],[SubscriptionStart]]&lt;=Settings!$B$2,Table1[[#This Row],[EffectiveEndDate]]&gt;=Settings!$B$2),1,0)</f>
        <v>0</v>
      </c>
      <c r="AC539" s="46">
        <f ca="1">IF(AND(Table1[[#This Row],[SubscriptionStart]]&lt;=Settings!$C$2,Table1[[#This Row],[EffectiveEndDate]]&gt;=Settings!$C$2),1,0)</f>
        <v>0</v>
      </c>
      <c r="AD539" s="46">
        <f ca="1">IF(AND(Table1[[#This Row],[SubscriptionStart]]&lt;=Settings!$D$2,Table1[[#This Row],[EffectiveEndDate]]&gt;=Settings!$D$2),1,0)</f>
        <v>1</v>
      </c>
      <c r="AE539" s="46">
        <f ca="1">IF(AND(Table1[[#This Row],[SubscriptionStart]]&lt;=Settings!$E$2,Table1[[#This Row],[EffectiveEndDate]]&gt;=Settings!$E$2),1,0)</f>
        <v>0</v>
      </c>
      <c r="AF539"/>
      <c r="AG539"/>
      <c r="AH539"/>
      <c r="AI539"/>
      <c r="AJ539"/>
      <c r="AK539"/>
    </row>
    <row r="540" spans="1:37">
      <c r="A540" s="3" t="s">
        <v>241</v>
      </c>
      <c r="B540" s="3">
        <v>39</v>
      </c>
      <c r="C540" s="3" t="s">
        <v>37</v>
      </c>
      <c r="D540" s="5">
        <v>45053</v>
      </c>
      <c r="E540" s="5">
        <v>45083</v>
      </c>
      <c r="F540" s="3">
        <f ca="1">TODAY() - Table1[[#This Row],[SubscriptionStart]]</f>
        <v>928</v>
      </c>
      <c r="G540" s="4">
        <v>1</v>
      </c>
      <c r="H540" s="3" t="s">
        <v>29</v>
      </c>
      <c r="I540" s="3" t="s">
        <v>39</v>
      </c>
      <c r="J540" s="7" cm="1">
        <f t="array" ref="J540">_xlfn.IFS(Table1[[#This Row],[Tier]]="Basic",10,Table1[[#This Row],[Tier]]="Standard",18,Table1[[#This Row],[Tier]]="Premium",25)</f>
        <v>18</v>
      </c>
      <c r="K540" s="7" cm="1">
        <f t="array" ref="K54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540" s="7" cm="1">
        <f t="array" ref="L54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540" s="3" t="str" cm="1">
        <f t="array" ref="M54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40" s="3" t="s">
        <v>52</v>
      </c>
      <c r="O540" s="3" t="s">
        <v>49</v>
      </c>
      <c r="P540" s="3" t="s">
        <v>35</v>
      </c>
      <c r="Q540" s="3" t="str" cm="1">
        <f t="array" ref="Q540">_xlfn.IFS(Table1[[#This Row],[TotalRevenue]]&lt;100,"Low",Table1[[#This Row],[TotalRevenue]]&lt;300,"Medium",Table1[[#This Row],[TotalRevenue]]&lt;600,"High",TRUE,"Very High")</f>
        <v>Low</v>
      </c>
      <c r="R540" s="3" t="str" cm="1">
        <f t="array" ref="R54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40" s="3" t="str">
        <f>IF(Table1[[#This Row],[NextBillingDate]]="","Cancelled",IF(Table1[[#This Row],[CancellationDate]]&lt;&gt;"","Cancelled","Active"))</f>
        <v>Cancelled</v>
      </c>
      <c r="T540" s="7" cm="1">
        <f t="array" ref="T54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540" s="5">
        <v>45083</v>
      </c>
      <c r="W540" s="5">
        <v>45083</v>
      </c>
      <c r="X540" s="3">
        <v>0</v>
      </c>
      <c r="Y540" s="5">
        <f ca="1">IF(Table1[[#This Row],[ChurnStatus]]="Cancelled",Table1[[#This Row],[CancellationDate]],TODAY())</f>
        <v>45083</v>
      </c>
      <c r="Z540" s="46">
        <f ca="1">IF(AND(Table1[[#This Row],[SubscriptionStart]] &lt;= TODAY(), Table1[[#This Row],[EffectiveEndDate]] &gt;= TODAY()),1,0)</f>
        <v>0</v>
      </c>
      <c r="AA540" s="46">
        <f ca="1">IF(AND(Table1[[#This Row],[SubscriptionStart]]&lt;=Settings!$A$2,Table1[[#This Row],[EffectiveEndDate]]&gt;=Settings!$A$2),1,0)</f>
        <v>0</v>
      </c>
      <c r="AB540" s="46">
        <f ca="1">IF(AND(Table1[[#This Row],[SubscriptionStart]]&lt;=Settings!$B$2,Table1[[#This Row],[EffectiveEndDate]]&gt;=Settings!$B$2),1,0)</f>
        <v>0</v>
      </c>
      <c r="AC540" s="46">
        <f ca="1">IF(AND(Table1[[#This Row],[SubscriptionStart]]&lt;=Settings!$C$2,Table1[[#This Row],[EffectiveEndDate]]&gt;=Settings!$C$2),1,0)</f>
        <v>0</v>
      </c>
      <c r="AD540" s="46">
        <f ca="1">IF(AND(Table1[[#This Row],[SubscriptionStart]]&lt;=Settings!$D$2,Table1[[#This Row],[EffectiveEndDate]]&gt;=Settings!$D$2),1,0)</f>
        <v>1</v>
      </c>
      <c r="AE540" s="46">
        <f ca="1">IF(AND(Table1[[#This Row],[SubscriptionStart]]&lt;=Settings!$E$2,Table1[[#This Row],[EffectiveEndDate]]&gt;=Settings!$E$2),1,0)</f>
        <v>0</v>
      </c>
      <c r="AF540"/>
      <c r="AG540"/>
      <c r="AH540"/>
      <c r="AI540"/>
      <c r="AJ540"/>
      <c r="AK540"/>
    </row>
    <row r="541" spans="1:37">
      <c r="A541" s="3" t="s">
        <v>329</v>
      </c>
      <c r="B541" s="3">
        <v>25</v>
      </c>
      <c r="C541" s="3" t="s">
        <v>23</v>
      </c>
      <c r="D541" s="5">
        <v>45053</v>
      </c>
      <c r="E541" s="5">
        <v>45413</v>
      </c>
      <c r="F541" s="3">
        <f ca="1">TODAY() - Table1[[#This Row],[SubscriptionStart]]</f>
        <v>928</v>
      </c>
      <c r="G541" s="4">
        <v>12</v>
      </c>
      <c r="H541" s="3" t="s">
        <v>24</v>
      </c>
      <c r="I541" s="3" t="s">
        <v>25</v>
      </c>
      <c r="J541" s="7" cm="1">
        <f t="array" ref="J541">_xlfn.IFS(Table1[[#This Row],[Tier]]="Basic",10,Table1[[#This Row],[Tier]]="Standard",18,Table1[[#This Row],[Tier]]="Premium",25)</f>
        <v>25</v>
      </c>
      <c r="K541" s="7" cm="1">
        <f t="array" ref="K54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41" s="7" cm="1">
        <f t="array" ref="L54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41" s="3" t="str" cm="1">
        <f t="array" ref="M541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41" s="3" t="s">
        <v>31</v>
      </c>
      <c r="O541" s="3" t="s">
        <v>40</v>
      </c>
      <c r="P541" s="3" t="s">
        <v>35</v>
      </c>
      <c r="Q541" s="3" t="str" cm="1">
        <f t="array" ref="Q541">_xlfn.IFS(Table1[[#This Row],[TotalRevenue]]&lt;100,"Low",Table1[[#This Row],[TotalRevenue]]&lt;300,"Medium",Table1[[#This Row],[TotalRevenue]]&lt;600,"High",TRUE,"Very High")</f>
        <v>Medium</v>
      </c>
      <c r="R541" s="3" t="str" cm="1">
        <f t="array" ref="R541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41" s="3" t="str">
        <f>IF(Table1[[#This Row],[NextBillingDate]]="","Cancelled",IF(Table1[[#This Row],[CancellationDate]]&lt;&gt;"","Cancelled","Active"))</f>
        <v>Cancelled</v>
      </c>
      <c r="T541" s="7" cm="1">
        <f t="array" ref="T54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41" s="5">
        <v>45413</v>
      </c>
      <c r="W541" s="5">
        <v>45413</v>
      </c>
      <c r="X541" s="3">
        <v>0</v>
      </c>
      <c r="Y541" s="5">
        <f ca="1">IF(Table1[[#This Row],[ChurnStatus]]="Cancelled",Table1[[#This Row],[CancellationDate]],TODAY())</f>
        <v>45413</v>
      </c>
      <c r="Z541" s="46">
        <f ca="1">IF(AND(Table1[[#This Row],[SubscriptionStart]] &lt;= TODAY(), Table1[[#This Row],[EffectiveEndDate]] &gt;= TODAY()),1,0)</f>
        <v>0</v>
      </c>
      <c r="AA541" s="46">
        <f ca="1">IF(AND(Table1[[#This Row],[SubscriptionStart]]&lt;=Settings!$A$2,Table1[[#This Row],[EffectiveEndDate]]&gt;=Settings!$A$2),1,0)</f>
        <v>0</v>
      </c>
      <c r="AB541" s="46">
        <f ca="1">IF(AND(Table1[[#This Row],[SubscriptionStart]]&lt;=Settings!$B$2,Table1[[#This Row],[EffectiveEndDate]]&gt;=Settings!$B$2),1,0)</f>
        <v>0</v>
      </c>
      <c r="AC541" s="46">
        <f ca="1">IF(AND(Table1[[#This Row],[SubscriptionStart]]&lt;=Settings!$C$2,Table1[[#This Row],[EffectiveEndDate]]&gt;=Settings!$C$2),1,0)</f>
        <v>0</v>
      </c>
      <c r="AD541" s="46">
        <f ca="1">IF(AND(Table1[[#This Row],[SubscriptionStart]]&lt;=Settings!$D$2,Table1[[#This Row],[EffectiveEndDate]]&gt;=Settings!$D$2),1,0)</f>
        <v>1</v>
      </c>
      <c r="AE541" s="46">
        <f ca="1">IF(AND(Table1[[#This Row],[SubscriptionStart]]&lt;=Settings!$E$2,Table1[[#This Row],[EffectiveEndDate]]&gt;=Settings!$E$2),1,0)</f>
        <v>0</v>
      </c>
      <c r="AF541"/>
      <c r="AG541"/>
      <c r="AH541"/>
      <c r="AI541"/>
      <c r="AJ541"/>
      <c r="AK541"/>
    </row>
    <row r="542" spans="1:37">
      <c r="A542" s="3" t="s">
        <v>202</v>
      </c>
      <c r="B542" s="3">
        <v>37</v>
      </c>
      <c r="C542" s="3" t="s">
        <v>23</v>
      </c>
      <c r="D542" s="5">
        <v>45055</v>
      </c>
      <c r="E542" s="5">
        <v>45235</v>
      </c>
      <c r="F542" s="3">
        <f ca="1">TODAY() - Table1[[#This Row],[SubscriptionStart]]</f>
        <v>926</v>
      </c>
      <c r="G542" s="4">
        <v>6</v>
      </c>
      <c r="H542" s="3" t="s">
        <v>38</v>
      </c>
      <c r="I542" s="3" t="s">
        <v>25</v>
      </c>
      <c r="J542" s="7" cm="1">
        <f t="array" ref="J542">_xlfn.IFS(Table1[[#This Row],[Tier]]="Basic",10,Table1[[#This Row],[Tier]]="Standard",18,Table1[[#This Row],[Tier]]="Premium",25)</f>
        <v>25</v>
      </c>
      <c r="K542" s="7" cm="1">
        <f t="array" ref="K54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542" s="7" cm="1">
        <f t="array" ref="L54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542" s="3" t="str" cm="1">
        <f t="array" ref="M54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42" s="3" t="s">
        <v>34</v>
      </c>
      <c r="O542" s="3" t="s">
        <v>27</v>
      </c>
      <c r="P542" s="3" t="s">
        <v>47</v>
      </c>
      <c r="Q542" s="3" t="str" cm="1">
        <f t="array" ref="Q542">_xlfn.IFS(Table1[[#This Row],[TotalRevenue]]&lt;100,"Low",Table1[[#This Row],[TotalRevenue]]&lt;300,"Medium",Table1[[#This Row],[TotalRevenue]]&lt;600,"High",TRUE,"Very High")</f>
        <v>Medium</v>
      </c>
      <c r="R542" s="3" t="str" cm="1">
        <f t="array" ref="R54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42" s="3" t="str">
        <f>IF(Table1[[#This Row],[NextBillingDate]]="","Cancelled",IF(Table1[[#This Row],[CancellationDate]]&lt;&gt;"","Cancelled","Active"))</f>
        <v>Cancelled</v>
      </c>
      <c r="T542" s="7" cm="1">
        <f t="array" ref="T54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542" s="5">
        <v>45235</v>
      </c>
      <c r="W542" s="5">
        <v>45235</v>
      </c>
      <c r="X542" s="3">
        <v>0</v>
      </c>
      <c r="Y542" s="5">
        <f ca="1">IF(Table1[[#This Row],[ChurnStatus]]="Cancelled",Table1[[#This Row],[CancellationDate]],TODAY())</f>
        <v>45235</v>
      </c>
      <c r="Z542" s="46">
        <f ca="1">IF(AND(Table1[[#This Row],[SubscriptionStart]] &lt;= TODAY(), Table1[[#This Row],[EffectiveEndDate]] &gt;= TODAY()),1,0)</f>
        <v>0</v>
      </c>
      <c r="AA542" s="46">
        <f ca="1">IF(AND(Table1[[#This Row],[SubscriptionStart]]&lt;=Settings!$A$2,Table1[[#This Row],[EffectiveEndDate]]&gt;=Settings!$A$2),1,0)</f>
        <v>0</v>
      </c>
      <c r="AB542" s="46">
        <f ca="1">IF(AND(Table1[[#This Row],[SubscriptionStart]]&lt;=Settings!$B$2,Table1[[#This Row],[EffectiveEndDate]]&gt;=Settings!$B$2),1,0)</f>
        <v>0</v>
      </c>
      <c r="AC542" s="46">
        <f ca="1">IF(AND(Table1[[#This Row],[SubscriptionStart]]&lt;=Settings!$C$2,Table1[[#This Row],[EffectiveEndDate]]&gt;=Settings!$C$2),1,0)</f>
        <v>0</v>
      </c>
      <c r="AD542" s="46">
        <f ca="1">IF(AND(Table1[[#This Row],[SubscriptionStart]]&lt;=Settings!$D$2,Table1[[#This Row],[EffectiveEndDate]]&gt;=Settings!$D$2),1,0)</f>
        <v>1</v>
      </c>
      <c r="AE542" s="46">
        <f ca="1">IF(AND(Table1[[#This Row],[SubscriptionStart]]&lt;=Settings!$E$2,Table1[[#This Row],[EffectiveEndDate]]&gt;=Settings!$E$2),1,0)</f>
        <v>0</v>
      </c>
      <c r="AF542"/>
      <c r="AG542"/>
      <c r="AH542"/>
      <c r="AI542"/>
      <c r="AJ542"/>
      <c r="AK542"/>
    </row>
    <row r="543" spans="1:37">
      <c r="A543" s="3" t="s">
        <v>314</v>
      </c>
      <c r="B543" s="3">
        <v>71</v>
      </c>
      <c r="C543" s="3" t="s">
        <v>37</v>
      </c>
      <c r="D543" s="5">
        <v>45055</v>
      </c>
      <c r="E543" s="5">
        <v>45415</v>
      </c>
      <c r="F543" s="3">
        <f ca="1">TODAY() - Table1[[#This Row],[SubscriptionStart]]</f>
        <v>926</v>
      </c>
      <c r="G543" s="4">
        <v>12</v>
      </c>
      <c r="H543" s="3" t="s">
        <v>24</v>
      </c>
      <c r="I543" s="3" t="s">
        <v>39</v>
      </c>
      <c r="J543" s="7" cm="1">
        <f t="array" ref="J543">_xlfn.IFS(Table1[[#This Row],[Tier]]="Basic",10,Table1[[#This Row],[Tier]]="Standard",18,Table1[[#This Row],[Tier]]="Premium",25)</f>
        <v>18</v>
      </c>
      <c r="K543" s="7" cm="1">
        <f t="array" ref="K54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543" s="7" cm="1">
        <f t="array" ref="L54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543" s="3" t="str" cm="1">
        <f t="array" ref="M543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543" s="3" t="s">
        <v>31</v>
      </c>
      <c r="O543" s="3" t="s">
        <v>27</v>
      </c>
      <c r="P543" s="3" t="s">
        <v>50</v>
      </c>
      <c r="Q543" s="3" t="str" cm="1">
        <f t="array" ref="Q543">_xlfn.IFS(Table1[[#This Row],[TotalRevenue]]&lt;100,"Low",Table1[[#This Row],[TotalRevenue]]&lt;300,"Medium",Table1[[#This Row],[TotalRevenue]]&lt;600,"High",TRUE,"Very High")</f>
        <v>Medium</v>
      </c>
      <c r="R543" s="3" t="str" cm="1">
        <f t="array" ref="R543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543" s="3" t="str">
        <f>IF(Table1[[#This Row],[NextBillingDate]]="","Cancelled",IF(Table1[[#This Row],[CancellationDate]]&lt;&gt;"","Cancelled","Active"))</f>
        <v>Cancelled</v>
      </c>
      <c r="T543" s="7" cm="1">
        <f t="array" ref="T54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543" s="5">
        <v>45415</v>
      </c>
      <c r="W543" s="5">
        <v>45415</v>
      </c>
      <c r="X543" s="3">
        <v>0</v>
      </c>
      <c r="Y543" s="5">
        <f ca="1">IF(Table1[[#This Row],[ChurnStatus]]="Cancelled",Table1[[#This Row],[CancellationDate]],TODAY())</f>
        <v>45415</v>
      </c>
      <c r="Z543" s="46">
        <f ca="1">IF(AND(Table1[[#This Row],[SubscriptionStart]] &lt;= TODAY(), Table1[[#This Row],[EffectiveEndDate]] &gt;= TODAY()),1,0)</f>
        <v>0</v>
      </c>
      <c r="AA543" s="46">
        <f ca="1">IF(AND(Table1[[#This Row],[SubscriptionStart]]&lt;=Settings!$A$2,Table1[[#This Row],[EffectiveEndDate]]&gt;=Settings!$A$2),1,0)</f>
        <v>0</v>
      </c>
      <c r="AB543" s="46">
        <f ca="1">IF(AND(Table1[[#This Row],[SubscriptionStart]]&lt;=Settings!$B$2,Table1[[#This Row],[EffectiveEndDate]]&gt;=Settings!$B$2),1,0)</f>
        <v>0</v>
      </c>
      <c r="AC543" s="46">
        <f ca="1">IF(AND(Table1[[#This Row],[SubscriptionStart]]&lt;=Settings!$C$2,Table1[[#This Row],[EffectiveEndDate]]&gt;=Settings!$C$2),1,0)</f>
        <v>0</v>
      </c>
      <c r="AD543" s="46">
        <f ca="1">IF(AND(Table1[[#This Row],[SubscriptionStart]]&lt;=Settings!$D$2,Table1[[#This Row],[EffectiveEndDate]]&gt;=Settings!$D$2),1,0)</f>
        <v>1</v>
      </c>
      <c r="AE543" s="46">
        <f ca="1">IF(AND(Table1[[#This Row],[SubscriptionStart]]&lt;=Settings!$E$2,Table1[[#This Row],[EffectiveEndDate]]&gt;=Settings!$E$2),1,0)</f>
        <v>0</v>
      </c>
      <c r="AF543"/>
      <c r="AG543"/>
      <c r="AH543"/>
      <c r="AI543"/>
      <c r="AJ543"/>
      <c r="AK543"/>
    </row>
    <row r="544" spans="1:37">
      <c r="A544" s="3" t="s">
        <v>689</v>
      </c>
      <c r="B544" s="3">
        <v>37</v>
      </c>
      <c r="C544" s="3" t="s">
        <v>23</v>
      </c>
      <c r="D544" s="5">
        <v>45055</v>
      </c>
      <c r="E544" s="5">
        <v>45415</v>
      </c>
      <c r="F544" s="3">
        <f ca="1">TODAY() - Table1[[#This Row],[SubscriptionStart]]</f>
        <v>926</v>
      </c>
      <c r="G544" s="4">
        <v>12</v>
      </c>
      <c r="H544" s="3" t="s">
        <v>24</v>
      </c>
      <c r="I544" s="3" t="s">
        <v>30</v>
      </c>
      <c r="J544" s="7" cm="1">
        <f t="array" ref="J544">_xlfn.IFS(Table1[[#This Row],[Tier]]="Basic",10,Table1[[#This Row],[Tier]]="Standard",18,Table1[[#This Row],[Tier]]="Premium",25)</f>
        <v>10</v>
      </c>
      <c r="K544" s="7" cm="1">
        <f t="array" ref="K54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44" s="7" cm="1">
        <f t="array" ref="L54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44" s="3" t="str" cm="1">
        <f t="array" ref="M54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44" s="3" t="s">
        <v>26</v>
      </c>
      <c r="O544" s="3" t="s">
        <v>43</v>
      </c>
      <c r="P544" s="3" t="s">
        <v>50</v>
      </c>
      <c r="Q544" s="3" t="str" cm="1">
        <f t="array" ref="Q544">_xlfn.IFS(Table1[[#This Row],[TotalRevenue]]&lt;100,"Low",Table1[[#This Row],[TotalRevenue]]&lt;300,"Medium",Table1[[#This Row],[TotalRevenue]]&lt;600,"High",TRUE,"Very High")</f>
        <v>Low</v>
      </c>
      <c r="R544" s="3" t="str" cm="1">
        <f t="array" ref="R54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44" s="3" t="str">
        <f>IF(Table1[[#This Row],[NextBillingDate]]="","Cancelled",IF(Table1[[#This Row],[CancellationDate]]&lt;&gt;"","Cancelled","Active"))</f>
        <v>Cancelled</v>
      </c>
      <c r="T544" s="7" cm="1">
        <f t="array" ref="T54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44" s="5">
        <v>45415</v>
      </c>
      <c r="W544" s="5">
        <v>45415</v>
      </c>
      <c r="X544" s="3">
        <v>0</v>
      </c>
      <c r="Y544" s="5">
        <f ca="1">IF(Table1[[#This Row],[ChurnStatus]]="Cancelled",Table1[[#This Row],[CancellationDate]],TODAY())</f>
        <v>45415</v>
      </c>
      <c r="Z544" s="46">
        <f ca="1">IF(AND(Table1[[#This Row],[SubscriptionStart]] &lt;= TODAY(), Table1[[#This Row],[EffectiveEndDate]] &gt;= TODAY()),1,0)</f>
        <v>0</v>
      </c>
      <c r="AA544" s="46">
        <f ca="1">IF(AND(Table1[[#This Row],[SubscriptionStart]]&lt;=Settings!$A$2,Table1[[#This Row],[EffectiveEndDate]]&gt;=Settings!$A$2),1,0)</f>
        <v>0</v>
      </c>
      <c r="AB544" s="46">
        <f ca="1">IF(AND(Table1[[#This Row],[SubscriptionStart]]&lt;=Settings!$B$2,Table1[[#This Row],[EffectiveEndDate]]&gt;=Settings!$B$2),1,0)</f>
        <v>0</v>
      </c>
      <c r="AC544" s="46">
        <f ca="1">IF(AND(Table1[[#This Row],[SubscriptionStart]]&lt;=Settings!$C$2,Table1[[#This Row],[EffectiveEndDate]]&gt;=Settings!$C$2),1,0)</f>
        <v>0</v>
      </c>
      <c r="AD544" s="46">
        <f ca="1">IF(AND(Table1[[#This Row],[SubscriptionStart]]&lt;=Settings!$D$2,Table1[[#This Row],[EffectiveEndDate]]&gt;=Settings!$D$2),1,0)</f>
        <v>1</v>
      </c>
      <c r="AE544" s="46">
        <f ca="1">IF(AND(Table1[[#This Row],[SubscriptionStart]]&lt;=Settings!$E$2,Table1[[#This Row],[EffectiveEndDate]]&gt;=Settings!$E$2),1,0)</f>
        <v>0</v>
      </c>
      <c r="AF544"/>
      <c r="AG544"/>
      <c r="AH544"/>
      <c r="AI544"/>
      <c r="AJ544"/>
      <c r="AK544"/>
    </row>
    <row r="545" spans="1:37">
      <c r="A545" s="3" t="s">
        <v>107</v>
      </c>
      <c r="B545" s="3">
        <v>54</v>
      </c>
      <c r="C545" s="3" t="s">
        <v>23</v>
      </c>
      <c r="D545" s="5">
        <v>45056</v>
      </c>
      <c r="E545" s="5">
        <v>45416</v>
      </c>
      <c r="F545" s="3">
        <f ca="1">TODAY() - Table1[[#This Row],[SubscriptionStart]]</f>
        <v>925</v>
      </c>
      <c r="G545" s="4">
        <v>12</v>
      </c>
      <c r="H545" s="3" t="s">
        <v>24</v>
      </c>
      <c r="I545" s="3" t="s">
        <v>30</v>
      </c>
      <c r="J545" s="7" cm="1">
        <f t="array" ref="J545">_xlfn.IFS(Table1[[#This Row],[Tier]]="Basic",10,Table1[[#This Row],[Tier]]="Standard",18,Table1[[#This Row],[Tier]]="Premium",25)</f>
        <v>10</v>
      </c>
      <c r="K545" s="7" cm="1">
        <f t="array" ref="K54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45" s="7" cm="1">
        <f t="array" ref="L54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45" s="3" t="str" cm="1">
        <f t="array" ref="M545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45" s="3" t="s">
        <v>52</v>
      </c>
      <c r="O545" s="3" t="s">
        <v>40</v>
      </c>
      <c r="P545" s="3" t="s">
        <v>35</v>
      </c>
      <c r="Q545" s="3" t="str" cm="1">
        <f t="array" ref="Q545">_xlfn.IFS(Table1[[#This Row],[TotalRevenue]]&lt;100,"Low",Table1[[#This Row],[TotalRevenue]]&lt;300,"Medium",Table1[[#This Row],[TotalRevenue]]&lt;600,"High",TRUE,"Very High")</f>
        <v>Low</v>
      </c>
      <c r="R545" s="3" t="str" cm="1">
        <f t="array" ref="R54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45" s="3" t="str">
        <f>IF(Table1[[#This Row],[NextBillingDate]]="","Cancelled",IF(Table1[[#This Row],[CancellationDate]]&lt;&gt;"","Cancelled","Active"))</f>
        <v>Cancelled</v>
      </c>
      <c r="T545" s="7" cm="1">
        <f t="array" ref="T54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45" s="5">
        <v>45416</v>
      </c>
      <c r="W545" s="5">
        <v>45416</v>
      </c>
      <c r="X545" s="3">
        <v>0</v>
      </c>
      <c r="Y545" s="5">
        <f ca="1">IF(Table1[[#This Row],[ChurnStatus]]="Cancelled",Table1[[#This Row],[CancellationDate]],TODAY())</f>
        <v>45416</v>
      </c>
      <c r="Z545" s="46">
        <f ca="1">IF(AND(Table1[[#This Row],[SubscriptionStart]] &lt;= TODAY(), Table1[[#This Row],[EffectiveEndDate]] &gt;= TODAY()),1,0)</f>
        <v>0</v>
      </c>
      <c r="AA545" s="46">
        <f ca="1">IF(AND(Table1[[#This Row],[SubscriptionStart]]&lt;=Settings!$A$2,Table1[[#This Row],[EffectiveEndDate]]&gt;=Settings!$A$2),1,0)</f>
        <v>0</v>
      </c>
      <c r="AB545" s="46">
        <f ca="1">IF(AND(Table1[[#This Row],[SubscriptionStart]]&lt;=Settings!$B$2,Table1[[#This Row],[EffectiveEndDate]]&gt;=Settings!$B$2),1,0)</f>
        <v>0</v>
      </c>
      <c r="AC545" s="46">
        <f ca="1">IF(AND(Table1[[#This Row],[SubscriptionStart]]&lt;=Settings!$C$2,Table1[[#This Row],[EffectiveEndDate]]&gt;=Settings!$C$2),1,0)</f>
        <v>0</v>
      </c>
      <c r="AD545" s="46">
        <f ca="1">IF(AND(Table1[[#This Row],[SubscriptionStart]]&lt;=Settings!$D$2,Table1[[#This Row],[EffectiveEndDate]]&gt;=Settings!$D$2),1,0)</f>
        <v>1</v>
      </c>
      <c r="AE545" s="46">
        <f ca="1">IF(AND(Table1[[#This Row],[SubscriptionStart]]&lt;=Settings!$E$2,Table1[[#This Row],[EffectiveEndDate]]&gt;=Settings!$E$2),1,0)</f>
        <v>0</v>
      </c>
      <c r="AF545"/>
      <c r="AG545"/>
      <c r="AH545"/>
      <c r="AI545"/>
      <c r="AJ545"/>
      <c r="AK545"/>
    </row>
    <row r="546" spans="1:37">
      <c r="A546" s="3" t="s">
        <v>325</v>
      </c>
      <c r="B546" s="3">
        <v>66</v>
      </c>
      <c r="C546" s="3" t="s">
        <v>23</v>
      </c>
      <c r="D546" s="5">
        <v>45056</v>
      </c>
      <c r="E546" s="5">
        <v>45416</v>
      </c>
      <c r="F546" s="3">
        <f ca="1">TODAY() - Table1[[#This Row],[SubscriptionStart]]</f>
        <v>925</v>
      </c>
      <c r="G546" s="4">
        <v>12</v>
      </c>
      <c r="H546" s="3" t="s">
        <v>24</v>
      </c>
      <c r="I546" s="3" t="s">
        <v>39</v>
      </c>
      <c r="J546" s="7" cm="1">
        <f t="array" ref="J546">_xlfn.IFS(Table1[[#This Row],[Tier]]="Basic",10,Table1[[#This Row],[Tier]]="Standard",18,Table1[[#This Row],[Tier]]="Premium",25)</f>
        <v>18</v>
      </c>
      <c r="K546" s="7" cm="1">
        <f t="array" ref="K54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546" s="7" cm="1">
        <f t="array" ref="L54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546" s="3" t="str" cm="1">
        <f t="array" ref="M546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546" s="3" t="s">
        <v>31</v>
      </c>
      <c r="O546" s="3" t="s">
        <v>49</v>
      </c>
      <c r="P546" s="3" t="s">
        <v>50</v>
      </c>
      <c r="Q546" s="3" t="str" cm="1">
        <f t="array" ref="Q546">_xlfn.IFS(Table1[[#This Row],[TotalRevenue]]&lt;100,"Low",Table1[[#This Row],[TotalRevenue]]&lt;300,"Medium",Table1[[#This Row],[TotalRevenue]]&lt;600,"High",TRUE,"Very High")</f>
        <v>Medium</v>
      </c>
      <c r="R546" s="3" t="str" cm="1">
        <f t="array" ref="R546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546" s="3" t="str">
        <f>IF(Table1[[#This Row],[NextBillingDate]]="","Cancelled",IF(Table1[[#This Row],[CancellationDate]]&lt;&gt;"","Cancelled","Active"))</f>
        <v>Cancelled</v>
      </c>
      <c r="T546" s="7" cm="1">
        <f t="array" ref="T54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546" s="5">
        <v>45416</v>
      </c>
      <c r="W546" s="5">
        <v>45416</v>
      </c>
      <c r="X546" s="3">
        <v>0</v>
      </c>
      <c r="Y546" s="5">
        <f ca="1">IF(Table1[[#This Row],[ChurnStatus]]="Cancelled",Table1[[#This Row],[CancellationDate]],TODAY())</f>
        <v>45416</v>
      </c>
      <c r="Z546" s="46">
        <f ca="1">IF(AND(Table1[[#This Row],[SubscriptionStart]] &lt;= TODAY(), Table1[[#This Row],[EffectiveEndDate]] &gt;= TODAY()),1,0)</f>
        <v>0</v>
      </c>
      <c r="AA546" s="46">
        <f ca="1">IF(AND(Table1[[#This Row],[SubscriptionStart]]&lt;=Settings!$A$2,Table1[[#This Row],[EffectiveEndDate]]&gt;=Settings!$A$2),1,0)</f>
        <v>0</v>
      </c>
      <c r="AB546" s="46">
        <f ca="1">IF(AND(Table1[[#This Row],[SubscriptionStart]]&lt;=Settings!$B$2,Table1[[#This Row],[EffectiveEndDate]]&gt;=Settings!$B$2),1,0)</f>
        <v>0</v>
      </c>
      <c r="AC546" s="46">
        <f ca="1">IF(AND(Table1[[#This Row],[SubscriptionStart]]&lt;=Settings!$C$2,Table1[[#This Row],[EffectiveEndDate]]&gt;=Settings!$C$2),1,0)</f>
        <v>0</v>
      </c>
      <c r="AD546" s="46">
        <f ca="1">IF(AND(Table1[[#This Row],[SubscriptionStart]]&lt;=Settings!$D$2,Table1[[#This Row],[EffectiveEndDate]]&gt;=Settings!$D$2),1,0)</f>
        <v>1</v>
      </c>
      <c r="AE546" s="46">
        <f ca="1">IF(AND(Table1[[#This Row],[SubscriptionStart]]&lt;=Settings!$E$2,Table1[[#This Row],[EffectiveEndDate]]&gt;=Settings!$E$2),1,0)</f>
        <v>0</v>
      </c>
      <c r="AF546"/>
      <c r="AG546"/>
      <c r="AH546"/>
      <c r="AI546"/>
      <c r="AJ546"/>
      <c r="AK546"/>
    </row>
    <row r="547" spans="1:37">
      <c r="A547" s="3" t="s">
        <v>784</v>
      </c>
      <c r="B547" s="3">
        <v>56</v>
      </c>
      <c r="C547" s="3" t="s">
        <v>23</v>
      </c>
      <c r="D547" s="5">
        <v>45056</v>
      </c>
      <c r="E547" s="5">
        <v>45416</v>
      </c>
      <c r="F547" s="3">
        <f ca="1">TODAY() - Table1[[#This Row],[SubscriptionStart]]</f>
        <v>925</v>
      </c>
      <c r="G547" s="4">
        <v>12</v>
      </c>
      <c r="H547" s="3" t="s">
        <v>24</v>
      </c>
      <c r="I547" s="3" t="s">
        <v>30</v>
      </c>
      <c r="J547" s="7" cm="1">
        <f t="array" ref="J547">_xlfn.IFS(Table1[[#This Row],[Tier]]="Basic",10,Table1[[#This Row],[Tier]]="Standard",18,Table1[[#This Row],[Tier]]="Premium",25)</f>
        <v>10</v>
      </c>
      <c r="K547" s="7" cm="1">
        <f t="array" ref="K54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47" s="7" cm="1">
        <f t="array" ref="L54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47" s="3" t="str" cm="1">
        <f t="array" ref="M54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47" s="3" t="s">
        <v>31</v>
      </c>
      <c r="O547" s="3" t="s">
        <v>49</v>
      </c>
      <c r="P547" s="3" t="s">
        <v>41</v>
      </c>
      <c r="Q547" s="3" t="str" cm="1">
        <f t="array" ref="Q547">_xlfn.IFS(Table1[[#This Row],[TotalRevenue]]&lt;100,"Low",Table1[[#This Row],[TotalRevenue]]&lt;300,"Medium",Table1[[#This Row],[TotalRevenue]]&lt;600,"High",TRUE,"Very High")</f>
        <v>Low</v>
      </c>
      <c r="R547" s="3" t="str" cm="1">
        <f t="array" ref="R54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47" s="3" t="str">
        <f>IF(Table1[[#This Row],[NextBillingDate]]="","Cancelled",IF(Table1[[#This Row],[CancellationDate]]&lt;&gt;"","Cancelled","Active"))</f>
        <v>Cancelled</v>
      </c>
      <c r="T547" s="7" cm="1">
        <f t="array" ref="T54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47" s="5">
        <v>45416</v>
      </c>
      <c r="W547" s="5">
        <v>45416</v>
      </c>
      <c r="X547" s="3">
        <v>0</v>
      </c>
      <c r="Y547" s="5">
        <f ca="1">IF(Table1[[#This Row],[ChurnStatus]]="Cancelled",Table1[[#This Row],[CancellationDate]],TODAY())</f>
        <v>45416</v>
      </c>
      <c r="Z547" s="46">
        <f ca="1">IF(AND(Table1[[#This Row],[SubscriptionStart]] &lt;= TODAY(), Table1[[#This Row],[EffectiveEndDate]] &gt;= TODAY()),1,0)</f>
        <v>0</v>
      </c>
      <c r="AA547" s="46">
        <f ca="1">IF(AND(Table1[[#This Row],[SubscriptionStart]]&lt;=Settings!$A$2,Table1[[#This Row],[EffectiveEndDate]]&gt;=Settings!$A$2),1,0)</f>
        <v>0</v>
      </c>
      <c r="AB547" s="46">
        <f ca="1">IF(AND(Table1[[#This Row],[SubscriptionStart]]&lt;=Settings!$B$2,Table1[[#This Row],[EffectiveEndDate]]&gt;=Settings!$B$2),1,0)</f>
        <v>0</v>
      </c>
      <c r="AC547" s="46">
        <f ca="1">IF(AND(Table1[[#This Row],[SubscriptionStart]]&lt;=Settings!$C$2,Table1[[#This Row],[EffectiveEndDate]]&gt;=Settings!$C$2),1,0)</f>
        <v>0</v>
      </c>
      <c r="AD547" s="46">
        <f ca="1">IF(AND(Table1[[#This Row],[SubscriptionStart]]&lt;=Settings!$D$2,Table1[[#This Row],[EffectiveEndDate]]&gt;=Settings!$D$2),1,0)</f>
        <v>1</v>
      </c>
      <c r="AE547" s="46">
        <f ca="1">IF(AND(Table1[[#This Row],[SubscriptionStart]]&lt;=Settings!$E$2,Table1[[#This Row],[EffectiveEndDate]]&gt;=Settings!$E$2),1,0)</f>
        <v>0</v>
      </c>
      <c r="AF547"/>
      <c r="AG547"/>
      <c r="AH547"/>
      <c r="AI547"/>
      <c r="AJ547"/>
      <c r="AK547"/>
    </row>
    <row r="548" spans="1:37">
      <c r="A548" s="3" t="s">
        <v>787</v>
      </c>
      <c r="B548" s="3">
        <v>33</v>
      </c>
      <c r="C548" s="3" t="s">
        <v>23</v>
      </c>
      <c r="D548" s="5">
        <v>45057</v>
      </c>
      <c r="E548" s="5">
        <v>45087</v>
      </c>
      <c r="F548" s="3">
        <f ca="1">TODAY() - Table1[[#This Row],[SubscriptionStart]]</f>
        <v>924</v>
      </c>
      <c r="G548" s="4">
        <v>1</v>
      </c>
      <c r="H548" s="3" t="s">
        <v>29</v>
      </c>
      <c r="I548" s="3" t="s">
        <v>25</v>
      </c>
      <c r="J548" s="7" cm="1">
        <f t="array" ref="J548">_xlfn.IFS(Table1[[#This Row],[Tier]]="Basic",10,Table1[[#This Row],[Tier]]="Standard",18,Table1[[#This Row],[Tier]]="Premium",25)</f>
        <v>25</v>
      </c>
      <c r="K548" s="7" cm="1">
        <f t="array" ref="K54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548" s="7" cm="1">
        <f t="array" ref="L54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548" s="3" t="str" cm="1">
        <f t="array" ref="M54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48" s="3" t="s">
        <v>34</v>
      </c>
      <c r="O548" s="3" t="s">
        <v>40</v>
      </c>
      <c r="P548" s="3" t="s">
        <v>44</v>
      </c>
      <c r="Q548" s="3" t="str" cm="1">
        <f t="array" ref="Q548">_xlfn.IFS(Table1[[#This Row],[TotalRevenue]]&lt;100,"Low",Table1[[#This Row],[TotalRevenue]]&lt;300,"Medium",Table1[[#This Row],[TotalRevenue]]&lt;600,"High",TRUE,"Very High")</f>
        <v>Low</v>
      </c>
      <c r="R548" s="3" t="str" cm="1">
        <f t="array" ref="R54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48" s="3" t="str">
        <f>IF(Table1[[#This Row],[NextBillingDate]]="","Cancelled",IF(Table1[[#This Row],[CancellationDate]]&lt;&gt;"","Cancelled","Active"))</f>
        <v>Cancelled</v>
      </c>
      <c r="T548" s="7" cm="1">
        <f t="array" ref="T54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548" s="5">
        <v>45087</v>
      </c>
      <c r="W548" s="5">
        <v>45087</v>
      </c>
      <c r="X548" s="3">
        <v>0</v>
      </c>
      <c r="Y548" s="5">
        <f ca="1">IF(Table1[[#This Row],[ChurnStatus]]="Cancelled",Table1[[#This Row],[CancellationDate]],TODAY())</f>
        <v>45087</v>
      </c>
      <c r="Z548" s="46">
        <f ca="1">IF(AND(Table1[[#This Row],[SubscriptionStart]] &lt;= TODAY(), Table1[[#This Row],[EffectiveEndDate]] &gt;= TODAY()),1,0)</f>
        <v>0</v>
      </c>
      <c r="AA548" s="46">
        <f ca="1">IF(AND(Table1[[#This Row],[SubscriptionStart]]&lt;=Settings!$A$2,Table1[[#This Row],[EffectiveEndDate]]&gt;=Settings!$A$2),1,0)</f>
        <v>0</v>
      </c>
      <c r="AB548" s="46">
        <f ca="1">IF(AND(Table1[[#This Row],[SubscriptionStart]]&lt;=Settings!$B$2,Table1[[#This Row],[EffectiveEndDate]]&gt;=Settings!$B$2),1,0)</f>
        <v>0</v>
      </c>
      <c r="AC548" s="46">
        <f ca="1">IF(AND(Table1[[#This Row],[SubscriptionStart]]&lt;=Settings!$C$2,Table1[[#This Row],[EffectiveEndDate]]&gt;=Settings!$C$2),1,0)</f>
        <v>0</v>
      </c>
      <c r="AD548" s="46">
        <f ca="1">IF(AND(Table1[[#This Row],[SubscriptionStart]]&lt;=Settings!$D$2,Table1[[#This Row],[EffectiveEndDate]]&gt;=Settings!$D$2),1,0)</f>
        <v>1</v>
      </c>
      <c r="AE548" s="46">
        <f ca="1">IF(AND(Table1[[#This Row],[SubscriptionStart]]&lt;=Settings!$E$2,Table1[[#This Row],[EffectiveEndDate]]&gt;=Settings!$E$2),1,0)</f>
        <v>0</v>
      </c>
      <c r="AF548"/>
      <c r="AG548"/>
      <c r="AH548"/>
      <c r="AI548"/>
      <c r="AJ548"/>
      <c r="AK548"/>
    </row>
    <row r="549" spans="1:37">
      <c r="A549" s="3" t="s">
        <v>390</v>
      </c>
      <c r="B549" s="3">
        <v>40</v>
      </c>
      <c r="C549" s="3" t="s">
        <v>23</v>
      </c>
      <c r="D549" s="5">
        <v>45058</v>
      </c>
      <c r="E549" s="5">
        <v>45088</v>
      </c>
      <c r="F549" s="3">
        <f ca="1">TODAY() - Table1[[#This Row],[SubscriptionStart]]</f>
        <v>923</v>
      </c>
      <c r="G549" s="4">
        <v>1</v>
      </c>
      <c r="H549" s="3" t="s">
        <v>29</v>
      </c>
      <c r="I549" s="3" t="s">
        <v>39</v>
      </c>
      <c r="J549" s="7" cm="1">
        <f t="array" ref="J549">_xlfn.IFS(Table1[[#This Row],[Tier]]="Basic",10,Table1[[#This Row],[Tier]]="Standard",18,Table1[[#This Row],[Tier]]="Premium",25)</f>
        <v>18</v>
      </c>
      <c r="K549" s="7" cm="1">
        <f t="array" ref="K54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549" s="7" cm="1">
        <f t="array" ref="L54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549" s="3" t="str" cm="1">
        <f t="array" ref="M54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49" s="3" t="s">
        <v>34</v>
      </c>
      <c r="O549" s="3" t="s">
        <v>27</v>
      </c>
      <c r="P549" s="3" t="s">
        <v>35</v>
      </c>
      <c r="Q549" s="3" t="str" cm="1">
        <f t="array" ref="Q549">_xlfn.IFS(Table1[[#This Row],[TotalRevenue]]&lt;100,"Low",Table1[[#This Row],[TotalRevenue]]&lt;300,"Medium",Table1[[#This Row],[TotalRevenue]]&lt;600,"High",TRUE,"Very High")</f>
        <v>Low</v>
      </c>
      <c r="R549" s="3" t="str" cm="1">
        <f t="array" ref="R54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49" s="3" t="str">
        <f>IF(Table1[[#This Row],[NextBillingDate]]="","Cancelled",IF(Table1[[#This Row],[CancellationDate]]&lt;&gt;"","Cancelled","Active"))</f>
        <v>Cancelled</v>
      </c>
      <c r="T549" s="7" cm="1">
        <f t="array" ref="T54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549" s="5">
        <v>45088</v>
      </c>
      <c r="W549" s="5">
        <v>45088</v>
      </c>
      <c r="X549" s="3">
        <v>0</v>
      </c>
      <c r="Y549" s="5">
        <f ca="1">IF(Table1[[#This Row],[ChurnStatus]]="Cancelled",Table1[[#This Row],[CancellationDate]],TODAY())</f>
        <v>45088</v>
      </c>
      <c r="Z549" s="46">
        <f ca="1">IF(AND(Table1[[#This Row],[SubscriptionStart]] &lt;= TODAY(), Table1[[#This Row],[EffectiveEndDate]] &gt;= TODAY()),1,0)</f>
        <v>0</v>
      </c>
      <c r="AA549" s="46">
        <f ca="1">IF(AND(Table1[[#This Row],[SubscriptionStart]]&lt;=Settings!$A$2,Table1[[#This Row],[EffectiveEndDate]]&gt;=Settings!$A$2),1,0)</f>
        <v>0</v>
      </c>
      <c r="AB549" s="46">
        <f ca="1">IF(AND(Table1[[#This Row],[SubscriptionStart]]&lt;=Settings!$B$2,Table1[[#This Row],[EffectiveEndDate]]&gt;=Settings!$B$2),1,0)</f>
        <v>0</v>
      </c>
      <c r="AC549" s="46">
        <f ca="1">IF(AND(Table1[[#This Row],[SubscriptionStart]]&lt;=Settings!$C$2,Table1[[#This Row],[EffectiveEndDate]]&gt;=Settings!$C$2),1,0)</f>
        <v>0</v>
      </c>
      <c r="AD549" s="46">
        <f ca="1">IF(AND(Table1[[#This Row],[SubscriptionStart]]&lt;=Settings!$D$2,Table1[[#This Row],[EffectiveEndDate]]&gt;=Settings!$D$2),1,0)</f>
        <v>1</v>
      </c>
      <c r="AE549" s="46">
        <f ca="1">IF(AND(Table1[[#This Row],[SubscriptionStart]]&lt;=Settings!$E$2,Table1[[#This Row],[EffectiveEndDate]]&gt;=Settings!$E$2),1,0)</f>
        <v>0</v>
      </c>
      <c r="AF549"/>
      <c r="AG549"/>
      <c r="AH549"/>
      <c r="AI549"/>
      <c r="AJ549"/>
      <c r="AK549"/>
    </row>
    <row r="550" spans="1:37">
      <c r="A550" s="3" t="s">
        <v>400</v>
      </c>
      <c r="B550" s="3">
        <v>56</v>
      </c>
      <c r="C550" s="3" t="s">
        <v>37</v>
      </c>
      <c r="D550" s="5">
        <v>45058</v>
      </c>
      <c r="E550" s="5">
        <v>45088</v>
      </c>
      <c r="F550" s="3">
        <f ca="1">TODAY() - Table1[[#This Row],[SubscriptionStart]]</f>
        <v>923</v>
      </c>
      <c r="G550" s="4">
        <v>1</v>
      </c>
      <c r="H550" s="3" t="s">
        <v>29</v>
      </c>
      <c r="I550" s="3" t="s">
        <v>25</v>
      </c>
      <c r="J550" s="7" cm="1">
        <f t="array" ref="J550">_xlfn.IFS(Table1[[#This Row],[Tier]]="Basic",10,Table1[[#This Row],[Tier]]="Standard",18,Table1[[#This Row],[Tier]]="Premium",25)</f>
        <v>25</v>
      </c>
      <c r="K550" s="7" cm="1">
        <f t="array" ref="K55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550" s="7" cm="1">
        <f t="array" ref="L55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550" s="3" t="str" cm="1">
        <f t="array" ref="M55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50" s="3" t="s">
        <v>34</v>
      </c>
      <c r="O550" s="3" t="s">
        <v>32</v>
      </c>
      <c r="P550" s="3" t="s">
        <v>50</v>
      </c>
      <c r="Q550" s="3" t="str" cm="1">
        <f t="array" ref="Q550">_xlfn.IFS(Table1[[#This Row],[TotalRevenue]]&lt;100,"Low",Table1[[#This Row],[TotalRevenue]]&lt;300,"Medium",Table1[[#This Row],[TotalRevenue]]&lt;600,"High",TRUE,"Very High")</f>
        <v>Low</v>
      </c>
      <c r="R550" s="3" t="str" cm="1">
        <f t="array" ref="R55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50" s="3" t="str">
        <f>IF(Table1[[#This Row],[NextBillingDate]]="","Cancelled",IF(Table1[[#This Row],[CancellationDate]]&lt;&gt;"","Cancelled","Active"))</f>
        <v>Cancelled</v>
      </c>
      <c r="T550" s="7" cm="1">
        <f t="array" ref="T55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550" s="5">
        <v>45088</v>
      </c>
      <c r="W550" s="5">
        <v>45088</v>
      </c>
      <c r="X550" s="3">
        <v>0</v>
      </c>
      <c r="Y550" s="5">
        <f ca="1">IF(Table1[[#This Row],[ChurnStatus]]="Cancelled",Table1[[#This Row],[CancellationDate]],TODAY())</f>
        <v>45088</v>
      </c>
      <c r="Z550" s="46">
        <f ca="1">IF(AND(Table1[[#This Row],[SubscriptionStart]] &lt;= TODAY(), Table1[[#This Row],[EffectiveEndDate]] &gt;= TODAY()),1,0)</f>
        <v>0</v>
      </c>
      <c r="AA550" s="46">
        <f ca="1">IF(AND(Table1[[#This Row],[SubscriptionStart]]&lt;=Settings!$A$2,Table1[[#This Row],[EffectiveEndDate]]&gt;=Settings!$A$2),1,0)</f>
        <v>0</v>
      </c>
      <c r="AB550" s="46">
        <f ca="1">IF(AND(Table1[[#This Row],[SubscriptionStart]]&lt;=Settings!$B$2,Table1[[#This Row],[EffectiveEndDate]]&gt;=Settings!$B$2),1,0)</f>
        <v>0</v>
      </c>
      <c r="AC550" s="46">
        <f ca="1">IF(AND(Table1[[#This Row],[SubscriptionStart]]&lt;=Settings!$C$2,Table1[[#This Row],[EffectiveEndDate]]&gt;=Settings!$C$2),1,0)</f>
        <v>0</v>
      </c>
      <c r="AD550" s="46">
        <f ca="1">IF(AND(Table1[[#This Row],[SubscriptionStart]]&lt;=Settings!$D$2,Table1[[#This Row],[EffectiveEndDate]]&gt;=Settings!$D$2),1,0)</f>
        <v>1</v>
      </c>
      <c r="AE550" s="46">
        <f ca="1">IF(AND(Table1[[#This Row],[SubscriptionStart]]&lt;=Settings!$E$2,Table1[[#This Row],[EffectiveEndDate]]&gt;=Settings!$E$2),1,0)</f>
        <v>0</v>
      </c>
      <c r="AF550"/>
      <c r="AG550"/>
      <c r="AH550"/>
      <c r="AI550"/>
      <c r="AJ550"/>
      <c r="AK550"/>
    </row>
    <row r="551" spans="1:37">
      <c r="A551" s="3" t="s">
        <v>696</v>
      </c>
      <c r="B551" s="3">
        <v>56</v>
      </c>
      <c r="C551" s="3" t="s">
        <v>23</v>
      </c>
      <c r="D551" s="5">
        <v>45058</v>
      </c>
      <c r="F551" s="3">
        <f ca="1">TODAY() - Table1[[#This Row],[SubscriptionStart]]</f>
        <v>923</v>
      </c>
      <c r="G551" s="4">
        <v>31</v>
      </c>
      <c r="H551" s="3" t="s">
        <v>29</v>
      </c>
      <c r="I551" s="3" t="s">
        <v>25</v>
      </c>
      <c r="J551" s="7" cm="1">
        <f t="array" ref="J551">_xlfn.IFS(Table1[[#This Row],[Tier]]="Basic",10,Table1[[#This Row],[Tier]]="Standard",18,Table1[[#This Row],[Tier]]="Premium",25)</f>
        <v>25</v>
      </c>
      <c r="K551" s="7" cm="1">
        <f t="array" ref="K55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551" s="7" cm="1">
        <f t="array" ref="L55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722.5</v>
      </c>
      <c r="M551" s="3" t="str" cm="1">
        <f t="array" ref="M551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51" s="3" t="s">
        <v>26</v>
      </c>
      <c r="O551" s="3" t="s">
        <v>40</v>
      </c>
      <c r="Q551" s="3" t="str" cm="1">
        <f t="array" ref="Q551">_xlfn.IFS(Table1[[#This Row],[TotalRevenue]]&lt;100,"Low",Table1[[#This Row],[TotalRevenue]]&lt;300,"Medium",Table1[[#This Row],[TotalRevenue]]&lt;600,"High",TRUE,"Very High")</f>
        <v>Very High</v>
      </c>
      <c r="R551" s="3" t="str" cm="1">
        <f t="array" ref="R55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51" s="3" t="str">
        <f>IF(Table1[[#This Row],[NextBillingDate]]="","Cancelled",IF(Table1[[#This Row],[CancellationDate]]&lt;&gt;"","Cancelled","Active"))</f>
        <v>Active</v>
      </c>
      <c r="T551" s="7" cm="1">
        <f t="array" ref="T55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747.5</v>
      </c>
      <c r="V551" s="5">
        <v>45988</v>
      </c>
      <c r="W551" s="5">
        <v>45988</v>
      </c>
      <c r="X551" s="3">
        <v>30</v>
      </c>
      <c r="Y551" s="5">
        <f ca="1">IF(Table1[[#This Row],[ChurnStatus]]="Cancelled",Table1[[#This Row],[CancellationDate]],TODAY())</f>
        <v>45981</v>
      </c>
      <c r="Z551" s="46">
        <f ca="1">IF(AND(Table1[[#This Row],[SubscriptionStart]] &lt;= TODAY(), Table1[[#This Row],[EffectiveEndDate]] &gt;= TODAY()),1,0)</f>
        <v>1</v>
      </c>
      <c r="AA551" s="46">
        <f ca="1">IF(AND(Table1[[#This Row],[SubscriptionStart]]&lt;=Settings!$A$2,Table1[[#This Row],[EffectiveEndDate]]&gt;=Settings!$A$2),1,0)</f>
        <v>0</v>
      </c>
      <c r="AB551" s="46">
        <f ca="1">IF(AND(Table1[[#This Row],[SubscriptionStart]]&lt;=Settings!$B$2,Table1[[#This Row],[EffectiveEndDate]]&gt;=Settings!$B$2),1,0)</f>
        <v>0</v>
      </c>
      <c r="AC551" s="46">
        <f ca="1">IF(AND(Table1[[#This Row],[SubscriptionStart]]&lt;=Settings!$C$2,Table1[[#This Row],[EffectiveEndDate]]&gt;=Settings!$C$2),1,0)</f>
        <v>0</v>
      </c>
      <c r="AD551" s="46">
        <f ca="1">IF(AND(Table1[[#This Row],[SubscriptionStart]]&lt;=Settings!$D$2,Table1[[#This Row],[EffectiveEndDate]]&gt;=Settings!$D$2),1,0)</f>
        <v>1</v>
      </c>
      <c r="AE551" s="46">
        <f ca="1">IF(AND(Table1[[#This Row],[SubscriptionStart]]&lt;=Settings!$E$2,Table1[[#This Row],[EffectiveEndDate]]&gt;=Settings!$E$2),1,0)</f>
        <v>1</v>
      </c>
      <c r="AF551"/>
      <c r="AG551"/>
      <c r="AH551"/>
      <c r="AI551"/>
      <c r="AJ551"/>
      <c r="AK551"/>
    </row>
    <row r="552" spans="1:37">
      <c r="A552" s="3" t="s">
        <v>337</v>
      </c>
      <c r="B552" s="3">
        <v>56</v>
      </c>
      <c r="C552" s="3" t="s">
        <v>37</v>
      </c>
      <c r="D552" s="5">
        <v>45060</v>
      </c>
      <c r="E552" s="5">
        <v>45420</v>
      </c>
      <c r="F552" s="3">
        <f ca="1">TODAY() - Table1[[#This Row],[SubscriptionStart]]</f>
        <v>921</v>
      </c>
      <c r="G552" s="4">
        <v>12</v>
      </c>
      <c r="H552" s="3" t="s">
        <v>24</v>
      </c>
      <c r="I552" s="3" t="s">
        <v>30</v>
      </c>
      <c r="J552" s="7" cm="1">
        <f t="array" ref="J552">_xlfn.IFS(Table1[[#This Row],[Tier]]="Basic",10,Table1[[#This Row],[Tier]]="Standard",18,Table1[[#This Row],[Tier]]="Premium",25)</f>
        <v>10</v>
      </c>
      <c r="K552" s="7" cm="1">
        <f t="array" ref="K55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52" s="7" cm="1">
        <f t="array" ref="L55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52" s="3" t="str" cm="1">
        <f t="array" ref="M552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52" s="3" t="s">
        <v>31</v>
      </c>
      <c r="O552" s="3" t="s">
        <v>32</v>
      </c>
      <c r="P552" s="3" t="s">
        <v>41</v>
      </c>
      <c r="Q552" s="3" t="str" cm="1">
        <f t="array" ref="Q552">_xlfn.IFS(Table1[[#This Row],[TotalRevenue]]&lt;100,"Low",Table1[[#This Row],[TotalRevenue]]&lt;300,"Medium",Table1[[#This Row],[TotalRevenue]]&lt;600,"High",TRUE,"Very High")</f>
        <v>Low</v>
      </c>
      <c r="R552" s="3" t="str" cm="1">
        <f t="array" ref="R55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52" s="3" t="str">
        <f>IF(Table1[[#This Row],[NextBillingDate]]="","Cancelled",IF(Table1[[#This Row],[CancellationDate]]&lt;&gt;"","Cancelled","Active"))</f>
        <v>Cancelled</v>
      </c>
      <c r="T552" s="7" cm="1">
        <f t="array" ref="T55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52" s="5">
        <v>45420</v>
      </c>
      <c r="W552" s="5">
        <v>45420</v>
      </c>
      <c r="X552" s="3">
        <v>0</v>
      </c>
      <c r="Y552" s="5">
        <f ca="1">IF(Table1[[#This Row],[ChurnStatus]]="Cancelled",Table1[[#This Row],[CancellationDate]],TODAY())</f>
        <v>45420</v>
      </c>
      <c r="Z552" s="46">
        <f ca="1">IF(AND(Table1[[#This Row],[SubscriptionStart]] &lt;= TODAY(), Table1[[#This Row],[EffectiveEndDate]] &gt;= TODAY()),1,0)</f>
        <v>0</v>
      </c>
      <c r="AA552" s="46">
        <f ca="1">IF(AND(Table1[[#This Row],[SubscriptionStart]]&lt;=Settings!$A$2,Table1[[#This Row],[EffectiveEndDate]]&gt;=Settings!$A$2),1,0)</f>
        <v>0</v>
      </c>
      <c r="AB552" s="46">
        <f ca="1">IF(AND(Table1[[#This Row],[SubscriptionStart]]&lt;=Settings!$B$2,Table1[[#This Row],[EffectiveEndDate]]&gt;=Settings!$B$2),1,0)</f>
        <v>0</v>
      </c>
      <c r="AC552" s="46">
        <f ca="1">IF(AND(Table1[[#This Row],[SubscriptionStart]]&lt;=Settings!$C$2,Table1[[#This Row],[EffectiveEndDate]]&gt;=Settings!$C$2),1,0)</f>
        <v>0</v>
      </c>
      <c r="AD552" s="46">
        <f ca="1">IF(AND(Table1[[#This Row],[SubscriptionStart]]&lt;=Settings!$D$2,Table1[[#This Row],[EffectiveEndDate]]&gt;=Settings!$D$2),1,0)</f>
        <v>1</v>
      </c>
      <c r="AE552" s="46">
        <f ca="1">IF(AND(Table1[[#This Row],[SubscriptionStart]]&lt;=Settings!$E$2,Table1[[#This Row],[EffectiveEndDate]]&gt;=Settings!$E$2),1,0)</f>
        <v>0</v>
      </c>
      <c r="AF552"/>
      <c r="AG552"/>
      <c r="AH552"/>
      <c r="AI552"/>
      <c r="AJ552"/>
      <c r="AK552"/>
    </row>
    <row r="553" spans="1:37">
      <c r="A553" s="3" t="s">
        <v>409</v>
      </c>
      <c r="B553" s="3">
        <v>33</v>
      </c>
      <c r="C553" s="3" t="s">
        <v>37</v>
      </c>
      <c r="D553" s="5">
        <v>45060</v>
      </c>
      <c r="E553" s="5">
        <v>45420</v>
      </c>
      <c r="F553" s="3">
        <f ca="1">TODAY() - Table1[[#This Row],[SubscriptionStart]]</f>
        <v>921</v>
      </c>
      <c r="G553" s="4">
        <v>12</v>
      </c>
      <c r="H553" s="3" t="s">
        <v>24</v>
      </c>
      <c r="I553" s="3" t="s">
        <v>25</v>
      </c>
      <c r="J553" s="7" cm="1">
        <f t="array" ref="J553">_xlfn.IFS(Table1[[#This Row],[Tier]]="Basic",10,Table1[[#This Row],[Tier]]="Standard",18,Table1[[#This Row],[Tier]]="Premium",25)</f>
        <v>25</v>
      </c>
      <c r="K553" s="7" cm="1">
        <f t="array" ref="K55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53" s="7" cm="1">
        <f t="array" ref="L55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53" s="3" t="str" cm="1">
        <f t="array" ref="M55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53" s="3" t="s">
        <v>52</v>
      </c>
      <c r="O553" s="3" t="s">
        <v>43</v>
      </c>
      <c r="P553" s="3" t="s">
        <v>35</v>
      </c>
      <c r="Q553" s="3" t="str" cm="1">
        <f t="array" ref="Q553">_xlfn.IFS(Table1[[#This Row],[TotalRevenue]]&lt;100,"Low",Table1[[#This Row],[TotalRevenue]]&lt;300,"Medium",Table1[[#This Row],[TotalRevenue]]&lt;600,"High",TRUE,"Very High")</f>
        <v>Medium</v>
      </c>
      <c r="R553" s="3" t="str" cm="1">
        <f t="array" ref="R55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53" s="3" t="str">
        <f>IF(Table1[[#This Row],[NextBillingDate]]="","Cancelled",IF(Table1[[#This Row],[CancellationDate]]&lt;&gt;"","Cancelled","Active"))</f>
        <v>Cancelled</v>
      </c>
      <c r="T553" s="7" cm="1">
        <f t="array" ref="T55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53" s="5">
        <v>45420</v>
      </c>
      <c r="W553" s="5">
        <v>45420</v>
      </c>
      <c r="X553" s="3">
        <v>0</v>
      </c>
      <c r="Y553" s="5">
        <f ca="1">IF(Table1[[#This Row],[ChurnStatus]]="Cancelled",Table1[[#This Row],[CancellationDate]],TODAY())</f>
        <v>45420</v>
      </c>
      <c r="Z553" s="46">
        <f ca="1">IF(AND(Table1[[#This Row],[SubscriptionStart]] &lt;= TODAY(), Table1[[#This Row],[EffectiveEndDate]] &gt;= TODAY()),1,0)</f>
        <v>0</v>
      </c>
      <c r="AA553" s="46">
        <f ca="1">IF(AND(Table1[[#This Row],[SubscriptionStart]]&lt;=Settings!$A$2,Table1[[#This Row],[EffectiveEndDate]]&gt;=Settings!$A$2),1,0)</f>
        <v>0</v>
      </c>
      <c r="AB553" s="46">
        <f ca="1">IF(AND(Table1[[#This Row],[SubscriptionStart]]&lt;=Settings!$B$2,Table1[[#This Row],[EffectiveEndDate]]&gt;=Settings!$B$2),1,0)</f>
        <v>0</v>
      </c>
      <c r="AC553" s="46">
        <f ca="1">IF(AND(Table1[[#This Row],[SubscriptionStart]]&lt;=Settings!$C$2,Table1[[#This Row],[EffectiveEndDate]]&gt;=Settings!$C$2),1,0)</f>
        <v>0</v>
      </c>
      <c r="AD553" s="46">
        <f ca="1">IF(AND(Table1[[#This Row],[SubscriptionStart]]&lt;=Settings!$D$2,Table1[[#This Row],[EffectiveEndDate]]&gt;=Settings!$D$2),1,0)</f>
        <v>1</v>
      </c>
      <c r="AE553" s="46">
        <f ca="1">IF(AND(Table1[[#This Row],[SubscriptionStart]]&lt;=Settings!$E$2,Table1[[#This Row],[EffectiveEndDate]]&gt;=Settings!$E$2),1,0)</f>
        <v>0</v>
      </c>
      <c r="AF553"/>
      <c r="AG553"/>
      <c r="AH553"/>
      <c r="AI553"/>
      <c r="AJ553"/>
      <c r="AK553"/>
    </row>
    <row r="554" spans="1:37">
      <c r="A554" s="3" t="s">
        <v>731</v>
      </c>
      <c r="B554" s="3">
        <v>25</v>
      </c>
      <c r="C554" s="3" t="s">
        <v>37</v>
      </c>
      <c r="D554" s="5">
        <v>45060</v>
      </c>
      <c r="E554" s="5">
        <v>45420</v>
      </c>
      <c r="F554" s="3">
        <f ca="1">TODAY() - Table1[[#This Row],[SubscriptionStart]]</f>
        <v>921</v>
      </c>
      <c r="G554" s="4">
        <v>12</v>
      </c>
      <c r="H554" s="3" t="s">
        <v>24</v>
      </c>
      <c r="I554" s="3" t="s">
        <v>39</v>
      </c>
      <c r="J554" s="7" cm="1">
        <f t="array" ref="J554">_xlfn.IFS(Table1[[#This Row],[Tier]]="Basic",10,Table1[[#This Row],[Tier]]="Standard",18,Table1[[#This Row],[Tier]]="Premium",25)</f>
        <v>18</v>
      </c>
      <c r="K554" s="7" cm="1">
        <f t="array" ref="K55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554" s="7" cm="1">
        <f t="array" ref="L55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554" s="3" t="str" cm="1">
        <f t="array" ref="M554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54" s="3" t="s">
        <v>52</v>
      </c>
      <c r="O554" s="3" t="s">
        <v>40</v>
      </c>
      <c r="P554" s="3" t="s">
        <v>44</v>
      </c>
      <c r="Q554" s="3" t="str" cm="1">
        <f t="array" ref="Q554">_xlfn.IFS(Table1[[#This Row],[TotalRevenue]]&lt;100,"Low",Table1[[#This Row],[TotalRevenue]]&lt;300,"Medium",Table1[[#This Row],[TotalRevenue]]&lt;600,"High",TRUE,"Very High")</f>
        <v>Medium</v>
      </c>
      <c r="R554" s="3" t="str" cm="1">
        <f t="array" ref="R554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54" s="3" t="str">
        <f>IF(Table1[[#This Row],[NextBillingDate]]="","Cancelled",IF(Table1[[#This Row],[CancellationDate]]&lt;&gt;"","Cancelled","Active"))</f>
        <v>Cancelled</v>
      </c>
      <c r="T554" s="7" cm="1">
        <f t="array" ref="T55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554" s="5">
        <v>45420</v>
      </c>
      <c r="W554" s="5">
        <v>45420</v>
      </c>
      <c r="X554" s="3">
        <v>0</v>
      </c>
      <c r="Y554" s="5">
        <f ca="1">IF(Table1[[#This Row],[ChurnStatus]]="Cancelled",Table1[[#This Row],[CancellationDate]],TODAY())</f>
        <v>45420</v>
      </c>
      <c r="Z554" s="46">
        <f ca="1">IF(AND(Table1[[#This Row],[SubscriptionStart]] &lt;= TODAY(), Table1[[#This Row],[EffectiveEndDate]] &gt;= TODAY()),1,0)</f>
        <v>0</v>
      </c>
      <c r="AA554" s="46">
        <f ca="1">IF(AND(Table1[[#This Row],[SubscriptionStart]]&lt;=Settings!$A$2,Table1[[#This Row],[EffectiveEndDate]]&gt;=Settings!$A$2),1,0)</f>
        <v>0</v>
      </c>
      <c r="AB554" s="46">
        <f ca="1">IF(AND(Table1[[#This Row],[SubscriptionStart]]&lt;=Settings!$B$2,Table1[[#This Row],[EffectiveEndDate]]&gt;=Settings!$B$2),1,0)</f>
        <v>0</v>
      </c>
      <c r="AC554" s="46">
        <f ca="1">IF(AND(Table1[[#This Row],[SubscriptionStart]]&lt;=Settings!$C$2,Table1[[#This Row],[EffectiveEndDate]]&gt;=Settings!$C$2),1,0)</f>
        <v>0</v>
      </c>
      <c r="AD554" s="46">
        <f ca="1">IF(AND(Table1[[#This Row],[SubscriptionStart]]&lt;=Settings!$D$2,Table1[[#This Row],[EffectiveEndDate]]&gt;=Settings!$D$2),1,0)</f>
        <v>1</v>
      </c>
      <c r="AE554" s="46">
        <f ca="1">IF(AND(Table1[[#This Row],[SubscriptionStart]]&lt;=Settings!$E$2,Table1[[#This Row],[EffectiveEndDate]]&gt;=Settings!$E$2),1,0)</f>
        <v>0</v>
      </c>
      <c r="AF554"/>
      <c r="AG554"/>
      <c r="AH554"/>
      <c r="AI554"/>
      <c r="AJ554"/>
      <c r="AK554"/>
    </row>
    <row r="555" spans="1:37">
      <c r="A555" s="3" t="s">
        <v>370</v>
      </c>
      <c r="B555" s="3">
        <v>22</v>
      </c>
      <c r="C555" s="3" t="s">
        <v>23</v>
      </c>
      <c r="D555" s="5">
        <v>45060</v>
      </c>
      <c r="F555" s="3">
        <f ca="1">TODAY() - Table1[[#This Row],[SubscriptionStart]]</f>
        <v>921</v>
      </c>
      <c r="G555" s="4">
        <v>36</v>
      </c>
      <c r="H555" s="3" t="s">
        <v>24</v>
      </c>
      <c r="I555" s="3" t="s">
        <v>30</v>
      </c>
      <c r="J555" s="7" cm="1">
        <f t="array" ref="J555">_xlfn.IFS(Table1[[#This Row],[Tier]]="Basic",10,Table1[[#This Row],[Tier]]="Standard",18,Table1[[#This Row],[Tier]]="Premium",25)</f>
        <v>10</v>
      </c>
      <c r="K555" s="7" cm="1">
        <f t="array" ref="K55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555" s="7" cm="1">
        <f t="array" ref="L55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232</v>
      </c>
      <c r="M555" s="3" t="str" cm="1">
        <f t="array" ref="M555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55" s="3" t="s">
        <v>26</v>
      </c>
      <c r="O555" s="3" t="s">
        <v>43</v>
      </c>
      <c r="Q555" s="3" t="str" cm="1">
        <f t="array" ref="Q555">_xlfn.IFS(Table1[[#This Row],[TotalRevenue]]&lt;100,"Low",Table1[[#This Row],[TotalRevenue]]&lt;300,"Medium",Table1[[#This Row],[TotalRevenue]]&lt;600,"High",TRUE,"Very High")</f>
        <v>Medium</v>
      </c>
      <c r="R555" s="3" t="str" cm="1">
        <f t="array" ref="R555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55" s="3" t="str">
        <f>IF(Table1[[#This Row],[NextBillingDate]]="","Cancelled",IF(Table1[[#This Row],[CancellationDate]]&lt;&gt;"","Cancelled","Active"))</f>
        <v>Active</v>
      </c>
      <c r="T555" s="7" cm="1">
        <f t="array" ref="T55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312</v>
      </c>
      <c r="V555" s="5">
        <v>46140</v>
      </c>
      <c r="W555" s="5">
        <v>46140</v>
      </c>
      <c r="X555" s="3">
        <v>2</v>
      </c>
      <c r="Y555" s="5">
        <f ca="1">IF(Table1[[#This Row],[ChurnStatus]]="Cancelled",Table1[[#This Row],[CancellationDate]],TODAY())</f>
        <v>45981</v>
      </c>
      <c r="Z555" s="46">
        <f ca="1">IF(AND(Table1[[#This Row],[SubscriptionStart]] &lt;= TODAY(), Table1[[#This Row],[EffectiveEndDate]] &gt;= TODAY()),1,0)</f>
        <v>1</v>
      </c>
      <c r="AA555" s="46">
        <f ca="1">IF(AND(Table1[[#This Row],[SubscriptionStart]]&lt;=Settings!$A$2,Table1[[#This Row],[EffectiveEndDate]]&gt;=Settings!$A$2),1,0)</f>
        <v>0</v>
      </c>
      <c r="AB555" s="46">
        <f ca="1">IF(AND(Table1[[#This Row],[SubscriptionStart]]&lt;=Settings!$B$2,Table1[[#This Row],[EffectiveEndDate]]&gt;=Settings!$B$2),1,0)</f>
        <v>0</v>
      </c>
      <c r="AC555" s="46">
        <f ca="1">IF(AND(Table1[[#This Row],[SubscriptionStart]]&lt;=Settings!$C$2,Table1[[#This Row],[EffectiveEndDate]]&gt;=Settings!$C$2),1,0)</f>
        <v>0</v>
      </c>
      <c r="AD555" s="46">
        <f ca="1">IF(AND(Table1[[#This Row],[SubscriptionStart]]&lt;=Settings!$D$2,Table1[[#This Row],[EffectiveEndDate]]&gt;=Settings!$D$2),1,0)</f>
        <v>1</v>
      </c>
      <c r="AE555" s="46">
        <f ca="1">IF(AND(Table1[[#This Row],[SubscriptionStart]]&lt;=Settings!$E$2,Table1[[#This Row],[EffectiveEndDate]]&gt;=Settings!$E$2),1,0)</f>
        <v>1</v>
      </c>
      <c r="AF555"/>
      <c r="AG555"/>
      <c r="AH555"/>
      <c r="AI555"/>
      <c r="AJ555"/>
      <c r="AK555"/>
    </row>
    <row r="556" spans="1:37">
      <c r="A556" s="3" t="s">
        <v>222</v>
      </c>
      <c r="B556" s="3">
        <v>30</v>
      </c>
      <c r="C556" s="3" t="s">
        <v>23</v>
      </c>
      <c r="D556" s="5">
        <v>45061</v>
      </c>
      <c r="E556" s="5">
        <v>45241</v>
      </c>
      <c r="F556" s="3">
        <f ca="1">TODAY() - Table1[[#This Row],[SubscriptionStart]]</f>
        <v>920</v>
      </c>
      <c r="G556" s="4">
        <v>6</v>
      </c>
      <c r="H556" s="3" t="s">
        <v>38</v>
      </c>
      <c r="I556" s="3" t="s">
        <v>30</v>
      </c>
      <c r="J556" s="7" cm="1">
        <f t="array" ref="J556">_xlfn.IFS(Table1[[#This Row],[Tier]]="Basic",10,Table1[[#This Row],[Tier]]="Standard",18,Table1[[#This Row],[Tier]]="Premium",25)</f>
        <v>10</v>
      </c>
      <c r="K556" s="7" cm="1">
        <f t="array" ref="K55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556" s="7" cm="1">
        <f t="array" ref="L55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556" s="3" t="str" cm="1">
        <f t="array" ref="M55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56" s="3" t="s">
        <v>26</v>
      </c>
      <c r="O556" s="3" t="s">
        <v>32</v>
      </c>
      <c r="P556" s="3" t="s">
        <v>50</v>
      </c>
      <c r="Q556" s="3" t="str" cm="1">
        <f t="array" ref="Q556">_xlfn.IFS(Table1[[#This Row],[TotalRevenue]]&lt;100,"Low",Table1[[#This Row],[TotalRevenue]]&lt;300,"Medium",Table1[[#This Row],[TotalRevenue]]&lt;600,"High",TRUE,"Very High")</f>
        <v>Low</v>
      </c>
      <c r="R556" s="3" t="str" cm="1">
        <f t="array" ref="R55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56" s="3" t="str">
        <f>IF(Table1[[#This Row],[NextBillingDate]]="","Cancelled",IF(Table1[[#This Row],[CancellationDate]]&lt;&gt;"","Cancelled","Active"))</f>
        <v>Cancelled</v>
      </c>
      <c r="T556" s="7" cm="1">
        <f t="array" ref="T55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556" s="5">
        <v>45241</v>
      </c>
      <c r="W556" s="5">
        <v>45241</v>
      </c>
      <c r="X556" s="3">
        <v>0</v>
      </c>
      <c r="Y556" s="5">
        <f ca="1">IF(Table1[[#This Row],[ChurnStatus]]="Cancelled",Table1[[#This Row],[CancellationDate]],TODAY())</f>
        <v>45241</v>
      </c>
      <c r="Z556" s="46">
        <f ca="1">IF(AND(Table1[[#This Row],[SubscriptionStart]] &lt;= TODAY(), Table1[[#This Row],[EffectiveEndDate]] &gt;= TODAY()),1,0)</f>
        <v>0</v>
      </c>
      <c r="AA556" s="46">
        <f ca="1">IF(AND(Table1[[#This Row],[SubscriptionStart]]&lt;=Settings!$A$2,Table1[[#This Row],[EffectiveEndDate]]&gt;=Settings!$A$2),1,0)</f>
        <v>0</v>
      </c>
      <c r="AB556" s="46">
        <f ca="1">IF(AND(Table1[[#This Row],[SubscriptionStart]]&lt;=Settings!$B$2,Table1[[#This Row],[EffectiveEndDate]]&gt;=Settings!$B$2),1,0)</f>
        <v>0</v>
      </c>
      <c r="AC556" s="46">
        <f ca="1">IF(AND(Table1[[#This Row],[SubscriptionStart]]&lt;=Settings!$C$2,Table1[[#This Row],[EffectiveEndDate]]&gt;=Settings!$C$2),1,0)</f>
        <v>0</v>
      </c>
      <c r="AD556" s="46">
        <f ca="1">IF(AND(Table1[[#This Row],[SubscriptionStart]]&lt;=Settings!$D$2,Table1[[#This Row],[EffectiveEndDate]]&gt;=Settings!$D$2),1,0)</f>
        <v>1</v>
      </c>
      <c r="AE556" s="46">
        <f ca="1">IF(AND(Table1[[#This Row],[SubscriptionStart]]&lt;=Settings!$E$2,Table1[[#This Row],[EffectiveEndDate]]&gt;=Settings!$E$2),1,0)</f>
        <v>0</v>
      </c>
      <c r="AF556"/>
      <c r="AG556"/>
      <c r="AH556"/>
      <c r="AI556"/>
      <c r="AJ556"/>
      <c r="AK556"/>
    </row>
    <row r="557" spans="1:37">
      <c r="A557" s="3" t="s">
        <v>490</v>
      </c>
      <c r="B557" s="3">
        <v>25</v>
      </c>
      <c r="C557" s="3" t="s">
        <v>37</v>
      </c>
      <c r="D557" s="5">
        <v>45061</v>
      </c>
      <c r="E557" s="5">
        <v>45241</v>
      </c>
      <c r="F557" s="3">
        <f ca="1">TODAY() - Table1[[#This Row],[SubscriptionStart]]</f>
        <v>920</v>
      </c>
      <c r="G557" s="4">
        <v>6</v>
      </c>
      <c r="H557" s="3" t="s">
        <v>38</v>
      </c>
      <c r="I557" s="3" t="s">
        <v>39</v>
      </c>
      <c r="J557" s="7" cm="1">
        <f t="array" ref="J557">_xlfn.IFS(Table1[[#This Row],[Tier]]="Basic",10,Table1[[#This Row],[Tier]]="Standard",18,Table1[[#This Row],[Tier]]="Premium",25)</f>
        <v>18</v>
      </c>
      <c r="K557" s="7" cm="1">
        <f t="array" ref="K55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557" s="7" cm="1">
        <f t="array" ref="L55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557" s="3" t="str" cm="1">
        <f t="array" ref="M557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57" s="3" t="s">
        <v>52</v>
      </c>
      <c r="O557" s="3" t="s">
        <v>27</v>
      </c>
      <c r="P557" s="3" t="s">
        <v>44</v>
      </c>
      <c r="Q557" s="3" t="str" cm="1">
        <f t="array" ref="Q557">_xlfn.IFS(Table1[[#This Row],[TotalRevenue]]&lt;100,"Low",Table1[[#This Row],[TotalRevenue]]&lt;300,"Medium",Table1[[#This Row],[TotalRevenue]]&lt;600,"High",TRUE,"Very High")</f>
        <v>Low</v>
      </c>
      <c r="R557" s="3" t="str" cm="1">
        <f t="array" ref="R557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57" s="3" t="str">
        <f>IF(Table1[[#This Row],[NextBillingDate]]="","Cancelled",IF(Table1[[#This Row],[CancellationDate]]&lt;&gt;"","Cancelled","Active"))</f>
        <v>Cancelled</v>
      </c>
      <c r="T557" s="7" cm="1">
        <f t="array" ref="T55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557" s="5">
        <v>45241</v>
      </c>
      <c r="W557" s="5">
        <v>45241</v>
      </c>
      <c r="X557" s="3">
        <v>0</v>
      </c>
      <c r="Y557" s="5">
        <f ca="1">IF(Table1[[#This Row],[ChurnStatus]]="Cancelled",Table1[[#This Row],[CancellationDate]],TODAY())</f>
        <v>45241</v>
      </c>
      <c r="Z557" s="46">
        <f ca="1">IF(AND(Table1[[#This Row],[SubscriptionStart]] &lt;= TODAY(), Table1[[#This Row],[EffectiveEndDate]] &gt;= TODAY()),1,0)</f>
        <v>0</v>
      </c>
      <c r="AA557" s="46">
        <f ca="1">IF(AND(Table1[[#This Row],[SubscriptionStart]]&lt;=Settings!$A$2,Table1[[#This Row],[EffectiveEndDate]]&gt;=Settings!$A$2),1,0)</f>
        <v>0</v>
      </c>
      <c r="AB557" s="46">
        <f ca="1">IF(AND(Table1[[#This Row],[SubscriptionStart]]&lt;=Settings!$B$2,Table1[[#This Row],[EffectiveEndDate]]&gt;=Settings!$B$2),1,0)</f>
        <v>0</v>
      </c>
      <c r="AC557" s="46">
        <f ca="1">IF(AND(Table1[[#This Row],[SubscriptionStart]]&lt;=Settings!$C$2,Table1[[#This Row],[EffectiveEndDate]]&gt;=Settings!$C$2),1,0)</f>
        <v>0</v>
      </c>
      <c r="AD557" s="46">
        <f ca="1">IF(AND(Table1[[#This Row],[SubscriptionStart]]&lt;=Settings!$D$2,Table1[[#This Row],[EffectiveEndDate]]&gt;=Settings!$D$2),1,0)</f>
        <v>1</v>
      </c>
      <c r="AE557" s="46">
        <f ca="1">IF(AND(Table1[[#This Row],[SubscriptionStart]]&lt;=Settings!$E$2,Table1[[#This Row],[EffectiveEndDate]]&gt;=Settings!$E$2),1,0)</f>
        <v>0</v>
      </c>
      <c r="AF557"/>
      <c r="AG557"/>
      <c r="AH557"/>
      <c r="AI557"/>
      <c r="AJ557"/>
      <c r="AK557"/>
    </row>
    <row r="558" spans="1:37">
      <c r="A558" s="3" t="s">
        <v>54</v>
      </c>
      <c r="B558" s="3">
        <v>60</v>
      </c>
      <c r="C558" s="3" t="s">
        <v>23</v>
      </c>
      <c r="D558" s="5">
        <v>45062</v>
      </c>
      <c r="E558" s="5">
        <v>45422</v>
      </c>
      <c r="F558" s="3">
        <f ca="1">TODAY() - Table1[[#This Row],[SubscriptionStart]]</f>
        <v>919</v>
      </c>
      <c r="G558" s="4">
        <v>12</v>
      </c>
      <c r="H558" s="3" t="s">
        <v>24</v>
      </c>
      <c r="I558" s="3" t="s">
        <v>30</v>
      </c>
      <c r="J558" s="7" cm="1">
        <f t="array" ref="J558">_xlfn.IFS(Table1[[#This Row],[Tier]]="Basic",10,Table1[[#This Row],[Tier]]="Standard",18,Table1[[#This Row],[Tier]]="Premium",25)</f>
        <v>10</v>
      </c>
      <c r="K558" s="7" cm="1">
        <f t="array" ref="K55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58" s="7" cm="1">
        <f t="array" ref="L55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58" s="3" t="str" cm="1">
        <f t="array" ref="M558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558" s="3" t="s">
        <v>34</v>
      </c>
      <c r="O558" s="3" t="s">
        <v>43</v>
      </c>
      <c r="P558" s="3" t="s">
        <v>41</v>
      </c>
      <c r="Q558" s="3" t="str" cm="1">
        <f t="array" ref="Q558">_xlfn.IFS(Table1[[#This Row],[TotalRevenue]]&lt;100,"Low",Table1[[#This Row],[TotalRevenue]]&lt;300,"Medium",Table1[[#This Row],[TotalRevenue]]&lt;600,"High",TRUE,"Very High")</f>
        <v>Low</v>
      </c>
      <c r="R558" s="3" t="str" cm="1">
        <f t="array" ref="R558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558" s="3" t="str">
        <f>IF(Table1[[#This Row],[NextBillingDate]]="","Cancelled",IF(Table1[[#This Row],[CancellationDate]]&lt;&gt;"","Cancelled","Active"))</f>
        <v>Cancelled</v>
      </c>
      <c r="T558" s="7" cm="1">
        <f t="array" ref="T55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58" s="5">
        <v>45422</v>
      </c>
      <c r="W558" s="5">
        <v>45422</v>
      </c>
      <c r="X558" s="3">
        <v>0</v>
      </c>
      <c r="Y558" s="5">
        <f ca="1">IF(Table1[[#This Row],[ChurnStatus]]="Cancelled",Table1[[#This Row],[CancellationDate]],TODAY())</f>
        <v>45422</v>
      </c>
      <c r="Z558" s="46">
        <f ca="1">IF(AND(Table1[[#This Row],[SubscriptionStart]] &lt;= TODAY(), Table1[[#This Row],[EffectiveEndDate]] &gt;= TODAY()),1,0)</f>
        <v>0</v>
      </c>
      <c r="AA558" s="46">
        <f ca="1">IF(AND(Table1[[#This Row],[SubscriptionStart]]&lt;=Settings!$A$2,Table1[[#This Row],[EffectiveEndDate]]&gt;=Settings!$A$2),1,0)</f>
        <v>0</v>
      </c>
      <c r="AB558" s="46">
        <f ca="1">IF(AND(Table1[[#This Row],[SubscriptionStart]]&lt;=Settings!$B$2,Table1[[#This Row],[EffectiveEndDate]]&gt;=Settings!$B$2),1,0)</f>
        <v>0</v>
      </c>
      <c r="AC558" s="46">
        <f ca="1">IF(AND(Table1[[#This Row],[SubscriptionStart]]&lt;=Settings!$C$2,Table1[[#This Row],[EffectiveEndDate]]&gt;=Settings!$C$2),1,0)</f>
        <v>0</v>
      </c>
      <c r="AD558" s="46">
        <f ca="1">IF(AND(Table1[[#This Row],[SubscriptionStart]]&lt;=Settings!$D$2,Table1[[#This Row],[EffectiveEndDate]]&gt;=Settings!$D$2),1,0)</f>
        <v>1</v>
      </c>
      <c r="AE558" s="46">
        <f ca="1">IF(AND(Table1[[#This Row],[SubscriptionStart]]&lt;=Settings!$E$2,Table1[[#This Row],[EffectiveEndDate]]&gt;=Settings!$E$2),1,0)</f>
        <v>0</v>
      </c>
      <c r="AF558"/>
      <c r="AG558"/>
      <c r="AH558"/>
      <c r="AI558"/>
      <c r="AJ558"/>
      <c r="AK558"/>
    </row>
    <row r="559" spans="1:37">
      <c r="A559" s="3" t="s">
        <v>621</v>
      </c>
      <c r="B559" s="3">
        <v>62</v>
      </c>
      <c r="C559" s="3" t="s">
        <v>37</v>
      </c>
      <c r="D559" s="5">
        <v>45064</v>
      </c>
      <c r="E559" s="5">
        <v>45424</v>
      </c>
      <c r="F559" s="3">
        <f ca="1">TODAY() - Table1[[#This Row],[SubscriptionStart]]</f>
        <v>917</v>
      </c>
      <c r="G559" s="4">
        <v>12</v>
      </c>
      <c r="H559" s="3" t="s">
        <v>24</v>
      </c>
      <c r="I559" s="3" t="s">
        <v>25</v>
      </c>
      <c r="J559" s="7" cm="1">
        <f t="array" ref="J559">_xlfn.IFS(Table1[[#This Row],[Tier]]="Basic",10,Table1[[#This Row],[Tier]]="Standard",18,Table1[[#This Row],[Tier]]="Premium",25)</f>
        <v>25</v>
      </c>
      <c r="K559" s="7" cm="1">
        <f t="array" ref="K55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59" s="7" cm="1">
        <f t="array" ref="L55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59" s="3" t="str" cm="1">
        <f t="array" ref="M55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559" s="3" t="s">
        <v>26</v>
      </c>
      <c r="O559" s="3" t="s">
        <v>43</v>
      </c>
      <c r="P559" s="3" t="s">
        <v>47</v>
      </c>
      <c r="Q559" s="3" t="str" cm="1">
        <f t="array" ref="Q559">_xlfn.IFS(Table1[[#This Row],[TotalRevenue]]&lt;100,"Low",Table1[[#This Row],[TotalRevenue]]&lt;300,"Medium",Table1[[#This Row],[TotalRevenue]]&lt;600,"High",TRUE,"Very High")</f>
        <v>Medium</v>
      </c>
      <c r="R559" s="3" t="str" cm="1">
        <f t="array" ref="R55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559" s="3" t="str">
        <f>IF(Table1[[#This Row],[NextBillingDate]]="","Cancelled",IF(Table1[[#This Row],[CancellationDate]]&lt;&gt;"","Cancelled","Active"))</f>
        <v>Cancelled</v>
      </c>
      <c r="T559" s="7" cm="1">
        <f t="array" ref="T55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59" s="5">
        <v>45424</v>
      </c>
      <c r="W559" s="5">
        <v>45424</v>
      </c>
      <c r="X559" s="3">
        <v>0</v>
      </c>
      <c r="Y559" s="5">
        <f ca="1">IF(Table1[[#This Row],[ChurnStatus]]="Cancelled",Table1[[#This Row],[CancellationDate]],TODAY())</f>
        <v>45424</v>
      </c>
      <c r="Z559" s="46">
        <f ca="1">IF(AND(Table1[[#This Row],[SubscriptionStart]] &lt;= TODAY(), Table1[[#This Row],[EffectiveEndDate]] &gt;= TODAY()),1,0)</f>
        <v>0</v>
      </c>
      <c r="AA559" s="46">
        <f ca="1">IF(AND(Table1[[#This Row],[SubscriptionStart]]&lt;=Settings!$A$2,Table1[[#This Row],[EffectiveEndDate]]&gt;=Settings!$A$2),1,0)</f>
        <v>0</v>
      </c>
      <c r="AB559" s="46">
        <f ca="1">IF(AND(Table1[[#This Row],[SubscriptionStart]]&lt;=Settings!$B$2,Table1[[#This Row],[EffectiveEndDate]]&gt;=Settings!$B$2),1,0)</f>
        <v>0</v>
      </c>
      <c r="AC559" s="46">
        <f ca="1">IF(AND(Table1[[#This Row],[SubscriptionStart]]&lt;=Settings!$C$2,Table1[[#This Row],[EffectiveEndDate]]&gt;=Settings!$C$2),1,0)</f>
        <v>0</v>
      </c>
      <c r="AD559" s="46">
        <f ca="1">IF(AND(Table1[[#This Row],[SubscriptionStart]]&lt;=Settings!$D$2,Table1[[#This Row],[EffectiveEndDate]]&gt;=Settings!$D$2),1,0)</f>
        <v>1</v>
      </c>
      <c r="AE559" s="46">
        <f ca="1">IF(AND(Table1[[#This Row],[SubscriptionStart]]&lt;=Settings!$E$2,Table1[[#This Row],[EffectiveEndDate]]&gt;=Settings!$E$2),1,0)</f>
        <v>0</v>
      </c>
      <c r="AF559"/>
      <c r="AG559"/>
      <c r="AH559"/>
      <c r="AI559"/>
      <c r="AJ559"/>
      <c r="AK559"/>
    </row>
    <row r="560" spans="1:37">
      <c r="A560" s="3" t="s">
        <v>638</v>
      </c>
      <c r="B560" s="3">
        <v>33</v>
      </c>
      <c r="C560" s="3" t="s">
        <v>37</v>
      </c>
      <c r="D560" s="5">
        <v>45064</v>
      </c>
      <c r="F560" s="3">
        <f ca="1">TODAY() - Table1[[#This Row],[SubscriptionStart]]</f>
        <v>917</v>
      </c>
      <c r="G560" s="4">
        <v>31</v>
      </c>
      <c r="H560" s="3" t="s">
        <v>29</v>
      </c>
      <c r="I560" s="3" t="s">
        <v>39</v>
      </c>
      <c r="J560" s="7" cm="1">
        <f t="array" ref="J560">_xlfn.IFS(Table1[[#This Row],[Tier]]="Basic",10,Table1[[#This Row],[Tier]]="Standard",18,Table1[[#This Row],[Tier]]="Premium",25)</f>
        <v>18</v>
      </c>
      <c r="K560" s="7" cm="1">
        <f t="array" ref="K56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560" s="7" cm="1">
        <f t="array" ref="L56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520.20000000000005</v>
      </c>
      <c r="M560" s="3" t="str" cm="1">
        <f t="array" ref="M56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60" s="3" t="s">
        <v>52</v>
      </c>
      <c r="O560" s="3" t="s">
        <v>43</v>
      </c>
      <c r="Q560" s="3" t="str" cm="1">
        <f t="array" ref="Q560">_xlfn.IFS(Table1[[#This Row],[TotalRevenue]]&lt;100,"Low",Table1[[#This Row],[TotalRevenue]]&lt;300,"Medium",Table1[[#This Row],[TotalRevenue]]&lt;600,"High",TRUE,"Very High")</f>
        <v>High</v>
      </c>
      <c r="R560" s="3" t="str" cm="1">
        <f t="array" ref="R56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60" s="3" t="str">
        <f>IF(Table1[[#This Row],[NextBillingDate]]="","Cancelled",IF(Table1[[#This Row],[CancellationDate]]&lt;&gt;"","Cancelled","Active"))</f>
        <v>Active</v>
      </c>
      <c r="T560" s="7" cm="1">
        <f t="array" ref="T56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538.20000000000005</v>
      </c>
      <c r="V560" s="5">
        <v>45994</v>
      </c>
      <c r="W560" s="5">
        <v>45994</v>
      </c>
      <c r="X560" s="3">
        <v>30</v>
      </c>
      <c r="Y560" s="5">
        <f ca="1">IF(Table1[[#This Row],[ChurnStatus]]="Cancelled",Table1[[#This Row],[CancellationDate]],TODAY())</f>
        <v>45981</v>
      </c>
      <c r="Z560" s="46">
        <f ca="1">IF(AND(Table1[[#This Row],[SubscriptionStart]] &lt;= TODAY(), Table1[[#This Row],[EffectiveEndDate]] &gt;= TODAY()),1,0)</f>
        <v>1</v>
      </c>
      <c r="AA560" s="46">
        <f ca="1">IF(AND(Table1[[#This Row],[SubscriptionStart]]&lt;=Settings!$A$2,Table1[[#This Row],[EffectiveEndDate]]&gt;=Settings!$A$2),1,0)</f>
        <v>0</v>
      </c>
      <c r="AB560" s="46">
        <f ca="1">IF(AND(Table1[[#This Row],[SubscriptionStart]]&lt;=Settings!$B$2,Table1[[#This Row],[EffectiveEndDate]]&gt;=Settings!$B$2),1,0)</f>
        <v>0</v>
      </c>
      <c r="AC560" s="46">
        <f ca="1">IF(AND(Table1[[#This Row],[SubscriptionStart]]&lt;=Settings!$C$2,Table1[[#This Row],[EffectiveEndDate]]&gt;=Settings!$C$2),1,0)</f>
        <v>0</v>
      </c>
      <c r="AD560" s="46">
        <f ca="1">IF(AND(Table1[[#This Row],[SubscriptionStart]]&lt;=Settings!$D$2,Table1[[#This Row],[EffectiveEndDate]]&gt;=Settings!$D$2),1,0)</f>
        <v>1</v>
      </c>
      <c r="AE560" s="46">
        <f ca="1">IF(AND(Table1[[#This Row],[SubscriptionStart]]&lt;=Settings!$E$2,Table1[[#This Row],[EffectiveEndDate]]&gt;=Settings!$E$2),1,0)</f>
        <v>1</v>
      </c>
      <c r="AF560"/>
      <c r="AG560"/>
      <c r="AH560"/>
      <c r="AI560"/>
      <c r="AJ560"/>
      <c r="AK560"/>
    </row>
    <row r="561" spans="1:37">
      <c r="A561" s="3" t="s">
        <v>453</v>
      </c>
      <c r="B561" s="3">
        <v>73</v>
      </c>
      <c r="C561" s="3" t="s">
        <v>23</v>
      </c>
      <c r="D561" s="5">
        <v>45065</v>
      </c>
      <c r="F561" s="3">
        <f ca="1">TODAY() - Table1[[#This Row],[SubscriptionStart]]</f>
        <v>916</v>
      </c>
      <c r="G561" s="4">
        <v>31</v>
      </c>
      <c r="H561" s="3" t="s">
        <v>29</v>
      </c>
      <c r="I561" s="3" t="s">
        <v>39</v>
      </c>
      <c r="J561" s="7" cm="1">
        <f t="array" ref="J561">_xlfn.IFS(Table1[[#This Row],[Tier]]="Basic",10,Table1[[#This Row],[Tier]]="Standard",18,Table1[[#This Row],[Tier]]="Premium",25)</f>
        <v>18</v>
      </c>
      <c r="K561" s="7" cm="1">
        <f t="array" ref="K56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561" s="7" cm="1">
        <f t="array" ref="L56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520.20000000000005</v>
      </c>
      <c r="M561" s="3" t="str" cm="1">
        <f t="array" ref="M561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561" s="3" t="s">
        <v>31</v>
      </c>
      <c r="O561" s="3" t="s">
        <v>27</v>
      </c>
      <c r="Q561" s="3" t="str" cm="1">
        <f t="array" ref="Q561">_xlfn.IFS(Table1[[#This Row],[TotalRevenue]]&lt;100,"Low",Table1[[#This Row],[TotalRevenue]]&lt;300,"Medium",Table1[[#This Row],[TotalRevenue]]&lt;600,"High",TRUE,"Very High")</f>
        <v>High</v>
      </c>
      <c r="R561" s="3" t="str" cm="1">
        <f t="array" ref="R561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561" s="3" t="str">
        <f>IF(Table1[[#This Row],[NextBillingDate]]="","Cancelled",IF(Table1[[#This Row],[CancellationDate]]&lt;&gt;"","Cancelled","Active"))</f>
        <v>Active</v>
      </c>
      <c r="T561" s="7" cm="1">
        <f t="array" ref="T56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538.20000000000005</v>
      </c>
      <c r="V561" s="5">
        <v>45995</v>
      </c>
      <c r="W561" s="5">
        <v>45995</v>
      </c>
      <c r="X561" s="3">
        <v>30</v>
      </c>
      <c r="Y561" s="5">
        <f ca="1">IF(Table1[[#This Row],[ChurnStatus]]="Cancelled",Table1[[#This Row],[CancellationDate]],TODAY())</f>
        <v>45981</v>
      </c>
      <c r="Z561" s="46">
        <f ca="1">IF(AND(Table1[[#This Row],[SubscriptionStart]] &lt;= TODAY(), Table1[[#This Row],[EffectiveEndDate]] &gt;= TODAY()),1,0)</f>
        <v>1</v>
      </c>
      <c r="AA561" s="46">
        <f ca="1">IF(AND(Table1[[#This Row],[SubscriptionStart]]&lt;=Settings!$A$2,Table1[[#This Row],[EffectiveEndDate]]&gt;=Settings!$A$2),1,0)</f>
        <v>0</v>
      </c>
      <c r="AB561" s="46">
        <f ca="1">IF(AND(Table1[[#This Row],[SubscriptionStart]]&lt;=Settings!$B$2,Table1[[#This Row],[EffectiveEndDate]]&gt;=Settings!$B$2),1,0)</f>
        <v>0</v>
      </c>
      <c r="AC561" s="46">
        <f ca="1">IF(AND(Table1[[#This Row],[SubscriptionStart]]&lt;=Settings!$C$2,Table1[[#This Row],[EffectiveEndDate]]&gt;=Settings!$C$2),1,0)</f>
        <v>0</v>
      </c>
      <c r="AD561" s="46">
        <f ca="1">IF(AND(Table1[[#This Row],[SubscriptionStart]]&lt;=Settings!$D$2,Table1[[#This Row],[EffectiveEndDate]]&gt;=Settings!$D$2),1,0)</f>
        <v>1</v>
      </c>
      <c r="AE561" s="46">
        <f ca="1">IF(AND(Table1[[#This Row],[SubscriptionStart]]&lt;=Settings!$E$2,Table1[[#This Row],[EffectiveEndDate]]&gt;=Settings!$E$2),1,0)</f>
        <v>1</v>
      </c>
      <c r="AF561"/>
      <c r="AG561"/>
      <c r="AH561"/>
      <c r="AI561"/>
      <c r="AJ561"/>
      <c r="AK561"/>
    </row>
    <row r="562" spans="1:37">
      <c r="A562" s="3" t="s">
        <v>216</v>
      </c>
      <c r="B562" s="3">
        <v>31</v>
      </c>
      <c r="C562" s="3" t="s">
        <v>23</v>
      </c>
      <c r="D562" s="5">
        <v>45066</v>
      </c>
      <c r="E562" s="5">
        <v>45096</v>
      </c>
      <c r="F562" s="3">
        <f ca="1">TODAY() - Table1[[#This Row],[SubscriptionStart]]</f>
        <v>915</v>
      </c>
      <c r="G562" s="4">
        <v>1</v>
      </c>
      <c r="H562" s="3" t="s">
        <v>29</v>
      </c>
      <c r="I562" s="3" t="s">
        <v>25</v>
      </c>
      <c r="J562" s="7" cm="1">
        <f t="array" ref="J562">_xlfn.IFS(Table1[[#This Row],[Tier]]="Basic",10,Table1[[#This Row],[Tier]]="Standard",18,Table1[[#This Row],[Tier]]="Premium",25)</f>
        <v>25</v>
      </c>
      <c r="K562" s="7" cm="1">
        <f t="array" ref="K56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562" s="7" cm="1">
        <f t="array" ref="L56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562" s="3" t="str" cm="1">
        <f t="array" ref="M56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62" s="3" t="s">
        <v>26</v>
      </c>
      <c r="O562" s="3" t="s">
        <v>43</v>
      </c>
      <c r="P562" s="3" t="s">
        <v>47</v>
      </c>
      <c r="Q562" s="3" t="str" cm="1">
        <f t="array" ref="Q562">_xlfn.IFS(Table1[[#This Row],[TotalRevenue]]&lt;100,"Low",Table1[[#This Row],[TotalRevenue]]&lt;300,"Medium",Table1[[#This Row],[TotalRevenue]]&lt;600,"High",TRUE,"Very High")</f>
        <v>Low</v>
      </c>
      <c r="R562" s="3" t="str" cm="1">
        <f t="array" ref="R56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62" s="3" t="str">
        <f>IF(Table1[[#This Row],[NextBillingDate]]="","Cancelled",IF(Table1[[#This Row],[CancellationDate]]&lt;&gt;"","Cancelled","Active"))</f>
        <v>Cancelled</v>
      </c>
      <c r="T562" s="7" cm="1">
        <f t="array" ref="T56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562" s="5">
        <v>45096</v>
      </c>
      <c r="W562" s="5">
        <v>45096</v>
      </c>
      <c r="X562" s="3">
        <v>0</v>
      </c>
      <c r="Y562" s="5">
        <f ca="1">IF(Table1[[#This Row],[ChurnStatus]]="Cancelled",Table1[[#This Row],[CancellationDate]],TODAY())</f>
        <v>45096</v>
      </c>
      <c r="Z562" s="46">
        <f ca="1">IF(AND(Table1[[#This Row],[SubscriptionStart]] &lt;= TODAY(), Table1[[#This Row],[EffectiveEndDate]] &gt;= TODAY()),1,0)</f>
        <v>0</v>
      </c>
      <c r="AA562" s="46">
        <f ca="1">IF(AND(Table1[[#This Row],[SubscriptionStart]]&lt;=Settings!$A$2,Table1[[#This Row],[EffectiveEndDate]]&gt;=Settings!$A$2),1,0)</f>
        <v>0</v>
      </c>
      <c r="AB562" s="46">
        <f ca="1">IF(AND(Table1[[#This Row],[SubscriptionStart]]&lt;=Settings!$B$2,Table1[[#This Row],[EffectiveEndDate]]&gt;=Settings!$B$2),1,0)</f>
        <v>0</v>
      </c>
      <c r="AC562" s="46">
        <f ca="1">IF(AND(Table1[[#This Row],[SubscriptionStart]]&lt;=Settings!$C$2,Table1[[#This Row],[EffectiveEndDate]]&gt;=Settings!$C$2),1,0)</f>
        <v>0</v>
      </c>
      <c r="AD562" s="46">
        <f ca="1">IF(AND(Table1[[#This Row],[SubscriptionStart]]&lt;=Settings!$D$2,Table1[[#This Row],[EffectiveEndDate]]&gt;=Settings!$D$2),1,0)</f>
        <v>1</v>
      </c>
      <c r="AE562" s="46">
        <f ca="1">IF(AND(Table1[[#This Row],[SubscriptionStart]]&lt;=Settings!$E$2,Table1[[#This Row],[EffectiveEndDate]]&gt;=Settings!$E$2),1,0)</f>
        <v>0</v>
      </c>
      <c r="AF562"/>
      <c r="AG562"/>
      <c r="AH562"/>
      <c r="AI562"/>
      <c r="AJ562"/>
      <c r="AK562"/>
    </row>
    <row r="563" spans="1:37">
      <c r="A563" s="3" t="s">
        <v>72</v>
      </c>
      <c r="B563" s="3">
        <v>49</v>
      </c>
      <c r="C563" s="3" t="s">
        <v>37</v>
      </c>
      <c r="D563" s="5">
        <v>45066</v>
      </c>
      <c r="F563" s="3">
        <f ca="1">TODAY() - Table1[[#This Row],[SubscriptionStart]]</f>
        <v>915</v>
      </c>
      <c r="G563" s="4">
        <v>36</v>
      </c>
      <c r="H563" s="3" t="s">
        <v>38</v>
      </c>
      <c r="I563" s="3" t="s">
        <v>25</v>
      </c>
      <c r="J563" s="7" cm="1">
        <f t="array" ref="J563">_xlfn.IFS(Table1[[#This Row],[Tier]]="Basic",10,Table1[[#This Row],[Tier]]="Standard",18,Table1[[#This Row],[Tier]]="Premium",25)</f>
        <v>25</v>
      </c>
      <c r="K563" s="7" cm="1">
        <f t="array" ref="K56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18.75</v>
      </c>
      <c r="L563" s="7" cm="1">
        <f t="array" ref="L56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652.5</v>
      </c>
      <c r="M563" s="3" t="str" cm="1">
        <f t="array" ref="M56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63" s="3" t="s">
        <v>34</v>
      </c>
      <c r="O563" s="3" t="s">
        <v>32</v>
      </c>
      <c r="Q563" s="3" t="str" cm="1">
        <f t="array" ref="Q563">_xlfn.IFS(Table1[[#This Row],[TotalRevenue]]&lt;100,"Low",Table1[[#This Row],[TotalRevenue]]&lt;300,"Medium",Table1[[#This Row],[TotalRevenue]]&lt;600,"High",TRUE,"Very High")</f>
        <v>Very High</v>
      </c>
      <c r="R563" s="3" t="str" cm="1">
        <f t="array" ref="R56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63" s="3" t="str">
        <f>IF(Table1[[#This Row],[NextBillingDate]]="","Cancelled",IF(Table1[[#This Row],[CancellationDate]]&lt;&gt;"","Cancelled","Active"))</f>
        <v>Active</v>
      </c>
      <c r="T563" s="7" cm="1">
        <f t="array" ref="T56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765</v>
      </c>
      <c r="V563" s="5">
        <v>46146</v>
      </c>
      <c r="W563" s="5">
        <v>46146</v>
      </c>
      <c r="X563" s="3">
        <v>5</v>
      </c>
      <c r="Y563" s="5">
        <f ca="1">IF(Table1[[#This Row],[ChurnStatus]]="Cancelled",Table1[[#This Row],[CancellationDate]],TODAY())</f>
        <v>45981</v>
      </c>
      <c r="Z563" s="46">
        <f ca="1">IF(AND(Table1[[#This Row],[SubscriptionStart]] &lt;= TODAY(), Table1[[#This Row],[EffectiveEndDate]] &gt;= TODAY()),1,0)</f>
        <v>1</v>
      </c>
      <c r="AA563" s="46">
        <f ca="1">IF(AND(Table1[[#This Row],[SubscriptionStart]]&lt;=Settings!$A$2,Table1[[#This Row],[EffectiveEndDate]]&gt;=Settings!$A$2),1,0)</f>
        <v>0</v>
      </c>
      <c r="AB563" s="46">
        <f ca="1">IF(AND(Table1[[#This Row],[SubscriptionStart]]&lt;=Settings!$B$2,Table1[[#This Row],[EffectiveEndDate]]&gt;=Settings!$B$2),1,0)</f>
        <v>0</v>
      </c>
      <c r="AC563" s="46">
        <f ca="1">IF(AND(Table1[[#This Row],[SubscriptionStart]]&lt;=Settings!$C$2,Table1[[#This Row],[EffectiveEndDate]]&gt;=Settings!$C$2),1,0)</f>
        <v>0</v>
      </c>
      <c r="AD563" s="46">
        <f ca="1">IF(AND(Table1[[#This Row],[SubscriptionStart]]&lt;=Settings!$D$2,Table1[[#This Row],[EffectiveEndDate]]&gt;=Settings!$D$2),1,0)</f>
        <v>1</v>
      </c>
      <c r="AE563" s="46">
        <f ca="1">IF(AND(Table1[[#This Row],[SubscriptionStart]]&lt;=Settings!$E$2,Table1[[#This Row],[EffectiveEndDate]]&gt;=Settings!$E$2),1,0)</f>
        <v>1</v>
      </c>
      <c r="AF563"/>
      <c r="AG563"/>
      <c r="AH563"/>
      <c r="AI563"/>
      <c r="AJ563"/>
      <c r="AK563"/>
    </row>
    <row r="564" spans="1:37">
      <c r="A564" s="3" t="s">
        <v>644</v>
      </c>
      <c r="B564" s="3">
        <v>61</v>
      </c>
      <c r="C564" s="3" t="s">
        <v>23</v>
      </c>
      <c r="D564" s="5">
        <v>45066</v>
      </c>
      <c r="F564" s="3">
        <f ca="1">TODAY() - Table1[[#This Row],[SubscriptionStart]]</f>
        <v>915</v>
      </c>
      <c r="G564" s="4">
        <v>31</v>
      </c>
      <c r="H564" s="3" t="s">
        <v>29</v>
      </c>
      <c r="I564" s="3" t="s">
        <v>39</v>
      </c>
      <c r="J564" s="7" cm="1">
        <f t="array" ref="J564">_xlfn.IFS(Table1[[#This Row],[Tier]]="Basic",10,Table1[[#This Row],[Tier]]="Standard",18,Table1[[#This Row],[Tier]]="Premium",25)</f>
        <v>18</v>
      </c>
      <c r="K564" s="7" cm="1">
        <f t="array" ref="K56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564" s="7" cm="1">
        <f t="array" ref="L56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520.20000000000005</v>
      </c>
      <c r="M564" s="3" t="str" cm="1">
        <f t="array" ref="M56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564" s="3" t="s">
        <v>26</v>
      </c>
      <c r="O564" s="3" t="s">
        <v>27</v>
      </c>
      <c r="Q564" s="3" t="str" cm="1">
        <f t="array" ref="Q564">_xlfn.IFS(Table1[[#This Row],[TotalRevenue]]&lt;100,"Low",Table1[[#This Row],[TotalRevenue]]&lt;300,"Medium",Table1[[#This Row],[TotalRevenue]]&lt;600,"High",TRUE,"Very High")</f>
        <v>High</v>
      </c>
      <c r="R564" s="3" t="str" cm="1">
        <f t="array" ref="R56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564" s="3" t="str">
        <f>IF(Table1[[#This Row],[NextBillingDate]]="","Cancelled",IF(Table1[[#This Row],[CancellationDate]]&lt;&gt;"","Cancelled","Active"))</f>
        <v>Active</v>
      </c>
      <c r="T564" s="7" cm="1">
        <f t="array" ref="T56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538.20000000000005</v>
      </c>
      <c r="V564" s="5">
        <v>45996</v>
      </c>
      <c r="W564" s="5">
        <v>45996</v>
      </c>
      <c r="X564" s="3">
        <v>30</v>
      </c>
      <c r="Y564" s="5">
        <f ca="1">IF(Table1[[#This Row],[ChurnStatus]]="Cancelled",Table1[[#This Row],[CancellationDate]],TODAY())</f>
        <v>45981</v>
      </c>
      <c r="Z564" s="46">
        <f ca="1">IF(AND(Table1[[#This Row],[SubscriptionStart]] &lt;= TODAY(), Table1[[#This Row],[EffectiveEndDate]] &gt;= TODAY()),1,0)</f>
        <v>1</v>
      </c>
      <c r="AA564" s="46">
        <f ca="1">IF(AND(Table1[[#This Row],[SubscriptionStart]]&lt;=Settings!$A$2,Table1[[#This Row],[EffectiveEndDate]]&gt;=Settings!$A$2),1,0)</f>
        <v>0</v>
      </c>
      <c r="AB564" s="46">
        <f ca="1">IF(AND(Table1[[#This Row],[SubscriptionStart]]&lt;=Settings!$B$2,Table1[[#This Row],[EffectiveEndDate]]&gt;=Settings!$B$2),1,0)</f>
        <v>0</v>
      </c>
      <c r="AC564" s="46">
        <f ca="1">IF(AND(Table1[[#This Row],[SubscriptionStart]]&lt;=Settings!$C$2,Table1[[#This Row],[EffectiveEndDate]]&gt;=Settings!$C$2),1,0)</f>
        <v>0</v>
      </c>
      <c r="AD564" s="46">
        <f ca="1">IF(AND(Table1[[#This Row],[SubscriptionStart]]&lt;=Settings!$D$2,Table1[[#This Row],[EffectiveEndDate]]&gt;=Settings!$D$2),1,0)</f>
        <v>1</v>
      </c>
      <c r="AE564" s="46">
        <f ca="1">IF(AND(Table1[[#This Row],[SubscriptionStart]]&lt;=Settings!$E$2,Table1[[#This Row],[EffectiveEndDate]]&gt;=Settings!$E$2),1,0)</f>
        <v>1</v>
      </c>
      <c r="AF564"/>
      <c r="AG564"/>
      <c r="AH564"/>
      <c r="AI564"/>
      <c r="AJ564"/>
      <c r="AK564"/>
    </row>
    <row r="565" spans="1:37">
      <c r="A565" s="3" t="s">
        <v>399</v>
      </c>
      <c r="B565" s="3">
        <v>59</v>
      </c>
      <c r="C565" s="3" t="s">
        <v>37</v>
      </c>
      <c r="D565" s="5">
        <v>45069</v>
      </c>
      <c r="F565" s="3">
        <f ca="1">TODAY() - Table1[[#This Row],[SubscriptionStart]]</f>
        <v>912</v>
      </c>
      <c r="G565" s="4">
        <v>36</v>
      </c>
      <c r="H565" s="3" t="s">
        <v>38</v>
      </c>
      <c r="I565" s="3" t="s">
        <v>39</v>
      </c>
      <c r="J565" s="7" cm="1">
        <f t="array" ref="J565">_xlfn.IFS(Table1[[#This Row],[Tier]]="Basic",10,Table1[[#This Row],[Tier]]="Standard",18,Table1[[#This Row],[Tier]]="Premium",25)</f>
        <v>18</v>
      </c>
      <c r="K565" s="7" cm="1">
        <f t="array" ref="K56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565" s="7" cm="1">
        <f t="array" ref="L56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469.8</v>
      </c>
      <c r="M565" s="3" t="str" cm="1">
        <f t="array" ref="M565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65" s="3" t="s">
        <v>26</v>
      </c>
      <c r="O565" s="3" t="s">
        <v>40</v>
      </c>
      <c r="Q565" s="3" t="str" cm="1">
        <f t="array" ref="Q565">_xlfn.IFS(Table1[[#This Row],[TotalRevenue]]&lt;100,"Low",Table1[[#This Row],[TotalRevenue]]&lt;300,"Medium",Table1[[#This Row],[TotalRevenue]]&lt;600,"High",TRUE,"Very High")</f>
        <v>High</v>
      </c>
      <c r="R565" s="3" t="str" cm="1">
        <f t="array" ref="R56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65" s="3" t="str">
        <f>IF(Table1[[#This Row],[NextBillingDate]]="","Cancelled",IF(Table1[[#This Row],[CancellationDate]]&lt;&gt;"","Cancelled","Active"))</f>
        <v>Active</v>
      </c>
      <c r="T565" s="7" cm="1">
        <f t="array" ref="T56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550.79999999999995</v>
      </c>
      <c r="V565" s="5">
        <v>46149</v>
      </c>
      <c r="W565" s="5">
        <v>46149</v>
      </c>
      <c r="X565" s="3">
        <v>5</v>
      </c>
      <c r="Y565" s="5">
        <f ca="1">IF(Table1[[#This Row],[ChurnStatus]]="Cancelled",Table1[[#This Row],[CancellationDate]],TODAY())</f>
        <v>45981</v>
      </c>
      <c r="Z565" s="46">
        <f ca="1">IF(AND(Table1[[#This Row],[SubscriptionStart]] &lt;= TODAY(), Table1[[#This Row],[EffectiveEndDate]] &gt;= TODAY()),1,0)</f>
        <v>1</v>
      </c>
      <c r="AA565" s="46">
        <f ca="1">IF(AND(Table1[[#This Row],[SubscriptionStart]]&lt;=Settings!$A$2,Table1[[#This Row],[EffectiveEndDate]]&gt;=Settings!$A$2),1,0)</f>
        <v>0</v>
      </c>
      <c r="AB565" s="46">
        <f ca="1">IF(AND(Table1[[#This Row],[SubscriptionStart]]&lt;=Settings!$B$2,Table1[[#This Row],[EffectiveEndDate]]&gt;=Settings!$B$2),1,0)</f>
        <v>0</v>
      </c>
      <c r="AC565" s="46">
        <f ca="1">IF(AND(Table1[[#This Row],[SubscriptionStart]]&lt;=Settings!$C$2,Table1[[#This Row],[EffectiveEndDate]]&gt;=Settings!$C$2),1,0)</f>
        <v>0</v>
      </c>
      <c r="AD565" s="46">
        <f ca="1">IF(AND(Table1[[#This Row],[SubscriptionStart]]&lt;=Settings!$D$2,Table1[[#This Row],[EffectiveEndDate]]&gt;=Settings!$D$2),1,0)</f>
        <v>1</v>
      </c>
      <c r="AE565" s="46">
        <f ca="1">IF(AND(Table1[[#This Row],[SubscriptionStart]]&lt;=Settings!$E$2,Table1[[#This Row],[EffectiveEndDate]]&gt;=Settings!$E$2),1,0)</f>
        <v>1</v>
      </c>
      <c r="AF565"/>
      <c r="AG565"/>
      <c r="AH565"/>
      <c r="AI565"/>
      <c r="AJ565"/>
      <c r="AK565"/>
    </row>
    <row r="566" spans="1:37">
      <c r="A566" s="3" t="s">
        <v>122</v>
      </c>
      <c r="B566" s="3">
        <v>23</v>
      </c>
      <c r="C566" s="3" t="s">
        <v>37</v>
      </c>
      <c r="D566" s="5">
        <v>45070</v>
      </c>
      <c r="E566" s="5">
        <v>45430</v>
      </c>
      <c r="F566" s="3">
        <f ca="1">TODAY() - Table1[[#This Row],[SubscriptionStart]]</f>
        <v>911</v>
      </c>
      <c r="G566" s="4">
        <v>12</v>
      </c>
      <c r="H566" s="3" t="s">
        <v>24</v>
      </c>
      <c r="I566" s="3" t="s">
        <v>30</v>
      </c>
      <c r="J566" s="7" cm="1">
        <f t="array" ref="J566">_xlfn.IFS(Table1[[#This Row],[Tier]]="Basic",10,Table1[[#This Row],[Tier]]="Standard",18,Table1[[#This Row],[Tier]]="Premium",25)</f>
        <v>10</v>
      </c>
      <c r="K566" s="7" cm="1">
        <f t="array" ref="K56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66" s="7" cm="1">
        <f t="array" ref="L56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66" s="3" t="str" cm="1">
        <f t="array" ref="M566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66" s="3" t="s">
        <v>52</v>
      </c>
      <c r="O566" s="3" t="s">
        <v>40</v>
      </c>
      <c r="P566" s="3" t="s">
        <v>50</v>
      </c>
      <c r="Q566" s="3" t="str" cm="1">
        <f t="array" ref="Q566">_xlfn.IFS(Table1[[#This Row],[TotalRevenue]]&lt;100,"Low",Table1[[#This Row],[TotalRevenue]]&lt;300,"Medium",Table1[[#This Row],[TotalRevenue]]&lt;600,"High",TRUE,"Very High")</f>
        <v>Low</v>
      </c>
      <c r="R566" s="3" t="str" cm="1">
        <f t="array" ref="R566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66" s="3" t="str">
        <f>IF(Table1[[#This Row],[NextBillingDate]]="","Cancelled",IF(Table1[[#This Row],[CancellationDate]]&lt;&gt;"","Cancelled","Active"))</f>
        <v>Cancelled</v>
      </c>
      <c r="T566" s="7" cm="1">
        <f t="array" ref="T56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66" s="5">
        <v>45430</v>
      </c>
      <c r="W566" s="5">
        <v>45430</v>
      </c>
      <c r="X566" s="3">
        <v>0</v>
      </c>
      <c r="Y566" s="5">
        <f ca="1">IF(Table1[[#This Row],[ChurnStatus]]="Cancelled",Table1[[#This Row],[CancellationDate]],TODAY())</f>
        <v>45430</v>
      </c>
      <c r="Z566" s="46">
        <f ca="1">IF(AND(Table1[[#This Row],[SubscriptionStart]] &lt;= TODAY(), Table1[[#This Row],[EffectiveEndDate]] &gt;= TODAY()),1,0)</f>
        <v>0</v>
      </c>
      <c r="AA566" s="46">
        <f ca="1">IF(AND(Table1[[#This Row],[SubscriptionStart]]&lt;=Settings!$A$2,Table1[[#This Row],[EffectiveEndDate]]&gt;=Settings!$A$2),1,0)</f>
        <v>0</v>
      </c>
      <c r="AB566" s="46">
        <f ca="1">IF(AND(Table1[[#This Row],[SubscriptionStart]]&lt;=Settings!$B$2,Table1[[#This Row],[EffectiveEndDate]]&gt;=Settings!$B$2),1,0)</f>
        <v>0</v>
      </c>
      <c r="AC566" s="46">
        <f ca="1">IF(AND(Table1[[#This Row],[SubscriptionStart]]&lt;=Settings!$C$2,Table1[[#This Row],[EffectiveEndDate]]&gt;=Settings!$C$2),1,0)</f>
        <v>0</v>
      </c>
      <c r="AD566" s="46">
        <f ca="1">IF(AND(Table1[[#This Row],[SubscriptionStart]]&lt;=Settings!$D$2,Table1[[#This Row],[EffectiveEndDate]]&gt;=Settings!$D$2),1,0)</f>
        <v>1</v>
      </c>
      <c r="AE566" s="46">
        <f ca="1">IF(AND(Table1[[#This Row],[SubscriptionStart]]&lt;=Settings!$E$2,Table1[[#This Row],[EffectiveEndDate]]&gt;=Settings!$E$2),1,0)</f>
        <v>0</v>
      </c>
      <c r="AF566"/>
      <c r="AG566"/>
      <c r="AH566"/>
      <c r="AI566"/>
      <c r="AJ566"/>
      <c r="AK566"/>
    </row>
    <row r="567" spans="1:37">
      <c r="A567" s="3" t="s">
        <v>783</v>
      </c>
      <c r="B567" s="3">
        <v>42</v>
      </c>
      <c r="C567" s="3" t="s">
        <v>23</v>
      </c>
      <c r="D567" s="5">
        <v>45071</v>
      </c>
      <c r="F567" s="3">
        <f ca="1">TODAY() - Table1[[#This Row],[SubscriptionStart]]</f>
        <v>910</v>
      </c>
      <c r="G567" s="4">
        <v>36</v>
      </c>
      <c r="H567" s="3" t="s">
        <v>38</v>
      </c>
      <c r="I567" s="3" t="s">
        <v>39</v>
      </c>
      <c r="J567" s="7" cm="1">
        <f t="array" ref="J567">_xlfn.IFS(Table1[[#This Row],[Tier]]="Basic",10,Table1[[#This Row],[Tier]]="Standard",18,Table1[[#This Row],[Tier]]="Premium",25)</f>
        <v>18</v>
      </c>
      <c r="K567" s="7" cm="1">
        <f t="array" ref="K56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567" s="7" cm="1">
        <f t="array" ref="L56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469.8</v>
      </c>
      <c r="M567" s="3" t="str" cm="1">
        <f t="array" ref="M56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67" s="3" t="s">
        <v>34</v>
      </c>
      <c r="O567" s="3" t="s">
        <v>49</v>
      </c>
      <c r="Q567" s="3" t="str" cm="1">
        <f t="array" ref="Q567">_xlfn.IFS(Table1[[#This Row],[TotalRevenue]]&lt;100,"Low",Table1[[#This Row],[TotalRevenue]]&lt;300,"Medium",Table1[[#This Row],[TotalRevenue]]&lt;600,"High",TRUE,"Very High")</f>
        <v>High</v>
      </c>
      <c r="R567" s="3" t="str" cm="1">
        <f t="array" ref="R56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67" s="3" t="str">
        <f>IF(Table1[[#This Row],[NextBillingDate]]="","Cancelled",IF(Table1[[#This Row],[CancellationDate]]&lt;&gt;"","Cancelled","Active"))</f>
        <v>Active</v>
      </c>
      <c r="T567" s="7" cm="1">
        <f t="array" ref="T56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550.79999999999995</v>
      </c>
      <c r="V567" s="5">
        <v>46151</v>
      </c>
      <c r="W567" s="5">
        <v>46151</v>
      </c>
      <c r="X567" s="3">
        <v>5</v>
      </c>
      <c r="Y567" s="5">
        <f ca="1">IF(Table1[[#This Row],[ChurnStatus]]="Cancelled",Table1[[#This Row],[CancellationDate]],TODAY())</f>
        <v>45981</v>
      </c>
      <c r="Z567" s="46">
        <f ca="1">IF(AND(Table1[[#This Row],[SubscriptionStart]] &lt;= TODAY(), Table1[[#This Row],[EffectiveEndDate]] &gt;= TODAY()),1,0)</f>
        <v>1</v>
      </c>
      <c r="AA567" s="46">
        <f ca="1">IF(AND(Table1[[#This Row],[SubscriptionStart]]&lt;=Settings!$A$2,Table1[[#This Row],[EffectiveEndDate]]&gt;=Settings!$A$2),1,0)</f>
        <v>0</v>
      </c>
      <c r="AB567" s="46">
        <f ca="1">IF(AND(Table1[[#This Row],[SubscriptionStart]]&lt;=Settings!$B$2,Table1[[#This Row],[EffectiveEndDate]]&gt;=Settings!$B$2),1,0)</f>
        <v>0</v>
      </c>
      <c r="AC567" s="46">
        <f ca="1">IF(AND(Table1[[#This Row],[SubscriptionStart]]&lt;=Settings!$C$2,Table1[[#This Row],[EffectiveEndDate]]&gt;=Settings!$C$2),1,0)</f>
        <v>0</v>
      </c>
      <c r="AD567" s="46">
        <f ca="1">IF(AND(Table1[[#This Row],[SubscriptionStart]]&lt;=Settings!$D$2,Table1[[#This Row],[EffectiveEndDate]]&gt;=Settings!$D$2),1,0)</f>
        <v>1</v>
      </c>
      <c r="AE567" s="46">
        <f ca="1">IF(AND(Table1[[#This Row],[SubscriptionStart]]&lt;=Settings!$E$2,Table1[[#This Row],[EffectiveEndDate]]&gt;=Settings!$E$2),1,0)</f>
        <v>1</v>
      </c>
      <c r="AF567"/>
      <c r="AG567"/>
      <c r="AH567"/>
      <c r="AI567"/>
      <c r="AJ567"/>
      <c r="AK567"/>
    </row>
    <row r="568" spans="1:37">
      <c r="A568" s="3" t="s">
        <v>335</v>
      </c>
      <c r="B568" s="3">
        <v>57</v>
      </c>
      <c r="C568" s="3" t="s">
        <v>37</v>
      </c>
      <c r="D568" s="5">
        <v>45072</v>
      </c>
      <c r="E568" s="5">
        <v>45432</v>
      </c>
      <c r="F568" s="3">
        <f ca="1">TODAY() - Table1[[#This Row],[SubscriptionStart]]</f>
        <v>909</v>
      </c>
      <c r="G568" s="4">
        <v>12</v>
      </c>
      <c r="H568" s="3" t="s">
        <v>24</v>
      </c>
      <c r="I568" s="3" t="s">
        <v>25</v>
      </c>
      <c r="J568" s="7" cm="1">
        <f t="array" ref="J568">_xlfn.IFS(Table1[[#This Row],[Tier]]="Basic",10,Table1[[#This Row],[Tier]]="Standard",18,Table1[[#This Row],[Tier]]="Premium",25)</f>
        <v>25</v>
      </c>
      <c r="K568" s="7" cm="1">
        <f t="array" ref="K56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68" s="7" cm="1">
        <f t="array" ref="L56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68" s="3" t="str" cm="1">
        <f t="array" ref="M56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68" s="3" t="s">
        <v>31</v>
      </c>
      <c r="O568" s="3" t="s">
        <v>40</v>
      </c>
      <c r="P568" s="3" t="s">
        <v>44</v>
      </c>
      <c r="Q568" s="3" t="str" cm="1">
        <f t="array" ref="Q568">_xlfn.IFS(Table1[[#This Row],[TotalRevenue]]&lt;100,"Low",Table1[[#This Row],[TotalRevenue]]&lt;300,"Medium",Table1[[#This Row],[TotalRevenue]]&lt;600,"High",TRUE,"Very High")</f>
        <v>Medium</v>
      </c>
      <c r="R568" s="3" t="str" cm="1">
        <f t="array" ref="R56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68" s="3" t="str">
        <f>IF(Table1[[#This Row],[NextBillingDate]]="","Cancelled",IF(Table1[[#This Row],[CancellationDate]]&lt;&gt;"","Cancelled","Active"))</f>
        <v>Cancelled</v>
      </c>
      <c r="T568" s="7" cm="1">
        <f t="array" ref="T56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68" s="5">
        <v>45432</v>
      </c>
      <c r="W568" s="5">
        <v>45432</v>
      </c>
      <c r="X568" s="3">
        <v>0</v>
      </c>
      <c r="Y568" s="5">
        <f ca="1">IF(Table1[[#This Row],[ChurnStatus]]="Cancelled",Table1[[#This Row],[CancellationDate]],TODAY())</f>
        <v>45432</v>
      </c>
      <c r="Z568" s="46">
        <f ca="1">IF(AND(Table1[[#This Row],[SubscriptionStart]] &lt;= TODAY(), Table1[[#This Row],[EffectiveEndDate]] &gt;= TODAY()),1,0)</f>
        <v>0</v>
      </c>
      <c r="AA568" s="46">
        <f ca="1">IF(AND(Table1[[#This Row],[SubscriptionStart]]&lt;=Settings!$A$2,Table1[[#This Row],[EffectiveEndDate]]&gt;=Settings!$A$2),1,0)</f>
        <v>0</v>
      </c>
      <c r="AB568" s="46">
        <f ca="1">IF(AND(Table1[[#This Row],[SubscriptionStart]]&lt;=Settings!$B$2,Table1[[#This Row],[EffectiveEndDate]]&gt;=Settings!$B$2),1,0)</f>
        <v>0</v>
      </c>
      <c r="AC568" s="46">
        <f ca="1">IF(AND(Table1[[#This Row],[SubscriptionStart]]&lt;=Settings!$C$2,Table1[[#This Row],[EffectiveEndDate]]&gt;=Settings!$C$2),1,0)</f>
        <v>0</v>
      </c>
      <c r="AD568" s="46">
        <f ca="1">IF(AND(Table1[[#This Row],[SubscriptionStart]]&lt;=Settings!$D$2,Table1[[#This Row],[EffectiveEndDate]]&gt;=Settings!$D$2),1,0)</f>
        <v>1</v>
      </c>
      <c r="AE568" s="46">
        <f ca="1">IF(AND(Table1[[#This Row],[SubscriptionStart]]&lt;=Settings!$E$2,Table1[[#This Row],[EffectiveEndDate]]&gt;=Settings!$E$2),1,0)</f>
        <v>0</v>
      </c>
      <c r="AF568"/>
      <c r="AG568"/>
      <c r="AH568"/>
      <c r="AI568"/>
      <c r="AJ568"/>
      <c r="AK568"/>
    </row>
    <row r="569" spans="1:37">
      <c r="A569" s="3" t="s">
        <v>686</v>
      </c>
      <c r="B569" s="3">
        <v>33</v>
      </c>
      <c r="C569" s="3" t="s">
        <v>23</v>
      </c>
      <c r="D569" s="5">
        <v>45072</v>
      </c>
      <c r="E569" s="5">
        <v>45432</v>
      </c>
      <c r="F569" s="3">
        <f ca="1">TODAY() - Table1[[#This Row],[SubscriptionStart]]</f>
        <v>909</v>
      </c>
      <c r="G569" s="4">
        <v>12</v>
      </c>
      <c r="H569" s="3" t="s">
        <v>24</v>
      </c>
      <c r="I569" s="3" t="s">
        <v>30</v>
      </c>
      <c r="J569" s="7" cm="1">
        <f t="array" ref="J569">_xlfn.IFS(Table1[[#This Row],[Tier]]="Basic",10,Table1[[#This Row],[Tier]]="Standard",18,Table1[[#This Row],[Tier]]="Premium",25)</f>
        <v>10</v>
      </c>
      <c r="K569" s="7" cm="1">
        <f t="array" ref="K56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69" s="7" cm="1">
        <f t="array" ref="L56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69" s="3" t="str" cm="1">
        <f t="array" ref="M56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69" s="3" t="s">
        <v>34</v>
      </c>
      <c r="O569" s="3" t="s">
        <v>49</v>
      </c>
      <c r="P569" s="3" t="s">
        <v>50</v>
      </c>
      <c r="Q569" s="3" t="str" cm="1">
        <f t="array" ref="Q569">_xlfn.IFS(Table1[[#This Row],[TotalRevenue]]&lt;100,"Low",Table1[[#This Row],[TotalRevenue]]&lt;300,"Medium",Table1[[#This Row],[TotalRevenue]]&lt;600,"High",TRUE,"Very High")</f>
        <v>Low</v>
      </c>
      <c r="R569" s="3" t="str" cm="1">
        <f t="array" ref="R56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69" s="3" t="str">
        <f>IF(Table1[[#This Row],[NextBillingDate]]="","Cancelled",IF(Table1[[#This Row],[CancellationDate]]&lt;&gt;"","Cancelled","Active"))</f>
        <v>Cancelled</v>
      </c>
      <c r="T569" s="7" cm="1">
        <f t="array" ref="T56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69" s="5">
        <v>45432</v>
      </c>
      <c r="W569" s="5">
        <v>45432</v>
      </c>
      <c r="X569" s="3">
        <v>0</v>
      </c>
      <c r="Y569" s="5">
        <f ca="1">IF(Table1[[#This Row],[ChurnStatus]]="Cancelled",Table1[[#This Row],[CancellationDate]],TODAY())</f>
        <v>45432</v>
      </c>
      <c r="Z569" s="46">
        <f ca="1">IF(AND(Table1[[#This Row],[SubscriptionStart]] &lt;= TODAY(), Table1[[#This Row],[EffectiveEndDate]] &gt;= TODAY()),1,0)</f>
        <v>0</v>
      </c>
      <c r="AA569" s="46">
        <f ca="1">IF(AND(Table1[[#This Row],[SubscriptionStart]]&lt;=Settings!$A$2,Table1[[#This Row],[EffectiveEndDate]]&gt;=Settings!$A$2),1,0)</f>
        <v>0</v>
      </c>
      <c r="AB569" s="46">
        <f ca="1">IF(AND(Table1[[#This Row],[SubscriptionStart]]&lt;=Settings!$B$2,Table1[[#This Row],[EffectiveEndDate]]&gt;=Settings!$B$2),1,0)</f>
        <v>0</v>
      </c>
      <c r="AC569" s="46">
        <f ca="1">IF(AND(Table1[[#This Row],[SubscriptionStart]]&lt;=Settings!$C$2,Table1[[#This Row],[EffectiveEndDate]]&gt;=Settings!$C$2),1,0)</f>
        <v>0</v>
      </c>
      <c r="AD569" s="46">
        <f ca="1">IF(AND(Table1[[#This Row],[SubscriptionStart]]&lt;=Settings!$D$2,Table1[[#This Row],[EffectiveEndDate]]&gt;=Settings!$D$2),1,0)</f>
        <v>1</v>
      </c>
      <c r="AE569" s="46">
        <f ca="1">IF(AND(Table1[[#This Row],[SubscriptionStart]]&lt;=Settings!$E$2,Table1[[#This Row],[EffectiveEndDate]]&gt;=Settings!$E$2),1,0)</f>
        <v>0</v>
      </c>
      <c r="AF569"/>
      <c r="AG569"/>
      <c r="AH569"/>
      <c r="AI569"/>
      <c r="AJ569"/>
      <c r="AK569"/>
    </row>
    <row r="570" spans="1:37">
      <c r="A570" s="3" t="s">
        <v>452</v>
      </c>
      <c r="B570" s="3">
        <v>34</v>
      </c>
      <c r="C570" s="3" t="s">
        <v>23</v>
      </c>
      <c r="D570" s="5">
        <v>45073</v>
      </c>
      <c r="E570" s="5">
        <v>45433</v>
      </c>
      <c r="F570" s="3">
        <f ca="1">TODAY() - Table1[[#This Row],[SubscriptionStart]]</f>
        <v>908</v>
      </c>
      <c r="G570" s="4">
        <v>12</v>
      </c>
      <c r="H570" s="3" t="s">
        <v>24</v>
      </c>
      <c r="I570" s="3" t="s">
        <v>25</v>
      </c>
      <c r="J570" s="7" cm="1">
        <f t="array" ref="J570">_xlfn.IFS(Table1[[#This Row],[Tier]]="Basic",10,Table1[[#This Row],[Tier]]="Standard",18,Table1[[#This Row],[Tier]]="Premium",25)</f>
        <v>25</v>
      </c>
      <c r="K570" s="7" cm="1">
        <f t="array" ref="K57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70" s="7" cm="1">
        <f t="array" ref="L57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70" s="3" t="str" cm="1">
        <f t="array" ref="M57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70" s="3" t="s">
        <v>26</v>
      </c>
      <c r="O570" s="3" t="s">
        <v>49</v>
      </c>
      <c r="P570" s="3" t="s">
        <v>41</v>
      </c>
      <c r="Q570" s="3" t="str" cm="1">
        <f t="array" ref="Q570">_xlfn.IFS(Table1[[#This Row],[TotalRevenue]]&lt;100,"Low",Table1[[#This Row],[TotalRevenue]]&lt;300,"Medium",Table1[[#This Row],[TotalRevenue]]&lt;600,"High",TRUE,"Very High")</f>
        <v>Medium</v>
      </c>
      <c r="R570" s="3" t="str" cm="1">
        <f t="array" ref="R57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70" s="3" t="str">
        <f>IF(Table1[[#This Row],[NextBillingDate]]="","Cancelled",IF(Table1[[#This Row],[CancellationDate]]&lt;&gt;"","Cancelled","Active"))</f>
        <v>Cancelled</v>
      </c>
      <c r="T570" s="7" cm="1">
        <f t="array" ref="T57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70" s="5">
        <v>45433</v>
      </c>
      <c r="W570" s="5">
        <v>45433</v>
      </c>
      <c r="X570" s="3">
        <v>0</v>
      </c>
      <c r="Y570" s="5">
        <f ca="1">IF(Table1[[#This Row],[ChurnStatus]]="Cancelled",Table1[[#This Row],[CancellationDate]],TODAY())</f>
        <v>45433</v>
      </c>
      <c r="Z570" s="46">
        <f ca="1">IF(AND(Table1[[#This Row],[SubscriptionStart]] &lt;= TODAY(), Table1[[#This Row],[EffectiveEndDate]] &gt;= TODAY()),1,0)</f>
        <v>0</v>
      </c>
      <c r="AA570" s="46">
        <f ca="1">IF(AND(Table1[[#This Row],[SubscriptionStart]]&lt;=Settings!$A$2,Table1[[#This Row],[EffectiveEndDate]]&gt;=Settings!$A$2),1,0)</f>
        <v>0</v>
      </c>
      <c r="AB570" s="46">
        <f ca="1">IF(AND(Table1[[#This Row],[SubscriptionStart]]&lt;=Settings!$B$2,Table1[[#This Row],[EffectiveEndDate]]&gt;=Settings!$B$2),1,0)</f>
        <v>0</v>
      </c>
      <c r="AC570" s="46">
        <f ca="1">IF(AND(Table1[[#This Row],[SubscriptionStart]]&lt;=Settings!$C$2,Table1[[#This Row],[EffectiveEndDate]]&gt;=Settings!$C$2),1,0)</f>
        <v>0</v>
      </c>
      <c r="AD570" s="46">
        <f ca="1">IF(AND(Table1[[#This Row],[SubscriptionStart]]&lt;=Settings!$D$2,Table1[[#This Row],[EffectiveEndDate]]&gt;=Settings!$D$2),1,0)</f>
        <v>1</v>
      </c>
      <c r="AE570" s="46">
        <f ca="1">IF(AND(Table1[[#This Row],[SubscriptionStart]]&lt;=Settings!$E$2,Table1[[#This Row],[EffectiveEndDate]]&gt;=Settings!$E$2),1,0)</f>
        <v>0</v>
      </c>
      <c r="AF570"/>
      <c r="AG570"/>
      <c r="AH570"/>
      <c r="AI570"/>
      <c r="AJ570"/>
      <c r="AK570"/>
    </row>
    <row r="571" spans="1:37">
      <c r="A571" s="3" t="s">
        <v>781</v>
      </c>
      <c r="B571" s="3">
        <v>19</v>
      </c>
      <c r="C571" s="3" t="s">
        <v>37</v>
      </c>
      <c r="D571" s="5">
        <v>45073</v>
      </c>
      <c r="E571" s="5">
        <v>45433</v>
      </c>
      <c r="F571" s="3">
        <f ca="1">TODAY() - Table1[[#This Row],[SubscriptionStart]]</f>
        <v>908</v>
      </c>
      <c r="G571" s="4">
        <v>12</v>
      </c>
      <c r="H571" s="3" t="s">
        <v>24</v>
      </c>
      <c r="I571" s="3" t="s">
        <v>39</v>
      </c>
      <c r="J571" s="7" cm="1">
        <f t="array" ref="J571">_xlfn.IFS(Table1[[#This Row],[Tier]]="Basic",10,Table1[[#This Row],[Tier]]="Standard",18,Table1[[#This Row],[Tier]]="Premium",25)</f>
        <v>18</v>
      </c>
      <c r="K571" s="7" cm="1">
        <f t="array" ref="K57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571" s="7" cm="1">
        <f t="array" ref="L57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571" s="3" t="str" cm="1">
        <f t="array" ref="M571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71" s="3" t="s">
        <v>34</v>
      </c>
      <c r="O571" s="3" t="s">
        <v>49</v>
      </c>
      <c r="P571" s="3" t="s">
        <v>35</v>
      </c>
      <c r="Q571" s="3" t="str" cm="1">
        <f t="array" ref="Q571">_xlfn.IFS(Table1[[#This Row],[TotalRevenue]]&lt;100,"Low",Table1[[#This Row],[TotalRevenue]]&lt;300,"Medium",Table1[[#This Row],[TotalRevenue]]&lt;600,"High",TRUE,"Very High")</f>
        <v>Medium</v>
      </c>
      <c r="R571" s="3" t="str" cm="1">
        <f t="array" ref="R571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71" s="3" t="str">
        <f>IF(Table1[[#This Row],[NextBillingDate]]="","Cancelled",IF(Table1[[#This Row],[CancellationDate]]&lt;&gt;"","Cancelled","Active"))</f>
        <v>Cancelled</v>
      </c>
      <c r="T571" s="7" cm="1">
        <f t="array" ref="T57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571" s="5">
        <v>45433</v>
      </c>
      <c r="W571" s="5">
        <v>45433</v>
      </c>
      <c r="X571" s="3">
        <v>0</v>
      </c>
      <c r="Y571" s="5">
        <f ca="1">IF(Table1[[#This Row],[ChurnStatus]]="Cancelled",Table1[[#This Row],[CancellationDate]],TODAY())</f>
        <v>45433</v>
      </c>
      <c r="Z571" s="46">
        <f ca="1">IF(AND(Table1[[#This Row],[SubscriptionStart]] &lt;= TODAY(), Table1[[#This Row],[EffectiveEndDate]] &gt;= TODAY()),1,0)</f>
        <v>0</v>
      </c>
      <c r="AA571" s="46">
        <f ca="1">IF(AND(Table1[[#This Row],[SubscriptionStart]]&lt;=Settings!$A$2,Table1[[#This Row],[EffectiveEndDate]]&gt;=Settings!$A$2),1,0)</f>
        <v>0</v>
      </c>
      <c r="AB571" s="46">
        <f ca="1">IF(AND(Table1[[#This Row],[SubscriptionStart]]&lt;=Settings!$B$2,Table1[[#This Row],[EffectiveEndDate]]&gt;=Settings!$B$2),1,0)</f>
        <v>0</v>
      </c>
      <c r="AC571" s="46">
        <f ca="1">IF(AND(Table1[[#This Row],[SubscriptionStart]]&lt;=Settings!$C$2,Table1[[#This Row],[EffectiveEndDate]]&gt;=Settings!$C$2),1,0)</f>
        <v>0</v>
      </c>
      <c r="AD571" s="46">
        <f ca="1">IF(AND(Table1[[#This Row],[SubscriptionStart]]&lt;=Settings!$D$2,Table1[[#This Row],[EffectiveEndDate]]&gt;=Settings!$D$2),1,0)</f>
        <v>1</v>
      </c>
      <c r="AE571" s="46">
        <f ca="1">IF(AND(Table1[[#This Row],[SubscriptionStart]]&lt;=Settings!$E$2,Table1[[#This Row],[EffectiveEndDate]]&gt;=Settings!$E$2),1,0)</f>
        <v>0</v>
      </c>
      <c r="AF571"/>
      <c r="AG571"/>
      <c r="AH571"/>
      <c r="AI571"/>
      <c r="AJ571"/>
      <c r="AK571"/>
    </row>
    <row r="572" spans="1:37">
      <c r="A572" s="3" t="s">
        <v>238</v>
      </c>
      <c r="B572" s="3">
        <v>65</v>
      </c>
      <c r="C572" s="3" t="s">
        <v>37</v>
      </c>
      <c r="D572" s="5">
        <v>45074</v>
      </c>
      <c r="F572" s="3">
        <f ca="1">TODAY() - Table1[[#This Row],[SubscriptionStart]]</f>
        <v>907</v>
      </c>
      <c r="G572" s="4">
        <v>31</v>
      </c>
      <c r="H572" s="3" t="s">
        <v>29</v>
      </c>
      <c r="I572" s="3" t="s">
        <v>30</v>
      </c>
      <c r="J572" s="7" cm="1">
        <f t="array" ref="J572">_xlfn.IFS(Table1[[#This Row],[Tier]]="Basic",10,Table1[[#This Row],[Tier]]="Standard",18,Table1[[#This Row],[Tier]]="Premium",25)</f>
        <v>10</v>
      </c>
      <c r="K572" s="7" cm="1">
        <f t="array" ref="K57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572" s="7" cm="1">
        <f t="array" ref="L57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289</v>
      </c>
      <c r="M572" s="3" t="str" cm="1">
        <f t="array" ref="M572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572" s="3" t="s">
        <v>34</v>
      </c>
      <c r="O572" s="3" t="s">
        <v>49</v>
      </c>
      <c r="Q572" s="3" t="str" cm="1">
        <f t="array" ref="Q572">_xlfn.IFS(Table1[[#This Row],[TotalRevenue]]&lt;100,"Low",Table1[[#This Row],[TotalRevenue]]&lt;300,"Medium",Table1[[#This Row],[TotalRevenue]]&lt;600,"High",TRUE,"Very High")</f>
        <v>Medium</v>
      </c>
      <c r="R572" s="3" t="str" cm="1">
        <f t="array" ref="R572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572" s="3" t="str">
        <f>IF(Table1[[#This Row],[NextBillingDate]]="","Cancelled",IF(Table1[[#This Row],[CancellationDate]]&lt;&gt;"","Cancelled","Active"))</f>
        <v>Active</v>
      </c>
      <c r="T572" s="7" cm="1">
        <f t="array" ref="T57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299</v>
      </c>
      <c r="V572" s="5">
        <v>46004</v>
      </c>
      <c r="W572" s="5">
        <v>46004</v>
      </c>
      <c r="X572" s="3">
        <v>30</v>
      </c>
      <c r="Y572" s="5">
        <f ca="1">IF(Table1[[#This Row],[ChurnStatus]]="Cancelled",Table1[[#This Row],[CancellationDate]],TODAY())</f>
        <v>45981</v>
      </c>
      <c r="Z572" s="46">
        <f ca="1">IF(AND(Table1[[#This Row],[SubscriptionStart]] &lt;= TODAY(), Table1[[#This Row],[EffectiveEndDate]] &gt;= TODAY()),1,0)</f>
        <v>1</v>
      </c>
      <c r="AA572" s="46">
        <f ca="1">IF(AND(Table1[[#This Row],[SubscriptionStart]]&lt;=Settings!$A$2,Table1[[#This Row],[EffectiveEndDate]]&gt;=Settings!$A$2),1,0)</f>
        <v>0</v>
      </c>
      <c r="AB572" s="46">
        <f ca="1">IF(AND(Table1[[#This Row],[SubscriptionStart]]&lt;=Settings!$B$2,Table1[[#This Row],[EffectiveEndDate]]&gt;=Settings!$B$2),1,0)</f>
        <v>0</v>
      </c>
      <c r="AC572" s="46">
        <f ca="1">IF(AND(Table1[[#This Row],[SubscriptionStart]]&lt;=Settings!$C$2,Table1[[#This Row],[EffectiveEndDate]]&gt;=Settings!$C$2),1,0)</f>
        <v>0</v>
      </c>
      <c r="AD572" s="46">
        <f ca="1">IF(AND(Table1[[#This Row],[SubscriptionStart]]&lt;=Settings!$D$2,Table1[[#This Row],[EffectiveEndDate]]&gt;=Settings!$D$2),1,0)</f>
        <v>1</v>
      </c>
      <c r="AE572" s="46">
        <f ca="1">IF(AND(Table1[[#This Row],[SubscriptionStart]]&lt;=Settings!$E$2,Table1[[#This Row],[EffectiveEndDate]]&gt;=Settings!$E$2),1,0)</f>
        <v>1</v>
      </c>
      <c r="AF572"/>
      <c r="AG572"/>
      <c r="AH572"/>
      <c r="AI572"/>
      <c r="AJ572"/>
      <c r="AK572"/>
    </row>
    <row r="573" spans="1:37">
      <c r="A573" s="3" t="s">
        <v>736</v>
      </c>
      <c r="B573" s="3">
        <v>66</v>
      </c>
      <c r="C573" s="3" t="s">
        <v>23</v>
      </c>
      <c r="D573" s="5">
        <v>45075</v>
      </c>
      <c r="F573" s="3">
        <f ca="1">TODAY() - Table1[[#This Row],[SubscriptionStart]]</f>
        <v>906</v>
      </c>
      <c r="G573" s="4">
        <v>31</v>
      </c>
      <c r="H573" s="3" t="s">
        <v>29</v>
      </c>
      <c r="I573" s="3" t="s">
        <v>30</v>
      </c>
      <c r="J573" s="7" cm="1">
        <f t="array" ref="J573">_xlfn.IFS(Table1[[#This Row],[Tier]]="Basic",10,Table1[[#This Row],[Tier]]="Standard",18,Table1[[#This Row],[Tier]]="Premium",25)</f>
        <v>10</v>
      </c>
      <c r="K573" s="7" cm="1">
        <f t="array" ref="K57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573" s="7" cm="1">
        <f t="array" ref="L57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289</v>
      </c>
      <c r="M573" s="3" t="str" cm="1">
        <f t="array" ref="M573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573" s="3" t="s">
        <v>31</v>
      </c>
      <c r="O573" s="3" t="s">
        <v>27</v>
      </c>
      <c r="Q573" s="3" t="str" cm="1">
        <f t="array" ref="Q573">_xlfn.IFS(Table1[[#This Row],[TotalRevenue]]&lt;100,"Low",Table1[[#This Row],[TotalRevenue]]&lt;300,"Medium",Table1[[#This Row],[TotalRevenue]]&lt;600,"High",TRUE,"Very High")</f>
        <v>Medium</v>
      </c>
      <c r="R573" s="3" t="str" cm="1">
        <f t="array" ref="R573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573" s="3" t="str">
        <f>IF(Table1[[#This Row],[NextBillingDate]]="","Cancelled",IF(Table1[[#This Row],[CancellationDate]]&lt;&gt;"","Cancelled","Active"))</f>
        <v>Active</v>
      </c>
      <c r="T573" s="7" cm="1">
        <f t="array" ref="T57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299</v>
      </c>
      <c r="V573" s="5">
        <v>46005</v>
      </c>
      <c r="W573" s="5">
        <v>46005</v>
      </c>
      <c r="X573" s="3">
        <v>30</v>
      </c>
      <c r="Y573" s="5">
        <f ca="1">IF(Table1[[#This Row],[ChurnStatus]]="Cancelled",Table1[[#This Row],[CancellationDate]],TODAY())</f>
        <v>45981</v>
      </c>
      <c r="Z573" s="46">
        <f ca="1">IF(AND(Table1[[#This Row],[SubscriptionStart]] &lt;= TODAY(), Table1[[#This Row],[EffectiveEndDate]] &gt;= TODAY()),1,0)</f>
        <v>1</v>
      </c>
      <c r="AA573" s="46">
        <f ca="1">IF(AND(Table1[[#This Row],[SubscriptionStart]]&lt;=Settings!$A$2,Table1[[#This Row],[EffectiveEndDate]]&gt;=Settings!$A$2),1,0)</f>
        <v>0</v>
      </c>
      <c r="AB573" s="46">
        <f ca="1">IF(AND(Table1[[#This Row],[SubscriptionStart]]&lt;=Settings!$B$2,Table1[[#This Row],[EffectiveEndDate]]&gt;=Settings!$B$2),1,0)</f>
        <v>0</v>
      </c>
      <c r="AC573" s="46">
        <f ca="1">IF(AND(Table1[[#This Row],[SubscriptionStart]]&lt;=Settings!$C$2,Table1[[#This Row],[EffectiveEndDate]]&gt;=Settings!$C$2),1,0)</f>
        <v>0</v>
      </c>
      <c r="AD573" s="46">
        <f ca="1">IF(AND(Table1[[#This Row],[SubscriptionStart]]&lt;=Settings!$D$2,Table1[[#This Row],[EffectiveEndDate]]&gt;=Settings!$D$2),1,0)</f>
        <v>1</v>
      </c>
      <c r="AE573" s="46">
        <f ca="1">IF(AND(Table1[[#This Row],[SubscriptionStart]]&lt;=Settings!$E$2,Table1[[#This Row],[EffectiveEndDate]]&gt;=Settings!$E$2),1,0)</f>
        <v>1</v>
      </c>
      <c r="AF573"/>
      <c r="AG573"/>
      <c r="AH573"/>
      <c r="AI573"/>
      <c r="AJ573"/>
      <c r="AK573"/>
    </row>
    <row r="574" spans="1:37">
      <c r="A574" s="3" t="s">
        <v>569</v>
      </c>
      <c r="B574" s="3">
        <v>66</v>
      </c>
      <c r="C574" s="3" t="s">
        <v>23</v>
      </c>
      <c r="D574" s="5">
        <v>45077</v>
      </c>
      <c r="E574" s="5">
        <v>45437</v>
      </c>
      <c r="F574" s="3">
        <f ca="1">TODAY() - Table1[[#This Row],[SubscriptionStart]]</f>
        <v>904</v>
      </c>
      <c r="G574" s="4">
        <v>12</v>
      </c>
      <c r="H574" s="3" t="s">
        <v>24</v>
      </c>
      <c r="I574" s="3" t="s">
        <v>39</v>
      </c>
      <c r="J574" s="7" cm="1">
        <f t="array" ref="J574">_xlfn.IFS(Table1[[#This Row],[Tier]]="Basic",10,Table1[[#This Row],[Tier]]="Standard",18,Table1[[#This Row],[Tier]]="Premium",25)</f>
        <v>18</v>
      </c>
      <c r="K574" s="7" cm="1">
        <f t="array" ref="K57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574" s="7" cm="1">
        <f t="array" ref="L57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574" s="3" t="str" cm="1">
        <f t="array" ref="M57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574" s="3" t="s">
        <v>31</v>
      </c>
      <c r="O574" s="3" t="s">
        <v>32</v>
      </c>
      <c r="P574" s="3" t="s">
        <v>35</v>
      </c>
      <c r="Q574" s="3" t="str" cm="1">
        <f t="array" ref="Q574">_xlfn.IFS(Table1[[#This Row],[TotalRevenue]]&lt;100,"Low",Table1[[#This Row],[TotalRevenue]]&lt;300,"Medium",Table1[[#This Row],[TotalRevenue]]&lt;600,"High",TRUE,"Very High")</f>
        <v>Medium</v>
      </c>
      <c r="R574" s="3" t="str" cm="1">
        <f t="array" ref="R57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574" s="3" t="str">
        <f>IF(Table1[[#This Row],[NextBillingDate]]="","Cancelled",IF(Table1[[#This Row],[CancellationDate]]&lt;&gt;"","Cancelled","Active"))</f>
        <v>Cancelled</v>
      </c>
      <c r="T574" s="7" cm="1">
        <f t="array" ref="T57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574" s="5">
        <v>45437</v>
      </c>
      <c r="W574" s="5">
        <v>45437</v>
      </c>
      <c r="X574" s="3">
        <v>0</v>
      </c>
      <c r="Y574" s="5">
        <f ca="1">IF(Table1[[#This Row],[ChurnStatus]]="Cancelled",Table1[[#This Row],[CancellationDate]],TODAY())</f>
        <v>45437</v>
      </c>
      <c r="Z574" s="46">
        <f ca="1">IF(AND(Table1[[#This Row],[SubscriptionStart]] &lt;= TODAY(), Table1[[#This Row],[EffectiveEndDate]] &gt;= TODAY()),1,0)</f>
        <v>0</v>
      </c>
      <c r="AA574" s="46">
        <f ca="1">IF(AND(Table1[[#This Row],[SubscriptionStart]]&lt;=Settings!$A$2,Table1[[#This Row],[EffectiveEndDate]]&gt;=Settings!$A$2),1,0)</f>
        <v>0</v>
      </c>
      <c r="AB574" s="46">
        <f ca="1">IF(AND(Table1[[#This Row],[SubscriptionStart]]&lt;=Settings!$B$2,Table1[[#This Row],[EffectiveEndDate]]&gt;=Settings!$B$2),1,0)</f>
        <v>0</v>
      </c>
      <c r="AC574" s="46">
        <f ca="1">IF(AND(Table1[[#This Row],[SubscriptionStart]]&lt;=Settings!$C$2,Table1[[#This Row],[EffectiveEndDate]]&gt;=Settings!$C$2),1,0)</f>
        <v>0</v>
      </c>
      <c r="AD574" s="46">
        <f ca="1">IF(AND(Table1[[#This Row],[SubscriptionStart]]&lt;=Settings!$D$2,Table1[[#This Row],[EffectiveEndDate]]&gt;=Settings!$D$2),1,0)</f>
        <v>1</v>
      </c>
      <c r="AE574" s="46">
        <f ca="1">IF(AND(Table1[[#This Row],[SubscriptionStart]]&lt;=Settings!$E$2,Table1[[#This Row],[EffectiveEndDate]]&gt;=Settings!$E$2),1,0)</f>
        <v>0</v>
      </c>
      <c r="AF574"/>
      <c r="AG574"/>
      <c r="AH574"/>
      <c r="AI574"/>
      <c r="AJ574"/>
      <c r="AK574"/>
    </row>
    <row r="575" spans="1:37">
      <c r="A575" s="3" t="s">
        <v>468</v>
      </c>
      <c r="B575" s="3">
        <v>58</v>
      </c>
      <c r="C575" s="3" t="s">
        <v>37</v>
      </c>
      <c r="D575" s="5">
        <v>45080</v>
      </c>
      <c r="E575" s="5">
        <v>45110</v>
      </c>
      <c r="F575" s="3">
        <f ca="1">TODAY() - Table1[[#This Row],[SubscriptionStart]]</f>
        <v>901</v>
      </c>
      <c r="G575" s="4">
        <v>1</v>
      </c>
      <c r="H575" s="3" t="s">
        <v>29</v>
      </c>
      <c r="I575" s="3" t="s">
        <v>39</v>
      </c>
      <c r="J575" s="7" cm="1">
        <f t="array" ref="J575">_xlfn.IFS(Table1[[#This Row],[Tier]]="Basic",10,Table1[[#This Row],[Tier]]="Standard",18,Table1[[#This Row],[Tier]]="Premium",25)</f>
        <v>18</v>
      </c>
      <c r="K575" s="7" cm="1">
        <f t="array" ref="K57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575" s="7" cm="1">
        <f t="array" ref="L57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575" s="3" t="str" cm="1">
        <f t="array" ref="M575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75" s="3" t="s">
        <v>34</v>
      </c>
      <c r="O575" s="3" t="s">
        <v>40</v>
      </c>
      <c r="P575" s="3" t="s">
        <v>35</v>
      </c>
      <c r="Q575" s="3" t="str" cm="1">
        <f t="array" ref="Q575">_xlfn.IFS(Table1[[#This Row],[TotalRevenue]]&lt;100,"Low",Table1[[#This Row],[TotalRevenue]]&lt;300,"Medium",Table1[[#This Row],[TotalRevenue]]&lt;600,"High",TRUE,"Very High")</f>
        <v>Low</v>
      </c>
      <c r="R575" s="3" t="str" cm="1">
        <f t="array" ref="R57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75" s="3" t="str">
        <f>IF(Table1[[#This Row],[NextBillingDate]]="","Cancelled",IF(Table1[[#This Row],[CancellationDate]]&lt;&gt;"","Cancelled","Active"))</f>
        <v>Cancelled</v>
      </c>
      <c r="T575" s="7" cm="1">
        <f t="array" ref="T57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575" s="5">
        <v>45110</v>
      </c>
      <c r="W575" s="5">
        <v>45110</v>
      </c>
      <c r="X575" s="3">
        <v>0</v>
      </c>
      <c r="Y575" s="5">
        <f ca="1">IF(Table1[[#This Row],[ChurnStatus]]="Cancelled",Table1[[#This Row],[CancellationDate]],TODAY())</f>
        <v>45110</v>
      </c>
      <c r="Z575" s="46">
        <f ca="1">IF(AND(Table1[[#This Row],[SubscriptionStart]] &lt;= TODAY(), Table1[[#This Row],[EffectiveEndDate]] &gt;= TODAY()),1,0)</f>
        <v>0</v>
      </c>
      <c r="AA575" s="46">
        <f ca="1">IF(AND(Table1[[#This Row],[SubscriptionStart]]&lt;=Settings!$A$2,Table1[[#This Row],[EffectiveEndDate]]&gt;=Settings!$A$2),1,0)</f>
        <v>0</v>
      </c>
      <c r="AB575" s="46">
        <f ca="1">IF(AND(Table1[[#This Row],[SubscriptionStart]]&lt;=Settings!$B$2,Table1[[#This Row],[EffectiveEndDate]]&gt;=Settings!$B$2),1,0)</f>
        <v>0</v>
      </c>
      <c r="AC575" s="46">
        <f ca="1">IF(AND(Table1[[#This Row],[SubscriptionStart]]&lt;=Settings!$C$2,Table1[[#This Row],[EffectiveEndDate]]&gt;=Settings!$C$2),1,0)</f>
        <v>0</v>
      </c>
      <c r="AD575" s="46">
        <f ca="1">IF(AND(Table1[[#This Row],[SubscriptionStart]]&lt;=Settings!$D$2,Table1[[#This Row],[EffectiveEndDate]]&gt;=Settings!$D$2),1,0)</f>
        <v>0</v>
      </c>
      <c r="AE575" s="46">
        <f ca="1">IF(AND(Table1[[#This Row],[SubscriptionStart]]&lt;=Settings!$E$2,Table1[[#This Row],[EffectiveEndDate]]&gt;=Settings!$E$2),1,0)</f>
        <v>0</v>
      </c>
      <c r="AF575"/>
      <c r="AG575"/>
      <c r="AH575"/>
      <c r="AI575"/>
      <c r="AJ575"/>
      <c r="AK575"/>
    </row>
    <row r="576" spans="1:37">
      <c r="A576" s="3" t="s">
        <v>625</v>
      </c>
      <c r="B576" s="3">
        <v>20</v>
      </c>
      <c r="C576" s="3" t="s">
        <v>37</v>
      </c>
      <c r="D576" s="5">
        <v>45080</v>
      </c>
      <c r="E576" s="5">
        <v>45110</v>
      </c>
      <c r="F576" s="3">
        <f ca="1">TODAY() - Table1[[#This Row],[SubscriptionStart]]</f>
        <v>901</v>
      </c>
      <c r="G576" s="4">
        <v>1</v>
      </c>
      <c r="H576" s="3" t="s">
        <v>29</v>
      </c>
      <c r="I576" s="3" t="s">
        <v>25</v>
      </c>
      <c r="J576" s="7" cm="1">
        <f t="array" ref="J576">_xlfn.IFS(Table1[[#This Row],[Tier]]="Basic",10,Table1[[#This Row],[Tier]]="Standard",18,Table1[[#This Row],[Tier]]="Premium",25)</f>
        <v>25</v>
      </c>
      <c r="K576" s="7" cm="1">
        <f t="array" ref="K57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576" s="7" cm="1">
        <f t="array" ref="L57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576" s="3" t="str" cm="1">
        <f t="array" ref="M576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76" s="3" t="s">
        <v>26</v>
      </c>
      <c r="O576" s="3" t="s">
        <v>27</v>
      </c>
      <c r="P576" s="3" t="s">
        <v>41</v>
      </c>
      <c r="Q576" s="3" t="str" cm="1">
        <f t="array" ref="Q576">_xlfn.IFS(Table1[[#This Row],[TotalRevenue]]&lt;100,"Low",Table1[[#This Row],[TotalRevenue]]&lt;300,"Medium",Table1[[#This Row],[TotalRevenue]]&lt;600,"High",TRUE,"Very High")</f>
        <v>Low</v>
      </c>
      <c r="R576" s="3" t="str" cm="1">
        <f t="array" ref="R576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76" s="3" t="str">
        <f>IF(Table1[[#This Row],[NextBillingDate]]="","Cancelled",IF(Table1[[#This Row],[CancellationDate]]&lt;&gt;"","Cancelled","Active"))</f>
        <v>Cancelled</v>
      </c>
      <c r="T576" s="7" cm="1">
        <f t="array" ref="T57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576" s="5">
        <v>45110</v>
      </c>
      <c r="W576" s="5">
        <v>45110</v>
      </c>
      <c r="X576" s="3">
        <v>0</v>
      </c>
      <c r="Y576" s="5">
        <f ca="1">IF(Table1[[#This Row],[ChurnStatus]]="Cancelled",Table1[[#This Row],[CancellationDate]],TODAY())</f>
        <v>45110</v>
      </c>
      <c r="Z576" s="46">
        <f ca="1">IF(AND(Table1[[#This Row],[SubscriptionStart]] &lt;= TODAY(), Table1[[#This Row],[EffectiveEndDate]] &gt;= TODAY()),1,0)</f>
        <v>0</v>
      </c>
      <c r="AA576" s="46">
        <f ca="1">IF(AND(Table1[[#This Row],[SubscriptionStart]]&lt;=Settings!$A$2,Table1[[#This Row],[EffectiveEndDate]]&gt;=Settings!$A$2),1,0)</f>
        <v>0</v>
      </c>
      <c r="AB576" s="46">
        <f ca="1">IF(AND(Table1[[#This Row],[SubscriptionStart]]&lt;=Settings!$B$2,Table1[[#This Row],[EffectiveEndDate]]&gt;=Settings!$B$2),1,0)</f>
        <v>0</v>
      </c>
      <c r="AC576" s="46">
        <f ca="1">IF(AND(Table1[[#This Row],[SubscriptionStart]]&lt;=Settings!$C$2,Table1[[#This Row],[EffectiveEndDate]]&gt;=Settings!$C$2),1,0)</f>
        <v>0</v>
      </c>
      <c r="AD576" s="46">
        <f ca="1">IF(AND(Table1[[#This Row],[SubscriptionStart]]&lt;=Settings!$D$2,Table1[[#This Row],[EffectiveEndDate]]&gt;=Settings!$D$2),1,0)</f>
        <v>0</v>
      </c>
      <c r="AE576" s="46">
        <f ca="1">IF(AND(Table1[[#This Row],[SubscriptionStart]]&lt;=Settings!$E$2,Table1[[#This Row],[EffectiveEndDate]]&gt;=Settings!$E$2),1,0)</f>
        <v>0</v>
      </c>
      <c r="AF576"/>
      <c r="AG576"/>
      <c r="AH576"/>
      <c r="AI576"/>
      <c r="AJ576"/>
      <c r="AK576"/>
    </row>
    <row r="577" spans="1:37">
      <c r="A577" s="3" t="s">
        <v>408</v>
      </c>
      <c r="B577" s="3">
        <v>45</v>
      </c>
      <c r="C577" s="3" t="s">
        <v>37</v>
      </c>
      <c r="D577" s="5">
        <v>45082</v>
      </c>
      <c r="E577" s="5">
        <v>45442</v>
      </c>
      <c r="F577" s="3">
        <f ca="1">TODAY() - Table1[[#This Row],[SubscriptionStart]]</f>
        <v>899</v>
      </c>
      <c r="G577" s="4">
        <v>12</v>
      </c>
      <c r="H577" s="3" t="s">
        <v>24</v>
      </c>
      <c r="I577" s="3" t="s">
        <v>30</v>
      </c>
      <c r="J577" s="7" cm="1">
        <f t="array" ref="J577">_xlfn.IFS(Table1[[#This Row],[Tier]]="Basic",10,Table1[[#This Row],[Tier]]="Standard",18,Table1[[#This Row],[Tier]]="Premium",25)</f>
        <v>10</v>
      </c>
      <c r="K577" s="7" cm="1">
        <f t="array" ref="K57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77" s="7" cm="1">
        <f t="array" ref="L57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77" s="3" t="str" cm="1">
        <f t="array" ref="M57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77" s="3" t="s">
        <v>31</v>
      </c>
      <c r="O577" s="3" t="s">
        <v>32</v>
      </c>
      <c r="P577" s="3" t="s">
        <v>50</v>
      </c>
      <c r="Q577" s="3" t="str" cm="1">
        <f t="array" ref="Q577">_xlfn.IFS(Table1[[#This Row],[TotalRevenue]]&lt;100,"Low",Table1[[#This Row],[TotalRevenue]]&lt;300,"Medium",Table1[[#This Row],[TotalRevenue]]&lt;600,"High",TRUE,"Very High")</f>
        <v>Low</v>
      </c>
      <c r="R577" s="3" t="str" cm="1">
        <f t="array" ref="R57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77" s="3" t="str">
        <f>IF(Table1[[#This Row],[NextBillingDate]]="","Cancelled",IF(Table1[[#This Row],[CancellationDate]]&lt;&gt;"","Cancelled","Active"))</f>
        <v>Cancelled</v>
      </c>
      <c r="T577" s="7" cm="1">
        <f t="array" ref="T57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77" s="5">
        <v>45442</v>
      </c>
      <c r="W577" s="5">
        <v>45442</v>
      </c>
      <c r="X577" s="3">
        <v>0</v>
      </c>
      <c r="Y577" s="5">
        <f ca="1">IF(Table1[[#This Row],[ChurnStatus]]="Cancelled",Table1[[#This Row],[CancellationDate]],TODAY())</f>
        <v>45442</v>
      </c>
      <c r="Z577" s="46">
        <f ca="1">IF(AND(Table1[[#This Row],[SubscriptionStart]] &lt;= TODAY(), Table1[[#This Row],[EffectiveEndDate]] &gt;= TODAY()),1,0)</f>
        <v>0</v>
      </c>
      <c r="AA577" s="46">
        <f ca="1">IF(AND(Table1[[#This Row],[SubscriptionStart]]&lt;=Settings!$A$2,Table1[[#This Row],[EffectiveEndDate]]&gt;=Settings!$A$2),1,0)</f>
        <v>0</v>
      </c>
      <c r="AB577" s="46">
        <f ca="1">IF(AND(Table1[[#This Row],[SubscriptionStart]]&lt;=Settings!$B$2,Table1[[#This Row],[EffectiveEndDate]]&gt;=Settings!$B$2),1,0)</f>
        <v>0</v>
      </c>
      <c r="AC577" s="46">
        <f ca="1">IF(AND(Table1[[#This Row],[SubscriptionStart]]&lt;=Settings!$C$2,Table1[[#This Row],[EffectiveEndDate]]&gt;=Settings!$C$2),1,0)</f>
        <v>0</v>
      </c>
      <c r="AD577" s="46">
        <f ca="1">IF(AND(Table1[[#This Row],[SubscriptionStart]]&lt;=Settings!$D$2,Table1[[#This Row],[EffectiveEndDate]]&gt;=Settings!$D$2),1,0)</f>
        <v>0</v>
      </c>
      <c r="AE577" s="46">
        <f ca="1">IF(AND(Table1[[#This Row],[SubscriptionStart]]&lt;=Settings!$E$2,Table1[[#This Row],[EffectiveEndDate]]&gt;=Settings!$E$2),1,0)</f>
        <v>0</v>
      </c>
      <c r="AF577"/>
      <c r="AG577"/>
      <c r="AH577"/>
      <c r="AI577"/>
      <c r="AJ577"/>
      <c r="AK577"/>
    </row>
    <row r="578" spans="1:37">
      <c r="A578" s="3" t="s">
        <v>117</v>
      </c>
      <c r="B578" s="3">
        <v>21</v>
      </c>
      <c r="C578" s="3" t="s">
        <v>37</v>
      </c>
      <c r="D578" s="5">
        <v>45083</v>
      </c>
      <c r="F578" s="3">
        <f ca="1">TODAY() - Table1[[#This Row],[SubscriptionStart]]</f>
        <v>898</v>
      </c>
      <c r="G578" s="4">
        <v>30</v>
      </c>
      <c r="H578" s="3" t="s">
        <v>38</v>
      </c>
      <c r="I578" s="3" t="s">
        <v>30</v>
      </c>
      <c r="J578" s="7" cm="1">
        <f t="array" ref="J578">_xlfn.IFS(Table1[[#This Row],[Tier]]="Basic",10,Table1[[#This Row],[Tier]]="Standard",18,Table1[[#This Row],[Tier]]="Premium",25)</f>
        <v>10</v>
      </c>
      <c r="K578" s="7" cm="1">
        <f t="array" ref="K57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578" s="7" cm="1">
        <f t="array" ref="L57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216</v>
      </c>
      <c r="M578" s="3" t="str" cm="1">
        <f t="array" ref="M578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78" s="3" t="s">
        <v>34</v>
      </c>
      <c r="O578" s="3" t="s">
        <v>49</v>
      </c>
      <c r="Q578" s="3" t="str" cm="1">
        <f t="array" ref="Q578">_xlfn.IFS(Table1[[#This Row],[TotalRevenue]]&lt;100,"Low",Table1[[#This Row],[TotalRevenue]]&lt;300,"Medium",Table1[[#This Row],[TotalRevenue]]&lt;600,"High",TRUE,"Very High")</f>
        <v>Medium</v>
      </c>
      <c r="R578" s="3" t="str" cm="1">
        <f t="array" ref="R578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78" s="3" t="str">
        <f>IF(Table1[[#This Row],[NextBillingDate]]="","Cancelled",IF(Table1[[#This Row],[CancellationDate]]&lt;&gt;"","Cancelled","Active"))</f>
        <v>Active</v>
      </c>
      <c r="T578" s="7" cm="1">
        <f t="array" ref="T57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261</v>
      </c>
      <c r="V578" s="5">
        <v>45983</v>
      </c>
      <c r="W578" s="5">
        <v>45983</v>
      </c>
      <c r="X578" s="3">
        <v>4</v>
      </c>
      <c r="Y578" s="5">
        <f ca="1">IF(Table1[[#This Row],[ChurnStatus]]="Cancelled",Table1[[#This Row],[CancellationDate]],TODAY())</f>
        <v>45981</v>
      </c>
      <c r="Z578" s="46">
        <f ca="1">IF(AND(Table1[[#This Row],[SubscriptionStart]] &lt;= TODAY(), Table1[[#This Row],[EffectiveEndDate]] &gt;= TODAY()),1,0)</f>
        <v>1</v>
      </c>
      <c r="AA578" s="46">
        <f ca="1">IF(AND(Table1[[#This Row],[SubscriptionStart]]&lt;=Settings!$A$2,Table1[[#This Row],[EffectiveEndDate]]&gt;=Settings!$A$2),1,0)</f>
        <v>0</v>
      </c>
      <c r="AB578" s="46">
        <f ca="1">IF(AND(Table1[[#This Row],[SubscriptionStart]]&lt;=Settings!$B$2,Table1[[#This Row],[EffectiveEndDate]]&gt;=Settings!$B$2),1,0)</f>
        <v>0</v>
      </c>
      <c r="AC578" s="46">
        <f ca="1">IF(AND(Table1[[#This Row],[SubscriptionStart]]&lt;=Settings!$C$2,Table1[[#This Row],[EffectiveEndDate]]&gt;=Settings!$C$2),1,0)</f>
        <v>0</v>
      </c>
      <c r="AD578" s="46">
        <f ca="1">IF(AND(Table1[[#This Row],[SubscriptionStart]]&lt;=Settings!$D$2,Table1[[#This Row],[EffectiveEndDate]]&gt;=Settings!$D$2),1,0)</f>
        <v>0</v>
      </c>
      <c r="AE578" s="46">
        <f ca="1">IF(AND(Table1[[#This Row],[SubscriptionStart]]&lt;=Settings!$E$2,Table1[[#This Row],[EffectiveEndDate]]&gt;=Settings!$E$2),1,0)</f>
        <v>1</v>
      </c>
      <c r="AF578"/>
      <c r="AG578"/>
      <c r="AH578"/>
      <c r="AI578"/>
      <c r="AJ578"/>
      <c r="AK578"/>
    </row>
    <row r="579" spans="1:37">
      <c r="A579" s="3" t="s">
        <v>352</v>
      </c>
      <c r="B579" s="3">
        <v>49</v>
      </c>
      <c r="C579" s="3" t="s">
        <v>23</v>
      </c>
      <c r="D579" s="5">
        <v>45085</v>
      </c>
      <c r="E579" s="5">
        <v>45265</v>
      </c>
      <c r="F579" s="3">
        <f ca="1">TODAY() - Table1[[#This Row],[SubscriptionStart]]</f>
        <v>896</v>
      </c>
      <c r="G579" s="4">
        <v>6</v>
      </c>
      <c r="H579" s="3" t="s">
        <v>38</v>
      </c>
      <c r="I579" s="3" t="s">
        <v>25</v>
      </c>
      <c r="J579" s="7" cm="1">
        <f t="array" ref="J579">_xlfn.IFS(Table1[[#This Row],[Tier]]="Basic",10,Table1[[#This Row],[Tier]]="Standard",18,Table1[[#This Row],[Tier]]="Premium",25)</f>
        <v>25</v>
      </c>
      <c r="K579" s="7" cm="1">
        <f t="array" ref="K57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579" s="7" cm="1">
        <f t="array" ref="L57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579" s="3" t="str" cm="1">
        <f t="array" ref="M57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79" s="3" t="s">
        <v>52</v>
      </c>
      <c r="O579" s="3" t="s">
        <v>27</v>
      </c>
      <c r="P579" s="3" t="s">
        <v>44</v>
      </c>
      <c r="Q579" s="3" t="str" cm="1">
        <f t="array" ref="Q579">_xlfn.IFS(Table1[[#This Row],[TotalRevenue]]&lt;100,"Low",Table1[[#This Row],[TotalRevenue]]&lt;300,"Medium",Table1[[#This Row],[TotalRevenue]]&lt;600,"High",TRUE,"Very High")</f>
        <v>Medium</v>
      </c>
      <c r="R579" s="3" t="str" cm="1">
        <f t="array" ref="R57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79" s="3" t="str">
        <f>IF(Table1[[#This Row],[NextBillingDate]]="","Cancelled",IF(Table1[[#This Row],[CancellationDate]]&lt;&gt;"","Cancelled","Active"))</f>
        <v>Cancelled</v>
      </c>
      <c r="T579" s="7" cm="1">
        <f t="array" ref="T57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579" s="5">
        <v>45265</v>
      </c>
      <c r="W579" s="5">
        <v>45265</v>
      </c>
      <c r="X579" s="3">
        <v>0</v>
      </c>
      <c r="Y579" s="5">
        <f ca="1">IF(Table1[[#This Row],[ChurnStatus]]="Cancelled",Table1[[#This Row],[CancellationDate]],TODAY())</f>
        <v>45265</v>
      </c>
      <c r="Z579" s="46">
        <f ca="1">IF(AND(Table1[[#This Row],[SubscriptionStart]] &lt;= TODAY(), Table1[[#This Row],[EffectiveEndDate]] &gt;= TODAY()),1,0)</f>
        <v>0</v>
      </c>
      <c r="AA579" s="46">
        <f ca="1">IF(AND(Table1[[#This Row],[SubscriptionStart]]&lt;=Settings!$A$2,Table1[[#This Row],[EffectiveEndDate]]&gt;=Settings!$A$2),1,0)</f>
        <v>0</v>
      </c>
      <c r="AB579" s="46">
        <f ca="1">IF(AND(Table1[[#This Row],[SubscriptionStart]]&lt;=Settings!$B$2,Table1[[#This Row],[EffectiveEndDate]]&gt;=Settings!$B$2),1,0)</f>
        <v>0</v>
      </c>
      <c r="AC579" s="46">
        <f ca="1">IF(AND(Table1[[#This Row],[SubscriptionStart]]&lt;=Settings!$C$2,Table1[[#This Row],[EffectiveEndDate]]&gt;=Settings!$C$2),1,0)</f>
        <v>0</v>
      </c>
      <c r="AD579" s="46">
        <f ca="1">IF(AND(Table1[[#This Row],[SubscriptionStart]]&lt;=Settings!$D$2,Table1[[#This Row],[EffectiveEndDate]]&gt;=Settings!$D$2),1,0)</f>
        <v>0</v>
      </c>
      <c r="AE579" s="46">
        <f ca="1">IF(AND(Table1[[#This Row],[SubscriptionStart]]&lt;=Settings!$E$2,Table1[[#This Row],[EffectiveEndDate]]&gt;=Settings!$E$2),1,0)</f>
        <v>0</v>
      </c>
      <c r="AF579"/>
      <c r="AG579"/>
      <c r="AH579"/>
      <c r="AI579"/>
      <c r="AJ579"/>
      <c r="AK579"/>
    </row>
    <row r="580" spans="1:37">
      <c r="A580" s="3" t="s">
        <v>68</v>
      </c>
      <c r="B580" s="3">
        <v>50</v>
      </c>
      <c r="C580" s="3" t="s">
        <v>23</v>
      </c>
      <c r="D580" s="5">
        <v>45086</v>
      </c>
      <c r="E580" s="5">
        <v>45266</v>
      </c>
      <c r="F580" s="3">
        <f ca="1">TODAY() - Table1[[#This Row],[SubscriptionStart]]</f>
        <v>895</v>
      </c>
      <c r="G580" s="4">
        <v>6</v>
      </c>
      <c r="H580" s="3" t="s">
        <v>38</v>
      </c>
      <c r="I580" s="3" t="s">
        <v>30</v>
      </c>
      <c r="J580" s="7" cm="1">
        <f t="array" ref="J580">_xlfn.IFS(Table1[[#This Row],[Tier]]="Basic",10,Table1[[#This Row],[Tier]]="Standard",18,Table1[[#This Row],[Tier]]="Premium",25)</f>
        <v>10</v>
      </c>
      <c r="K580" s="7" cm="1">
        <f t="array" ref="K58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580" s="7" cm="1">
        <f t="array" ref="L58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580" s="3" t="str" cm="1">
        <f t="array" ref="M58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80" s="3" t="s">
        <v>26</v>
      </c>
      <c r="O580" s="3" t="s">
        <v>49</v>
      </c>
      <c r="P580" s="3" t="s">
        <v>44</v>
      </c>
      <c r="Q580" s="3" t="str" cm="1">
        <f t="array" ref="Q580">_xlfn.IFS(Table1[[#This Row],[TotalRevenue]]&lt;100,"Low",Table1[[#This Row],[TotalRevenue]]&lt;300,"Medium",Table1[[#This Row],[TotalRevenue]]&lt;600,"High",TRUE,"Very High")</f>
        <v>Low</v>
      </c>
      <c r="R580" s="3" t="str" cm="1">
        <f t="array" ref="R58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80" s="3" t="str">
        <f>IF(Table1[[#This Row],[NextBillingDate]]="","Cancelled",IF(Table1[[#This Row],[CancellationDate]]&lt;&gt;"","Cancelled","Active"))</f>
        <v>Cancelled</v>
      </c>
      <c r="T580" s="7" cm="1">
        <f t="array" ref="T58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580" s="5">
        <v>45266</v>
      </c>
      <c r="W580" s="5">
        <v>45266</v>
      </c>
      <c r="X580" s="3">
        <v>0</v>
      </c>
      <c r="Y580" s="5">
        <f ca="1">IF(Table1[[#This Row],[ChurnStatus]]="Cancelled",Table1[[#This Row],[CancellationDate]],TODAY())</f>
        <v>45266</v>
      </c>
      <c r="Z580" s="46">
        <f ca="1">IF(AND(Table1[[#This Row],[SubscriptionStart]] &lt;= TODAY(), Table1[[#This Row],[EffectiveEndDate]] &gt;= TODAY()),1,0)</f>
        <v>0</v>
      </c>
      <c r="AA580" s="46">
        <f ca="1">IF(AND(Table1[[#This Row],[SubscriptionStart]]&lt;=Settings!$A$2,Table1[[#This Row],[EffectiveEndDate]]&gt;=Settings!$A$2),1,0)</f>
        <v>0</v>
      </c>
      <c r="AB580" s="46">
        <f ca="1">IF(AND(Table1[[#This Row],[SubscriptionStart]]&lt;=Settings!$B$2,Table1[[#This Row],[EffectiveEndDate]]&gt;=Settings!$B$2),1,0)</f>
        <v>0</v>
      </c>
      <c r="AC580" s="46">
        <f ca="1">IF(AND(Table1[[#This Row],[SubscriptionStart]]&lt;=Settings!$C$2,Table1[[#This Row],[EffectiveEndDate]]&gt;=Settings!$C$2),1,0)</f>
        <v>0</v>
      </c>
      <c r="AD580" s="46">
        <f ca="1">IF(AND(Table1[[#This Row],[SubscriptionStart]]&lt;=Settings!$D$2,Table1[[#This Row],[EffectiveEndDate]]&gt;=Settings!$D$2),1,0)</f>
        <v>0</v>
      </c>
      <c r="AE580" s="46">
        <f ca="1">IF(AND(Table1[[#This Row],[SubscriptionStart]]&lt;=Settings!$E$2,Table1[[#This Row],[EffectiveEndDate]]&gt;=Settings!$E$2),1,0)</f>
        <v>0</v>
      </c>
      <c r="AF580"/>
      <c r="AG580"/>
      <c r="AH580"/>
      <c r="AI580"/>
      <c r="AJ580"/>
      <c r="AK580"/>
    </row>
    <row r="581" spans="1:37">
      <c r="A581" s="3" t="s">
        <v>146</v>
      </c>
      <c r="B581" s="3">
        <v>39</v>
      </c>
      <c r="C581" s="3" t="s">
        <v>23</v>
      </c>
      <c r="D581" s="5">
        <v>45086</v>
      </c>
      <c r="F581" s="3">
        <f ca="1">TODAY() - Table1[[#This Row],[SubscriptionStart]]</f>
        <v>895</v>
      </c>
      <c r="G581" s="4">
        <v>30</v>
      </c>
      <c r="H581" s="3" t="s">
        <v>29</v>
      </c>
      <c r="I581" s="3" t="s">
        <v>25</v>
      </c>
      <c r="J581" s="7" cm="1">
        <f t="array" ref="J581">_xlfn.IFS(Table1[[#This Row],[Tier]]="Basic",10,Table1[[#This Row],[Tier]]="Standard",18,Table1[[#This Row],[Tier]]="Premium",25)</f>
        <v>25</v>
      </c>
      <c r="K581" s="7" cm="1">
        <f t="array" ref="K58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581" s="7" cm="1">
        <f t="array" ref="L58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697.5</v>
      </c>
      <c r="M581" s="3" t="str" cm="1">
        <f t="array" ref="M58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81" s="3" t="s">
        <v>52</v>
      </c>
      <c r="O581" s="3" t="s">
        <v>49</v>
      </c>
      <c r="Q581" s="3" t="str" cm="1">
        <f t="array" ref="Q581">_xlfn.IFS(Table1[[#This Row],[TotalRevenue]]&lt;100,"Low",Table1[[#This Row],[TotalRevenue]]&lt;300,"Medium",Table1[[#This Row],[TotalRevenue]]&lt;600,"High",TRUE,"Very High")</f>
        <v>Very High</v>
      </c>
      <c r="R581" s="3" t="str" cm="1">
        <f t="array" ref="R58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81" s="3" t="str">
        <f>IF(Table1[[#This Row],[NextBillingDate]]="","Cancelled",IF(Table1[[#This Row],[CancellationDate]]&lt;&gt;"","Cancelled","Active"))</f>
        <v>Active</v>
      </c>
      <c r="T581" s="7" cm="1">
        <f t="array" ref="T58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722.5</v>
      </c>
      <c r="V581" s="5">
        <v>45986</v>
      </c>
      <c r="W581" s="5">
        <v>45986</v>
      </c>
      <c r="X581" s="3">
        <v>29</v>
      </c>
      <c r="Y581" s="5">
        <f ca="1">IF(Table1[[#This Row],[ChurnStatus]]="Cancelled",Table1[[#This Row],[CancellationDate]],TODAY())</f>
        <v>45981</v>
      </c>
      <c r="Z581" s="46">
        <f ca="1">IF(AND(Table1[[#This Row],[SubscriptionStart]] &lt;= TODAY(), Table1[[#This Row],[EffectiveEndDate]] &gt;= TODAY()),1,0)</f>
        <v>1</v>
      </c>
      <c r="AA581" s="46">
        <f ca="1">IF(AND(Table1[[#This Row],[SubscriptionStart]]&lt;=Settings!$A$2,Table1[[#This Row],[EffectiveEndDate]]&gt;=Settings!$A$2),1,0)</f>
        <v>0</v>
      </c>
      <c r="AB581" s="46">
        <f ca="1">IF(AND(Table1[[#This Row],[SubscriptionStart]]&lt;=Settings!$B$2,Table1[[#This Row],[EffectiveEndDate]]&gt;=Settings!$B$2),1,0)</f>
        <v>0</v>
      </c>
      <c r="AC581" s="46">
        <f ca="1">IF(AND(Table1[[#This Row],[SubscriptionStart]]&lt;=Settings!$C$2,Table1[[#This Row],[EffectiveEndDate]]&gt;=Settings!$C$2),1,0)</f>
        <v>0</v>
      </c>
      <c r="AD581" s="46">
        <f ca="1">IF(AND(Table1[[#This Row],[SubscriptionStart]]&lt;=Settings!$D$2,Table1[[#This Row],[EffectiveEndDate]]&gt;=Settings!$D$2),1,0)</f>
        <v>0</v>
      </c>
      <c r="AE581" s="46">
        <f ca="1">IF(AND(Table1[[#This Row],[SubscriptionStart]]&lt;=Settings!$E$2,Table1[[#This Row],[EffectiveEndDate]]&gt;=Settings!$E$2),1,0)</f>
        <v>1</v>
      </c>
      <c r="AF581"/>
      <c r="AG581"/>
      <c r="AH581"/>
      <c r="AI581"/>
      <c r="AJ581"/>
      <c r="AK581"/>
    </row>
    <row r="582" spans="1:37">
      <c r="A582" s="3" t="s">
        <v>84</v>
      </c>
      <c r="B582" s="3">
        <v>25</v>
      </c>
      <c r="C582" s="3" t="s">
        <v>23</v>
      </c>
      <c r="D582" s="5">
        <v>45087</v>
      </c>
      <c r="E582" s="5">
        <v>45117</v>
      </c>
      <c r="F582" s="3">
        <f ca="1">TODAY() - Table1[[#This Row],[SubscriptionStart]]</f>
        <v>894</v>
      </c>
      <c r="G582" s="4">
        <v>1</v>
      </c>
      <c r="H582" s="3" t="s">
        <v>29</v>
      </c>
      <c r="I582" s="3" t="s">
        <v>39</v>
      </c>
      <c r="J582" s="7" cm="1">
        <f t="array" ref="J582">_xlfn.IFS(Table1[[#This Row],[Tier]]="Basic",10,Table1[[#This Row],[Tier]]="Standard",18,Table1[[#This Row],[Tier]]="Premium",25)</f>
        <v>18</v>
      </c>
      <c r="K582" s="7" cm="1">
        <f t="array" ref="K58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582" s="7" cm="1">
        <f t="array" ref="L58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582" s="3" t="str" cm="1">
        <f t="array" ref="M582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82" s="3" t="s">
        <v>34</v>
      </c>
      <c r="O582" s="3" t="s">
        <v>27</v>
      </c>
      <c r="P582" s="3" t="s">
        <v>44</v>
      </c>
      <c r="Q582" s="3" t="str" cm="1">
        <f t="array" ref="Q582">_xlfn.IFS(Table1[[#This Row],[TotalRevenue]]&lt;100,"Low",Table1[[#This Row],[TotalRevenue]]&lt;300,"Medium",Table1[[#This Row],[TotalRevenue]]&lt;600,"High",TRUE,"Very High")</f>
        <v>Low</v>
      </c>
      <c r="R582" s="3" t="str" cm="1">
        <f t="array" ref="R582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82" s="3" t="str">
        <f>IF(Table1[[#This Row],[NextBillingDate]]="","Cancelled",IF(Table1[[#This Row],[CancellationDate]]&lt;&gt;"","Cancelled","Active"))</f>
        <v>Cancelled</v>
      </c>
      <c r="T582" s="7" cm="1">
        <f t="array" ref="T58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582" s="5">
        <v>45117</v>
      </c>
      <c r="W582" s="5">
        <v>45117</v>
      </c>
      <c r="X582" s="3">
        <v>0</v>
      </c>
      <c r="Y582" s="5">
        <f ca="1">IF(Table1[[#This Row],[ChurnStatus]]="Cancelled",Table1[[#This Row],[CancellationDate]],TODAY())</f>
        <v>45117</v>
      </c>
      <c r="Z582" s="46">
        <f ca="1">IF(AND(Table1[[#This Row],[SubscriptionStart]] &lt;= TODAY(), Table1[[#This Row],[EffectiveEndDate]] &gt;= TODAY()),1,0)</f>
        <v>0</v>
      </c>
      <c r="AA582" s="46">
        <f ca="1">IF(AND(Table1[[#This Row],[SubscriptionStart]]&lt;=Settings!$A$2,Table1[[#This Row],[EffectiveEndDate]]&gt;=Settings!$A$2),1,0)</f>
        <v>0</v>
      </c>
      <c r="AB582" s="46">
        <f ca="1">IF(AND(Table1[[#This Row],[SubscriptionStart]]&lt;=Settings!$B$2,Table1[[#This Row],[EffectiveEndDate]]&gt;=Settings!$B$2),1,0)</f>
        <v>0</v>
      </c>
      <c r="AC582" s="46">
        <f ca="1">IF(AND(Table1[[#This Row],[SubscriptionStart]]&lt;=Settings!$C$2,Table1[[#This Row],[EffectiveEndDate]]&gt;=Settings!$C$2),1,0)</f>
        <v>0</v>
      </c>
      <c r="AD582" s="46">
        <f ca="1">IF(AND(Table1[[#This Row],[SubscriptionStart]]&lt;=Settings!$D$2,Table1[[#This Row],[EffectiveEndDate]]&gt;=Settings!$D$2),1,0)</f>
        <v>0</v>
      </c>
      <c r="AE582" s="46">
        <f ca="1">IF(AND(Table1[[#This Row],[SubscriptionStart]]&lt;=Settings!$E$2,Table1[[#This Row],[EffectiveEndDate]]&gt;=Settings!$E$2),1,0)</f>
        <v>0</v>
      </c>
      <c r="AF582"/>
      <c r="AG582"/>
      <c r="AH582"/>
      <c r="AI582"/>
      <c r="AJ582"/>
      <c r="AK582"/>
    </row>
    <row r="583" spans="1:37">
      <c r="A583" s="3" t="s">
        <v>76</v>
      </c>
      <c r="B583" s="3">
        <v>66</v>
      </c>
      <c r="C583" s="3" t="s">
        <v>23</v>
      </c>
      <c r="D583" s="5">
        <v>45087</v>
      </c>
      <c r="E583" s="5">
        <v>45447</v>
      </c>
      <c r="F583" s="3">
        <f ca="1">TODAY() - Table1[[#This Row],[SubscriptionStart]]</f>
        <v>894</v>
      </c>
      <c r="G583" s="4">
        <v>12</v>
      </c>
      <c r="H583" s="3" t="s">
        <v>24</v>
      </c>
      <c r="I583" s="3" t="s">
        <v>25</v>
      </c>
      <c r="J583" s="7" cm="1">
        <f t="array" ref="J583">_xlfn.IFS(Table1[[#This Row],[Tier]]="Basic",10,Table1[[#This Row],[Tier]]="Standard",18,Table1[[#This Row],[Tier]]="Premium",25)</f>
        <v>25</v>
      </c>
      <c r="K583" s="7" cm="1">
        <f t="array" ref="K58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83" s="7" cm="1">
        <f t="array" ref="L58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83" s="3" t="str" cm="1">
        <f t="array" ref="M583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583" s="3" t="s">
        <v>52</v>
      </c>
      <c r="O583" s="3" t="s">
        <v>40</v>
      </c>
      <c r="P583" s="3" t="s">
        <v>44</v>
      </c>
      <c r="Q583" s="3" t="str" cm="1">
        <f t="array" ref="Q583">_xlfn.IFS(Table1[[#This Row],[TotalRevenue]]&lt;100,"Low",Table1[[#This Row],[TotalRevenue]]&lt;300,"Medium",Table1[[#This Row],[TotalRevenue]]&lt;600,"High",TRUE,"Very High")</f>
        <v>Medium</v>
      </c>
      <c r="R583" s="3" t="str" cm="1">
        <f t="array" ref="R583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583" s="3" t="str">
        <f>IF(Table1[[#This Row],[NextBillingDate]]="","Cancelled",IF(Table1[[#This Row],[CancellationDate]]&lt;&gt;"","Cancelled","Active"))</f>
        <v>Cancelled</v>
      </c>
      <c r="T583" s="7" cm="1">
        <f t="array" ref="T58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83" s="5">
        <v>45447</v>
      </c>
      <c r="W583" s="5">
        <v>45447</v>
      </c>
      <c r="X583" s="3">
        <v>0</v>
      </c>
      <c r="Y583" s="5">
        <f ca="1">IF(Table1[[#This Row],[ChurnStatus]]="Cancelled",Table1[[#This Row],[CancellationDate]],TODAY())</f>
        <v>45447</v>
      </c>
      <c r="Z583" s="46">
        <f ca="1">IF(AND(Table1[[#This Row],[SubscriptionStart]] &lt;= TODAY(), Table1[[#This Row],[EffectiveEndDate]] &gt;= TODAY()),1,0)</f>
        <v>0</v>
      </c>
      <c r="AA583" s="46">
        <f ca="1">IF(AND(Table1[[#This Row],[SubscriptionStart]]&lt;=Settings!$A$2,Table1[[#This Row],[EffectiveEndDate]]&gt;=Settings!$A$2),1,0)</f>
        <v>0</v>
      </c>
      <c r="AB583" s="46">
        <f ca="1">IF(AND(Table1[[#This Row],[SubscriptionStart]]&lt;=Settings!$B$2,Table1[[#This Row],[EffectiveEndDate]]&gt;=Settings!$B$2),1,0)</f>
        <v>0</v>
      </c>
      <c r="AC583" s="46">
        <f ca="1">IF(AND(Table1[[#This Row],[SubscriptionStart]]&lt;=Settings!$C$2,Table1[[#This Row],[EffectiveEndDate]]&gt;=Settings!$C$2),1,0)</f>
        <v>0</v>
      </c>
      <c r="AD583" s="46">
        <f ca="1">IF(AND(Table1[[#This Row],[SubscriptionStart]]&lt;=Settings!$D$2,Table1[[#This Row],[EffectiveEndDate]]&gt;=Settings!$D$2),1,0)</f>
        <v>0</v>
      </c>
      <c r="AE583" s="46">
        <f ca="1">IF(AND(Table1[[#This Row],[SubscriptionStart]]&lt;=Settings!$E$2,Table1[[#This Row],[EffectiveEndDate]]&gt;=Settings!$E$2),1,0)</f>
        <v>0</v>
      </c>
      <c r="AF583"/>
      <c r="AG583"/>
      <c r="AH583"/>
      <c r="AI583"/>
      <c r="AJ583"/>
      <c r="AK583"/>
    </row>
    <row r="584" spans="1:37">
      <c r="A584" s="3" t="s">
        <v>331</v>
      </c>
      <c r="B584" s="3">
        <v>18</v>
      </c>
      <c r="C584" s="3" t="s">
        <v>23</v>
      </c>
      <c r="D584" s="5">
        <v>45088</v>
      </c>
      <c r="E584" s="5">
        <v>45118</v>
      </c>
      <c r="F584" s="3">
        <f ca="1">TODAY() - Table1[[#This Row],[SubscriptionStart]]</f>
        <v>893</v>
      </c>
      <c r="G584" s="4">
        <v>1</v>
      </c>
      <c r="H584" s="3" t="s">
        <v>29</v>
      </c>
      <c r="I584" s="3" t="s">
        <v>39</v>
      </c>
      <c r="J584" s="7" cm="1">
        <f t="array" ref="J584">_xlfn.IFS(Table1[[#This Row],[Tier]]="Basic",10,Table1[[#This Row],[Tier]]="Standard",18,Table1[[#This Row],[Tier]]="Premium",25)</f>
        <v>18</v>
      </c>
      <c r="K584" s="7" cm="1">
        <f t="array" ref="K58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584" s="7" cm="1">
        <f t="array" ref="L58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584" s="3" t="str" cm="1">
        <f t="array" ref="M584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84" s="3" t="s">
        <v>52</v>
      </c>
      <c r="O584" s="3" t="s">
        <v>40</v>
      </c>
      <c r="P584" s="3" t="s">
        <v>41</v>
      </c>
      <c r="Q584" s="3" t="str" cm="1">
        <f t="array" ref="Q584">_xlfn.IFS(Table1[[#This Row],[TotalRevenue]]&lt;100,"Low",Table1[[#This Row],[TotalRevenue]]&lt;300,"Medium",Table1[[#This Row],[TotalRevenue]]&lt;600,"High",TRUE,"Very High")</f>
        <v>Low</v>
      </c>
      <c r="R584" s="3" t="str" cm="1">
        <f t="array" ref="R584">_xlfn.IFS(Table1[[#This Row],[Age]]&gt;69,"Elderly",Table1[[#This Row],[Age]]&gt;59,"Mature Adult",Table1[[#This Row],[Age]]&gt;25,"Adult",Table1[[#This Row],[Age]]&gt;18,"Young Adult",Table1[[#This Row],[Age]]&gt;=12,"Teenager")</f>
        <v>Teenager</v>
      </c>
      <c r="S584" s="3" t="str">
        <f>IF(Table1[[#This Row],[NextBillingDate]]="","Cancelled",IF(Table1[[#This Row],[CancellationDate]]&lt;&gt;"","Cancelled","Active"))</f>
        <v>Cancelled</v>
      </c>
      <c r="T584" s="7" cm="1">
        <f t="array" ref="T58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584" s="5">
        <v>45118</v>
      </c>
      <c r="W584" s="5">
        <v>45118</v>
      </c>
      <c r="X584" s="3">
        <v>0</v>
      </c>
      <c r="Y584" s="5">
        <f ca="1">IF(Table1[[#This Row],[ChurnStatus]]="Cancelled",Table1[[#This Row],[CancellationDate]],TODAY())</f>
        <v>45118</v>
      </c>
      <c r="Z584" s="46">
        <f ca="1">IF(AND(Table1[[#This Row],[SubscriptionStart]] &lt;= TODAY(), Table1[[#This Row],[EffectiveEndDate]] &gt;= TODAY()),1,0)</f>
        <v>0</v>
      </c>
      <c r="AA584" s="46">
        <f ca="1">IF(AND(Table1[[#This Row],[SubscriptionStart]]&lt;=Settings!$A$2,Table1[[#This Row],[EffectiveEndDate]]&gt;=Settings!$A$2),1,0)</f>
        <v>0</v>
      </c>
      <c r="AB584" s="46">
        <f ca="1">IF(AND(Table1[[#This Row],[SubscriptionStart]]&lt;=Settings!$B$2,Table1[[#This Row],[EffectiveEndDate]]&gt;=Settings!$B$2),1,0)</f>
        <v>0</v>
      </c>
      <c r="AC584" s="46">
        <f ca="1">IF(AND(Table1[[#This Row],[SubscriptionStart]]&lt;=Settings!$C$2,Table1[[#This Row],[EffectiveEndDate]]&gt;=Settings!$C$2),1,0)</f>
        <v>0</v>
      </c>
      <c r="AD584" s="46">
        <f ca="1">IF(AND(Table1[[#This Row],[SubscriptionStart]]&lt;=Settings!$D$2,Table1[[#This Row],[EffectiveEndDate]]&gt;=Settings!$D$2),1,0)</f>
        <v>0</v>
      </c>
      <c r="AE584" s="46">
        <f ca="1">IF(AND(Table1[[#This Row],[SubscriptionStart]]&lt;=Settings!$E$2,Table1[[#This Row],[EffectiveEndDate]]&gt;=Settings!$E$2),1,0)</f>
        <v>0</v>
      </c>
      <c r="AF584"/>
      <c r="AG584"/>
      <c r="AH584"/>
      <c r="AI584"/>
      <c r="AJ584"/>
      <c r="AK584"/>
    </row>
    <row r="585" spans="1:37">
      <c r="A585" s="3" t="s">
        <v>348</v>
      </c>
      <c r="B585" s="3">
        <v>23</v>
      </c>
      <c r="C585" s="3" t="s">
        <v>23</v>
      </c>
      <c r="D585" s="5">
        <v>45088</v>
      </c>
      <c r="F585" s="3">
        <f ca="1">TODAY() - Table1[[#This Row],[SubscriptionStart]]</f>
        <v>893</v>
      </c>
      <c r="G585" s="4">
        <v>30</v>
      </c>
      <c r="H585" s="3" t="s">
        <v>29</v>
      </c>
      <c r="I585" s="3" t="s">
        <v>39</v>
      </c>
      <c r="J585" s="7" cm="1">
        <f t="array" ref="J585">_xlfn.IFS(Table1[[#This Row],[Tier]]="Basic",10,Table1[[#This Row],[Tier]]="Standard",18,Table1[[#This Row],[Tier]]="Premium",25)</f>
        <v>18</v>
      </c>
      <c r="K585" s="7" cm="1">
        <f t="array" ref="K58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585" s="7" cm="1">
        <f t="array" ref="L58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502.2</v>
      </c>
      <c r="M585" s="3" t="str" cm="1">
        <f t="array" ref="M585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85" s="3" t="s">
        <v>52</v>
      </c>
      <c r="O585" s="3" t="s">
        <v>43</v>
      </c>
      <c r="Q585" s="3" t="str" cm="1">
        <f t="array" ref="Q585">_xlfn.IFS(Table1[[#This Row],[TotalRevenue]]&lt;100,"Low",Table1[[#This Row],[TotalRevenue]]&lt;300,"Medium",Table1[[#This Row],[TotalRevenue]]&lt;600,"High",TRUE,"Very High")</f>
        <v>High</v>
      </c>
      <c r="R585" s="3" t="str" cm="1">
        <f t="array" ref="R585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85" s="3" t="str">
        <f>IF(Table1[[#This Row],[NextBillingDate]]="","Cancelled",IF(Table1[[#This Row],[CancellationDate]]&lt;&gt;"","Cancelled","Active"))</f>
        <v>Active</v>
      </c>
      <c r="T585" s="7" cm="1">
        <f t="array" ref="T58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520.20000000000005</v>
      </c>
      <c r="V585" s="5">
        <v>45988</v>
      </c>
      <c r="W585" s="5">
        <v>45988</v>
      </c>
      <c r="X585" s="3">
        <v>29</v>
      </c>
      <c r="Y585" s="5">
        <f ca="1">IF(Table1[[#This Row],[ChurnStatus]]="Cancelled",Table1[[#This Row],[CancellationDate]],TODAY())</f>
        <v>45981</v>
      </c>
      <c r="Z585" s="46">
        <f ca="1">IF(AND(Table1[[#This Row],[SubscriptionStart]] &lt;= TODAY(), Table1[[#This Row],[EffectiveEndDate]] &gt;= TODAY()),1,0)</f>
        <v>1</v>
      </c>
      <c r="AA585" s="46">
        <f ca="1">IF(AND(Table1[[#This Row],[SubscriptionStart]]&lt;=Settings!$A$2,Table1[[#This Row],[EffectiveEndDate]]&gt;=Settings!$A$2),1,0)</f>
        <v>0</v>
      </c>
      <c r="AB585" s="46">
        <f ca="1">IF(AND(Table1[[#This Row],[SubscriptionStart]]&lt;=Settings!$B$2,Table1[[#This Row],[EffectiveEndDate]]&gt;=Settings!$B$2),1,0)</f>
        <v>0</v>
      </c>
      <c r="AC585" s="46">
        <f ca="1">IF(AND(Table1[[#This Row],[SubscriptionStart]]&lt;=Settings!$C$2,Table1[[#This Row],[EffectiveEndDate]]&gt;=Settings!$C$2),1,0)</f>
        <v>0</v>
      </c>
      <c r="AD585" s="46">
        <f ca="1">IF(AND(Table1[[#This Row],[SubscriptionStart]]&lt;=Settings!$D$2,Table1[[#This Row],[EffectiveEndDate]]&gt;=Settings!$D$2),1,0)</f>
        <v>0</v>
      </c>
      <c r="AE585" s="46">
        <f ca="1">IF(AND(Table1[[#This Row],[SubscriptionStart]]&lt;=Settings!$E$2,Table1[[#This Row],[EffectiveEndDate]]&gt;=Settings!$E$2),1,0)</f>
        <v>1</v>
      </c>
      <c r="AF585"/>
      <c r="AG585"/>
      <c r="AH585"/>
      <c r="AI585"/>
      <c r="AJ585"/>
      <c r="AK585"/>
    </row>
    <row r="586" spans="1:37">
      <c r="A586" s="3" t="s">
        <v>297</v>
      </c>
      <c r="B586" s="3">
        <v>42</v>
      </c>
      <c r="C586" s="3" t="s">
        <v>23</v>
      </c>
      <c r="D586" s="5">
        <v>45089</v>
      </c>
      <c r="E586" s="5">
        <v>45449</v>
      </c>
      <c r="F586" s="3">
        <f ca="1">TODAY() - Table1[[#This Row],[SubscriptionStart]]</f>
        <v>892</v>
      </c>
      <c r="G586" s="4">
        <v>12</v>
      </c>
      <c r="H586" s="3" t="s">
        <v>24</v>
      </c>
      <c r="I586" s="3" t="s">
        <v>30</v>
      </c>
      <c r="J586" s="7" cm="1">
        <f t="array" ref="J586">_xlfn.IFS(Table1[[#This Row],[Tier]]="Basic",10,Table1[[#This Row],[Tier]]="Standard",18,Table1[[#This Row],[Tier]]="Premium",25)</f>
        <v>10</v>
      </c>
      <c r="K586" s="7" cm="1">
        <f t="array" ref="K58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86" s="7" cm="1">
        <f t="array" ref="L58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86" s="3" t="str" cm="1">
        <f t="array" ref="M58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86" s="3" t="s">
        <v>26</v>
      </c>
      <c r="O586" s="3" t="s">
        <v>43</v>
      </c>
      <c r="P586" s="3" t="s">
        <v>50</v>
      </c>
      <c r="Q586" s="3" t="str" cm="1">
        <f t="array" ref="Q586">_xlfn.IFS(Table1[[#This Row],[TotalRevenue]]&lt;100,"Low",Table1[[#This Row],[TotalRevenue]]&lt;300,"Medium",Table1[[#This Row],[TotalRevenue]]&lt;600,"High",TRUE,"Very High")</f>
        <v>Low</v>
      </c>
      <c r="R586" s="3" t="str" cm="1">
        <f t="array" ref="R58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86" s="3" t="str">
        <f>IF(Table1[[#This Row],[NextBillingDate]]="","Cancelled",IF(Table1[[#This Row],[CancellationDate]]&lt;&gt;"","Cancelled","Active"))</f>
        <v>Cancelled</v>
      </c>
      <c r="T586" s="7" cm="1">
        <f t="array" ref="T58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86" s="5">
        <v>45449</v>
      </c>
      <c r="W586" s="5">
        <v>45449</v>
      </c>
      <c r="X586" s="3">
        <v>0</v>
      </c>
      <c r="Y586" s="5">
        <f ca="1">IF(Table1[[#This Row],[ChurnStatus]]="Cancelled",Table1[[#This Row],[CancellationDate]],TODAY())</f>
        <v>45449</v>
      </c>
      <c r="Z586" s="46">
        <f ca="1">IF(AND(Table1[[#This Row],[SubscriptionStart]] &lt;= TODAY(), Table1[[#This Row],[EffectiveEndDate]] &gt;= TODAY()),1,0)</f>
        <v>0</v>
      </c>
      <c r="AA586" s="46">
        <f ca="1">IF(AND(Table1[[#This Row],[SubscriptionStart]]&lt;=Settings!$A$2,Table1[[#This Row],[EffectiveEndDate]]&gt;=Settings!$A$2),1,0)</f>
        <v>0</v>
      </c>
      <c r="AB586" s="46">
        <f ca="1">IF(AND(Table1[[#This Row],[SubscriptionStart]]&lt;=Settings!$B$2,Table1[[#This Row],[EffectiveEndDate]]&gt;=Settings!$B$2),1,0)</f>
        <v>0</v>
      </c>
      <c r="AC586" s="46">
        <f ca="1">IF(AND(Table1[[#This Row],[SubscriptionStart]]&lt;=Settings!$C$2,Table1[[#This Row],[EffectiveEndDate]]&gt;=Settings!$C$2),1,0)</f>
        <v>0</v>
      </c>
      <c r="AD586" s="46">
        <f ca="1">IF(AND(Table1[[#This Row],[SubscriptionStart]]&lt;=Settings!$D$2,Table1[[#This Row],[EffectiveEndDate]]&gt;=Settings!$D$2),1,0)</f>
        <v>0</v>
      </c>
      <c r="AE586" s="46">
        <f ca="1">IF(AND(Table1[[#This Row],[SubscriptionStart]]&lt;=Settings!$E$2,Table1[[#This Row],[EffectiveEndDate]]&gt;=Settings!$E$2),1,0)</f>
        <v>0</v>
      </c>
      <c r="AF586"/>
      <c r="AG586"/>
      <c r="AH586"/>
      <c r="AI586"/>
      <c r="AJ586"/>
      <c r="AK586"/>
    </row>
    <row r="587" spans="1:37">
      <c r="A587" s="3" t="s">
        <v>743</v>
      </c>
      <c r="B587" s="3">
        <v>58</v>
      </c>
      <c r="C587" s="3" t="s">
        <v>23</v>
      </c>
      <c r="D587" s="5">
        <v>45090</v>
      </c>
      <c r="E587" s="5">
        <v>45120</v>
      </c>
      <c r="F587" s="3">
        <f ca="1">TODAY() - Table1[[#This Row],[SubscriptionStart]]</f>
        <v>891</v>
      </c>
      <c r="G587" s="4">
        <v>1</v>
      </c>
      <c r="H587" s="3" t="s">
        <v>29</v>
      </c>
      <c r="I587" s="3" t="s">
        <v>30</v>
      </c>
      <c r="J587" s="7" cm="1">
        <f t="array" ref="J587">_xlfn.IFS(Table1[[#This Row],[Tier]]="Basic",10,Table1[[#This Row],[Tier]]="Standard",18,Table1[[#This Row],[Tier]]="Premium",25)</f>
        <v>10</v>
      </c>
      <c r="K587" s="7" cm="1">
        <f t="array" ref="K58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587" s="7" cm="1">
        <f t="array" ref="L58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587" s="3" t="str" cm="1">
        <f t="array" ref="M58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87" s="3" t="s">
        <v>31</v>
      </c>
      <c r="O587" s="3" t="s">
        <v>32</v>
      </c>
      <c r="P587" s="3" t="s">
        <v>44</v>
      </c>
      <c r="Q587" s="3" t="str" cm="1">
        <f t="array" ref="Q587">_xlfn.IFS(Table1[[#This Row],[TotalRevenue]]&lt;100,"Low",Table1[[#This Row],[TotalRevenue]]&lt;300,"Medium",Table1[[#This Row],[TotalRevenue]]&lt;600,"High",TRUE,"Very High")</f>
        <v>Low</v>
      </c>
      <c r="R587" s="3" t="str" cm="1">
        <f t="array" ref="R58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87" s="3" t="str">
        <f>IF(Table1[[#This Row],[NextBillingDate]]="","Cancelled",IF(Table1[[#This Row],[CancellationDate]]&lt;&gt;"","Cancelled","Active"))</f>
        <v>Cancelled</v>
      </c>
      <c r="T587" s="7" cm="1">
        <f t="array" ref="T58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587" s="5">
        <v>45120</v>
      </c>
      <c r="W587" s="5">
        <v>45120</v>
      </c>
      <c r="X587" s="3">
        <v>0</v>
      </c>
      <c r="Y587" s="5">
        <f ca="1">IF(Table1[[#This Row],[ChurnStatus]]="Cancelled",Table1[[#This Row],[CancellationDate]],TODAY())</f>
        <v>45120</v>
      </c>
      <c r="Z587" s="46">
        <f ca="1">IF(AND(Table1[[#This Row],[SubscriptionStart]] &lt;= TODAY(), Table1[[#This Row],[EffectiveEndDate]] &gt;= TODAY()),1,0)</f>
        <v>0</v>
      </c>
      <c r="AA587" s="46">
        <f ca="1">IF(AND(Table1[[#This Row],[SubscriptionStart]]&lt;=Settings!$A$2,Table1[[#This Row],[EffectiveEndDate]]&gt;=Settings!$A$2),1,0)</f>
        <v>0</v>
      </c>
      <c r="AB587" s="46">
        <f ca="1">IF(AND(Table1[[#This Row],[SubscriptionStart]]&lt;=Settings!$B$2,Table1[[#This Row],[EffectiveEndDate]]&gt;=Settings!$B$2),1,0)</f>
        <v>0</v>
      </c>
      <c r="AC587" s="46">
        <f ca="1">IF(AND(Table1[[#This Row],[SubscriptionStart]]&lt;=Settings!$C$2,Table1[[#This Row],[EffectiveEndDate]]&gt;=Settings!$C$2),1,0)</f>
        <v>0</v>
      </c>
      <c r="AD587" s="46">
        <f ca="1">IF(AND(Table1[[#This Row],[SubscriptionStart]]&lt;=Settings!$D$2,Table1[[#This Row],[EffectiveEndDate]]&gt;=Settings!$D$2),1,0)</f>
        <v>0</v>
      </c>
      <c r="AE587" s="46">
        <f ca="1">IF(AND(Table1[[#This Row],[SubscriptionStart]]&lt;=Settings!$E$2,Table1[[#This Row],[EffectiveEndDate]]&gt;=Settings!$E$2),1,0)</f>
        <v>0</v>
      </c>
      <c r="AF587"/>
      <c r="AG587"/>
      <c r="AH587"/>
      <c r="AI587"/>
      <c r="AJ587"/>
      <c r="AK587"/>
    </row>
    <row r="588" spans="1:37">
      <c r="A588" s="3" t="s">
        <v>616</v>
      </c>
      <c r="B588" s="3">
        <v>28</v>
      </c>
      <c r="C588" s="3" t="s">
        <v>37</v>
      </c>
      <c r="D588" s="5">
        <v>45090</v>
      </c>
      <c r="E588" s="5">
        <v>45270</v>
      </c>
      <c r="F588" s="3">
        <f ca="1">TODAY() - Table1[[#This Row],[SubscriptionStart]]</f>
        <v>891</v>
      </c>
      <c r="G588" s="4">
        <v>6</v>
      </c>
      <c r="H588" s="3" t="s">
        <v>38</v>
      </c>
      <c r="I588" s="3" t="s">
        <v>30</v>
      </c>
      <c r="J588" s="7" cm="1">
        <f t="array" ref="J588">_xlfn.IFS(Table1[[#This Row],[Tier]]="Basic",10,Table1[[#This Row],[Tier]]="Standard",18,Table1[[#This Row],[Tier]]="Premium",25)</f>
        <v>10</v>
      </c>
      <c r="K588" s="7" cm="1">
        <f t="array" ref="K58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588" s="7" cm="1">
        <f t="array" ref="L58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588" s="3" t="str" cm="1">
        <f t="array" ref="M58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88" s="3" t="s">
        <v>31</v>
      </c>
      <c r="O588" s="3" t="s">
        <v>40</v>
      </c>
      <c r="P588" s="3" t="s">
        <v>35</v>
      </c>
      <c r="Q588" s="3" t="str" cm="1">
        <f t="array" ref="Q588">_xlfn.IFS(Table1[[#This Row],[TotalRevenue]]&lt;100,"Low",Table1[[#This Row],[TotalRevenue]]&lt;300,"Medium",Table1[[#This Row],[TotalRevenue]]&lt;600,"High",TRUE,"Very High")</f>
        <v>Low</v>
      </c>
      <c r="R588" s="3" t="str" cm="1">
        <f t="array" ref="R58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88" s="3" t="str">
        <f>IF(Table1[[#This Row],[NextBillingDate]]="","Cancelled",IF(Table1[[#This Row],[CancellationDate]]&lt;&gt;"","Cancelled","Active"))</f>
        <v>Cancelled</v>
      </c>
      <c r="T588" s="7" cm="1">
        <f t="array" ref="T58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588" s="5">
        <v>45270</v>
      </c>
      <c r="W588" s="5">
        <v>45270</v>
      </c>
      <c r="X588" s="3">
        <v>0</v>
      </c>
      <c r="Y588" s="5">
        <f ca="1">IF(Table1[[#This Row],[ChurnStatus]]="Cancelled",Table1[[#This Row],[CancellationDate]],TODAY())</f>
        <v>45270</v>
      </c>
      <c r="Z588" s="46">
        <f ca="1">IF(AND(Table1[[#This Row],[SubscriptionStart]] &lt;= TODAY(), Table1[[#This Row],[EffectiveEndDate]] &gt;= TODAY()),1,0)</f>
        <v>0</v>
      </c>
      <c r="AA588" s="46">
        <f ca="1">IF(AND(Table1[[#This Row],[SubscriptionStart]]&lt;=Settings!$A$2,Table1[[#This Row],[EffectiveEndDate]]&gt;=Settings!$A$2),1,0)</f>
        <v>0</v>
      </c>
      <c r="AB588" s="46">
        <f ca="1">IF(AND(Table1[[#This Row],[SubscriptionStart]]&lt;=Settings!$B$2,Table1[[#This Row],[EffectiveEndDate]]&gt;=Settings!$B$2),1,0)</f>
        <v>0</v>
      </c>
      <c r="AC588" s="46">
        <f ca="1">IF(AND(Table1[[#This Row],[SubscriptionStart]]&lt;=Settings!$C$2,Table1[[#This Row],[EffectiveEndDate]]&gt;=Settings!$C$2),1,0)</f>
        <v>0</v>
      </c>
      <c r="AD588" s="46">
        <f ca="1">IF(AND(Table1[[#This Row],[SubscriptionStart]]&lt;=Settings!$D$2,Table1[[#This Row],[EffectiveEndDate]]&gt;=Settings!$D$2),1,0)</f>
        <v>0</v>
      </c>
      <c r="AE588" s="46">
        <f ca="1">IF(AND(Table1[[#This Row],[SubscriptionStart]]&lt;=Settings!$E$2,Table1[[#This Row],[EffectiveEndDate]]&gt;=Settings!$E$2),1,0)</f>
        <v>0</v>
      </c>
      <c r="AF588"/>
      <c r="AG588"/>
      <c r="AH588"/>
      <c r="AI588"/>
      <c r="AJ588"/>
      <c r="AK588"/>
    </row>
    <row r="589" spans="1:37">
      <c r="A589" s="3" t="s">
        <v>463</v>
      </c>
      <c r="B589" s="3">
        <v>57</v>
      </c>
      <c r="C589" s="3" t="s">
        <v>37</v>
      </c>
      <c r="D589" s="5">
        <v>45091</v>
      </c>
      <c r="F589" s="3">
        <f ca="1">TODAY() - Table1[[#This Row],[SubscriptionStart]]</f>
        <v>890</v>
      </c>
      <c r="G589" s="4">
        <v>36</v>
      </c>
      <c r="H589" s="3" t="s">
        <v>24</v>
      </c>
      <c r="I589" s="3" t="s">
        <v>39</v>
      </c>
      <c r="J589" s="7" cm="1">
        <f t="array" ref="J589">_xlfn.IFS(Table1[[#This Row],[Tier]]="Basic",10,Table1[[#This Row],[Tier]]="Standard",18,Table1[[#This Row],[Tier]]="Premium",25)</f>
        <v>18</v>
      </c>
      <c r="K589" s="7" cm="1">
        <f t="array" ref="K58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589" s="7" cm="1">
        <f t="array" ref="L58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417.6</v>
      </c>
      <c r="M589" s="3" t="str" cm="1">
        <f t="array" ref="M589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589" s="3" t="s">
        <v>26</v>
      </c>
      <c r="O589" s="3" t="s">
        <v>49</v>
      </c>
      <c r="Q589" s="3" t="str" cm="1">
        <f t="array" ref="Q589">_xlfn.IFS(Table1[[#This Row],[TotalRevenue]]&lt;100,"Low",Table1[[#This Row],[TotalRevenue]]&lt;300,"Medium",Table1[[#This Row],[TotalRevenue]]&lt;600,"High",TRUE,"Very High")</f>
        <v>High</v>
      </c>
      <c r="R589" s="3" t="str" cm="1">
        <f t="array" ref="R58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89" s="3" t="str">
        <f>IF(Table1[[#This Row],[NextBillingDate]]="","Cancelled",IF(Table1[[#This Row],[CancellationDate]]&lt;&gt;"","Cancelled","Active"))</f>
        <v>Active</v>
      </c>
      <c r="T589" s="7" cm="1">
        <f t="array" ref="T58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561.6</v>
      </c>
      <c r="V589" s="5">
        <v>46171</v>
      </c>
      <c r="W589" s="5">
        <v>46171</v>
      </c>
      <c r="X589" s="3">
        <v>2</v>
      </c>
      <c r="Y589" s="5">
        <f ca="1">IF(Table1[[#This Row],[ChurnStatus]]="Cancelled",Table1[[#This Row],[CancellationDate]],TODAY())</f>
        <v>45981</v>
      </c>
      <c r="Z589" s="46">
        <f ca="1">IF(AND(Table1[[#This Row],[SubscriptionStart]] &lt;= TODAY(), Table1[[#This Row],[EffectiveEndDate]] &gt;= TODAY()),1,0)</f>
        <v>1</v>
      </c>
      <c r="AA589" s="46">
        <f ca="1">IF(AND(Table1[[#This Row],[SubscriptionStart]]&lt;=Settings!$A$2,Table1[[#This Row],[EffectiveEndDate]]&gt;=Settings!$A$2),1,0)</f>
        <v>0</v>
      </c>
      <c r="AB589" s="46">
        <f ca="1">IF(AND(Table1[[#This Row],[SubscriptionStart]]&lt;=Settings!$B$2,Table1[[#This Row],[EffectiveEndDate]]&gt;=Settings!$B$2),1,0)</f>
        <v>0</v>
      </c>
      <c r="AC589" s="46">
        <f ca="1">IF(AND(Table1[[#This Row],[SubscriptionStart]]&lt;=Settings!$C$2,Table1[[#This Row],[EffectiveEndDate]]&gt;=Settings!$C$2),1,0)</f>
        <v>0</v>
      </c>
      <c r="AD589" s="46">
        <f ca="1">IF(AND(Table1[[#This Row],[SubscriptionStart]]&lt;=Settings!$D$2,Table1[[#This Row],[EffectiveEndDate]]&gt;=Settings!$D$2),1,0)</f>
        <v>0</v>
      </c>
      <c r="AE589" s="46">
        <f ca="1">IF(AND(Table1[[#This Row],[SubscriptionStart]]&lt;=Settings!$E$2,Table1[[#This Row],[EffectiveEndDate]]&gt;=Settings!$E$2),1,0)</f>
        <v>1</v>
      </c>
      <c r="AF589"/>
      <c r="AG589"/>
      <c r="AH589"/>
      <c r="AI589"/>
      <c r="AJ589"/>
      <c r="AK589"/>
    </row>
    <row r="590" spans="1:37">
      <c r="A590" s="3" t="s">
        <v>716</v>
      </c>
      <c r="B590" s="3">
        <v>65</v>
      </c>
      <c r="C590" s="3" t="s">
        <v>23</v>
      </c>
      <c r="D590" s="5">
        <v>45091</v>
      </c>
      <c r="F590" s="3">
        <f ca="1">TODAY() - Table1[[#This Row],[SubscriptionStart]]</f>
        <v>890</v>
      </c>
      <c r="G590" s="4">
        <v>36</v>
      </c>
      <c r="H590" s="3" t="s">
        <v>24</v>
      </c>
      <c r="I590" s="3" t="s">
        <v>25</v>
      </c>
      <c r="J590" s="7" cm="1">
        <f t="array" ref="J590">_xlfn.IFS(Table1[[#This Row],[Tier]]="Basic",10,Table1[[#This Row],[Tier]]="Standard",18,Table1[[#This Row],[Tier]]="Premium",25)</f>
        <v>25</v>
      </c>
      <c r="K590" s="7" cm="1">
        <f t="array" ref="K59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16.666666666666664</v>
      </c>
      <c r="L590" s="7" cm="1">
        <f t="array" ref="L59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580</v>
      </c>
      <c r="M590" s="3" t="str" cm="1">
        <f t="array" ref="M590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590" s="3" t="s">
        <v>26</v>
      </c>
      <c r="O590" s="3" t="s">
        <v>40</v>
      </c>
      <c r="Q590" s="3" t="str" cm="1">
        <f t="array" ref="Q590">_xlfn.IFS(Table1[[#This Row],[TotalRevenue]]&lt;100,"Low",Table1[[#This Row],[TotalRevenue]]&lt;300,"Medium",Table1[[#This Row],[TotalRevenue]]&lt;600,"High",TRUE,"Very High")</f>
        <v>High</v>
      </c>
      <c r="R590" s="3" t="str" cm="1">
        <f t="array" ref="R590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590" s="3" t="str">
        <f>IF(Table1[[#This Row],[NextBillingDate]]="","Cancelled",IF(Table1[[#This Row],[CancellationDate]]&lt;&gt;"","Cancelled","Active"))</f>
        <v>Active</v>
      </c>
      <c r="T590" s="7" cm="1">
        <f t="array" ref="T59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780</v>
      </c>
      <c r="V590" s="5">
        <v>46171</v>
      </c>
      <c r="W590" s="5">
        <v>46171</v>
      </c>
      <c r="X590" s="3">
        <v>2</v>
      </c>
      <c r="Y590" s="5">
        <f ca="1">IF(Table1[[#This Row],[ChurnStatus]]="Cancelled",Table1[[#This Row],[CancellationDate]],TODAY())</f>
        <v>45981</v>
      </c>
      <c r="Z590" s="46">
        <f ca="1">IF(AND(Table1[[#This Row],[SubscriptionStart]] &lt;= TODAY(), Table1[[#This Row],[EffectiveEndDate]] &gt;= TODAY()),1,0)</f>
        <v>1</v>
      </c>
      <c r="AA590" s="46">
        <f ca="1">IF(AND(Table1[[#This Row],[SubscriptionStart]]&lt;=Settings!$A$2,Table1[[#This Row],[EffectiveEndDate]]&gt;=Settings!$A$2),1,0)</f>
        <v>0</v>
      </c>
      <c r="AB590" s="46">
        <f ca="1">IF(AND(Table1[[#This Row],[SubscriptionStart]]&lt;=Settings!$B$2,Table1[[#This Row],[EffectiveEndDate]]&gt;=Settings!$B$2),1,0)</f>
        <v>0</v>
      </c>
      <c r="AC590" s="46">
        <f ca="1">IF(AND(Table1[[#This Row],[SubscriptionStart]]&lt;=Settings!$C$2,Table1[[#This Row],[EffectiveEndDate]]&gt;=Settings!$C$2),1,0)</f>
        <v>0</v>
      </c>
      <c r="AD590" s="46">
        <f ca="1">IF(AND(Table1[[#This Row],[SubscriptionStart]]&lt;=Settings!$D$2,Table1[[#This Row],[EffectiveEndDate]]&gt;=Settings!$D$2),1,0)</f>
        <v>0</v>
      </c>
      <c r="AE590" s="46">
        <f ca="1">IF(AND(Table1[[#This Row],[SubscriptionStart]]&lt;=Settings!$E$2,Table1[[#This Row],[EffectiveEndDate]]&gt;=Settings!$E$2),1,0)</f>
        <v>1</v>
      </c>
      <c r="AF590"/>
      <c r="AG590"/>
      <c r="AH590"/>
      <c r="AI590"/>
      <c r="AJ590"/>
      <c r="AK590"/>
    </row>
    <row r="591" spans="1:37">
      <c r="A591" s="3" t="s">
        <v>552</v>
      </c>
      <c r="B591" s="3">
        <v>65</v>
      </c>
      <c r="C591" s="3" t="s">
        <v>23</v>
      </c>
      <c r="D591" s="5">
        <v>45092</v>
      </c>
      <c r="E591" s="5">
        <v>45452</v>
      </c>
      <c r="F591" s="3">
        <f ca="1">TODAY() - Table1[[#This Row],[SubscriptionStart]]</f>
        <v>889</v>
      </c>
      <c r="G591" s="4">
        <v>12</v>
      </c>
      <c r="H591" s="3" t="s">
        <v>24</v>
      </c>
      <c r="I591" s="3" t="s">
        <v>30</v>
      </c>
      <c r="J591" s="7" cm="1">
        <f t="array" ref="J591">_xlfn.IFS(Table1[[#This Row],[Tier]]="Basic",10,Table1[[#This Row],[Tier]]="Standard",18,Table1[[#This Row],[Tier]]="Premium",25)</f>
        <v>10</v>
      </c>
      <c r="K591" s="7" cm="1">
        <f t="array" ref="K59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91" s="7" cm="1">
        <f t="array" ref="L59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91" s="3" t="str" cm="1">
        <f t="array" ref="M591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591" s="3" t="s">
        <v>31</v>
      </c>
      <c r="O591" s="3" t="s">
        <v>27</v>
      </c>
      <c r="P591" s="3" t="s">
        <v>50</v>
      </c>
      <c r="Q591" s="3" t="str" cm="1">
        <f t="array" ref="Q591">_xlfn.IFS(Table1[[#This Row],[TotalRevenue]]&lt;100,"Low",Table1[[#This Row],[TotalRevenue]]&lt;300,"Medium",Table1[[#This Row],[TotalRevenue]]&lt;600,"High",TRUE,"Very High")</f>
        <v>Low</v>
      </c>
      <c r="R591" s="3" t="str" cm="1">
        <f t="array" ref="R591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591" s="3" t="str">
        <f>IF(Table1[[#This Row],[NextBillingDate]]="","Cancelled",IF(Table1[[#This Row],[CancellationDate]]&lt;&gt;"","Cancelled","Active"))</f>
        <v>Cancelled</v>
      </c>
      <c r="T591" s="7" cm="1">
        <f t="array" ref="T59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91" s="5">
        <v>45452</v>
      </c>
      <c r="W591" s="5">
        <v>45452</v>
      </c>
      <c r="X591" s="3">
        <v>0</v>
      </c>
      <c r="Y591" s="5">
        <f ca="1">IF(Table1[[#This Row],[ChurnStatus]]="Cancelled",Table1[[#This Row],[CancellationDate]],TODAY())</f>
        <v>45452</v>
      </c>
      <c r="Z591" s="46">
        <f ca="1">IF(AND(Table1[[#This Row],[SubscriptionStart]] &lt;= TODAY(), Table1[[#This Row],[EffectiveEndDate]] &gt;= TODAY()),1,0)</f>
        <v>0</v>
      </c>
      <c r="AA591" s="46">
        <f ca="1">IF(AND(Table1[[#This Row],[SubscriptionStart]]&lt;=Settings!$A$2,Table1[[#This Row],[EffectiveEndDate]]&gt;=Settings!$A$2),1,0)</f>
        <v>0</v>
      </c>
      <c r="AB591" s="46">
        <f ca="1">IF(AND(Table1[[#This Row],[SubscriptionStart]]&lt;=Settings!$B$2,Table1[[#This Row],[EffectiveEndDate]]&gt;=Settings!$B$2),1,0)</f>
        <v>0</v>
      </c>
      <c r="AC591" s="46">
        <f ca="1">IF(AND(Table1[[#This Row],[SubscriptionStart]]&lt;=Settings!$C$2,Table1[[#This Row],[EffectiveEndDate]]&gt;=Settings!$C$2),1,0)</f>
        <v>0</v>
      </c>
      <c r="AD591" s="46">
        <f ca="1">IF(AND(Table1[[#This Row],[SubscriptionStart]]&lt;=Settings!$D$2,Table1[[#This Row],[EffectiveEndDate]]&gt;=Settings!$D$2),1,0)</f>
        <v>0</v>
      </c>
      <c r="AE591" s="46">
        <f ca="1">IF(AND(Table1[[#This Row],[SubscriptionStart]]&lt;=Settings!$E$2,Table1[[#This Row],[EffectiveEndDate]]&gt;=Settings!$E$2),1,0)</f>
        <v>0</v>
      </c>
      <c r="AF591"/>
      <c r="AG591"/>
      <c r="AH591"/>
      <c r="AI591"/>
      <c r="AJ591"/>
      <c r="AK591"/>
    </row>
    <row r="592" spans="1:37">
      <c r="A592" s="3" t="s">
        <v>661</v>
      </c>
      <c r="B592" s="3">
        <v>29</v>
      </c>
      <c r="C592" s="3" t="s">
        <v>23</v>
      </c>
      <c r="D592" s="5">
        <v>45093</v>
      </c>
      <c r="E592" s="5">
        <v>45123</v>
      </c>
      <c r="F592" s="3">
        <f ca="1">TODAY() - Table1[[#This Row],[SubscriptionStart]]</f>
        <v>888</v>
      </c>
      <c r="G592" s="4">
        <v>1</v>
      </c>
      <c r="H592" s="3" t="s">
        <v>29</v>
      </c>
      <c r="I592" s="3" t="s">
        <v>39</v>
      </c>
      <c r="J592" s="7" cm="1">
        <f t="array" ref="J592">_xlfn.IFS(Table1[[#This Row],[Tier]]="Basic",10,Table1[[#This Row],[Tier]]="Standard",18,Table1[[#This Row],[Tier]]="Premium",25)</f>
        <v>18</v>
      </c>
      <c r="K592" s="7" cm="1">
        <f t="array" ref="K59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592" s="7" cm="1">
        <f t="array" ref="L59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592" s="3" t="str" cm="1">
        <f t="array" ref="M59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92" s="3" t="s">
        <v>52</v>
      </c>
      <c r="O592" s="3" t="s">
        <v>43</v>
      </c>
      <c r="P592" s="3" t="s">
        <v>50</v>
      </c>
      <c r="Q592" s="3" t="str" cm="1">
        <f t="array" ref="Q592">_xlfn.IFS(Table1[[#This Row],[TotalRevenue]]&lt;100,"Low",Table1[[#This Row],[TotalRevenue]]&lt;300,"Medium",Table1[[#This Row],[TotalRevenue]]&lt;600,"High",TRUE,"Very High")</f>
        <v>Low</v>
      </c>
      <c r="R592" s="3" t="str" cm="1">
        <f t="array" ref="R59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92" s="3" t="str">
        <f>IF(Table1[[#This Row],[NextBillingDate]]="","Cancelled",IF(Table1[[#This Row],[CancellationDate]]&lt;&gt;"","Cancelled","Active"))</f>
        <v>Cancelled</v>
      </c>
      <c r="T592" s="7" cm="1">
        <f t="array" ref="T59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592" s="5">
        <v>45123</v>
      </c>
      <c r="W592" s="5">
        <v>45123</v>
      </c>
      <c r="X592" s="3">
        <v>0</v>
      </c>
      <c r="Y592" s="5">
        <f ca="1">IF(Table1[[#This Row],[ChurnStatus]]="Cancelled",Table1[[#This Row],[CancellationDate]],TODAY())</f>
        <v>45123</v>
      </c>
      <c r="Z592" s="46">
        <f ca="1">IF(AND(Table1[[#This Row],[SubscriptionStart]] &lt;= TODAY(), Table1[[#This Row],[EffectiveEndDate]] &gt;= TODAY()),1,0)</f>
        <v>0</v>
      </c>
      <c r="AA592" s="46">
        <f ca="1">IF(AND(Table1[[#This Row],[SubscriptionStart]]&lt;=Settings!$A$2,Table1[[#This Row],[EffectiveEndDate]]&gt;=Settings!$A$2),1,0)</f>
        <v>0</v>
      </c>
      <c r="AB592" s="46">
        <f ca="1">IF(AND(Table1[[#This Row],[SubscriptionStart]]&lt;=Settings!$B$2,Table1[[#This Row],[EffectiveEndDate]]&gt;=Settings!$B$2),1,0)</f>
        <v>0</v>
      </c>
      <c r="AC592" s="46">
        <f ca="1">IF(AND(Table1[[#This Row],[SubscriptionStart]]&lt;=Settings!$C$2,Table1[[#This Row],[EffectiveEndDate]]&gt;=Settings!$C$2),1,0)</f>
        <v>0</v>
      </c>
      <c r="AD592" s="46">
        <f ca="1">IF(AND(Table1[[#This Row],[SubscriptionStart]]&lt;=Settings!$D$2,Table1[[#This Row],[EffectiveEndDate]]&gt;=Settings!$D$2),1,0)</f>
        <v>0</v>
      </c>
      <c r="AE592" s="46">
        <f ca="1">IF(AND(Table1[[#This Row],[SubscriptionStart]]&lt;=Settings!$E$2,Table1[[#This Row],[EffectiveEndDate]]&gt;=Settings!$E$2),1,0)</f>
        <v>0</v>
      </c>
      <c r="AF592"/>
      <c r="AG592"/>
      <c r="AH592"/>
      <c r="AI592"/>
      <c r="AJ592"/>
      <c r="AK592"/>
    </row>
    <row r="593" spans="1:37">
      <c r="A593" s="3" t="s">
        <v>526</v>
      </c>
      <c r="B593" s="3">
        <v>23</v>
      </c>
      <c r="C593" s="3" t="s">
        <v>23</v>
      </c>
      <c r="D593" s="5">
        <v>45093</v>
      </c>
      <c r="E593" s="5">
        <v>45453</v>
      </c>
      <c r="F593" s="3">
        <f ca="1">TODAY() - Table1[[#This Row],[SubscriptionStart]]</f>
        <v>888</v>
      </c>
      <c r="G593" s="4">
        <v>12</v>
      </c>
      <c r="H593" s="3" t="s">
        <v>24</v>
      </c>
      <c r="I593" s="3" t="s">
        <v>25</v>
      </c>
      <c r="J593" s="7" cm="1">
        <f t="array" ref="J593">_xlfn.IFS(Table1[[#This Row],[Tier]]="Basic",10,Table1[[#This Row],[Tier]]="Standard",18,Table1[[#This Row],[Tier]]="Premium",25)</f>
        <v>25</v>
      </c>
      <c r="K593" s="7" cm="1">
        <f t="array" ref="K59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593" s="7" cm="1">
        <f t="array" ref="L59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593" s="3" t="str" cm="1">
        <f t="array" ref="M593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93" s="3" t="s">
        <v>31</v>
      </c>
      <c r="O593" s="3" t="s">
        <v>40</v>
      </c>
      <c r="P593" s="3" t="s">
        <v>41</v>
      </c>
      <c r="Q593" s="3" t="str" cm="1">
        <f t="array" ref="Q593">_xlfn.IFS(Table1[[#This Row],[TotalRevenue]]&lt;100,"Low",Table1[[#This Row],[TotalRevenue]]&lt;300,"Medium",Table1[[#This Row],[TotalRevenue]]&lt;600,"High",TRUE,"Very High")</f>
        <v>Medium</v>
      </c>
      <c r="R593" s="3" t="str" cm="1">
        <f t="array" ref="R593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93" s="3" t="str">
        <f>IF(Table1[[#This Row],[NextBillingDate]]="","Cancelled",IF(Table1[[#This Row],[CancellationDate]]&lt;&gt;"","Cancelled","Active"))</f>
        <v>Cancelled</v>
      </c>
      <c r="T593" s="7" cm="1">
        <f t="array" ref="T59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593" s="5">
        <v>45453</v>
      </c>
      <c r="W593" s="5">
        <v>45453</v>
      </c>
      <c r="X593" s="3">
        <v>0</v>
      </c>
      <c r="Y593" s="5">
        <f ca="1">IF(Table1[[#This Row],[ChurnStatus]]="Cancelled",Table1[[#This Row],[CancellationDate]],TODAY())</f>
        <v>45453</v>
      </c>
      <c r="Z593" s="46">
        <f ca="1">IF(AND(Table1[[#This Row],[SubscriptionStart]] &lt;= TODAY(), Table1[[#This Row],[EffectiveEndDate]] &gt;= TODAY()),1,0)</f>
        <v>0</v>
      </c>
      <c r="AA593" s="46">
        <f ca="1">IF(AND(Table1[[#This Row],[SubscriptionStart]]&lt;=Settings!$A$2,Table1[[#This Row],[EffectiveEndDate]]&gt;=Settings!$A$2),1,0)</f>
        <v>0</v>
      </c>
      <c r="AB593" s="46">
        <f ca="1">IF(AND(Table1[[#This Row],[SubscriptionStart]]&lt;=Settings!$B$2,Table1[[#This Row],[EffectiveEndDate]]&gt;=Settings!$B$2),1,0)</f>
        <v>0</v>
      </c>
      <c r="AC593" s="46">
        <f ca="1">IF(AND(Table1[[#This Row],[SubscriptionStart]]&lt;=Settings!$C$2,Table1[[#This Row],[EffectiveEndDate]]&gt;=Settings!$C$2),1,0)</f>
        <v>0</v>
      </c>
      <c r="AD593" s="46">
        <f ca="1">IF(AND(Table1[[#This Row],[SubscriptionStart]]&lt;=Settings!$D$2,Table1[[#This Row],[EffectiveEndDate]]&gt;=Settings!$D$2),1,0)</f>
        <v>0</v>
      </c>
      <c r="AE593" s="46">
        <f ca="1">IF(AND(Table1[[#This Row],[SubscriptionStart]]&lt;=Settings!$E$2,Table1[[#This Row],[EffectiveEndDate]]&gt;=Settings!$E$2),1,0)</f>
        <v>0</v>
      </c>
      <c r="AF593"/>
      <c r="AG593"/>
      <c r="AH593"/>
      <c r="AI593"/>
      <c r="AJ593"/>
      <c r="AK593"/>
    </row>
    <row r="594" spans="1:37">
      <c r="A594" s="3" t="s">
        <v>666</v>
      </c>
      <c r="B594" s="3">
        <v>29</v>
      </c>
      <c r="C594" s="3" t="s">
        <v>37</v>
      </c>
      <c r="D594" s="5">
        <v>45094</v>
      </c>
      <c r="E594" s="5">
        <v>45454</v>
      </c>
      <c r="F594" s="3">
        <f ca="1">TODAY() - Table1[[#This Row],[SubscriptionStart]]</f>
        <v>887</v>
      </c>
      <c r="G594" s="4">
        <v>12</v>
      </c>
      <c r="H594" s="3" t="s">
        <v>24</v>
      </c>
      <c r="I594" s="3" t="s">
        <v>39</v>
      </c>
      <c r="J594" s="7" cm="1">
        <f t="array" ref="J594">_xlfn.IFS(Table1[[#This Row],[Tier]]="Basic",10,Table1[[#This Row],[Tier]]="Standard",18,Table1[[#This Row],[Tier]]="Premium",25)</f>
        <v>18</v>
      </c>
      <c r="K594" s="7" cm="1">
        <f t="array" ref="K59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594" s="7" cm="1">
        <f t="array" ref="L59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594" s="3" t="str" cm="1">
        <f t="array" ref="M59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94" s="3" t="s">
        <v>26</v>
      </c>
      <c r="O594" s="3" t="s">
        <v>49</v>
      </c>
      <c r="P594" s="3" t="s">
        <v>44</v>
      </c>
      <c r="Q594" s="3" t="str" cm="1">
        <f t="array" ref="Q594">_xlfn.IFS(Table1[[#This Row],[TotalRevenue]]&lt;100,"Low",Table1[[#This Row],[TotalRevenue]]&lt;300,"Medium",Table1[[#This Row],[TotalRevenue]]&lt;600,"High",TRUE,"Very High")</f>
        <v>Medium</v>
      </c>
      <c r="R594" s="3" t="str" cm="1">
        <f t="array" ref="R59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94" s="3" t="str">
        <f>IF(Table1[[#This Row],[NextBillingDate]]="","Cancelled",IF(Table1[[#This Row],[CancellationDate]]&lt;&gt;"","Cancelled","Active"))</f>
        <v>Cancelled</v>
      </c>
      <c r="T594" s="7" cm="1">
        <f t="array" ref="T59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594" s="5">
        <v>45454</v>
      </c>
      <c r="W594" s="5">
        <v>45454</v>
      </c>
      <c r="X594" s="3">
        <v>0</v>
      </c>
      <c r="Y594" s="5">
        <f ca="1">IF(Table1[[#This Row],[ChurnStatus]]="Cancelled",Table1[[#This Row],[CancellationDate]],TODAY())</f>
        <v>45454</v>
      </c>
      <c r="Z594" s="46">
        <f ca="1">IF(AND(Table1[[#This Row],[SubscriptionStart]] &lt;= TODAY(), Table1[[#This Row],[EffectiveEndDate]] &gt;= TODAY()),1,0)</f>
        <v>0</v>
      </c>
      <c r="AA594" s="46">
        <f ca="1">IF(AND(Table1[[#This Row],[SubscriptionStart]]&lt;=Settings!$A$2,Table1[[#This Row],[EffectiveEndDate]]&gt;=Settings!$A$2),1,0)</f>
        <v>0</v>
      </c>
      <c r="AB594" s="46">
        <f ca="1">IF(AND(Table1[[#This Row],[SubscriptionStart]]&lt;=Settings!$B$2,Table1[[#This Row],[EffectiveEndDate]]&gt;=Settings!$B$2),1,0)</f>
        <v>0</v>
      </c>
      <c r="AC594" s="46">
        <f ca="1">IF(AND(Table1[[#This Row],[SubscriptionStart]]&lt;=Settings!$C$2,Table1[[#This Row],[EffectiveEndDate]]&gt;=Settings!$C$2),1,0)</f>
        <v>0</v>
      </c>
      <c r="AD594" s="46">
        <f ca="1">IF(AND(Table1[[#This Row],[SubscriptionStart]]&lt;=Settings!$D$2,Table1[[#This Row],[EffectiveEndDate]]&gt;=Settings!$D$2),1,0)</f>
        <v>0</v>
      </c>
      <c r="AE594" s="46">
        <f ca="1">IF(AND(Table1[[#This Row],[SubscriptionStart]]&lt;=Settings!$E$2,Table1[[#This Row],[EffectiveEndDate]]&gt;=Settings!$E$2),1,0)</f>
        <v>0</v>
      </c>
      <c r="AF594"/>
      <c r="AG594"/>
      <c r="AH594"/>
      <c r="AI594"/>
      <c r="AJ594"/>
      <c r="AK594"/>
    </row>
    <row r="595" spans="1:37">
      <c r="A595" s="3" t="s">
        <v>837</v>
      </c>
      <c r="B595" s="3">
        <v>31</v>
      </c>
      <c r="C595" s="3" t="s">
        <v>37</v>
      </c>
      <c r="D595" s="5">
        <v>45094</v>
      </c>
      <c r="F595" s="3">
        <f ca="1">TODAY() - Table1[[#This Row],[SubscriptionStart]]</f>
        <v>887</v>
      </c>
      <c r="G595" s="4">
        <v>36</v>
      </c>
      <c r="H595" s="3" t="s">
        <v>24</v>
      </c>
      <c r="I595" s="3" t="s">
        <v>30</v>
      </c>
      <c r="J595" s="7" cm="1">
        <f t="array" ref="J595">_xlfn.IFS(Table1[[#This Row],[Tier]]="Basic",10,Table1[[#This Row],[Tier]]="Standard",18,Table1[[#This Row],[Tier]]="Premium",25)</f>
        <v>10</v>
      </c>
      <c r="K595" s="7" cm="1">
        <f t="array" ref="K59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595" s="7" cm="1">
        <f t="array" ref="L59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232</v>
      </c>
      <c r="M595" s="3" t="str" cm="1">
        <f t="array" ref="M59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95" s="3" t="s">
        <v>31</v>
      </c>
      <c r="O595" s="3" t="s">
        <v>27</v>
      </c>
      <c r="Q595" s="3" t="str" cm="1">
        <f t="array" ref="Q595">_xlfn.IFS(Table1[[#This Row],[TotalRevenue]]&lt;100,"Low",Table1[[#This Row],[TotalRevenue]]&lt;300,"Medium",Table1[[#This Row],[TotalRevenue]]&lt;600,"High",TRUE,"Very High")</f>
        <v>Medium</v>
      </c>
      <c r="R595" s="3" t="str" cm="1">
        <f t="array" ref="R59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95" s="3" t="str">
        <f>IF(Table1[[#This Row],[NextBillingDate]]="","Cancelled",IF(Table1[[#This Row],[CancellationDate]]&lt;&gt;"","Cancelled","Active"))</f>
        <v>Active</v>
      </c>
      <c r="T595" s="7" cm="1">
        <f t="array" ref="T59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312</v>
      </c>
      <c r="V595" s="5">
        <v>46174</v>
      </c>
      <c r="W595" s="5">
        <v>46174</v>
      </c>
      <c r="X595" s="3">
        <v>2</v>
      </c>
      <c r="Y595" s="5">
        <f ca="1">IF(Table1[[#This Row],[ChurnStatus]]="Cancelled",Table1[[#This Row],[CancellationDate]],TODAY())</f>
        <v>45981</v>
      </c>
      <c r="Z595" s="46">
        <f ca="1">IF(AND(Table1[[#This Row],[SubscriptionStart]] &lt;= TODAY(), Table1[[#This Row],[EffectiveEndDate]] &gt;= TODAY()),1,0)</f>
        <v>1</v>
      </c>
      <c r="AA595" s="46">
        <f ca="1">IF(AND(Table1[[#This Row],[SubscriptionStart]]&lt;=Settings!$A$2,Table1[[#This Row],[EffectiveEndDate]]&gt;=Settings!$A$2),1,0)</f>
        <v>0</v>
      </c>
      <c r="AB595" s="46">
        <f ca="1">IF(AND(Table1[[#This Row],[SubscriptionStart]]&lt;=Settings!$B$2,Table1[[#This Row],[EffectiveEndDate]]&gt;=Settings!$B$2),1,0)</f>
        <v>0</v>
      </c>
      <c r="AC595" s="46">
        <f ca="1">IF(AND(Table1[[#This Row],[SubscriptionStart]]&lt;=Settings!$C$2,Table1[[#This Row],[EffectiveEndDate]]&gt;=Settings!$C$2),1,0)</f>
        <v>0</v>
      </c>
      <c r="AD595" s="46">
        <f ca="1">IF(AND(Table1[[#This Row],[SubscriptionStart]]&lt;=Settings!$D$2,Table1[[#This Row],[EffectiveEndDate]]&gt;=Settings!$D$2),1,0)</f>
        <v>0</v>
      </c>
      <c r="AE595" s="46">
        <f ca="1">IF(AND(Table1[[#This Row],[SubscriptionStart]]&lt;=Settings!$E$2,Table1[[#This Row],[EffectiveEndDate]]&gt;=Settings!$E$2),1,0)</f>
        <v>1</v>
      </c>
      <c r="AF595"/>
      <c r="AG595"/>
      <c r="AH595"/>
      <c r="AI595"/>
      <c r="AJ595"/>
      <c r="AK595"/>
    </row>
    <row r="596" spans="1:37">
      <c r="A596" s="3" t="s">
        <v>797</v>
      </c>
      <c r="B596" s="3">
        <v>63</v>
      </c>
      <c r="C596" s="3" t="s">
        <v>23</v>
      </c>
      <c r="D596" s="5">
        <v>45095</v>
      </c>
      <c r="E596" s="5">
        <v>45275</v>
      </c>
      <c r="F596" s="3">
        <f ca="1">TODAY() - Table1[[#This Row],[SubscriptionStart]]</f>
        <v>886</v>
      </c>
      <c r="G596" s="4">
        <v>6</v>
      </c>
      <c r="H596" s="3" t="s">
        <v>38</v>
      </c>
      <c r="I596" s="3" t="s">
        <v>30</v>
      </c>
      <c r="J596" s="7" cm="1">
        <f t="array" ref="J596">_xlfn.IFS(Table1[[#This Row],[Tier]]="Basic",10,Table1[[#This Row],[Tier]]="Standard",18,Table1[[#This Row],[Tier]]="Premium",25)</f>
        <v>10</v>
      </c>
      <c r="K596" s="7" cm="1">
        <f t="array" ref="K59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596" s="7" cm="1">
        <f t="array" ref="L59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596" s="3" t="str" cm="1">
        <f t="array" ref="M596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596" s="3" t="s">
        <v>26</v>
      </c>
      <c r="O596" s="3" t="s">
        <v>43</v>
      </c>
      <c r="P596" s="3" t="s">
        <v>44</v>
      </c>
      <c r="Q596" s="3" t="str" cm="1">
        <f t="array" ref="Q596">_xlfn.IFS(Table1[[#This Row],[TotalRevenue]]&lt;100,"Low",Table1[[#This Row],[TotalRevenue]]&lt;300,"Medium",Table1[[#This Row],[TotalRevenue]]&lt;600,"High",TRUE,"Very High")</f>
        <v>Low</v>
      </c>
      <c r="R596" s="3" t="str" cm="1">
        <f t="array" ref="R596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596" s="3" t="str">
        <f>IF(Table1[[#This Row],[NextBillingDate]]="","Cancelled",IF(Table1[[#This Row],[CancellationDate]]&lt;&gt;"","Cancelled","Active"))</f>
        <v>Cancelled</v>
      </c>
      <c r="T596" s="7" cm="1">
        <f t="array" ref="T59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596" s="5">
        <v>45275</v>
      </c>
      <c r="W596" s="5">
        <v>45275</v>
      </c>
      <c r="X596" s="3">
        <v>0</v>
      </c>
      <c r="Y596" s="5">
        <f ca="1">IF(Table1[[#This Row],[ChurnStatus]]="Cancelled",Table1[[#This Row],[CancellationDate]],TODAY())</f>
        <v>45275</v>
      </c>
      <c r="Z596" s="46">
        <f ca="1">IF(AND(Table1[[#This Row],[SubscriptionStart]] &lt;= TODAY(), Table1[[#This Row],[EffectiveEndDate]] &gt;= TODAY()),1,0)</f>
        <v>0</v>
      </c>
      <c r="AA596" s="46">
        <f ca="1">IF(AND(Table1[[#This Row],[SubscriptionStart]]&lt;=Settings!$A$2,Table1[[#This Row],[EffectiveEndDate]]&gt;=Settings!$A$2),1,0)</f>
        <v>0</v>
      </c>
      <c r="AB596" s="46">
        <f ca="1">IF(AND(Table1[[#This Row],[SubscriptionStart]]&lt;=Settings!$B$2,Table1[[#This Row],[EffectiveEndDate]]&gt;=Settings!$B$2),1,0)</f>
        <v>0</v>
      </c>
      <c r="AC596" s="46">
        <f ca="1">IF(AND(Table1[[#This Row],[SubscriptionStart]]&lt;=Settings!$C$2,Table1[[#This Row],[EffectiveEndDate]]&gt;=Settings!$C$2),1,0)</f>
        <v>0</v>
      </c>
      <c r="AD596" s="46">
        <f ca="1">IF(AND(Table1[[#This Row],[SubscriptionStart]]&lt;=Settings!$D$2,Table1[[#This Row],[EffectiveEndDate]]&gt;=Settings!$D$2),1,0)</f>
        <v>0</v>
      </c>
      <c r="AE596" s="46">
        <f ca="1">IF(AND(Table1[[#This Row],[SubscriptionStart]]&lt;=Settings!$E$2,Table1[[#This Row],[EffectiveEndDate]]&gt;=Settings!$E$2),1,0)</f>
        <v>0</v>
      </c>
      <c r="AF596"/>
      <c r="AG596"/>
      <c r="AH596"/>
      <c r="AI596"/>
      <c r="AJ596"/>
      <c r="AK596"/>
    </row>
    <row r="597" spans="1:37">
      <c r="A597" s="3" t="s">
        <v>488</v>
      </c>
      <c r="B597" s="3">
        <v>26</v>
      </c>
      <c r="C597" s="3" t="s">
        <v>23</v>
      </c>
      <c r="D597" s="5">
        <v>45095</v>
      </c>
      <c r="E597" s="5">
        <v>45455</v>
      </c>
      <c r="F597" s="3">
        <f ca="1">TODAY() - Table1[[#This Row],[SubscriptionStart]]</f>
        <v>886</v>
      </c>
      <c r="G597" s="4">
        <v>12</v>
      </c>
      <c r="H597" s="3" t="s">
        <v>24</v>
      </c>
      <c r="I597" s="3" t="s">
        <v>30</v>
      </c>
      <c r="J597" s="7" cm="1">
        <f t="array" ref="J597">_xlfn.IFS(Table1[[#This Row],[Tier]]="Basic",10,Table1[[#This Row],[Tier]]="Standard",18,Table1[[#This Row],[Tier]]="Premium",25)</f>
        <v>10</v>
      </c>
      <c r="K597" s="7" cm="1">
        <f t="array" ref="K59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97" s="7" cm="1">
        <f t="array" ref="L59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97" s="3" t="str" cm="1">
        <f t="array" ref="M59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597" s="3" t="s">
        <v>52</v>
      </c>
      <c r="O597" s="3" t="s">
        <v>40</v>
      </c>
      <c r="P597" s="3" t="s">
        <v>41</v>
      </c>
      <c r="Q597" s="3" t="str" cm="1">
        <f t="array" ref="Q597">_xlfn.IFS(Table1[[#This Row],[TotalRevenue]]&lt;100,"Low",Table1[[#This Row],[TotalRevenue]]&lt;300,"Medium",Table1[[#This Row],[TotalRevenue]]&lt;600,"High",TRUE,"Very High")</f>
        <v>Low</v>
      </c>
      <c r="R597" s="3" t="str" cm="1">
        <f t="array" ref="R59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597" s="3" t="str">
        <f>IF(Table1[[#This Row],[NextBillingDate]]="","Cancelled",IF(Table1[[#This Row],[CancellationDate]]&lt;&gt;"","Cancelled","Active"))</f>
        <v>Cancelled</v>
      </c>
      <c r="T597" s="7" cm="1">
        <f t="array" ref="T59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97" s="5">
        <v>45455</v>
      </c>
      <c r="W597" s="5">
        <v>45455</v>
      </c>
      <c r="X597" s="3">
        <v>0</v>
      </c>
      <c r="Y597" s="5">
        <f ca="1">IF(Table1[[#This Row],[ChurnStatus]]="Cancelled",Table1[[#This Row],[CancellationDate]],TODAY())</f>
        <v>45455</v>
      </c>
      <c r="Z597" s="46">
        <f ca="1">IF(AND(Table1[[#This Row],[SubscriptionStart]] &lt;= TODAY(), Table1[[#This Row],[EffectiveEndDate]] &gt;= TODAY()),1,0)</f>
        <v>0</v>
      </c>
      <c r="AA597" s="46">
        <f ca="1">IF(AND(Table1[[#This Row],[SubscriptionStart]]&lt;=Settings!$A$2,Table1[[#This Row],[EffectiveEndDate]]&gt;=Settings!$A$2),1,0)</f>
        <v>0</v>
      </c>
      <c r="AB597" s="46">
        <f ca="1">IF(AND(Table1[[#This Row],[SubscriptionStart]]&lt;=Settings!$B$2,Table1[[#This Row],[EffectiveEndDate]]&gt;=Settings!$B$2),1,0)</f>
        <v>0</v>
      </c>
      <c r="AC597" s="46">
        <f ca="1">IF(AND(Table1[[#This Row],[SubscriptionStart]]&lt;=Settings!$C$2,Table1[[#This Row],[EffectiveEndDate]]&gt;=Settings!$C$2),1,0)</f>
        <v>0</v>
      </c>
      <c r="AD597" s="46">
        <f ca="1">IF(AND(Table1[[#This Row],[SubscriptionStart]]&lt;=Settings!$D$2,Table1[[#This Row],[EffectiveEndDate]]&gt;=Settings!$D$2),1,0)</f>
        <v>0</v>
      </c>
      <c r="AE597" s="46">
        <f ca="1">IF(AND(Table1[[#This Row],[SubscriptionStart]]&lt;=Settings!$E$2,Table1[[#This Row],[EffectiveEndDate]]&gt;=Settings!$E$2),1,0)</f>
        <v>0</v>
      </c>
      <c r="AF597"/>
      <c r="AG597"/>
      <c r="AH597"/>
      <c r="AI597"/>
      <c r="AJ597"/>
      <c r="AK597"/>
    </row>
    <row r="598" spans="1:37">
      <c r="A598" s="3" t="s">
        <v>143</v>
      </c>
      <c r="B598" s="3">
        <v>24</v>
      </c>
      <c r="C598" s="3" t="s">
        <v>37</v>
      </c>
      <c r="D598" s="5">
        <v>45098</v>
      </c>
      <c r="E598" s="5">
        <v>45458</v>
      </c>
      <c r="F598" s="3">
        <f ca="1">TODAY() - Table1[[#This Row],[SubscriptionStart]]</f>
        <v>883</v>
      </c>
      <c r="G598" s="4">
        <v>12</v>
      </c>
      <c r="H598" s="3" t="s">
        <v>24</v>
      </c>
      <c r="I598" s="3" t="s">
        <v>30</v>
      </c>
      <c r="J598" s="7" cm="1">
        <f t="array" ref="J598">_xlfn.IFS(Table1[[#This Row],[Tier]]="Basic",10,Table1[[#This Row],[Tier]]="Standard",18,Table1[[#This Row],[Tier]]="Premium",25)</f>
        <v>10</v>
      </c>
      <c r="K598" s="7" cm="1">
        <f t="array" ref="K59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598" s="7" cm="1">
        <f t="array" ref="L59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598" s="3" t="str" cm="1">
        <f t="array" ref="M598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598" s="3" t="s">
        <v>26</v>
      </c>
      <c r="O598" s="3" t="s">
        <v>32</v>
      </c>
      <c r="P598" s="3" t="s">
        <v>41</v>
      </c>
      <c r="Q598" s="3" t="str" cm="1">
        <f t="array" ref="Q598">_xlfn.IFS(Table1[[#This Row],[TotalRevenue]]&lt;100,"Low",Table1[[#This Row],[TotalRevenue]]&lt;300,"Medium",Table1[[#This Row],[TotalRevenue]]&lt;600,"High",TRUE,"Very High")</f>
        <v>Low</v>
      </c>
      <c r="R598" s="3" t="str" cm="1">
        <f t="array" ref="R598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598" s="3" t="str">
        <f>IF(Table1[[#This Row],[NextBillingDate]]="","Cancelled",IF(Table1[[#This Row],[CancellationDate]]&lt;&gt;"","Cancelled","Active"))</f>
        <v>Cancelled</v>
      </c>
      <c r="T598" s="7" cm="1">
        <f t="array" ref="T59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598" s="5">
        <v>45458</v>
      </c>
      <c r="W598" s="5">
        <v>45458</v>
      </c>
      <c r="X598" s="3">
        <v>0</v>
      </c>
      <c r="Y598" s="5">
        <f ca="1">IF(Table1[[#This Row],[ChurnStatus]]="Cancelled",Table1[[#This Row],[CancellationDate]],TODAY())</f>
        <v>45458</v>
      </c>
      <c r="Z598" s="46">
        <f ca="1">IF(AND(Table1[[#This Row],[SubscriptionStart]] &lt;= TODAY(), Table1[[#This Row],[EffectiveEndDate]] &gt;= TODAY()),1,0)</f>
        <v>0</v>
      </c>
      <c r="AA598" s="46">
        <f ca="1">IF(AND(Table1[[#This Row],[SubscriptionStart]]&lt;=Settings!$A$2,Table1[[#This Row],[EffectiveEndDate]]&gt;=Settings!$A$2),1,0)</f>
        <v>0</v>
      </c>
      <c r="AB598" s="46">
        <f ca="1">IF(AND(Table1[[#This Row],[SubscriptionStart]]&lt;=Settings!$B$2,Table1[[#This Row],[EffectiveEndDate]]&gt;=Settings!$B$2),1,0)</f>
        <v>0</v>
      </c>
      <c r="AC598" s="46">
        <f ca="1">IF(AND(Table1[[#This Row],[SubscriptionStart]]&lt;=Settings!$C$2,Table1[[#This Row],[EffectiveEndDate]]&gt;=Settings!$C$2),1,0)</f>
        <v>0</v>
      </c>
      <c r="AD598" s="46">
        <f ca="1">IF(AND(Table1[[#This Row],[SubscriptionStart]]&lt;=Settings!$D$2,Table1[[#This Row],[EffectiveEndDate]]&gt;=Settings!$D$2),1,0)</f>
        <v>0</v>
      </c>
      <c r="AE598" s="46">
        <f ca="1">IF(AND(Table1[[#This Row],[SubscriptionStart]]&lt;=Settings!$E$2,Table1[[#This Row],[EffectiveEndDate]]&gt;=Settings!$E$2),1,0)</f>
        <v>0</v>
      </c>
      <c r="AF598"/>
      <c r="AG598"/>
      <c r="AH598"/>
      <c r="AI598"/>
      <c r="AJ598"/>
      <c r="AK598"/>
    </row>
    <row r="599" spans="1:37">
      <c r="A599" s="3" t="s">
        <v>744</v>
      </c>
      <c r="B599" s="3">
        <v>64</v>
      </c>
      <c r="C599" s="3" t="s">
        <v>37</v>
      </c>
      <c r="D599" s="5">
        <v>45098</v>
      </c>
      <c r="E599" s="5">
        <v>45458</v>
      </c>
      <c r="F599" s="3">
        <f ca="1">TODAY() - Table1[[#This Row],[SubscriptionStart]]</f>
        <v>883</v>
      </c>
      <c r="G599" s="4">
        <v>12</v>
      </c>
      <c r="H599" s="3" t="s">
        <v>24</v>
      </c>
      <c r="I599" s="3" t="s">
        <v>39</v>
      </c>
      <c r="J599" s="7" cm="1">
        <f t="array" ref="J599">_xlfn.IFS(Table1[[#This Row],[Tier]]="Basic",10,Table1[[#This Row],[Tier]]="Standard",18,Table1[[#This Row],[Tier]]="Premium",25)</f>
        <v>18</v>
      </c>
      <c r="K599" s="7" cm="1">
        <f t="array" ref="K59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599" s="7" cm="1">
        <f t="array" ref="L59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599" s="3" t="str" cm="1">
        <f t="array" ref="M59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599" s="3" t="s">
        <v>34</v>
      </c>
      <c r="O599" s="3" t="s">
        <v>49</v>
      </c>
      <c r="P599" s="3" t="s">
        <v>35</v>
      </c>
      <c r="Q599" s="3" t="str" cm="1">
        <f t="array" ref="Q599">_xlfn.IFS(Table1[[#This Row],[TotalRevenue]]&lt;100,"Low",Table1[[#This Row],[TotalRevenue]]&lt;300,"Medium",Table1[[#This Row],[TotalRevenue]]&lt;600,"High",TRUE,"Very High")</f>
        <v>Medium</v>
      </c>
      <c r="R599" s="3" t="str" cm="1">
        <f t="array" ref="R59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599" s="3" t="str">
        <f>IF(Table1[[#This Row],[NextBillingDate]]="","Cancelled",IF(Table1[[#This Row],[CancellationDate]]&lt;&gt;"","Cancelled","Active"))</f>
        <v>Cancelled</v>
      </c>
      <c r="T599" s="7" cm="1">
        <f t="array" ref="T59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599" s="5">
        <v>45458</v>
      </c>
      <c r="W599" s="5">
        <v>45458</v>
      </c>
      <c r="X599" s="3">
        <v>0</v>
      </c>
      <c r="Y599" s="5">
        <f ca="1">IF(Table1[[#This Row],[ChurnStatus]]="Cancelled",Table1[[#This Row],[CancellationDate]],TODAY())</f>
        <v>45458</v>
      </c>
      <c r="Z599" s="46">
        <f ca="1">IF(AND(Table1[[#This Row],[SubscriptionStart]] &lt;= TODAY(), Table1[[#This Row],[EffectiveEndDate]] &gt;= TODAY()),1,0)</f>
        <v>0</v>
      </c>
      <c r="AA599" s="46">
        <f ca="1">IF(AND(Table1[[#This Row],[SubscriptionStart]]&lt;=Settings!$A$2,Table1[[#This Row],[EffectiveEndDate]]&gt;=Settings!$A$2),1,0)</f>
        <v>0</v>
      </c>
      <c r="AB599" s="46">
        <f ca="1">IF(AND(Table1[[#This Row],[SubscriptionStart]]&lt;=Settings!$B$2,Table1[[#This Row],[EffectiveEndDate]]&gt;=Settings!$B$2),1,0)</f>
        <v>0</v>
      </c>
      <c r="AC599" s="46">
        <f ca="1">IF(AND(Table1[[#This Row],[SubscriptionStart]]&lt;=Settings!$C$2,Table1[[#This Row],[EffectiveEndDate]]&gt;=Settings!$C$2),1,0)</f>
        <v>0</v>
      </c>
      <c r="AD599" s="46">
        <f ca="1">IF(AND(Table1[[#This Row],[SubscriptionStart]]&lt;=Settings!$D$2,Table1[[#This Row],[EffectiveEndDate]]&gt;=Settings!$D$2),1,0)</f>
        <v>0</v>
      </c>
      <c r="AE599" s="46">
        <f ca="1">IF(AND(Table1[[#This Row],[SubscriptionStart]]&lt;=Settings!$E$2,Table1[[#This Row],[EffectiveEndDate]]&gt;=Settings!$E$2),1,0)</f>
        <v>0</v>
      </c>
      <c r="AF599"/>
      <c r="AG599"/>
      <c r="AH599"/>
      <c r="AI599"/>
      <c r="AJ599"/>
      <c r="AK599"/>
    </row>
    <row r="600" spans="1:37">
      <c r="A600" s="3" t="s">
        <v>433</v>
      </c>
      <c r="B600" s="3">
        <v>48</v>
      </c>
      <c r="C600" s="3" t="s">
        <v>37</v>
      </c>
      <c r="D600" s="5">
        <v>45103</v>
      </c>
      <c r="E600" s="5">
        <v>45283</v>
      </c>
      <c r="F600" s="3">
        <f ca="1">TODAY() - Table1[[#This Row],[SubscriptionStart]]</f>
        <v>878</v>
      </c>
      <c r="G600" s="4">
        <v>6</v>
      </c>
      <c r="H600" s="3" t="s">
        <v>38</v>
      </c>
      <c r="I600" s="3" t="s">
        <v>39</v>
      </c>
      <c r="J600" s="7" cm="1">
        <f t="array" ref="J600">_xlfn.IFS(Table1[[#This Row],[Tier]]="Basic",10,Table1[[#This Row],[Tier]]="Standard",18,Table1[[#This Row],[Tier]]="Premium",25)</f>
        <v>18</v>
      </c>
      <c r="K600" s="7" cm="1">
        <f t="array" ref="K60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600" s="7" cm="1">
        <f t="array" ref="L60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600" s="3" t="str" cm="1">
        <f t="array" ref="M60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00" s="3" t="s">
        <v>52</v>
      </c>
      <c r="O600" s="3" t="s">
        <v>27</v>
      </c>
      <c r="P600" s="3" t="s">
        <v>50</v>
      </c>
      <c r="Q600" s="3" t="str" cm="1">
        <f t="array" ref="Q600">_xlfn.IFS(Table1[[#This Row],[TotalRevenue]]&lt;100,"Low",Table1[[#This Row],[TotalRevenue]]&lt;300,"Medium",Table1[[#This Row],[TotalRevenue]]&lt;600,"High",TRUE,"Very High")</f>
        <v>Low</v>
      </c>
      <c r="R600" s="3" t="str" cm="1">
        <f t="array" ref="R60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00" s="3" t="str">
        <f>IF(Table1[[#This Row],[NextBillingDate]]="","Cancelled",IF(Table1[[#This Row],[CancellationDate]]&lt;&gt;"","Cancelled","Active"))</f>
        <v>Cancelled</v>
      </c>
      <c r="T600" s="7" cm="1">
        <f t="array" ref="T60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600" s="5">
        <v>45283</v>
      </c>
      <c r="W600" s="5">
        <v>45283</v>
      </c>
      <c r="X600" s="3">
        <v>0</v>
      </c>
      <c r="Y600" s="5">
        <f ca="1">IF(Table1[[#This Row],[ChurnStatus]]="Cancelled",Table1[[#This Row],[CancellationDate]],TODAY())</f>
        <v>45283</v>
      </c>
      <c r="Z600" s="46">
        <f ca="1">IF(AND(Table1[[#This Row],[SubscriptionStart]] &lt;= TODAY(), Table1[[#This Row],[EffectiveEndDate]] &gt;= TODAY()),1,0)</f>
        <v>0</v>
      </c>
      <c r="AA600" s="46">
        <f ca="1">IF(AND(Table1[[#This Row],[SubscriptionStart]]&lt;=Settings!$A$2,Table1[[#This Row],[EffectiveEndDate]]&gt;=Settings!$A$2),1,0)</f>
        <v>0</v>
      </c>
      <c r="AB600" s="46">
        <f ca="1">IF(AND(Table1[[#This Row],[SubscriptionStart]]&lt;=Settings!$B$2,Table1[[#This Row],[EffectiveEndDate]]&gt;=Settings!$B$2),1,0)</f>
        <v>0</v>
      </c>
      <c r="AC600" s="46">
        <f ca="1">IF(AND(Table1[[#This Row],[SubscriptionStart]]&lt;=Settings!$C$2,Table1[[#This Row],[EffectiveEndDate]]&gt;=Settings!$C$2),1,0)</f>
        <v>0</v>
      </c>
      <c r="AD600" s="46">
        <f ca="1">IF(AND(Table1[[#This Row],[SubscriptionStart]]&lt;=Settings!$D$2,Table1[[#This Row],[EffectiveEndDate]]&gt;=Settings!$D$2),1,0)</f>
        <v>0</v>
      </c>
      <c r="AE600" s="46">
        <f ca="1">IF(AND(Table1[[#This Row],[SubscriptionStart]]&lt;=Settings!$E$2,Table1[[#This Row],[EffectiveEndDate]]&gt;=Settings!$E$2),1,0)</f>
        <v>0</v>
      </c>
      <c r="AF600"/>
      <c r="AG600"/>
      <c r="AH600"/>
      <c r="AI600"/>
      <c r="AJ600"/>
      <c r="AK600"/>
    </row>
    <row r="601" spans="1:37">
      <c r="A601" s="3" t="s">
        <v>641</v>
      </c>
      <c r="B601" s="3">
        <v>40</v>
      </c>
      <c r="C601" s="3" t="s">
        <v>37</v>
      </c>
      <c r="D601" s="5">
        <v>45103</v>
      </c>
      <c r="F601" s="3">
        <f ca="1">TODAY() - Table1[[#This Row],[SubscriptionStart]]</f>
        <v>878</v>
      </c>
      <c r="G601" s="4">
        <v>30</v>
      </c>
      <c r="H601" s="3" t="s">
        <v>29</v>
      </c>
      <c r="I601" s="3" t="s">
        <v>25</v>
      </c>
      <c r="J601" s="7" cm="1">
        <f t="array" ref="J601">_xlfn.IFS(Table1[[#This Row],[Tier]]="Basic",10,Table1[[#This Row],[Tier]]="Standard",18,Table1[[#This Row],[Tier]]="Premium",25)</f>
        <v>25</v>
      </c>
      <c r="K601" s="7" cm="1">
        <f t="array" ref="K60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601" s="7" cm="1">
        <f t="array" ref="L60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697.5</v>
      </c>
      <c r="M601" s="3" t="str" cm="1">
        <f t="array" ref="M60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01" s="3" t="s">
        <v>26</v>
      </c>
      <c r="O601" s="3" t="s">
        <v>40</v>
      </c>
      <c r="Q601" s="3" t="str" cm="1">
        <f t="array" ref="Q601">_xlfn.IFS(Table1[[#This Row],[TotalRevenue]]&lt;100,"Low",Table1[[#This Row],[TotalRevenue]]&lt;300,"Medium",Table1[[#This Row],[TotalRevenue]]&lt;600,"High",TRUE,"Very High")</f>
        <v>Very High</v>
      </c>
      <c r="R601" s="3" t="str" cm="1">
        <f t="array" ref="R60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01" s="3" t="str">
        <f>IF(Table1[[#This Row],[NextBillingDate]]="","Cancelled",IF(Table1[[#This Row],[CancellationDate]]&lt;&gt;"","Cancelled","Active"))</f>
        <v>Active</v>
      </c>
      <c r="T601" s="7" cm="1">
        <f t="array" ref="T60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722.5</v>
      </c>
      <c r="V601" s="5">
        <v>46003</v>
      </c>
      <c r="W601" s="5">
        <v>46003</v>
      </c>
      <c r="X601" s="3">
        <v>29</v>
      </c>
      <c r="Y601" s="5">
        <f ca="1">IF(Table1[[#This Row],[ChurnStatus]]="Cancelled",Table1[[#This Row],[CancellationDate]],TODAY())</f>
        <v>45981</v>
      </c>
      <c r="Z601" s="46">
        <f ca="1">IF(AND(Table1[[#This Row],[SubscriptionStart]] &lt;= TODAY(), Table1[[#This Row],[EffectiveEndDate]] &gt;= TODAY()),1,0)</f>
        <v>1</v>
      </c>
      <c r="AA601" s="46">
        <f ca="1">IF(AND(Table1[[#This Row],[SubscriptionStart]]&lt;=Settings!$A$2,Table1[[#This Row],[EffectiveEndDate]]&gt;=Settings!$A$2),1,0)</f>
        <v>0</v>
      </c>
      <c r="AB601" s="46">
        <f ca="1">IF(AND(Table1[[#This Row],[SubscriptionStart]]&lt;=Settings!$B$2,Table1[[#This Row],[EffectiveEndDate]]&gt;=Settings!$B$2),1,0)</f>
        <v>0</v>
      </c>
      <c r="AC601" s="46">
        <f ca="1">IF(AND(Table1[[#This Row],[SubscriptionStart]]&lt;=Settings!$C$2,Table1[[#This Row],[EffectiveEndDate]]&gt;=Settings!$C$2),1,0)</f>
        <v>0</v>
      </c>
      <c r="AD601" s="46">
        <f ca="1">IF(AND(Table1[[#This Row],[SubscriptionStart]]&lt;=Settings!$D$2,Table1[[#This Row],[EffectiveEndDate]]&gt;=Settings!$D$2),1,0)</f>
        <v>0</v>
      </c>
      <c r="AE601" s="46">
        <f ca="1">IF(AND(Table1[[#This Row],[SubscriptionStart]]&lt;=Settings!$E$2,Table1[[#This Row],[EffectiveEndDate]]&gt;=Settings!$E$2),1,0)</f>
        <v>1</v>
      </c>
      <c r="AF601"/>
      <c r="AG601"/>
      <c r="AH601"/>
      <c r="AI601"/>
      <c r="AJ601"/>
      <c r="AK601"/>
    </row>
    <row r="602" spans="1:37">
      <c r="A602" s="3" t="s">
        <v>394</v>
      </c>
      <c r="B602" s="3">
        <v>69</v>
      </c>
      <c r="C602" s="3" t="s">
        <v>23</v>
      </c>
      <c r="D602" s="5">
        <v>45106</v>
      </c>
      <c r="E602" s="5">
        <v>45286</v>
      </c>
      <c r="F602" s="3">
        <f ca="1">TODAY() - Table1[[#This Row],[SubscriptionStart]]</f>
        <v>875</v>
      </c>
      <c r="G602" s="4">
        <v>6</v>
      </c>
      <c r="H602" s="3" t="s">
        <v>38</v>
      </c>
      <c r="I602" s="3" t="s">
        <v>39</v>
      </c>
      <c r="J602" s="7" cm="1">
        <f t="array" ref="J602">_xlfn.IFS(Table1[[#This Row],[Tier]]="Basic",10,Table1[[#This Row],[Tier]]="Standard",18,Table1[[#This Row],[Tier]]="Premium",25)</f>
        <v>18</v>
      </c>
      <c r="K602" s="7" cm="1">
        <f t="array" ref="K60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602" s="7" cm="1">
        <f t="array" ref="L60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602" s="3" t="str" cm="1">
        <f t="array" ref="M602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02" s="3" t="s">
        <v>52</v>
      </c>
      <c r="O602" s="3" t="s">
        <v>40</v>
      </c>
      <c r="P602" s="3" t="s">
        <v>50</v>
      </c>
      <c r="Q602" s="3" t="str" cm="1">
        <f t="array" ref="Q602">_xlfn.IFS(Table1[[#This Row],[TotalRevenue]]&lt;100,"Low",Table1[[#This Row],[TotalRevenue]]&lt;300,"Medium",Table1[[#This Row],[TotalRevenue]]&lt;600,"High",TRUE,"Very High")</f>
        <v>Low</v>
      </c>
      <c r="R602" s="3" t="str" cm="1">
        <f t="array" ref="R602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602" s="3" t="str">
        <f>IF(Table1[[#This Row],[NextBillingDate]]="","Cancelled",IF(Table1[[#This Row],[CancellationDate]]&lt;&gt;"","Cancelled","Active"))</f>
        <v>Cancelled</v>
      </c>
      <c r="T602" s="7" cm="1">
        <f t="array" ref="T60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602" s="5">
        <v>45286</v>
      </c>
      <c r="W602" s="5">
        <v>45286</v>
      </c>
      <c r="X602" s="3">
        <v>0</v>
      </c>
      <c r="Y602" s="5">
        <f ca="1">IF(Table1[[#This Row],[ChurnStatus]]="Cancelled",Table1[[#This Row],[CancellationDate]],TODAY())</f>
        <v>45286</v>
      </c>
      <c r="Z602" s="46">
        <f ca="1">IF(AND(Table1[[#This Row],[SubscriptionStart]] &lt;= TODAY(), Table1[[#This Row],[EffectiveEndDate]] &gt;= TODAY()),1,0)</f>
        <v>0</v>
      </c>
      <c r="AA602" s="46">
        <f ca="1">IF(AND(Table1[[#This Row],[SubscriptionStart]]&lt;=Settings!$A$2,Table1[[#This Row],[EffectiveEndDate]]&gt;=Settings!$A$2),1,0)</f>
        <v>0</v>
      </c>
      <c r="AB602" s="46">
        <f ca="1">IF(AND(Table1[[#This Row],[SubscriptionStart]]&lt;=Settings!$B$2,Table1[[#This Row],[EffectiveEndDate]]&gt;=Settings!$B$2),1,0)</f>
        <v>0</v>
      </c>
      <c r="AC602" s="46">
        <f ca="1">IF(AND(Table1[[#This Row],[SubscriptionStart]]&lt;=Settings!$C$2,Table1[[#This Row],[EffectiveEndDate]]&gt;=Settings!$C$2),1,0)</f>
        <v>0</v>
      </c>
      <c r="AD602" s="46">
        <f ca="1">IF(AND(Table1[[#This Row],[SubscriptionStart]]&lt;=Settings!$D$2,Table1[[#This Row],[EffectiveEndDate]]&gt;=Settings!$D$2),1,0)</f>
        <v>0</v>
      </c>
      <c r="AE602" s="46">
        <f ca="1">IF(AND(Table1[[#This Row],[SubscriptionStart]]&lt;=Settings!$E$2,Table1[[#This Row],[EffectiveEndDate]]&gt;=Settings!$E$2),1,0)</f>
        <v>0</v>
      </c>
      <c r="AF602"/>
      <c r="AG602"/>
      <c r="AH602"/>
      <c r="AI602"/>
      <c r="AJ602"/>
      <c r="AK602"/>
    </row>
    <row r="603" spans="1:37">
      <c r="A603" s="3" t="s">
        <v>839</v>
      </c>
      <c r="B603" s="3">
        <v>23</v>
      </c>
      <c r="C603" s="3" t="s">
        <v>23</v>
      </c>
      <c r="D603" s="5">
        <v>45107</v>
      </c>
      <c r="E603" s="5">
        <v>45467</v>
      </c>
      <c r="F603" s="3">
        <f ca="1">TODAY() - Table1[[#This Row],[SubscriptionStart]]</f>
        <v>874</v>
      </c>
      <c r="G603" s="4">
        <v>12</v>
      </c>
      <c r="H603" s="3" t="s">
        <v>24</v>
      </c>
      <c r="I603" s="3" t="s">
        <v>30</v>
      </c>
      <c r="J603" s="7" cm="1">
        <f t="array" ref="J603">_xlfn.IFS(Table1[[#This Row],[Tier]]="Basic",10,Table1[[#This Row],[Tier]]="Standard",18,Table1[[#This Row],[Tier]]="Premium",25)</f>
        <v>10</v>
      </c>
      <c r="K603" s="7" cm="1">
        <f t="array" ref="K60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03" s="7" cm="1">
        <f t="array" ref="L60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03" s="3" t="str" cm="1">
        <f t="array" ref="M603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603" s="3" t="s">
        <v>34</v>
      </c>
      <c r="O603" s="3" t="s">
        <v>32</v>
      </c>
      <c r="P603" s="3" t="s">
        <v>41</v>
      </c>
      <c r="Q603" s="3" t="str" cm="1">
        <f t="array" ref="Q603">_xlfn.IFS(Table1[[#This Row],[TotalRevenue]]&lt;100,"Low",Table1[[#This Row],[TotalRevenue]]&lt;300,"Medium",Table1[[#This Row],[TotalRevenue]]&lt;600,"High",TRUE,"Very High")</f>
        <v>Low</v>
      </c>
      <c r="R603" s="3" t="str" cm="1">
        <f t="array" ref="R603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603" s="3" t="str">
        <f>IF(Table1[[#This Row],[NextBillingDate]]="","Cancelled",IF(Table1[[#This Row],[CancellationDate]]&lt;&gt;"","Cancelled","Active"))</f>
        <v>Cancelled</v>
      </c>
      <c r="T603" s="7" cm="1">
        <f t="array" ref="T60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03" s="5">
        <v>45467</v>
      </c>
      <c r="W603" s="5">
        <v>45467</v>
      </c>
      <c r="X603" s="3">
        <v>0</v>
      </c>
      <c r="Y603" s="5">
        <f ca="1">IF(Table1[[#This Row],[ChurnStatus]]="Cancelled",Table1[[#This Row],[CancellationDate]],TODAY())</f>
        <v>45467</v>
      </c>
      <c r="Z603" s="46">
        <f ca="1">IF(AND(Table1[[#This Row],[SubscriptionStart]] &lt;= TODAY(), Table1[[#This Row],[EffectiveEndDate]] &gt;= TODAY()),1,0)</f>
        <v>0</v>
      </c>
      <c r="AA603" s="46">
        <f ca="1">IF(AND(Table1[[#This Row],[SubscriptionStart]]&lt;=Settings!$A$2,Table1[[#This Row],[EffectiveEndDate]]&gt;=Settings!$A$2),1,0)</f>
        <v>0</v>
      </c>
      <c r="AB603" s="46">
        <f ca="1">IF(AND(Table1[[#This Row],[SubscriptionStart]]&lt;=Settings!$B$2,Table1[[#This Row],[EffectiveEndDate]]&gt;=Settings!$B$2),1,0)</f>
        <v>0</v>
      </c>
      <c r="AC603" s="46">
        <f ca="1">IF(AND(Table1[[#This Row],[SubscriptionStart]]&lt;=Settings!$C$2,Table1[[#This Row],[EffectiveEndDate]]&gt;=Settings!$C$2),1,0)</f>
        <v>0</v>
      </c>
      <c r="AD603" s="46">
        <f ca="1">IF(AND(Table1[[#This Row],[SubscriptionStart]]&lt;=Settings!$D$2,Table1[[#This Row],[EffectiveEndDate]]&gt;=Settings!$D$2),1,0)</f>
        <v>0</v>
      </c>
      <c r="AE603" s="46">
        <f ca="1">IF(AND(Table1[[#This Row],[SubscriptionStart]]&lt;=Settings!$E$2,Table1[[#This Row],[EffectiveEndDate]]&gt;=Settings!$E$2),1,0)</f>
        <v>0</v>
      </c>
      <c r="AF603"/>
      <c r="AG603"/>
      <c r="AH603"/>
      <c r="AI603"/>
      <c r="AJ603"/>
      <c r="AK603"/>
    </row>
    <row r="604" spans="1:37">
      <c r="A604" s="3" t="s">
        <v>768</v>
      </c>
      <c r="B604" s="3">
        <v>53</v>
      </c>
      <c r="C604" s="3" t="s">
        <v>37</v>
      </c>
      <c r="D604" s="5">
        <v>45107</v>
      </c>
      <c r="F604" s="3">
        <f ca="1">TODAY() - Table1[[#This Row],[SubscriptionStart]]</f>
        <v>874</v>
      </c>
      <c r="G604" s="4">
        <v>30</v>
      </c>
      <c r="H604" s="3" t="s">
        <v>38</v>
      </c>
      <c r="I604" s="3" t="s">
        <v>30</v>
      </c>
      <c r="J604" s="7" cm="1">
        <f t="array" ref="J604">_xlfn.IFS(Table1[[#This Row],[Tier]]="Basic",10,Table1[[#This Row],[Tier]]="Standard",18,Table1[[#This Row],[Tier]]="Premium",25)</f>
        <v>10</v>
      </c>
      <c r="K604" s="7" cm="1">
        <f t="array" ref="K60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604" s="7" cm="1">
        <f t="array" ref="L60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216</v>
      </c>
      <c r="M604" s="3" t="str" cm="1">
        <f t="array" ref="M604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04" s="3" t="s">
        <v>52</v>
      </c>
      <c r="O604" s="3" t="s">
        <v>32</v>
      </c>
      <c r="Q604" s="3" t="str" cm="1">
        <f t="array" ref="Q604">_xlfn.IFS(Table1[[#This Row],[TotalRevenue]]&lt;100,"Low",Table1[[#This Row],[TotalRevenue]]&lt;300,"Medium",Table1[[#This Row],[TotalRevenue]]&lt;600,"High",TRUE,"Very High")</f>
        <v>Medium</v>
      </c>
      <c r="R604" s="3" t="str" cm="1">
        <f t="array" ref="R60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04" s="3" t="str">
        <f>IF(Table1[[#This Row],[NextBillingDate]]="","Cancelled",IF(Table1[[#This Row],[CancellationDate]]&lt;&gt;"","Cancelled","Active"))</f>
        <v>Active</v>
      </c>
      <c r="T604" s="7" cm="1">
        <f t="array" ref="T60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261</v>
      </c>
      <c r="V604" s="5">
        <v>46007</v>
      </c>
      <c r="W604" s="5">
        <v>46007</v>
      </c>
      <c r="X604" s="3">
        <v>4</v>
      </c>
      <c r="Y604" s="5">
        <f ca="1">IF(Table1[[#This Row],[ChurnStatus]]="Cancelled",Table1[[#This Row],[CancellationDate]],TODAY())</f>
        <v>45981</v>
      </c>
      <c r="Z604" s="46">
        <f ca="1">IF(AND(Table1[[#This Row],[SubscriptionStart]] &lt;= TODAY(), Table1[[#This Row],[EffectiveEndDate]] &gt;= TODAY()),1,0)</f>
        <v>1</v>
      </c>
      <c r="AA604" s="46">
        <f ca="1">IF(AND(Table1[[#This Row],[SubscriptionStart]]&lt;=Settings!$A$2,Table1[[#This Row],[EffectiveEndDate]]&gt;=Settings!$A$2),1,0)</f>
        <v>0</v>
      </c>
      <c r="AB604" s="46">
        <f ca="1">IF(AND(Table1[[#This Row],[SubscriptionStart]]&lt;=Settings!$B$2,Table1[[#This Row],[EffectiveEndDate]]&gt;=Settings!$B$2),1,0)</f>
        <v>0</v>
      </c>
      <c r="AC604" s="46">
        <f ca="1">IF(AND(Table1[[#This Row],[SubscriptionStart]]&lt;=Settings!$C$2,Table1[[#This Row],[EffectiveEndDate]]&gt;=Settings!$C$2),1,0)</f>
        <v>0</v>
      </c>
      <c r="AD604" s="46">
        <f ca="1">IF(AND(Table1[[#This Row],[SubscriptionStart]]&lt;=Settings!$D$2,Table1[[#This Row],[EffectiveEndDate]]&gt;=Settings!$D$2),1,0)</f>
        <v>0</v>
      </c>
      <c r="AE604" s="46">
        <f ca="1">IF(AND(Table1[[#This Row],[SubscriptionStart]]&lt;=Settings!$E$2,Table1[[#This Row],[EffectiveEndDate]]&gt;=Settings!$E$2),1,0)</f>
        <v>1</v>
      </c>
      <c r="AF604"/>
      <c r="AG604"/>
      <c r="AH604"/>
      <c r="AI604"/>
      <c r="AJ604"/>
      <c r="AK604"/>
    </row>
    <row r="605" spans="1:37">
      <c r="A605" s="3" t="s">
        <v>282</v>
      </c>
      <c r="B605" s="3">
        <v>26</v>
      </c>
      <c r="C605" s="3" t="s">
        <v>37</v>
      </c>
      <c r="D605" s="5">
        <v>45108</v>
      </c>
      <c r="F605" s="3">
        <f ca="1">TODAY() - Table1[[#This Row],[SubscriptionStart]]</f>
        <v>873</v>
      </c>
      <c r="G605" s="4">
        <v>30</v>
      </c>
      <c r="H605" s="3" t="s">
        <v>29</v>
      </c>
      <c r="I605" s="3" t="s">
        <v>25</v>
      </c>
      <c r="J605" s="7" cm="1">
        <f t="array" ref="J605">_xlfn.IFS(Table1[[#This Row],[Tier]]="Basic",10,Table1[[#This Row],[Tier]]="Standard",18,Table1[[#This Row],[Tier]]="Premium",25)</f>
        <v>25</v>
      </c>
      <c r="K605" s="7" cm="1">
        <f t="array" ref="K60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605" s="7" cm="1">
        <f t="array" ref="L60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697.5</v>
      </c>
      <c r="M605" s="3" t="str" cm="1">
        <f t="array" ref="M60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05" s="3" t="s">
        <v>34</v>
      </c>
      <c r="O605" s="3" t="s">
        <v>43</v>
      </c>
      <c r="Q605" s="3" t="str" cm="1">
        <f t="array" ref="Q605">_xlfn.IFS(Table1[[#This Row],[TotalRevenue]]&lt;100,"Low",Table1[[#This Row],[TotalRevenue]]&lt;300,"Medium",Table1[[#This Row],[TotalRevenue]]&lt;600,"High",TRUE,"Very High")</f>
        <v>Very High</v>
      </c>
      <c r="R605" s="3" t="str" cm="1">
        <f t="array" ref="R60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05" s="3" t="str">
        <f>IF(Table1[[#This Row],[NextBillingDate]]="","Cancelled",IF(Table1[[#This Row],[CancellationDate]]&lt;&gt;"","Cancelled","Active"))</f>
        <v>Active</v>
      </c>
      <c r="T605" s="7" cm="1">
        <f t="array" ref="T60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722.5</v>
      </c>
      <c r="V605" s="5">
        <v>46008</v>
      </c>
      <c r="W605" s="5">
        <v>46008</v>
      </c>
      <c r="X605" s="3">
        <v>29</v>
      </c>
      <c r="Y605" s="5">
        <f ca="1">IF(Table1[[#This Row],[ChurnStatus]]="Cancelled",Table1[[#This Row],[CancellationDate]],TODAY())</f>
        <v>45981</v>
      </c>
      <c r="Z605" s="46">
        <f ca="1">IF(AND(Table1[[#This Row],[SubscriptionStart]] &lt;= TODAY(), Table1[[#This Row],[EffectiveEndDate]] &gt;= TODAY()),1,0)</f>
        <v>1</v>
      </c>
      <c r="AA605" s="46">
        <f ca="1">IF(AND(Table1[[#This Row],[SubscriptionStart]]&lt;=Settings!$A$2,Table1[[#This Row],[EffectiveEndDate]]&gt;=Settings!$A$2),1,0)</f>
        <v>0</v>
      </c>
      <c r="AB605" s="46">
        <f ca="1">IF(AND(Table1[[#This Row],[SubscriptionStart]]&lt;=Settings!$B$2,Table1[[#This Row],[EffectiveEndDate]]&gt;=Settings!$B$2),1,0)</f>
        <v>0</v>
      </c>
      <c r="AC605" s="46">
        <f ca="1">IF(AND(Table1[[#This Row],[SubscriptionStart]]&lt;=Settings!$C$2,Table1[[#This Row],[EffectiveEndDate]]&gt;=Settings!$C$2),1,0)</f>
        <v>0</v>
      </c>
      <c r="AD605" s="46">
        <f ca="1">IF(AND(Table1[[#This Row],[SubscriptionStart]]&lt;=Settings!$D$2,Table1[[#This Row],[EffectiveEndDate]]&gt;=Settings!$D$2),1,0)</f>
        <v>0</v>
      </c>
      <c r="AE605" s="46">
        <f ca="1">IF(AND(Table1[[#This Row],[SubscriptionStart]]&lt;=Settings!$E$2,Table1[[#This Row],[EffectiveEndDate]]&gt;=Settings!$E$2),1,0)</f>
        <v>1</v>
      </c>
      <c r="AF605"/>
      <c r="AG605"/>
      <c r="AH605"/>
      <c r="AI605"/>
      <c r="AJ605"/>
      <c r="AK605"/>
    </row>
    <row r="606" spans="1:37">
      <c r="A606" s="3" t="s">
        <v>156</v>
      </c>
      <c r="B606" s="3">
        <v>49</v>
      </c>
      <c r="C606" s="3" t="s">
        <v>37</v>
      </c>
      <c r="D606" s="5">
        <v>45109</v>
      </c>
      <c r="E606" s="5">
        <v>45469</v>
      </c>
      <c r="F606" s="3">
        <f ca="1">TODAY() - Table1[[#This Row],[SubscriptionStart]]</f>
        <v>872</v>
      </c>
      <c r="G606" s="4">
        <v>12</v>
      </c>
      <c r="H606" s="3" t="s">
        <v>24</v>
      </c>
      <c r="I606" s="3" t="s">
        <v>25</v>
      </c>
      <c r="J606" s="7" cm="1">
        <f t="array" ref="J606">_xlfn.IFS(Table1[[#This Row],[Tier]]="Basic",10,Table1[[#This Row],[Tier]]="Standard",18,Table1[[#This Row],[Tier]]="Premium",25)</f>
        <v>25</v>
      </c>
      <c r="K606" s="7" cm="1">
        <f t="array" ref="K60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606" s="7" cm="1">
        <f t="array" ref="L60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606" s="3" t="str" cm="1">
        <f t="array" ref="M60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06" s="3" t="s">
        <v>34</v>
      </c>
      <c r="O606" s="3" t="s">
        <v>27</v>
      </c>
      <c r="P606" s="3" t="s">
        <v>44</v>
      </c>
      <c r="Q606" s="3" t="str" cm="1">
        <f t="array" ref="Q606">_xlfn.IFS(Table1[[#This Row],[TotalRevenue]]&lt;100,"Low",Table1[[#This Row],[TotalRevenue]]&lt;300,"Medium",Table1[[#This Row],[TotalRevenue]]&lt;600,"High",TRUE,"Very High")</f>
        <v>Medium</v>
      </c>
      <c r="R606" s="3" t="str" cm="1">
        <f t="array" ref="R60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06" s="3" t="str">
        <f>IF(Table1[[#This Row],[NextBillingDate]]="","Cancelled",IF(Table1[[#This Row],[CancellationDate]]&lt;&gt;"","Cancelled","Active"))</f>
        <v>Cancelled</v>
      </c>
      <c r="T606" s="7" cm="1">
        <f t="array" ref="T60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606" s="5">
        <v>45469</v>
      </c>
      <c r="W606" s="5">
        <v>45469</v>
      </c>
      <c r="X606" s="3">
        <v>0</v>
      </c>
      <c r="Y606" s="5">
        <f ca="1">IF(Table1[[#This Row],[ChurnStatus]]="Cancelled",Table1[[#This Row],[CancellationDate]],TODAY())</f>
        <v>45469</v>
      </c>
      <c r="Z606" s="46">
        <f ca="1">IF(AND(Table1[[#This Row],[SubscriptionStart]] &lt;= TODAY(), Table1[[#This Row],[EffectiveEndDate]] &gt;= TODAY()),1,0)</f>
        <v>0</v>
      </c>
      <c r="AA606" s="46">
        <f ca="1">IF(AND(Table1[[#This Row],[SubscriptionStart]]&lt;=Settings!$A$2,Table1[[#This Row],[EffectiveEndDate]]&gt;=Settings!$A$2),1,0)</f>
        <v>0</v>
      </c>
      <c r="AB606" s="46">
        <f ca="1">IF(AND(Table1[[#This Row],[SubscriptionStart]]&lt;=Settings!$B$2,Table1[[#This Row],[EffectiveEndDate]]&gt;=Settings!$B$2),1,0)</f>
        <v>0</v>
      </c>
      <c r="AC606" s="46">
        <f ca="1">IF(AND(Table1[[#This Row],[SubscriptionStart]]&lt;=Settings!$C$2,Table1[[#This Row],[EffectiveEndDate]]&gt;=Settings!$C$2),1,0)</f>
        <v>0</v>
      </c>
      <c r="AD606" s="46">
        <f ca="1">IF(AND(Table1[[#This Row],[SubscriptionStart]]&lt;=Settings!$D$2,Table1[[#This Row],[EffectiveEndDate]]&gt;=Settings!$D$2),1,0)</f>
        <v>0</v>
      </c>
      <c r="AE606" s="46">
        <f ca="1">IF(AND(Table1[[#This Row],[SubscriptionStart]]&lt;=Settings!$E$2,Table1[[#This Row],[EffectiveEndDate]]&gt;=Settings!$E$2),1,0)</f>
        <v>0</v>
      </c>
      <c r="AF606"/>
      <c r="AG606"/>
      <c r="AH606"/>
      <c r="AI606"/>
      <c r="AJ606"/>
      <c r="AK606"/>
    </row>
    <row r="607" spans="1:37">
      <c r="A607" s="3" t="s">
        <v>178</v>
      </c>
      <c r="B607" s="3">
        <v>72</v>
      </c>
      <c r="C607" s="3" t="s">
        <v>37</v>
      </c>
      <c r="D607" s="5">
        <v>45110</v>
      </c>
      <c r="F607" s="3">
        <f ca="1">TODAY() - Table1[[#This Row],[SubscriptionStart]]</f>
        <v>871</v>
      </c>
      <c r="G607" s="4">
        <v>30</v>
      </c>
      <c r="H607" s="3" t="s">
        <v>29</v>
      </c>
      <c r="I607" s="3" t="s">
        <v>25</v>
      </c>
      <c r="J607" s="7" cm="1">
        <f t="array" ref="J607">_xlfn.IFS(Table1[[#This Row],[Tier]]="Basic",10,Table1[[#This Row],[Tier]]="Standard",18,Table1[[#This Row],[Tier]]="Premium",25)</f>
        <v>25</v>
      </c>
      <c r="K607" s="7" cm="1">
        <f t="array" ref="K60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607" s="7" cm="1">
        <f t="array" ref="L60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697.5</v>
      </c>
      <c r="M607" s="3" t="str" cm="1">
        <f t="array" ref="M607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607" s="3" t="s">
        <v>26</v>
      </c>
      <c r="O607" s="3" t="s">
        <v>27</v>
      </c>
      <c r="Q607" s="3" t="str" cm="1">
        <f t="array" ref="Q607">_xlfn.IFS(Table1[[#This Row],[TotalRevenue]]&lt;100,"Low",Table1[[#This Row],[TotalRevenue]]&lt;300,"Medium",Table1[[#This Row],[TotalRevenue]]&lt;600,"High",TRUE,"Very High")</f>
        <v>Very High</v>
      </c>
      <c r="R607" s="3" t="str" cm="1">
        <f t="array" ref="R607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607" s="3" t="str">
        <f>IF(Table1[[#This Row],[NextBillingDate]]="","Cancelled",IF(Table1[[#This Row],[CancellationDate]]&lt;&gt;"","Cancelled","Active"))</f>
        <v>Active</v>
      </c>
      <c r="T607" s="7" cm="1">
        <f t="array" ref="T60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722.5</v>
      </c>
      <c r="V607" s="5">
        <v>46010</v>
      </c>
      <c r="W607" s="5">
        <v>46010</v>
      </c>
      <c r="X607" s="3">
        <v>29</v>
      </c>
      <c r="Y607" s="5">
        <f ca="1">IF(Table1[[#This Row],[ChurnStatus]]="Cancelled",Table1[[#This Row],[CancellationDate]],TODAY())</f>
        <v>45981</v>
      </c>
      <c r="Z607" s="46">
        <f ca="1">IF(AND(Table1[[#This Row],[SubscriptionStart]] &lt;= TODAY(), Table1[[#This Row],[EffectiveEndDate]] &gt;= TODAY()),1,0)</f>
        <v>1</v>
      </c>
      <c r="AA607" s="46">
        <f ca="1">IF(AND(Table1[[#This Row],[SubscriptionStart]]&lt;=Settings!$A$2,Table1[[#This Row],[EffectiveEndDate]]&gt;=Settings!$A$2),1,0)</f>
        <v>0</v>
      </c>
      <c r="AB607" s="46">
        <f ca="1">IF(AND(Table1[[#This Row],[SubscriptionStart]]&lt;=Settings!$B$2,Table1[[#This Row],[EffectiveEndDate]]&gt;=Settings!$B$2),1,0)</f>
        <v>0</v>
      </c>
      <c r="AC607" s="46">
        <f ca="1">IF(AND(Table1[[#This Row],[SubscriptionStart]]&lt;=Settings!$C$2,Table1[[#This Row],[EffectiveEndDate]]&gt;=Settings!$C$2),1,0)</f>
        <v>0</v>
      </c>
      <c r="AD607" s="46">
        <f ca="1">IF(AND(Table1[[#This Row],[SubscriptionStart]]&lt;=Settings!$D$2,Table1[[#This Row],[EffectiveEndDate]]&gt;=Settings!$D$2),1,0)</f>
        <v>0</v>
      </c>
      <c r="AE607" s="46">
        <f ca="1">IF(AND(Table1[[#This Row],[SubscriptionStart]]&lt;=Settings!$E$2,Table1[[#This Row],[EffectiveEndDate]]&gt;=Settings!$E$2),1,0)</f>
        <v>1</v>
      </c>
      <c r="AF607"/>
      <c r="AG607"/>
      <c r="AH607"/>
      <c r="AI607"/>
      <c r="AJ607"/>
      <c r="AK607"/>
    </row>
    <row r="608" spans="1:37">
      <c r="A608" s="3" t="s">
        <v>142</v>
      </c>
      <c r="B608" s="3">
        <v>54</v>
      </c>
      <c r="C608" s="3" t="s">
        <v>23</v>
      </c>
      <c r="D608" s="5">
        <v>45111</v>
      </c>
      <c r="F608" s="3">
        <f ca="1">TODAY() - Table1[[#This Row],[SubscriptionStart]]</f>
        <v>870</v>
      </c>
      <c r="G608" s="4">
        <v>30</v>
      </c>
      <c r="H608" s="3" t="s">
        <v>38</v>
      </c>
      <c r="I608" s="3" t="s">
        <v>30</v>
      </c>
      <c r="J608" s="7" cm="1">
        <f t="array" ref="J608">_xlfn.IFS(Table1[[#This Row],[Tier]]="Basic",10,Table1[[#This Row],[Tier]]="Standard",18,Table1[[#This Row],[Tier]]="Premium",25)</f>
        <v>10</v>
      </c>
      <c r="K608" s="7" cm="1">
        <f t="array" ref="K60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608" s="7" cm="1">
        <f t="array" ref="L60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216</v>
      </c>
      <c r="M608" s="3" t="str" cm="1">
        <f t="array" ref="M60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08" s="3" t="s">
        <v>34</v>
      </c>
      <c r="O608" s="3" t="s">
        <v>40</v>
      </c>
      <c r="Q608" s="3" t="str" cm="1">
        <f t="array" ref="Q608">_xlfn.IFS(Table1[[#This Row],[TotalRevenue]]&lt;100,"Low",Table1[[#This Row],[TotalRevenue]]&lt;300,"Medium",Table1[[#This Row],[TotalRevenue]]&lt;600,"High",TRUE,"Very High")</f>
        <v>Medium</v>
      </c>
      <c r="R608" s="3" t="str" cm="1">
        <f t="array" ref="R60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08" s="3" t="str">
        <f>IF(Table1[[#This Row],[NextBillingDate]]="","Cancelled",IF(Table1[[#This Row],[CancellationDate]]&lt;&gt;"","Cancelled","Active"))</f>
        <v>Active</v>
      </c>
      <c r="T608" s="7" cm="1">
        <f t="array" ref="T60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261</v>
      </c>
      <c r="V608" s="5">
        <v>46011</v>
      </c>
      <c r="W608" s="5">
        <v>46011</v>
      </c>
      <c r="X608" s="3">
        <v>4</v>
      </c>
      <c r="Y608" s="5">
        <f ca="1">IF(Table1[[#This Row],[ChurnStatus]]="Cancelled",Table1[[#This Row],[CancellationDate]],TODAY())</f>
        <v>45981</v>
      </c>
      <c r="Z608" s="46">
        <f ca="1">IF(AND(Table1[[#This Row],[SubscriptionStart]] &lt;= TODAY(), Table1[[#This Row],[EffectiveEndDate]] &gt;= TODAY()),1,0)</f>
        <v>1</v>
      </c>
      <c r="AA608" s="46">
        <f ca="1">IF(AND(Table1[[#This Row],[SubscriptionStart]]&lt;=Settings!$A$2,Table1[[#This Row],[EffectiveEndDate]]&gt;=Settings!$A$2),1,0)</f>
        <v>0</v>
      </c>
      <c r="AB608" s="46">
        <f ca="1">IF(AND(Table1[[#This Row],[SubscriptionStart]]&lt;=Settings!$B$2,Table1[[#This Row],[EffectiveEndDate]]&gt;=Settings!$B$2),1,0)</f>
        <v>0</v>
      </c>
      <c r="AC608" s="46">
        <f ca="1">IF(AND(Table1[[#This Row],[SubscriptionStart]]&lt;=Settings!$C$2,Table1[[#This Row],[EffectiveEndDate]]&gt;=Settings!$C$2),1,0)</f>
        <v>0</v>
      </c>
      <c r="AD608" s="46">
        <f ca="1">IF(AND(Table1[[#This Row],[SubscriptionStart]]&lt;=Settings!$D$2,Table1[[#This Row],[EffectiveEndDate]]&gt;=Settings!$D$2),1,0)</f>
        <v>0</v>
      </c>
      <c r="AE608" s="46">
        <f ca="1">IF(AND(Table1[[#This Row],[SubscriptionStart]]&lt;=Settings!$E$2,Table1[[#This Row],[EffectiveEndDate]]&gt;=Settings!$E$2),1,0)</f>
        <v>1</v>
      </c>
      <c r="AF608"/>
      <c r="AG608"/>
      <c r="AH608"/>
      <c r="AI608"/>
      <c r="AJ608"/>
      <c r="AK608"/>
    </row>
    <row r="609" spans="1:37">
      <c r="A609" s="3" t="s">
        <v>413</v>
      </c>
      <c r="B609" s="3">
        <v>45</v>
      </c>
      <c r="C609" s="3" t="s">
        <v>37</v>
      </c>
      <c r="D609" s="5">
        <v>45112</v>
      </c>
      <c r="E609" s="5">
        <v>45472</v>
      </c>
      <c r="F609" s="3">
        <f ca="1">TODAY() - Table1[[#This Row],[SubscriptionStart]]</f>
        <v>869</v>
      </c>
      <c r="G609" s="4">
        <v>12</v>
      </c>
      <c r="H609" s="3" t="s">
        <v>24</v>
      </c>
      <c r="I609" s="3" t="s">
        <v>25</v>
      </c>
      <c r="J609" s="7" cm="1">
        <f t="array" ref="J609">_xlfn.IFS(Table1[[#This Row],[Tier]]="Basic",10,Table1[[#This Row],[Tier]]="Standard",18,Table1[[#This Row],[Tier]]="Premium",25)</f>
        <v>25</v>
      </c>
      <c r="K609" s="7" cm="1">
        <f t="array" ref="K60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609" s="7" cm="1">
        <f t="array" ref="L60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609" s="3" t="str" cm="1">
        <f t="array" ref="M60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09" s="3" t="s">
        <v>31</v>
      </c>
      <c r="O609" s="3" t="s">
        <v>32</v>
      </c>
      <c r="P609" s="3" t="s">
        <v>41</v>
      </c>
      <c r="Q609" s="3" t="str" cm="1">
        <f t="array" ref="Q609">_xlfn.IFS(Table1[[#This Row],[TotalRevenue]]&lt;100,"Low",Table1[[#This Row],[TotalRevenue]]&lt;300,"Medium",Table1[[#This Row],[TotalRevenue]]&lt;600,"High",TRUE,"Very High")</f>
        <v>Medium</v>
      </c>
      <c r="R609" s="3" t="str" cm="1">
        <f t="array" ref="R60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09" s="3" t="str">
        <f>IF(Table1[[#This Row],[NextBillingDate]]="","Cancelled",IF(Table1[[#This Row],[CancellationDate]]&lt;&gt;"","Cancelled","Active"))</f>
        <v>Cancelled</v>
      </c>
      <c r="T609" s="7" cm="1">
        <f t="array" ref="T60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609" s="5">
        <v>45472</v>
      </c>
      <c r="W609" s="5">
        <v>45472</v>
      </c>
      <c r="X609" s="3">
        <v>0</v>
      </c>
      <c r="Y609" s="5">
        <f ca="1">IF(Table1[[#This Row],[ChurnStatus]]="Cancelled",Table1[[#This Row],[CancellationDate]],TODAY())</f>
        <v>45472</v>
      </c>
      <c r="Z609" s="46">
        <f ca="1">IF(AND(Table1[[#This Row],[SubscriptionStart]] &lt;= TODAY(), Table1[[#This Row],[EffectiveEndDate]] &gt;= TODAY()),1,0)</f>
        <v>0</v>
      </c>
      <c r="AA609" s="46">
        <f ca="1">IF(AND(Table1[[#This Row],[SubscriptionStart]]&lt;=Settings!$A$2,Table1[[#This Row],[EffectiveEndDate]]&gt;=Settings!$A$2),1,0)</f>
        <v>0</v>
      </c>
      <c r="AB609" s="46">
        <f ca="1">IF(AND(Table1[[#This Row],[SubscriptionStart]]&lt;=Settings!$B$2,Table1[[#This Row],[EffectiveEndDate]]&gt;=Settings!$B$2),1,0)</f>
        <v>0</v>
      </c>
      <c r="AC609" s="46">
        <f ca="1">IF(AND(Table1[[#This Row],[SubscriptionStart]]&lt;=Settings!$C$2,Table1[[#This Row],[EffectiveEndDate]]&gt;=Settings!$C$2),1,0)</f>
        <v>0</v>
      </c>
      <c r="AD609" s="46">
        <f ca="1">IF(AND(Table1[[#This Row],[SubscriptionStart]]&lt;=Settings!$D$2,Table1[[#This Row],[EffectiveEndDate]]&gt;=Settings!$D$2),1,0)</f>
        <v>0</v>
      </c>
      <c r="AE609" s="46">
        <f ca="1">IF(AND(Table1[[#This Row],[SubscriptionStart]]&lt;=Settings!$E$2,Table1[[#This Row],[EffectiveEndDate]]&gt;=Settings!$E$2),1,0)</f>
        <v>0</v>
      </c>
      <c r="AF609"/>
      <c r="AG609"/>
      <c r="AH609"/>
      <c r="AI609"/>
      <c r="AJ609"/>
      <c r="AK609"/>
    </row>
    <row r="610" spans="1:37">
      <c r="A610" s="3" t="s">
        <v>243</v>
      </c>
      <c r="B610" s="3">
        <v>49</v>
      </c>
      <c r="C610" s="3" t="s">
        <v>37</v>
      </c>
      <c r="D610" s="5">
        <v>45114</v>
      </c>
      <c r="F610" s="3">
        <f ca="1">TODAY() - Table1[[#This Row],[SubscriptionStart]]</f>
        <v>867</v>
      </c>
      <c r="G610" s="4">
        <v>29</v>
      </c>
      <c r="H610" s="3" t="s">
        <v>29</v>
      </c>
      <c r="I610" s="3" t="s">
        <v>30</v>
      </c>
      <c r="J610" s="7" cm="1">
        <f t="array" ref="J610">_xlfn.IFS(Table1[[#This Row],[Tier]]="Basic",10,Table1[[#This Row],[Tier]]="Standard",18,Table1[[#This Row],[Tier]]="Premium",25)</f>
        <v>10</v>
      </c>
      <c r="K610" s="7" cm="1">
        <f t="array" ref="K61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610" s="7" cm="1">
        <f t="array" ref="L61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269</v>
      </c>
      <c r="M610" s="3" t="str" cm="1">
        <f t="array" ref="M61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10" s="3" t="s">
        <v>52</v>
      </c>
      <c r="O610" s="3" t="s">
        <v>40</v>
      </c>
      <c r="Q610" s="3" t="str" cm="1">
        <f t="array" ref="Q610">_xlfn.IFS(Table1[[#This Row],[TotalRevenue]]&lt;100,"Low",Table1[[#This Row],[TotalRevenue]]&lt;300,"Medium",Table1[[#This Row],[TotalRevenue]]&lt;600,"High",TRUE,"Very High")</f>
        <v>Medium</v>
      </c>
      <c r="R610" s="3" t="str" cm="1">
        <f t="array" ref="R61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10" s="3" t="str">
        <f>IF(Table1[[#This Row],[NextBillingDate]]="","Cancelled",IF(Table1[[#This Row],[CancellationDate]]&lt;&gt;"","Cancelled","Active"))</f>
        <v>Active</v>
      </c>
      <c r="T610" s="7" cm="1">
        <f t="array" ref="T61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279</v>
      </c>
      <c r="V610" s="5">
        <v>45984</v>
      </c>
      <c r="W610" s="5">
        <v>45984</v>
      </c>
      <c r="X610" s="3">
        <v>28</v>
      </c>
      <c r="Y610" s="5">
        <f ca="1">IF(Table1[[#This Row],[ChurnStatus]]="Cancelled",Table1[[#This Row],[CancellationDate]],TODAY())</f>
        <v>45981</v>
      </c>
      <c r="Z610" s="46">
        <f ca="1">IF(AND(Table1[[#This Row],[SubscriptionStart]] &lt;= TODAY(), Table1[[#This Row],[EffectiveEndDate]] &gt;= TODAY()),1,0)</f>
        <v>1</v>
      </c>
      <c r="AA610" s="46">
        <f ca="1">IF(AND(Table1[[#This Row],[SubscriptionStart]]&lt;=Settings!$A$2,Table1[[#This Row],[EffectiveEndDate]]&gt;=Settings!$A$2),1,0)</f>
        <v>0</v>
      </c>
      <c r="AB610" s="46">
        <f ca="1">IF(AND(Table1[[#This Row],[SubscriptionStart]]&lt;=Settings!$B$2,Table1[[#This Row],[EffectiveEndDate]]&gt;=Settings!$B$2),1,0)</f>
        <v>0</v>
      </c>
      <c r="AC610" s="46">
        <f ca="1">IF(AND(Table1[[#This Row],[SubscriptionStart]]&lt;=Settings!$C$2,Table1[[#This Row],[EffectiveEndDate]]&gt;=Settings!$C$2),1,0)</f>
        <v>0</v>
      </c>
      <c r="AD610" s="46">
        <f ca="1">IF(AND(Table1[[#This Row],[SubscriptionStart]]&lt;=Settings!$D$2,Table1[[#This Row],[EffectiveEndDate]]&gt;=Settings!$D$2),1,0)</f>
        <v>0</v>
      </c>
      <c r="AE610" s="46">
        <f ca="1">IF(AND(Table1[[#This Row],[SubscriptionStart]]&lt;=Settings!$E$2,Table1[[#This Row],[EffectiveEndDate]]&gt;=Settings!$E$2),1,0)</f>
        <v>1</v>
      </c>
      <c r="AF610"/>
      <c r="AG610"/>
      <c r="AH610"/>
      <c r="AI610"/>
      <c r="AJ610"/>
      <c r="AK610"/>
    </row>
    <row r="611" spans="1:37">
      <c r="A611" s="3" t="s">
        <v>739</v>
      </c>
      <c r="B611" s="3">
        <v>27</v>
      </c>
      <c r="C611" s="3" t="s">
        <v>23</v>
      </c>
      <c r="D611" s="5">
        <v>45115</v>
      </c>
      <c r="E611" s="5">
        <v>45145</v>
      </c>
      <c r="F611" s="3">
        <f ca="1">TODAY() - Table1[[#This Row],[SubscriptionStart]]</f>
        <v>866</v>
      </c>
      <c r="G611" s="4">
        <v>1</v>
      </c>
      <c r="H611" s="3" t="s">
        <v>29</v>
      </c>
      <c r="I611" s="3" t="s">
        <v>39</v>
      </c>
      <c r="J611" s="7" cm="1">
        <f t="array" ref="J611">_xlfn.IFS(Table1[[#This Row],[Tier]]="Basic",10,Table1[[#This Row],[Tier]]="Standard",18,Table1[[#This Row],[Tier]]="Premium",25)</f>
        <v>18</v>
      </c>
      <c r="K611" s="7" cm="1">
        <f t="array" ref="K61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611" s="7" cm="1">
        <f t="array" ref="L61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611" s="3" t="str" cm="1">
        <f t="array" ref="M61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11" s="3" t="s">
        <v>31</v>
      </c>
      <c r="O611" s="3" t="s">
        <v>40</v>
      </c>
      <c r="P611" s="3" t="s">
        <v>47</v>
      </c>
      <c r="Q611" s="3" t="str" cm="1">
        <f t="array" ref="Q611">_xlfn.IFS(Table1[[#This Row],[TotalRevenue]]&lt;100,"Low",Table1[[#This Row],[TotalRevenue]]&lt;300,"Medium",Table1[[#This Row],[TotalRevenue]]&lt;600,"High",TRUE,"Very High")</f>
        <v>Low</v>
      </c>
      <c r="R611" s="3" t="str" cm="1">
        <f t="array" ref="R61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11" s="3" t="str">
        <f>IF(Table1[[#This Row],[NextBillingDate]]="","Cancelled",IF(Table1[[#This Row],[CancellationDate]]&lt;&gt;"","Cancelled","Active"))</f>
        <v>Cancelled</v>
      </c>
      <c r="T611" s="7" cm="1">
        <f t="array" ref="T61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611" s="5">
        <v>45145</v>
      </c>
      <c r="W611" s="5">
        <v>45145</v>
      </c>
      <c r="X611" s="3">
        <v>0</v>
      </c>
      <c r="Y611" s="5">
        <f ca="1">IF(Table1[[#This Row],[ChurnStatus]]="Cancelled",Table1[[#This Row],[CancellationDate]],TODAY())</f>
        <v>45145</v>
      </c>
      <c r="Z611" s="46">
        <f ca="1">IF(AND(Table1[[#This Row],[SubscriptionStart]] &lt;= TODAY(), Table1[[#This Row],[EffectiveEndDate]] &gt;= TODAY()),1,0)</f>
        <v>0</v>
      </c>
      <c r="AA611" s="46">
        <f ca="1">IF(AND(Table1[[#This Row],[SubscriptionStart]]&lt;=Settings!$A$2,Table1[[#This Row],[EffectiveEndDate]]&gt;=Settings!$A$2),1,0)</f>
        <v>0</v>
      </c>
      <c r="AB611" s="46">
        <f ca="1">IF(AND(Table1[[#This Row],[SubscriptionStart]]&lt;=Settings!$B$2,Table1[[#This Row],[EffectiveEndDate]]&gt;=Settings!$B$2),1,0)</f>
        <v>0</v>
      </c>
      <c r="AC611" s="46">
        <f ca="1">IF(AND(Table1[[#This Row],[SubscriptionStart]]&lt;=Settings!$C$2,Table1[[#This Row],[EffectiveEndDate]]&gt;=Settings!$C$2),1,0)</f>
        <v>0</v>
      </c>
      <c r="AD611" s="46">
        <f ca="1">IF(AND(Table1[[#This Row],[SubscriptionStart]]&lt;=Settings!$D$2,Table1[[#This Row],[EffectiveEndDate]]&gt;=Settings!$D$2),1,0)</f>
        <v>0</v>
      </c>
      <c r="AE611" s="46">
        <f ca="1">IF(AND(Table1[[#This Row],[SubscriptionStart]]&lt;=Settings!$E$2,Table1[[#This Row],[EffectiveEndDate]]&gt;=Settings!$E$2),1,0)</f>
        <v>0</v>
      </c>
      <c r="AF611"/>
      <c r="AG611"/>
      <c r="AH611"/>
      <c r="AI611"/>
      <c r="AJ611"/>
      <c r="AK611"/>
    </row>
    <row r="612" spans="1:37">
      <c r="A612" s="3" t="s">
        <v>81</v>
      </c>
      <c r="B612" s="3">
        <v>45</v>
      </c>
      <c r="C612" s="3" t="s">
        <v>37</v>
      </c>
      <c r="D612" s="5">
        <v>45116</v>
      </c>
      <c r="E612" s="5">
        <v>45476</v>
      </c>
      <c r="F612" s="3">
        <f ca="1">TODAY() - Table1[[#This Row],[SubscriptionStart]]</f>
        <v>865</v>
      </c>
      <c r="G612" s="4">
        <v>12</v>
      </c>
      <c r="H612" s="3" t="s">
        <v>24</v>
      </c>
      <c r="I612" s="3" t="s">
        <v>25</v>
      </c>
      <c r="J612" s="7" cm="1">
        <f t="array" ref="J612">_xlfn.IFS(Table1[[#This Row],[Tier]]="Basic",10,Table1[[#This Row],[Tier]]="Standard",18,Table1[[#This Row],[Tier]]="Premium",25)</f>
        <v>25</v>
      </c>
      <c r="K612" s="7" cm="1">
        <f t="array" ref="K61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612" s="7" cm="1">
        <f t="array" ref="L61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612" s="3" t="str" cm="1">
        <f t="array" ref="M61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12" s="3" t="s">
        <v>26</v>
      </c>
      <c r="O612" s="3" t="s">
        <v>40</v>
      </c>
      <c r="P612" s="3" t="s">
        <v>41</v>
      </c>
      <c r="Q612" s="3" t="str" cm="1">
        <f t="array" ref="Q612">_xlfn.IFS(Table1[[#This Row],[TotalRevenue]]&lt;100,"Low",Table1[[#This Row],[TotalRevenue]]&lt;300,"Medium",Table1[[#This Row],[TotalRevenue]]&lt;600,"High",TRUE,"Very High")</f>
        <v>Medium</v>
      </c>
      <c r="R612" s="3" t="str" cm="1">
        <f t="array" ref="R61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12" s="3" t="str">
        <f>IF(Table1[[#This Row],[NextBillingDate]]="","Cancelled",IF(Table1[[#This Row],[CancellationDate]]&lt;&gt;"","Cancelled","Active"))</f>
        <v>Cancelled</v>
      </c>
      <c r="T612" s="7" cm="1">
        <f t="array" ref="T61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612" s="5">
        <v>45476</v>
      </c>
      <c r="W612" s="5">
        <v>45476</v>
      </c>
      <c r="X612" s="3">
        <v>0</v>
      </c>
      <c r="Y612" s="5">
        <f ca="1">IF(Table1[[#This Row],[ChurnStatus]]="Cancelled",Table1[[#This Row],[CancellationDate]],TODAY())</f>
        <v>45476</v>
      </c>
      <c r="Z612" s="46">
        <f ca="1">IF(AND(Table1[[#This Row],[SubscriptionStart]] &lt;= TODAY(), Table1[[#This Row],[EffectiveEndDate]] &gt;= TODAY()),1,0)</f>
        <v>0</v>
      </c>
      <c r="AA612" s="46">
        <f ca="1">IF(AND(Table1[[#This Row],[SubscriptionStart]]&lt;=Settings!$A$2,Table1[[#This Row],[EffectiveEndDate]]&gt;=Settings!$A$2),1,0)</f>
        <v>0</v>
      </c>
      <c r="AB612" s="46">
        <f ca="1">IF(AND(Table1[[#This Row],[SubscriptionStart]]&lt;=Settings!$B$2,Table1[[#This Row],[EffectiveEndDate]]&gt;=Settings!$B$2),1,0)</f>
        <v>0</v>
      </c>
      <c r="AC612" s="46">
        <f ca="1">IF(AND(Table1[[#This Row],[SubscriptionStart]]&lt;=Settings!$C$2,Table1[[#This Row],[EffectiveEndDate]]&gt;=Settings!$C$2),1,0)</f>
        <v>0</v>
      </c>
      <c r="AD612" s="46">
        <f ca="1">IF(AND(Table1[[#This Row],[SubscriptionStart]]&lt;=Settings!$D$2,Table1[[#This Row],[EffectiveEndDate]]&gt;=Settings!$D$2),1,0)</f>
        <v>0</v>
      </c>
      <c r="AE612" s="46">
        <f ca="1">IF(AND(Table1[[#This Row],[SubscriptionStart]]&lt;=Settings!$E$2,Table1[[#This Row],[EffectiveEndDate]]&gt;=Settings!$E$2),1,0)</f>
        <v>0</v>
      </c>
      <c r="AF612"/>
      <c r="AG612"/>
      <c r="AH612"/>
      <c r="AI612"/>
      <c r="AJ612"/>
      <c r="AK612"/>
    </row>
    <row r="613" spans="1:37">
      <c r="A613" s="3" t="s">
        <v>483</v>
      </c>
      <c r="B613" s="3">
        <v>29</v>
      </c>
      <c r="C613" s="3" t="s">
        <v>23</v>
      </c>
      <c r="D613" s="5">
        <v>45116</v>
      </c>
      <c r="E613" s="5">
        <v>45476</v>
      </c>
      <c r="F613" s="3">
        <f ca="1">TODAY() - Table1[[#This Row],[SubscriptionStart]]</f>
        <v>865</v>
      </c>
      <c r="G613" s="4">
        <v>12</v>
      </c>
      <c r="H613" s="3" t="s">
        <v>24</v>
      </c>
      <c r="I613" s="3" t="s">
        <v>39</v>
      </c>
      <c r="J613" s="7" cm="1">
        <f t="array" ref="J613">_xlfn.IFS(Table1[[#This Row],[Tier]]="Basic",10,Table1[[#This Row],[Tier]]="Standard",18,Table1[[#This Row],[Tier]]="Premium",25)</f>
        <v>18</v>
      </c>
      <c r="K613" s="7" cm="1">
        <f t="array" ref="K61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613" s="7" cm="1">
        <f t="array" ref="L61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613" s="3" t="str" cm="1">
        <f t="array" ref="M61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13" s="3" t="s">
        <v>31</v>
      </c>
      <c r="O613" s="3" t="s">
        <v>32</v>
      </c>
      <c r="P613" s="3" t="s">
        <v>47</v>
      </c>
      <c r="Q613" s="3" t="str" cm="1">
        <f t="array" ref="Q613">_xlfn.IFS(Table1[[#This Row],[TotalRevenue]]&lt;100,"Low",Table1[[#This Row],[TotalRevenue]]&lt;300,"Medium",Table1[[#This Row],[TotalRevenue]]&lt;600,"High",TRUE,"Very High")</f>
        <v>Medium</v>
      </c>
      <c r="R613" s="3" t="str" cm="1">
        <f t="array" ref="R61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13" s="3" t="str">
        <f>IF(Table1[[#This Row],[NextBillingDate]]="","Cancelled",IF(Table1[[#This Row],[CancellationDate]]&lt;&gt;"","Cancelled","Active"))</f>
        <v>Cancelled</v>
      </c>
      <c r="T613" s="7" cm="1">
        <f t="array" ref="T61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613" s="5">
        <v>45476</v>
      </c>
      <c r="W613" s="5">
        <v>45476</v>
      </c>
      <c r="X613" s="3">
        <v>0</v>
      </c>
      <c r="Y613" s="5">
        <f ca="1">IF(Table1[[#This Row],[ChurnStatus]]="Cancelled",Table1[[#This Row],[CancellationDate]],TODAY())</f>
        <v>45476</v>
      </c>
      <c r="Z613" s="46">
        <f ca="1">IF(AND(Table1[[#This Row],[SubscriptionStart]] &lt;= TODAY(), Table1[[#This Row],[EffectiveEndDate]] &gt;= TODAY()),1,0)</f>
        <v>0</v>
      </c>
      <c r="AA613" s="46">
        <f ca="1">IF(AND(Table1[[#This Row],[SubscriptionStart]]&lt;=Settings!$A$2,Table1[[#This Row],[EffectiveEndDate]]&gt;=Settings!$A$2),1,0)</f>
        <v>0</v>
      </c>
      <c r="AB613" s="46">
        <f ca="1">IF(AND(Table1[[#This Row],[SubscriptionStart]]&lt;=Settings!$B$2,Table1[[#This Row],[EffectiveEndDate]]&gt;=Settings!$B$2),1,0)</f>
        <v>0</v>
      </c>
      <c r="AC613" s="46">
        <f ca="1">IF(AND(Table1[[#This Row],[SubscriptionStart]]&lt;=Settings!$C$2,Table1[[#This Row],[EffectiveEndDate]]&gt;=Settings!$C$2),1,0)</f>
        <v>0</v>
      </c>
      <c r="AD613" s="46">
        <f ca="1">IF(AND(Table1[[#This Row],[SubscriptionStart]]&lt;=Settings!$D$2,Table1[[#This Row],[EffectiveEndDate]]&gt;=Settings!$D$2),1,0)</f>
        <v>0</v>
      </c>
      <c r="AE613" s="46">
        <f ca="1">IF(AND(Table1[[#This Row],[SubscriptionStart]]&lt;=Settings!$E$2,Table1[[#This Row],[EffectiveEndDate]]&gt;=Settings!$E$2),1,0)</f>
        <v>0</v>
      </c>
      <c r="AF613"/>
      <c r="AG613"/>
      <c r="AH613"/>
      <c r="AI613"/>
      <c r="AJ613"/>
      <c r="AK613"/>
    </row>
    <row r="614" spans="1:37">
      <c r="A614" s="3" t="s">
        <v>349</v>
      </c>
      <c r="B614" s="3">
        <v>25</v>
      </c>
      <c r="C614" s="3" t="s">
        <v>23</v>
      </c>
      <c r="D614" s="5">
        <v>45116</v>
      </c>
      <c r="F614" s="3">
        <f ca="1">TODAY() - Table1[[#This Row],[SubscriptionStart]]</f>
        <v>865</v>
      </c>
      <c r="G614" s="4">
        <v>30</v>
      </c>
      <c r="H614" s="3" t="s">
        <v>38</v>
      </c>
      <c r="I614" s="3" t="s">
        <v>30</v>
      </c>
      <c r="J614" s="7" cm="1">
        <f t="array" ref="J614">_xlfn.IFS(Table1[[#This Row],[Tier]]="Basic",10,Table1[[#This Row],[Tier]]="Standard",18,Table1[[#This Row],[Tier]]="Premium",25)</f>
        <v>10</v>
      </c>
      <c r="K614" s="7" cm="1">
        <f t="array" ref="K61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614" s="7" cm="1">
        <f t="array" ref="L61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216</v>
      </c>
      <c r="M614" s="3" t="str" cm="1">
        <f t="array" ref="M614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614" s="3" t="s">
        <v>34</v>
      </c>
      <c r="O614" s="3" t="s">
        <v>40</v>
      </c>
      <c r="Q614" s="3" t="str" cm="1">
        <f t="array" ref="Q614">_xlfn.IFS(Table1[[#This Row],[TotalRevenue]]&lt;100,"Low",Table1[[#This Row],[TotalRevenue]]&lt;300,"Medium",Table1[[#This Row],[TotalRevenue]]&lt;600,"High",TRUE,"Very High")</f>
        <v>Medium</v>
      </c>
      <c r="R614" s="3" t="str" cm="1">
        <f t="array" ref="R614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614" s="3" t="str">
        <f>IF(Table1[[#This Row],[NextBillingDate]]="","Cancelled",IF(Table1[[#This Row],[CancellationDate]]&lt;&gt;"","Cancelled","Active"))</f>
        <v>Active</v>
      </c>
      <c r="T614" s="7" cm="1">
        <f t="array" ref="T61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261</v>
      </c>
      <c r="V614" s="5">
        <v>46016</v>
      </c>
      <c r="W614" s="5">
        <v>46016</v>
      </c>
      <c r="X614" s="3">
        <v>4</v>
      </c>
      <c r="Y614" s="5">
        <f ca="1">IF(Table1[[#This Row],[ChurnStatus]]="Cancelled",Table1[[#This Row],[CancellationDate]],TODAY())</f>
        <v>45981</v>
      </c>
      <c r="Z614" s="46">
        <f ca="1">IF(AND(Table1[[#This Row],[SubscriptionStart]] &lt;= TODAY(), Table1[[#This Row],[EffectiveEndDate]] &gt;= TODAY()),1,0)</f>
        <v>1</v>
      </c>
      <c r="AA614" s="46">
        <f ca="1">IF(AND(Table1[[#This Row],[SubscriptionStart]]&lt;=Settings!$A$2,Table1[[#This Row],[EffectiveEndDate]]&gt;=Settings!$A$2),1,0)</f>
        <v>0</v>
      </c>
      <c r="AB614" s="46">
        <f ca="1">IF(AND(Table1[[#This Row],[SubscriptionStart]]&lt;=Settings!$B$2,Table1[[#This Row],[EffectiveEndDate]]&gt;=Settings!$B$2),1,0)</f>
        <v>0</v>
      </c>
      <c r="AC614" s="46">
        <f ca="1">IF(AND(Table1[[#This Row],[SubscriptionStart]]&lt;=Settings!$C$2,Table1[[#This Row],[EffectiveEndDate]]&gt;=Settings!$C$2),1,0)</f>
        <v>0</v>
      </c>
      <c r="AD614" s="46">
        <f ca="1">IF(AND(Table1[[#This Row],[SubscriptionStart]]&lt;=Settings!$D$2,Table1[[#This Row],[EffectiveEndDate]]&gt;=Settings!$D$2),1,0)</f>
        <v>0</v>
      </c>
      <c r="AE614" s="46">
        <f ca="1">IF(AND(Table1[[#This Row],[SubscriptionStart]]&lt;=Settings!$E$2,Table1[[#This Row],[EffectiveEndDate]]&gt;=Settings!$E$2),1,0)</f>
        <v>1</v>
      </c>
      <c r="AF614"/>
      <c r="AG614"/>
      <c r="AH614"/>
      <c r="AI614"/>
      <c r="AJ614"/>
      <c r="AK614"/>
    </row>
    <row r="615" spans="1:37">
      <c r="A615" s="3" t="s">
        <v>114</v>
      </c>
      <c r="B615" s="3">
        <v>53</v>
      </c>
      <c r="C615" s="3" t="s">
        <v>23</v>
      </c>
      <c r="D615" s="5">
        <v>45117</v>
      </c>
      <c r="E615" s="5">
        <v>45477</v>
      </c>
      <c r="F615" s="3">
        <f ca="1">TODAY() - Table1[[#This Row],[SubscriptionStart]]</f>
        <v>864</v>
      </c>
      <c r="G615" s="4">
        <v>12</v>
      </c>
      <c r="H615" s="3" t="s">
        <v>24</v>
      </c>
      <c r="I615" s="3" t="s">
        <v>25</v>
      </c>
      <c r="J615" s="7" cm="1">
        <f t="array" ref="J615">_xlfn.IFS(Table1[[#This Row],[Tier]]="Basic",10,Table1[[#This Row],[Tier]]="Standard",18,Table1[[#This Row],[Tier]]="Premium",25)</f>
        <v>25</v>
      </c>
      <c r="K615" s="7" cm="1">
        <f t="array" ref="K61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615" s="7" cm="1">
        <f t="array" ref="L61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615" s="3" t="str" cm="1">
        <f t="array" ref="M615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15" s="3" t="s">
        <v>52</v>
      </c>
      <c r="O615" s="3" t="s">
        <v>32</v>
      </c>
      <c r="P615" s="3" t="s">
        <v>35</v>
      </c>
      <c r="Q615" s="3" t="str" cm="1">
        <f t="array" ref="Q615">_xlfn.IFS(Table1[[#This Row],[TotalRevenue]]&lt;100,"Low",Table1[[#This Row],[TotalRevenue]]&lt;300,"Medium",Table1[[#This Row],[TotalRevenue]]&lt;600,"High",TRUE,"Very High")</f>
        <v>Medium</v>
      </c>
      <c r="R615" s="3" t="str" cm="1">
        <f t="array" ref="R61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15" s="3" t="str">
        <f>IF(Table1[[#This Row],[NextBillingDate]]="","Cancelled",IF(Table1[[#This Row],[CancellationDate]]&lt;&gt;"","Cancelled","Active"))</f>
        <v>Cancelled</v>
      </c>
      <c r="T615" s="7" cm="1">
        <f t="array" ref="T61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615" s="5">
        <v>45477</v>
      </c>
      <c r="W615" s="5">
        <v>45477</v>
      </c>
      <c r="X615" s="3">
        <v>0</v>
      </c>
      <c r="Y615" s="5">
        <f ca="1">IF(Table1[[#This Row],[ChurnStatus]]="Cancelled",Table1[[#This Row],[CancellationDate]],TODAY())</f>
        <v>45477</v>
      </c>
      <c r="Z615" s="46">
        <f ca="1">IF(AND(Table1[[#This Row],[SubscriptionStart]] &lt;= TODAY(), Table1[[#This Row],[EffectiveEndDate]] &gt;= TODAY()),1,0)</f>
        <v>0</v>
      </c>
      <c r="AA615" s="46">
        <f ca="1">IF(AND(Table1[[#This Row],[SubscriptionStart]]&lt;=Settings!$A$2,Table1[[#This Row],[EffectiveEndDate]]&gt;=Settings!$A$2),1,0)</f>
        <v>0</v>
      </c>
      <c r="AB615" s="46">
        <f ca="1">IF(AND(Table1[[#This Row],[SubscriptionStart]]&lt;=Settings!$B$2,Table1[[#This Row],[EffectiveEndDate]]&gt;=Settings!$B$2),1,0)</f>
        <v>0</v>
      </c>
      <c r="AC615" s="46">
        <f ca="1">IF(AND(Table1[[#This Row],[SubscriptionStart]]&lt;=Settings!$C$2,Table1[[#This Row],[EffectiveEndDate]]&gt;=Settings!$C$2),1,0)</f>
        <v>0</v>
      </c>
      <c r="AD615" s="46">
        <f ca="1">IF(AND(Table1[[#This Row],[SubscriptionStart]]&lt;=Settings!$D$2,Table1[[#This Row],[EffectiveEndDate]]&gt;=Settings!$D$2),1,0)</f>
        <v>0</v>
      </c>
      <c r="AE615" s="46">
        <f ca="1">IF(AND(Table1[[#This Row],[SubscriptionStart]]&lt;=Settings!$E$2,Table1[[#This Row],[EffectiveEndDate]]&gt;=Settings!$E$2),1,0)</f>
        <v>0</v>
      </c>
      <c r="AF615"/>
      <c r="AG615"/>
      <c r="AH615"/>
      <c r="AI615"/>
      <c r="AJ615"/>
      <c r="AK615"/>
    </row>
    <row r="616" spans="1:37">
      <c r="A616" s="3" t="s">
        <v>542</v>
      </c>
      <c r="B616" s="3">
        <v>26</v>
      </c>
      <c r="C616" s="3" t="s">
        <v>23</v>
      </c>
      <c r="D616" s="5">
        <v>45117</v>
      </c>
      <c r="E616" s="5">
        <v>45477</v>
      </c>
      <c r="F616" s="3">
        <f ca="1">TODAY() - Table1[[#This Row],[SubscriptionStart]]</f>
        <v>864</v>
      </c>
      <c r="G616" s="4">
        <v>12</v>
      </c>
      <c r="H616" s="3" t="s">
        <v>24</v>
      </c>
      <c r="I616" s="3" t="s">
        <v>39</v>
      </c>
      <c r="J616" s="7" cm="1">
        <f t="array" ref="J616">_xlfn.IFS(Table1[[#This Row],[Tier]]="Basic",10,Table1[[#This Row],[Tier]]="Standard",18,Table1[[#This Row],[Tier]]="Premium",25)</f>
        <v>18</v>
      </c>
      <c r="K616" s="7" cm="1">
        <f t="array" ref="K61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616" s="7" cm="1">
        <f t="array" ref="L61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616" s="3" t="str" cm="1">
        <f t="array" ref="M61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16" s="3" t="s">
        <v>31</v>
      </c>
      <c r="O616" s="3" t="s">
        <v>27</v>
      </c>
      <c r="P616" s="3" t="s">
        <v>41</v>
      </c>
      <c r="Q616" s="3" t="str" cm="1">
        <f t="array" ref="Q616">_xlfn.IFS(Table1[[#This Row],[TotalRevenue]]&lt;100,"Low",Table1[[#This Row],[TotalRevenue]]&lt;300,"Medium",Table1[[#This Row],[TotalRevenue]]&lt;600,"High",TRUE,"Very High")</f>
        <v>Medium</v>
      </c>
      <c r="R616" s="3" t="str" cm="1">
        <f t="array" ref="R61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16" s="3" t="str">
        <f>IF(Table1[[#This Row],[NextBillingDate]]="","Cancelled",IF(Table1[[#This Row],[CancellationDate]]&lt;&gt;"","Cancelled","Active"))</f>
        <v>Cancelled</v>
      </c>
      <c r="T616" s="7" cm="1">
        <f t="array" ref="T61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616" s="5">
        <v>45477</v>
      </c>
      <c r="W616" s="5">
        <v>45477</v>
      </c>
      <c r="X616" s="3">
        <v>0</v>
      </c>
      <c r="Y616" s="5">
        <f ca="1">IF(Table1[[#This Row],[ChurnStatus]]="Cancelled",Table1[[#This Row],[CancellationDate]],TODAY())</f>
        <v>45477</v>
      </c>
      <c r="Z616" s="46">
        <f ca="1">IF(AND(Table1[[#This Row],[SubscriptionStart]] &lt;= TODAY(), Table1[[#This Row],[EffectiveEndDate]] &gt;= TODAY()),1,0)</f>
        <v>0</v>
      </c>
      <c r="AA616" s="46">
        <f ca="1">IF(AND(Table1[[#This Row],[SubscriptionStart]]&lt;=Settings!$A$2,Table1[[#This Row],[EffectiveEndDate]]&gt;=Settings!$A$2),1,0)</f>
        <v>0</v>
      </c>
      <c r="AB616" s="46">
        <f ca="1">IF(AND(Table1[[#This Row],[SubscriptionStart]]&lt;=Settings!$B$2,Table1[[#This Row],[EffectiveEndDate]]&gt;=Settings!$B$2),1,0)</f>
        <v>0</v>
      </c>
      <c r="AC616" s="46">
        <f ca="1">IF(AND(Table1[[#This Row],[SubscriptionStart]]&lt;=Settings!$C$2,Table1[[#This Row],[EffectiveEndDate]]&gt;=Settings!$C$2),1,0)</f>
        <v>0</v>
      </c>
      <c r="AD616" s="46">
        <f ca="1">IF(AND(Table1[[#This Row],[SubscriptionStart]]&lt;=Settings!$D$2,Table1[[#This Row],[EffectiveEndDate]]&gt;=Settings!$D$2),1,0)</f>
        <v>0</v>
      </c>
      <c r="AE616" s="46">
        <f ca="1">IF(AND(Table1[[#This Row],[SubscriptionStart]]&lt;=Settings!$E$2,Table1[[#This Row],[EffectiveEndDate]]&gt;=Settings!$E$2),1,0)</f>
        <v>0</v>
      </c>
      <c r="AF616"/>
      <c r="AG616"/>
      <c r="AH616"/>
      <c r="AI616"/>
      <c r="AJ616"/>
      <c r="AK616"/>
    </row>
    <row r="617" spans="1:37">
      <c r="A617" s="3" t="s">
        <v>606</v>
      </c>
      <c r="B617" s="3">
        <v>67</v>
      </c>
      <c r="C617" s="3" t="s">
        <v>23</v>
      </c>
      <c r="D617" s="5">
        <v>45118</v>
      </c>
      <c r="E617" s="5">
        <v>45478</v>
      </c>
      <c r="F617" s="3">
        <f ca="1">TODAY() - Table1[[#This Row],[SubscriptionStart]]</f>
        <v>863</v>
      </c>
      <c r="G617" s="4">
        <v>12</v>
      </c>
      <c r="H617" s="3" t="s">
        <v>24</v>
      </c>
      <c r="I617" s="3" t="s">
        <v>25</v>
      </c>
      <c r="J617" s="7" cm="1">
        <f t="array" ref="J617">_xlfn.IFS(Table1[[#This Row],[Tier]]="Basic",10,Table1[[#This Row],[Tier]]="Standard",18,Table1[[#This Row],[Tier]]="Premium",25)</f>
        <v>25</v>
      </c>
      <c r="K617" s="7" cm="1">
        <f t="array" ref="K61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617" s="7" cm="1">
        <f t="array" ref="L61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617" s="3" t="str" cm="1">
        <f t="array" ref="M617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17" s="3" t="s">
        <v>52</v>
      </c>
      <c r="O617" s="3" t="s">
        <v>40</v>
      </c>
      <c r="P617" s="3" t="s">
        <v>35</v>
      </c>
      <c r="Q617" s="3" t="str" cm="1">
        <f t="array" ref="Q617">_xlfn.IFS(Table1[[#This Row],[TotalRevenue]]&lt;100,"Low",Table1[[#This Row],[TotalRevenue]]&lt;300,"Medium",Table1[[#This Row],[TotalRevenue]]&lt;600,"High",TRUE,"Very High")</f>
        <v>Medium</v>
      </c>
      <c r="R617" s="3" t="str" cm="1">
        <f t="array" ref="R617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617" s="3" t="str">
        <f>IF(Table1[[#This Row],[NextBillingDate]]="","Cancelled",IF(Table1[[#This Row],[CancellationDate]]&lt;&gt;"","Cancelled","Active"))</f>
        <v>Cancelled</v>
      </c>
      <c r="T617" s="7" cm="1">
        <f t="array" ref="T61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617" s="5">
        <v>45478</v>
      </c>
      <c r="W617" s="5">
        <v>45478</v>
      </c>
      <c r="X617" s="3">
        <v>0</v>
      </c>
      <c r="Y617" s="5">
        <f ca="1">IF(Table1[[#This Row],[ChurnStatus]]="Cancelled",Table1[[#This Row],[CancellationDate]],TODAY())</f>
        <v>45478</v>
      </c>
      <c r="Z617" s="46">
        <f ca="1">IF(AND(Table1[[#This Row],[SubscriptionStart]] &lt;= TODAY(), Table1[[#This Row],[EffectiveEndDate]] &gt;= TODAY()),1,0)</f>
        <v>0</v>
      </c>
      <c r="AA617" s="46">
        <f ca="1">IF(AND(Table1[[#This Row],[SubscriptionStart]]&lt;=Settings!$A$2,Table1[[#This Row],[EffectiveEndDate]]&gt;=Settings!$A$2),1,0)</f>
        <v>0</v>
      </c>
      <c r="AB617" s="46">
        <f ca="1">IF(AND(Table1[[#This Row],[SubscriptionStart]]&lt;=Settings!$B$2,Table1[[#This Row],[EffectiveEndDate]]&gt;=Settings!$B$2),1,0)</f>
        <v>0</v>
      </c>
      <c r="AC617" s="46">
        <f ca="1">IF(AND(Table1[[#This Row],[SubscriptionStart]]&lt;=Settings!$C$2,Table1[[#This Row],[EffectiveEndDate]]&gt;=Settings!$C$2),1,0)</f>
        <v>0</v>
      </c>
      <c r="AD617" s="46">
        <f ca="1">IF(AND(Table1[[#This Row],[SubscriptionStart]]&lt;=Settings!$D$2,Table1[[#This Row],[EffectiveEndDate]]&gt;=Settings!$D$2),1,0)</f>
        <v>0</v>
      </c>
      <c r="AE617" s="46">
        <f ca="1">IF(AND(Table1[[#This Row],[SubscriptionStart]]&lt;=Settings!$E$2,Table1[[#This Row],[EffectiveEndDate]]&gt;=Settings!$E$2),1,0)</f>
        <v>0</v>
      </c>
      <c r="AF617"/>
      <c r="AG617"/>
      <c r="AH617"/>
      <c r="AI617"/>
      <c r="AJ617"/>
      <c r="AK617"/>
    </row>
    <row r="618" spans="1:37">
      <c r="A618" s="3" t="s">
        <v>587</v>
      </c>
      <c r="B618" s="3">
        <v>57</v>
      </c>
      <c r="C618" s="3" t="s">
        <v>23</v>
      </c>
      <c r="D618" s="5">
        <v>45120</v>
      </c>
      <c r="E618" s="5">
        <v>45150</v>
      </c>
      <c r="F618" s="3">
        <f ca="1">TODAY() - Table1[[#This Row],[SubscriptionStart]]</f>
        <v>861</v>
      </c>
      <c r="G618" s="4">
        <v>1</v>
      </c>
      <c r="H618" s="3" t="s">
        <v>29</v>
      </c>
      <c r="I618" s="3" t="s">
        <v>25</v>
      </c>
      <c r="J618" s="7" cm="1">
        <f t="array" ref="J618">_xlfn.IFS(Table1[[#This Row],[Tier]]="Basic",10,Table1[[#This Row],[Tier]]="Standard",18,Table1[[#This Row],[Tier]]="Premium",25)</f>
        <v>25</v>
      </c>
      <c r="K618" s="7" cm="1">
        <f t="array" ref="K61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618" s="7" cm="1">
        <f t="array" ref="L61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618" s="3" t="str" cm="1">
        <f t="array" ref="M61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18" s="3" t="s">
        <v>31</v>
      </c>
      <c r="O618" s="3" t="s">
        <v>32</v>
      </c>
      <c r="P618" s="3" t="s">
        <v>44</v>
      </c>
      <c r="Q618" s="3" t="str" cm="1">
        <f t="array" ref="Q618">_xlfn.IFS(Table1[[#This Row],[TotalRevenue]]&lt;100,"Low",Table1[[#This Row],[TotalRevenue]]&lt;300,"Medium",Table1[[#This Row],[TotalRevenue]]&lt;600,"High",TRUE,"Very High")</f>
        <v>Low</v>
      </c>
      <c r="R618" s="3" t="str" cm="1">
        <f t="array" ref="R61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18" s="3" t="str">
        <f>IF(Table1[[#This Row],[NextBillingDate]]="","Cancelled",IF(Table1[[#This Row],[CancellationDate]]&lt;&gt;"","Cancelled","Active"))</f>
        <v>Cancelled</v>
      </c>
      <c r="T618" s="7" cm="1">
        <f t="array" ref="T61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618" s="5">
        <v>45150</v>
      </c>
      <c r="W618" s="5">
        <v>45150</v>
      </c>
      <c r="X618" s="3">
        <v>0</v>
      </c>
      <c r="Y618" s="5">
        <f ca="1">IF(Table1[[#This Row],[ChurnStatus]]="Cancelled",Table1[[#This Row],[CancellationDate]],TODAY())</f>
        <v>45150</v>
      </c>
      <c r="Z618" s="46">
        <f ca="1">IF(AND(Table1[[#This Row],[SubscriptionStart]] &lt;= TODAY(), Table1[[#This Row],[EffectiveEndDate]] &gt;= TODAY()),1,0)</f>
        <v>0</v>
      </c>
      <c r="AA618" s="46">
        <f ca="1">IF(AND(Table1[[#This Row],[SubscriptionStart]]&lt;=Settings!$A$2,Table1[[#This Row],[EffectiveEndDate]]&gt;=Settings!$A$2),1,0)</f>
        <v>0</v>
      </c>
      <c r="AB618" s="46">
        <f ca="1">IF(AND(Table1[[#This Row],[SubscriptionStart]]&lt;=Settings!$B$2,Table1[[#This Row],[EffectiveEndDate]]&gt;=Settings!$B$2),1,0)</f>
        <v>0</v>
      </c>
      <c r="AC618" s="46">
        <f ca="1">IF(AND(Table1[[#This Row],[SubscriptionStart]]&lt;=Settings!$C$2,Table1[[#This Row],[EffectiveEndDate]]&gt;=Settings!$C$2),1,0)</f>
        <v>0</v>
      </c>
      <c r="AD618" s="46">
        <f ca="1">IF(AND(Table1[[#This Row],[SubscriptionStart]]&lt;=Settings!$D$2,Table1[[#This Row],[EffectiveEndDate]]&gt;=Settings!$D$2),1,0)</f>
        <v>0</v>
      </c>
      <c r="AE618" s="46">
        <f ca="1">IF(AND(Table1[[#This Row],[SubscriptionStart]]&lt;=Settings!$E$2,Table1[[#This Row],[EffectiveEndDate]]&gt;=Settings!$E$2),1,0)</f>
        <v>0</v>
      </c>
      <c r="AF618"/>
      <c r="AG618"/>
      <c r="AH618"/>
      <c r="AI618"/>
      <c r="AJ618"/>
      <c r="AK618"/>
    </row>
    <row r="619" spans="1:37">
      <c r="A619" s="3" t="s">
        <v>547</v>
      </c>
      <c r="B619" s="3">
        <v>55</v>
      </c>
      <c r="C619" s="3" t="s">
        <v>23</v>
      </c>
      <c r="D619" s="5">
        <v>45122</v>
      </c>
      <c r="E619" s="5">
        <v>45302</v>
      </c>
      <c r="F619" s="3">
        <f ca="1">TODAY() - Table1[[#This Row],[SubscriptionStart]]</f>
        <v>859</v>
      </c>
      <c r="G619" s="4">
        <v>6</v>
      </c>
      <c r="H619" s="3" t="s">
        <v>38</v>
      </c>
      <c r="I619" s="3" t="s">
        <v>39</v>
      </c>
      <c r="J619" s="7" cm="1">
        <f t="array" ref="J619">_xlfn.IFS(Table1[[#This Row],[Tier]]="Basic",10,Table1[[#This Row],[Tier]]="Standard",18,Table1[[#This Row],[Tier]]="Premium",25)</f>
        <v>18</v>
      </c>
      <c r="K619" s="7" cm="1">
        <f t="array" ref="K61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619" s="7" cm="1">
        <f t="array" ref="L61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619" s="3" t="str" cm="1">
        <f t="array" ref="M619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19" s="3" t="s">
        <v>31</v>
      </c>
      <c r="O619" s="3" t="s">
        <v>43</v>
      </c>
      <c r="P619" s="3" t="s">
        <v>47</v>
      </c>
      <c r="Q619" s="3" t="str" cm="1">
        <f t="array" ref="Q619">_xlfn.IFS(Table1[[#This Row],[TotalRevenue]]&lt;100,"Low",Table1[[#This Row],[TotalRevenue]]&lt;300,"Medium",Table1[[#This Row],[TotalRevenue]]&lt;600,"High",TRUE,"Very High")</f>
        <v>Low</v>
      </c>
      <c r="R619" s="3" t="str" cm="1">
        <f t="array" ref="R61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19" s="3" t="str">
        <f>IF(Table1[[#This Row],[NextBillingDate]]="","Cancelled",IF(Table1[[#This Row],[CancellationDate]]&lt;&gt;"","Cancelled","Active"))</f>
        <v>Cancelled</v>
      </c>
      <c r="T619" s="7" cm="1">
        <f t="array" ref="T61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619" s="5">
        <v>45302</v>
      </c>
      <c r="W619" s="5">
        <v>45302</v>
      </c>
      <c r="X619" s="3">
        <v>0</v>
      </c>
      <c r="Y619" s="5">
        <f ca="1">IF(Table1[[#This Row],[ChurnStatus]]="Cancelled",Table1[[#This Row],[CancellationDate]],TODAY())</f>
        <v>45302</v>
      </c>
      <c r="Z619" s="46">
        <f ca="1">IF(AND(Table1[[#This Row],[SubscriptionStart]] &lt;= TODAY(), Table1[[#This Row],[EffectiveEndDate]] &gt;= TODAY()),1,0)</f>
        <v>0</v>
      </c>
      <c r="AA619" s="46">
        <f ca="1">IF(AND(Table1[[#This Row],[SubscriptionStart]]&lt;=Settings!$A$2,Table1[[#This Row],[EffectiveEndDate]]&gt;=Settings!$A$2),1,0)</f>
        <v>0</v>
      </c>
      <c r="AB619" s="46">
        <f ca="1">IF(AND(Table1[[#This Row],[SubscriptionStart]]&lt;=Settings!$B$2,Table1[[#This Row],[EffectiveEndDate]]&gt;=Settings!$B$2),1,0)</f>
        <v>0</v>
      </c>
      <c r="AC619" s="46">
        <f ca="1">IF(AND(Table1[[#This Row],[SubscriptionStart]]&lt;=Settings!$C$2,Table1[[#This Row],[EffectiveEndDate]]&gt;=Settings!$C$2),1,0)</f>
        <v>0</v>
      </c>
      <c r="AD619" s="46">
        <f ca="1">IF(AND(Table1[[#This Row],[SubscriptionStart]]&lt;=Settings!$D$2,Table1[[#This Row],[EffectiveEndDate]]&gt;=Settings!$D$2),1,0)</f>
        <v>0</v>
      </c>
      <c r="AE619" s="46">
        <f ca="1">IF(AND(Table1[[#This Row],[SubscriptionStart]]&lt;=Settings!$E$2,Table1[[#This Row],[EffectiveEndDate]]&gt;=Settings!$E$2),1,0)</f>
        <v>0</v>
      </c>
      <c r="AF619"/>
      <c r="AG619"/>
      <c r="AH619"/>
      <c r="AI619"/>
      <c r="AJ619"/>
      <c r="AK619"/>
    </row>
    <row r="620" spans="1:37">
      <c r="A620" s="3" t="s">
        <v>725</v>
      </c>
      <c r="B620" s="3">
        <v>31</v>
      </c>
      <c r="C620" s="3" t="s">
        <v>37</v>
      </c>
      <c r="D620" s="5">
        <v>45122</v>
      </c>
      <c r="E620" s="5">
        <v>45302</v>
      </c>
      <c r="F620" s="3">
        <f ca="1">TODAY() - Table1[[#This Row],[SubscriptionStart]]</f>
        <v>859</v>
      </c>
      <c r="G620" s="4">
        <v>6</v>
      </c>
      <c r="H620" s="3" t="s">
        <v>38</v>
      </c>
      <c r="I620" s="3" t="s">
        <v>25</v>
      </c>
      <c r="J620" s="7" cm="1">
        <f t="array" ref="J620">_xlfn.IFS(Table1[[#This Row],[Tier]]="Basic",10,Table1[[#This Row],[Tier]]="Standard",18,Table1[[#This Row],[Tier]]="Premium",25)</f>
        <v>25</v>
      </c>
      <c r="K620" s="7" cm="1">
        <f t="array" ref="K62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620" s="7" cm="1">
        <f t="array" ref="L62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620" s="3" t="str" cm="1">
        <f t="array" ref="M62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20" s="3" t="s">
        <v>52</v>
      </c>
      <c r="O620" s="3" t="s">
        <v>32</v>
      </c>
      <c r="P620" s="3" t="s">
        <v>35</v>
      </c>
      <c r="Q620" s="3" t="str" cm="1">
        <f t="array" ref="Q620">_xlfn.IFS(Table1[[#This Row],[TotalRevenue]]&lt;100,"Low",Table1[[#This Row],[TotalRevenue]]&lt;300,"Medium",Table1[[#This Row],[TotalRevenue]]&lt;600,"High",TRUE,"Very High")</f>
        <v>Medium</v>
      </c>
      <c r="R620" s="3" t="str" cm="1">
        <f t="array" ref="R62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20" s="3" t="str">
        <f>IF(Table1[[#This Row],[NextBillingDate]]="","Cancelled",IF(Table1[[#This Row],[CancellationDate]]&lt;&gt;"","Cancelled","Active"))</f>
        <v>Cancelled</v>
      </c>
      <c r="T620" s="7" cm="1">
        <f t="array" ref="T62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620" s="5">
        <v>45302</v>
      </c>
      <c r="W620" s="5">
        <v>45302</v>
      </c>
      <c r="X620" s="3">
        <v>0</v>
      </c>
      <c r="Y620" s="5">
        <f ca="1">IF(Table1[[#This Row],[ChurnStatus]]="Cancelled",Table1[[#This Row],[CancellationDate]],TODAY())</f>
        <v>45302</v>
      </c>
      <c r="Z620" s="46">
        <f ca="1">IF(AND(Table1[[#This Row],[SubscriptionStart]] &lt;= TODAY(), Table1[[#This Row],[EffectiveEndDate]] &gt;= TODAY()),1,0)</f>
        <v>0</v>
      </c>
      <c r="AA620" s="46">
        <f ca="1">IF(AND(Table1[[#This Row],[SubscriptionStart]]&lt;=Settings!$A$2,Table1[[#This Row],[EffectiveEndDate]]&gt;=Settings!$A$2),1,0)</f>
        <v>0</v>
      </c>
      <c r="AB620" s="46">
        <f ca="1">IF(AND(Table1[[#This Row],[SubscriptionStart]]&lt;=Settings!$B$2,Table1[[#This Row],[EffectiveEndDate]]&gt;=Settings!$B$2),1,0)</f>
        <v>0</v>
      </c>
      <c r="AC620" s="46">
        <f ca="1">IF(AND(Table1[[#This Row],[SubscriptionStart]]&lt;=Settings!$C$2,Table1[[#This Row],[EffectiveEndDate]]&gt;=Settings!$C$2),1,0)</f>
        <v>0</v>
      </c>
      <c r="AD620" s="46">
        <f ca="1">IF(AND(Table1[[#This Row],[SubscriptionStart]]&lt;=Settings!$D$2,Table1[[#This Row],[EffectiveEndDate]]&gt;=Settings!$D$2),1,0)</f>
        <v>0</v>
      </c>
      <c r="AE620" s="46">
        <f ca="1">IF(AND(Table1[[#This Row],[SubscriptionStart]]&lt;=Settings!$E$2,Table1[[#This Row],[EffectiveEndDate]]&gt;=Settings!$E$2),1,0)</f>
        <v>0</v>
      </c>
      <c r="AF620"/>
      <c r="AG620"/>
      <c r="AH620"/>
      <c r="AI620"/>
      <c r="AJ620"/>
      <c r="AK620"/>
    </row>
    <row r="621" spans="1:37">
      <c r="A621" s="3" t="s">
        <v>451</v>
      </c>
      <c r="B621" s="3">
        <v>41</v>
      </c>
      <c r="C621" s="3" t="s">
        <v>23</v>
      </c>
      <c r="D621" s="5">
        <v>45122</v>
      </c>
      <c r="E621" s="5">
        <v>45482</v>
      </c>
      <c r="F621" s="3">
        <f ca="1">TODAY() - Table1[[#This Row],[SubscriptionStart]]</f>
        <v>859</v>
      </c>
      <c r="G621" s="4">
        <v>12</v>
      </c>
      <c r="H621" s="3" t="s">
        <v>24</v>
      </c>
      <c r="I621" s="3" t="s">
        <v>39</v>
      </c>
      <c r="J621" s="7" cm="1">
        <f t="array" ref="J621">_xlfn.IFS(Table1[[#This Row],[Tier]]="Basic",10,Table1[[#This Row],[Tier]]="Standard",18,Table1[[#This Row],[Tier]]="Premium",25)</f>
        <v>18</v>
      </c>
      <c r="K621" s="7" cm="1">
        <f t="array" ref="K62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621" s="7" cm="1">
        <f t="array" ref="L62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621" s="3" t="str" cm="1">
        <f t="array" ref="M62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21" s="3" t="s">
        <v>52</v>
      </c>
      <c r="O621" s="3" t="s">
        <v>40</v>
      </c>
      <c r="P621" s="3" t="s">
        <v>47</v>
      </c>
      <c r="Q621" s="3" t="str" cm="1">
        <f t="array" ref="Q621">_xlfn.IFS(Table1[[#This Row],[TotalRevenue]]&lt;100,"Low",Table1[[#This Row],[TotalRevenue]]&lt;300,"Medium",Table1[[#This Row],[TotalRevenue]]&lt;600,"High",TRUE,"Very High")</f>
        <v>Medium</v>
      </c>
      <c r="R621" s="3" t="str" cm="1">
        <f t="array" ref="R62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21" s="3" t="str">
        <f>IF(Table1[[#This Row],[NextBillingDate]]="","Cancelled",IF(Table1[[#This Row],[CancellationDate]]&lt;&gt;"","Cancelled","Active"))</f>
        <v>Cancelled</v>
      </c>
      <c r="T621" s="7" cm="1">
        <f t="array" ref="T62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621" s="5">
        <v>45482</v>
      </c>
      <c r="W621" s="5">
        <v>45482</v>
      </c>
      <c r="X621" s="3">
        <v>0</v>
      </c>
      <c r="Y621" s="5">
        <f ca="1">IF(Table1[[#This Row],[ChurnStatus]]="Cancelled",Table1[[#This Row],[CancellationDate]],TODAY())</f>
        <v>45482</v>
      </c>
      <c r="Z621" s="46">
        <f ca="1">IF(AND(Table1[[#This Row],[SubscriptionStart]] &lt;= TODAY(), Table1[[#This Row],[EffectiveEndDate]] &gt;= TODAY()),1,0)</f>
        <v>0</v>
      </c>
      <c r="AA621" s="46">
        <f ca="1">IF(AND(Table1[[#This Row],[SubscriptionStart]]&lt;=Settings!$A$2,Table1[[#This Row],[EffectiveEndDate]]&gt;=Settings!$A$2),1,0)</f>
        <v>0</v>
      </c>
      <c r="AB621" s="46">
        <f ca="1">IF(AND(Table1[[#This Row],[SubscriptionStart]]&lt;=Settings!$B$2,Table1[[#This Row],[EffectiveEndDate]]&gt;=Settings!$B$2),1,0)</f>
        <v>0</v>
      </c>
      <c r="AC621" s="46">
        <f ca="1">IF(AND(Table1[[#This Row],[SubscriptionStart]]&lt;=Settings!$C$2,Table1[[#This Row],[EffectiveEndDate]]&gt;=Settings!$C$2),1,0)</f>
        <v>0</v>
      </c>
      <c r="AD621" s="46">
        <f ca="1">IF(AND(Table1[[#This Row],[SubscriptionStart]]&lt;=Settings!$D$2,Table1[[#This Row],[EffectiveEndDate]]&gt;=Settings!$D$2),1,0)</f>
        <v>0</v>
      </c>
      <c r="AE621" s="46">
        <f ca="1">IF(AND(Table1[[#This Row],[SubscriptionStart]]&lt;=Settings!$E$2,Table1[[#This Row],[EffectiveEndDate]]&gt;=Settings!$E$2),1,0)</f>
        <v>0</v>
      </c>
      <c r="AF621"/>
      <c r="AG621"/>
      <c r="AH621"/>
      <c r="AI621"/>
      <c r="AJ621"/>
      <c r="AK621"/>
    </row>
    <row r="622" spans="1:37">
      <c r="A622" s="3" t="s">
        <v>360</v>
      </c>
      <c r="B622" s="3">
        <v>21</v>
      </c>
      <c r="C622" s="3" t="s">
        <v>37</v>
      </c>
      <c r="D622" s="5">
        <v>45123</v>
      </c>
      <c r="E622" s="5">
        <v>45483</v>
      </c>
      <c r="F622" s="3">
        <f ca="1">TODAY() - Table1[[#This Row],[SubscriptionStart]]</f>
        <v>858</v>
      </c>
      <c r="G622" s="4">
        <v>12</v>
      </c>
      <c r="H622" s="3" t="s">
        <v>24</v>
      </c>
      <c r="I622" s="3" t="s">
        <v>39</v>
      </c>
      <c r="J622" s="7" cm="1">
        <f t="array" ref="J622">_xlfn.IFS(Table1[[#This Row],[Tier]]="Basic",10,Table1[[#This Row],[Tier]]="Standard",18,Table1[[#This Row],[Tier]]="Premium",25)</f>
        <v>18</v>
      </c>
      <c r="K622" s="7" cm="1">
        <f t="array" ref="K62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622" s="7" cm="1">
        <f t="array" ref="L62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622" s="3" t="str" cm="1">
        <f t="array" ref="M622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622" s="3" t="s">
        <v>52</v>
      </c>
      <c r="O622" s="3" t="s">
        <v>40</v>
      </c>
      <c r="P622" s="3" t="s">
        <v>47</v>
      </c>
      <c r="Q622" s="3" t="str" cm="1">
        <f t="array" ref="Q622">_xlfn.IFS(Table1[[#This Row],[TotalRevenue]]&lt;100,"Low",Table1[[#This Row],[TotalRevenue]]&lt;300,"Medium",Table1[[#This Row],[TotalRevenue]]&lt;600,"High",TRUE,"Very High")</f>
        <v>Medium</v>
      </c>
      <c r="R622" s="3" t="str" cm="1">
        <f t="array" ref="R622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622" s="3" t="str">
        <f>IF(Table1[[#This Row],[NextBillingDate]]="","Cancelled",IF(Table1[[#This Row],[CancellationDate]]&lt;&gt;"","Cancelled","Active"))</f>
        <v>Cancelled</v>
      </c>
      <c r="T622" s="7" cm="1">
        <f t="array" ref="T62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622" s="5">
        <v>45483</v>
      </c>
      <c r="W622" s="5">
        <v>45483</v>
      </c>
      <c r="X622" s="3">
        <v>0</v>
      </c>
      <c r="Y622" s="5">
        <f ca="1">IF(Table1[[#This Row],[ChurnStatus]]="Cancelled",Table1[[#This Row],[CancellationDate]],TODAY())</f>
        <v>45483</v>
      </c>
      <c r="Z622" s="46">
        <f ca="1">IF(AND(Table1[[#This Row],[SubscriptionStart]] &lt;= TODAY(), Table1[[#This Row],[EffectiveEndDate]] &gt;= TODAY()),1,0)</f>
        <v>0</v>
      </c>
      <c r="AA622" s="46">
        <f ca="1">IF(AND(Table1[[#This Row],[SubscriptionStart]]&lt;=Settings!$A$2,Table1[[#This Row],[EffectiveEndDate]]&gt;=Settings!$A$2),1,0)</f>
        <v>0</v>
      </c>
      <c r="AB622" s="46">
        <f ca="1">IF(AND(Table1[[#This Row],[SubscriptionStart]]&lt;=Settings!$B$2,Table1[[#This Row],[EffectiveEndDate]]&gt;=Settings!$B$2),1,0)</f>
        <v>0</v>
      </c>
      <c r="AC622" s="46">
        <f ca="1">IF(AND(Table1[[#This Row],[SubscriptionStart]]&lt;=Settings!$C$2,Table1[[#This Row],[EffectiveEndDate]]&gt;=Settings!$C$2),1,0)</f>
        <v>0</v>
      </c>
      <c r="AD622" s="46">
        <f ca="1">IF(AND(Table1[[#This Row],[SubscriptionStart]]&lt;=Settings!$D$2,Table1[[#This Row],[EffectiveEndDate]]&gt;=Settings!$D$2),1,0)</f>
        <v>0</v>
      </c>
      <c r="AE622" s="46">
        <f ca="1">IF(AND(Table1[[#This Row],[SubscriptionStart]]&lt;=Settings!$E$2,Table1[[#This Row],[EffectiveEndDate]]&gt;=Settings!$E$2),1,0)</f>
        <v>0</v>
      </c>
      <c r="AF622"/>
      <c r="AG622"/>
      <c r="AH622"/>
      <c r="AI622"/>
      <c r="AJ622"/>
      <c r="AK622"/>
    </row>
    <row r="623" spans="1:37">
      <c r="A623" s="3" t="s">
        <v>801</v>
      </c>
      <c r="B623" s="3">
        <v>65</v>
      </c>
      <c r="C623" s="3" t="s">
        <v>23</v>
      </c>
      <c r="D623" s="5">
        <v>45124</v>
      </c>
      <c r="E623" s="5">
        <v>45484</v>
      </c>
      <c r="F623" s="3">
        <f ca="1">TODAY() - Table1[[#This Row],[SubscriptionStart]]</f>
        <v>857</v>
      </c>
      <c r="G623" s="4">
        <v>12</v>
      </c>
      <c r="H623" s="3" t="s">
        <v>24</v>
      </c>
      <c r="I623" s="3" t="s">
        <v>30</v>
      </c>
      <c r="J623" s="7" cm="1">
        <f t="array" ref="J623">_xlfn.IFS(Table1[[#This Row],[Tier]]="Basic",10,Table1[[#This Row],[Tier]]="Standard",18,Table1[[#This Row],[Tier]]="Premium",25)</f>
        <v>10</v>
      </c>
      <c r="K623" s="7" cm="1">
        <f t="array" ref="K62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23" s="7" cm="1">
        <f t="array" ref="L62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23" s="3" t="str" cm="1">
        <f t="array" ref="M623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23" s="3" t="s">
        <v>52</v>
      </c>
      <c r="O623" s="3" t="s">
        <v>27</v>
      </c>
      <c r="P623" s="3" t="s">
        <v>47</v>
      </c>
      <c r="Q623" s="3" t="str" cm="1">
        <f t="array" ref="Q623">_xlfn.IFS(Table1[[#This Row],[TotalRevenue]]&lt;100,"Low",Table1[[#This Row],[TotalRevenue]]&lt;300,"Medium",Table1[[#This Row],[TotalRevenue]]&lt;600,"High",TRUE,"Very High")</f>
        <v>Low</v>
      </c>
      <c r="R623" s="3" t="str" cm="1">
        <f t="array" ref="R623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623" s="3" t="str">
        <f>IF(Table1[[#This Row],[NextBillingDate]]="","Cancelled",IF(Table1[[#This Row],[CancellationDate]]&lt;&gt;"","Cancelled","Active"))</f>
        <v>Cancelled</v>
      </c>
      <c r="T623" s="7" cm="1">
        <f t="array" ref="T62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23" s="5">
        <v>45484</v>
      </c>
      <c r="W623" s="5">
        <v>45484</v>
      </c>
      <c r="X623" s="3">
        <v>0</v>
      </c>
      <c r="Y623" s="5">
        <f ca="1">IF(Table1[[#This Row],[ChurnStatus]]="Cancelled",Table1[[#This Row],[CancellationDate]],TODAY())</f>
        <v>45484</v>
      </c>
      <c r="Z623" s="46">
        <f ca="1">IF(AND(Table1[[#This Row],[SubscriptionStart]] &lt;= TODAY(), Table1[[#This Row],[EffectiveEndDate]] &gt;= TODAY()),1,0)</f>
        <v>0</v>
      </c>
      <c r="AA623" s="46">
        <f ca="1">IF(AND(Table1[[#This Row],[SubscriptionStart]]&lt;=Settings!$A$2,Table1[[#This Row],[EffectiveEndDate]]&gt;=Settings!$A$2),1,0)</f>
        <v>0</v>
      </c>
      <c r="AB623" s="46">
        <f ca="1">IF(AND(Table1[[#This Row],[SubscriptionStart]]&lt;=Settings!$B$2,Table1[[#This Row],[EffectiveEndDate]]&gt;=Settings!$B$2),1,0)</f>
        <v>0</v>
      </c>
      <c r="AC623" s="46">
        <f ca="1">IF(AND(Table1[[#This Row],[SubscriptionStart]]&lt;=Settings!$C$2,Table1[[#This Row],[EffectiveEndDate]]&gt;=Settings!$C$2),1,0)</f>
        <v>0</v>
      </c>
      <c r="AD623" s="46">
        <f ca="1">IF(AND(Table1[[#This Row],[SubscriptionStart]]&lt;=Settings!$D$2,Table1[[#This Row],[EffectiveEndDate]]&gt;=Settings!$D$2),1,0)</f>
        <v>0</v>
      </c>
      <c r="AE623" s="46">
        <f ca="1">IF(AND(Table1[[#This Row],[SubscriptionStart]]&lt;=Settings!$E$2,Table1[[#This Row],[EffectiveEndDate]]&gt;=Settings!$E$2),1,0)</f>
        <v>0</v>
      </c>
      <c r="AF623"/>
      <c r="AG623"/>
      <c r="AH623"/>
      <c r="AI623"/>
      <c r="AJ623"/>
      <c r="AK623"/>
    </row>
    <row r="624" spans="1:37">
      <c r="A624" s="3" t="s">
        <v>291</v>
      </c>
      <c r="B624" s="3">
        <v>57</v>
      </c>
      <c r="C624" s="3" t="s">
        <v>23</v>
      </c>
      <c r="D624" s="5">
        <v>45125</v>
      </c>
      <c r="E624" s="5">
        <v>45155</v>
      </c>
      <c r="F624" s="3">
        <f ca="1">TODAY() - Table1[[#This Row],[SubscriptionStart]]</f>
        <v>856</v>
      </c>
      <c r="G624" s="4">
        <v>1</v>
      </c>
      <c r="H624" s="3" t="s">
        <v>29</v>
      </c>
      <c r="I624" s="3" t="s">
        <v>25</v>
      </c>
      <c r="J624" s="7" cm="1">
        <f t="array" ref="J624">_xlfn.IFS(Table1[[#This Row],[Tier]]="Basic",10,Table1[[#This Row],[Tier]]="Standard",18,Table1[[#This Row],[Tier]]="Premium",25)</f>
        <v>25</v>
      </c>
      <c r="K624" s="7" cm="1">
        <f t="array" ref="K62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624" s="7" cm="1">
        <f t="array" ref="L62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624" s="3" t="str" cm="1">
        <f t="array" ref="M624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24" s="3" t="s">
        <v>34</v>
      </c>
      <c r="O624" s="3" t="s">
        <v>43</v>
      </c>
      <c r="P624" s="3" t="s">
        <v>44</v>
      </c>
      <c r="Q624" s="3" t="str" cm="1">
        <f t="array" ref="Q624">_xlfn.IFS(Table1[[#This Row],[TotalRevenue]]&lt;100,"Low",Table1[[#This Row],[TotalRevenue]]&lt;300,"Medium",Table1[[#This Row],[TotalRevenue]]&lt;600,"High",TRUE,"Very High")</f>
        <v>Low</v>
      </c>
      <c r="R624" s="3" t="str" cm="1">
        <f t="array" ref="R62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24" s="3" t="str">
        <f>IF(Table1[[#This Row],[NextBillingDate]]="","Cancelled",IF(Table1[[#This Row],[CancellationDate]]&lt;&gt;"","Cancelled","Active"))</f>
        <v>Cancelled</v>
      </c>
      <c r="T624" s="7" cm="1">
        <f t="array" ref="T62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624" s="5">
        <v>45155</v>
      </c>
      <c r="W624" s="5">
        <v>45155</v>
      </c>
      <c r="X624" s="3">
        <v>0</v>
      </c>
      <c r="Y624" s="5">
        <f ca="1">IF(Table1[[#This Row],[ChurnStatus]]="Cancelled",Table1[[#This Row],[CancellationDate]],TODAY())</f>
        <v>45155</v>
      </c>
      <c r="Z624" s="46">
        <f ca="1">IF(AND(Table1[[#This Row],[SubscriptionStart]] &lt;= TODAY(), Table1[[#This Row],[EffectiveEndDate]] &gt;= TODAY()),1,0)</f>
        <v>0</v>
      </c>
      <c r="AA624" s="46">
        <f ca="1">IF(AND(Table1[[#This Row],[SubscriptionStart]]&lt;=Settings!$A$2,Table1[[#This Row],[EffectiveEndDate]]&gt;=Settings!$A$2),1,0)</f>
        <v>0</v>
      </c>
      <c r="AB624" s="46">
        <f ca="1">IF(AND(Table1[[#This Row],[SubscriptionStart]]&lt;=Settings!$B$2,Table1[[#This Row],[EffectiveEndDate]]&gt;=Settings!$B$2),1,0)</f>
        <v>0</v>
      </c>
      <c r="AC624" s="46">
        <f ca="1">IF(AND(Table1[[#This Row],[SubscriptionStart]]&lt;=Settings!$C$2,Table1[[#This Row],[EffectiveEndDate]]&gt;=Settings!$C$2),1,0)</f>
        <v>0</v>
      </c>
      <c r="AD624" s="46">
        <f ca="1">IF(AND(Table1[[#This Row],[SubscriptionStart]]&lt;=Settings!$D$2,Table1[[#This Row],[EffectiveEndDate]]&gt;=Settings!$D$2),1,0)</f>
        <v>0</v>
      </c>
      <c r="AE624" s="46">
        <f ca="1">IF(AND(Table1[[#This Row],[SubscriptionStart]]&lt;=Settings!$E$2,Table1[[#This Row],[EffectiveEndDate]]&gt;=Settings!$E$2),1,0)</f>
        <v>0</v>
      </c>
      <c r="AF624"/>
      <c r="AG624"/>
      <c r="AH624"/>
      <c r="AI624"/>
      <c r="AJ624"/>
      <c r="AK624"/>
    </row>
    <row r="625" spans="1:37">
      <c r="A625" s="3" t="s">
        <v>62</v>
      </c>
      <c r="B625" s="3">
        <v>62</v>
      </c>
      <c r="C625" s="3" t="s">
        <v>23</v>
      </c>
      <c r="D625" s="5">
        <v>45125</v>
      </c>
      <c r="E625" s="5">
        <v>45485</v>
      </c>
      <c r="F625" s="3">
        <f ca="1">TODAY() - Table1[[#This Row],[SubscriptionStart]]</f>
        <v>856</v>
      </c>
      <c r="G625" s="4">
        <v>12</v>
      </c>
      <c r="H625" s="3" t="s">
        <v>24</v>
      </c>
      <c r="I625" s="3" t="s">
        <v>25</v>
      </c>
      <c r="J625" s="7" cm="1">
        <f t="array" ref="J625">_xlfn.IFS(Table1[[#This Row],[Tier]]="Basic",10,Table1[[#This Row],[Tier]]="Standard",18,Table1[[#This Row],[Tier]]="Premium",25)</f>
        <v>25</v>
      </c>
      <c r="K625" s="7" cm="1">
        <f t="array" ref="K62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625" s="7" cm="1">
        <f t="array" ref="L62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625" s="3" t="str" cm="1">
        <f t="array" ref="M625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25" s="3" t="s">
        <v>26</v>
      </c>
      <c r="O625" s="3" t="s">
        <v>27</v>
      </c>
      <c r="P625" s="3" t="s">
        <v>41</v>
      </c>
      <c r="Q625" s="3" t="str" cm="1">
        <f t="array" ref="Q625">_xlfn.IFS(Table1[[#This Row],[TotalRevenue]]&lt;100,"Low",Table1[[#This Row],[TotalRevenue]]&lt;300,"Medium",Table1[[#This Row],[TotalRevenue]]&lt;600,"High",TRUE,"Very High")</f>
        <v>Medium</v>
      </c>
      <c r="R625" s="3" t="str" cm="1">
        <f t="array" ref="R625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625" s="3" t="str">
        <f>IF(Table1[[#This Row],[NextBillingDate]]="","Cancelled",IF(Table1[[#This Row],[CancellationDate]]&lt;&gt;"","Cancelled","Active"))</f>
        <v>Cancelled</v>
      </c>
      <c r="T625" s="7" cm="1">
        <f t="array" ref="T62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625" s="5">
        <v>45485</v>
      </c>
      <c r="W625" s="5">
        <v>45485</v>
      </c>
      <c r="X625" s="3">
        <v>0</v>
      </c>
      <c r="Y625" s="5">
        <f ca="1">IF(Table1[[#This Row],[ChurnStatus]]="Cancelled",Table1[[#This Row],[CancellationDate]],TODAY())</f>
        <v>45485</v>
      </c>
      <c r="Z625" s="46">
        <f ca="1">IF(AND(Table1[[#This Row],[SubscriptionStart]] &lt;= TODAY(), Table1[[#This Row],[EffectiveEndDate]] &gt;= TODAY()),1,0)</f>
        <v>0</v>
      </c>
      <c r="AA625" s="46">
        <f ca="1">IF(AND(Table1[[#This Row],[SubscriptionStart]]&lt;=Settings!$A$2,Table1[[#This Row],[EffectiveEndDate]]&gt;=Settings!$A$2),1,0)</f>
        <v>0</v>
      </c>
      <c r="AB625" s="46">
        <f ca="1">IF(AND(Table1[[#This Row],[SubscriptionStart]]&lt;=Settings!$B$2,Table1[[#This Row],[EffectiveEndDate]]&gt;=Settings!$B$2),1,0)</f>
        <v>0</v>
      </c>
      <c r="AC625" s="46">
        <f ca="1">IF(AND(Table1[[#This Row],[SubscriptionStart]]&lt;=Settings!$C$2,Table1[[#This Row],[EffectiveEndDate]]&gt;=Settings!$C$2),1,0)</f>
        <v>0</v>
      </c>
      <c r="AD625" s="46">
        <f ca="1">IF(AND(Table1[[#This Row],[SubscriptionStart]]&lt;=Settings!$D$2,Table1[[#This Row],[EffectiveEndDate]]&gt;=Settings!$D$2),1,0)</f>
        <v>0</v>
      </c>
      <c r="AE625" s="46">
        <f ca="1">IF(AND(Table1[[#This Row],[SubscriptionStart]]&lt;=Settings!$E$2,Table1[[#This Row],[EffectiveEndDate]]&gt;=Settings!$E$2),1,0)</f>
        <v>0</v>
      </c>
      <c r="AF625"/>
      <c r="AG625"/>
      <c r="AH625"/>
      <c r="AI625"/>
      <c r="AJ625"/>
      <c r="AK625"/>
    </row>
    <row r="626" spans="1:37">
      <c r="A626" s="3" t="s">
        <v>194</v>
      </c>
      <c r="B626" s="3">
        <v>62</v>
      </c>
      <c r="C626" s="3" t="s">
        <v>23</v>
      </c>
      <c r="D626" s="5">
        <v>45129</v>
      </c>
      <c r="E626" s="5">
        <v>45309</v>
      </c>
      <c r="F626" s="3">
        <f ca="1">TODAY() - Table1[[#This Row],[SubscriptionStart]]</f>
        <v>852</v>
      </c>
      <c r="G626" s="4">
        <v>6</v>
      </c>
      <c r="H626" s="3" t="s">
        <v>38</v>
      </c>
      <c r="I626" s="3" t="s">
        <v>25</v>
      </c>
      <c r="J626" s="7" cm="1">
        <f t="array" ref="J626">_xlfn.IFS(Table1[[#This Row],[Tier]]="Basic",10,Table1[[#This Row],[Tier]]="Standard",18,Table1[[#This Row],[Tier]]="Premium",25)</f>
        <v>25</v>
      </c>
      <c r="K626" s="7" cm="1">
        <f t="array" ref="K62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626" s="7" cm="1">
        <f t="array" ref="L62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626" s="3" t="str" cm="1">
        <f t="array" ref="M626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26" s="3" t="s">
        <v>31</v>
      </c>
      <c r="O626" s="3" t="s">
        <v>27</v>
      </c>
      <c r="P626" s="3" t="s">
        <v>41</v>
      </c>
      <c r="Q626" s="3" t="str" cm="1">
        <f t="array" ref="Q626">_xlfn.IFS(Table1[[#This Row],[TotalRevenue]]&lt;100,"Low",Table1[[#This Row],[TotalRevenue]]&lt;300,"Medium",Table1[[#This Row],[TotalRevenue]]&lt;600,"High",TRUE,"Very High")</f>
        <v>Medium</v>
      </c>
      <c r="R626" s="3" t="str" cm="1">
        <f t="array" ref="R626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626" s="3" t="str">
        <f>IF(Table1[[#This Row],[NextBillingDate]]="","Cancelled",IF(Table1[[#This Row],[CancellationDate]]&lt;&gt;"","Cancelled","Active"))</f>
        <v>Cancelled</v>
      </c>
      <c r="T626" s="7" cm="1">
        <f t="array" ref="T62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626" s="5">
        <v>45309</v>
      </c>
      <c r="W626" s="5">
        <v>45309</v>
      </c>
      <c r="X626" s="3">
        <v>0</v>
      </c>
      <c r="Y626" s="5">
        <f ca="1">IF(Table1[[#This Row],[ChurnStatus]]="Cancelled",Table1[[#This Row],[CancellationDate]],TODAY())</f>
        <v>45309</v>
      </c>
      <c r="Z626" s="46">
        <f ca="1">IF(AND(Table1[[#This Row],[SubscriptionStart]] &lt;= TODAY(), Table1[[#This Row],[EffectiveEndDate]] &gt;= TODAY()),1,0)</f>
        <v>0</v>
      </c>
      <c r="AA626" s="46">
        <f ca="1">IF(AND(Table1[[#This Row],[SubscriptionStart]]&lt;=Settings!$A$2,Table1[[#This Row],[EffectiveEndDate]]&gt;=Settings!$A$2),1,0)</f>
        <v>0</v>
      </c>
      <c r="AB626" s="46">
        <f ca="1">IF(AND(Table1[[#This Row],[SubscriptionStart]]&lt;=Settings!$B$2,Table1[[#This Row],[EffectiveEndDate]]&gt;=Settings!$B$2),1,0)</f>
        <v>0</v>
      </c>
      <c r="AC626" s="46">
        <f ca="1">IF(AND(Table1[[#This Row],[SubscriptionStart]]&lt;=Settings!$C$2,Table1[[#This Row],[EffectiveEndDate]]&gt;=Settings!$C$2),1,0)</f>
        <v>0</v>
      </c>
      <c r="AD626" s="46">
        <f ca="1">IF(AND(Table1[[#This Row],[SubscriptionStart]]&lt;=Settings!$D$2,Table1[[#This Row],[EffectiveEndDate]]&gt;=Settings!$D$2),1,0)</f>
        <v>0</v>
      </c>
      <c r="AE626" s="46">
        <f ca="1">IF(AND(Table1[[#This Row],[SubscriptionStart]]&lt;=Settings!$E$2,Table1[[#This Row],[EffectiveEndDate]]&gt;=Settings!$E$2),1,0)</f>
        <v>0</v>
      </c>
      <c r="AF626"/>
      <c r="AG626"/>
      <c r="AH626"/>
      <c r="AI626"/>
      <c r="AJ626"/>
      <c r="AK626"/>
    </row>
    <row r="627" spans="1:37">
      <c r="A627" s="3" t="s">
        <v>125</v>
      </c>
      <c r="B627" s="3">
        <v>18</v>
      </c>
      <c r="C627" s="3" t="s">
        <v>37</v>
      </c>
      <c r="D627" s="5">
        <v>45129</v>
      </c>
      <c r="F627" s="3">
        <f ca="1">TODAY() - Table1[[#This Row],[SubscriptionStart]]</f>
        <v>852</v>
      </c>
      <c r="G627" s="4">
        <v>29</v>
      </c>
      <c r="H627" s="3" t="s">
        <v>29</v>
      </c>
      <c r="I627" s="3" t="s">
        <v>25</v>
      </c>
      <c r="J627" s="7" cm="1">
        <f t="array" ref="J627">_xlfn.IFS(Table1[[#This Row],[Tier]]="Basic",10,Table1[[#This Row],[Tier]]="Standard",18,Table1[[#This Row],[Tier]]="Premium",25)</f>
        <v>25</v>
      </c>
      <c r="K627" s="7" cm="1">
        <f t="array" ref="K62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627" s="7" cm="1">
        <f t="array" ref="L62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672.5</v>
      </c>
      <c r="M627" s="3" t="str" cm="1">
        <f t="array" ref="M627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627" s="3" t="s">
        <v>31</v>
      </c>
      <c r="O627" s="3" t="s">
        <v>40</v>
      </c>
      <c r="Q627" s="3" t="str" cm="1">
        <f t="array" ref="Q627">_xlfn.IFS(Table1[[#This Row],[TotalRevenue]]&lt;100,"Low",Table1[[#This Row],[TotalRevenue]]&lt;300,"Medium",Table1[[#This Row],[TotalRevenue]]&lt;600,"High",TRUE,"Very High")</f>
        <v>Very High</v>
      </c>
      <c r="R627" s="3" t="str" cm="1">
        <f t="array" ref="R627">_xlfn.IFS(Table1[[#This Row],[Age]]&gt;69,"Elderly",Table1[[#This Row],[Age]]&gt;59,"Mature Adult",Table1[[#This Row],[Age]]&gt;25,"Adult",Table1[[#This Row],[Age]]&gt;18,"Young Adult",Table1[[#This Row],[Age]]&gt;=12,"Teenager")</f>
        <v>Teenager</v>
      </c>
      <c r="S627" s="3" t="str">
        <f>IF(Table1[[#This Row],[NextBillingDate]]="","Cancelled",IF(Table1[[#This Row],[CancellationDate]]&lt;&gt;"","Cancelled","Active"))</f>
        <v>Active</v>
      </c>
      <c r="T627" s="7" cm="1">
        <f t="array" ref="T62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697.5</v>
      </c>
      <c r="V627" s="5">
        <v>45999</v>
      </c>
      <c r="W627" s="5">
        <v>45999</v>
      </c>
      <c r="X627" s="3">
        <v>28</v>
      </c>
      <c r="Y627" s="5">
        <f ca="1">IF(Table1[[#This Row],[ChurnStatus]]="Cancelled",Table1[[#This Row],[CancellationDate]],TODAY())</f>
        <v>45981</v>
      </c>
      <c r="Z627" s="46">
        <f ca="1">IF(AND(Table1[[#This Row],[SubscriptionStart]] &lt;= TODAY(), Table1[[#This Row],[EffectiveEndDate]] &gt;= TODAY()),1,0)</f>
        <v>1</v>
      </c>
      <c r="AA627" s="46">
        <f ca="1">IF(AND(Table1[[#This Row],[SubscriptionStart]]&lt;=Settings!$A$2,Table1[[#This Row],[EffectiveEndDate]]&gt;=Settings!$A$2),1,0)</f>
        <v>0</v>
      </c>
      <c r="AB627" s="46">
        <f ca="1">IF(AND(Table1[[#This Row],[SubscriptionStart]]&lt;=Settings!$B$2,Table1[[#This Row],[EffectiveEndDate]]&gt;=Settings!$B$2),1,0)</f>
        <v>0</v>
      </c>
      <c r="AC627" s="46">
        <f ca="1">IF(AND(Table1[[#This Row],[SubscriptionStart]]&lt;=Settings!$C$2,Table1[[#This Row],[EffectiveEndDate]]&gt;=Settings!$C$2),1,0)</f>
        <v>0</v>
      </c>
      <c r="AD627" s="46">
        <f ca="1">IF(AND(Table1[[#This Row],[SubscriptionStart]]&lt;=Settings!$D$2,Table1[[#This Row],[EffectiveEndDate]]&gt;=Settings!$D$2),1,0)</f>
        <v>0</v>
      </c>
      <c r="AE627" s="46">
        <f ca="1">IF(AND(Table1[[#This Row],[SubscriptionStart]]&lt;=Settings!$E$2,Table1[[#This Row],[EffectiveEndDate]]&gt;=Settings!$E$2),1,0)</f>
        <v>1</v>
      </c>
      <c r="AF627"/>
      <c r="AG627"/>
      <c r="AH627"/>
      <c r="AI627"/>
      <c r="AJ627"/>
      <c r="AK627"/>
    </row>
    <row r="628" spans="1:37">
      <c r="A628" s="3" t="s">
        <v>765</v>
      </c>
      <c r="B628" s="3">
        <v>56</v>
      </c>
      <c r="C628" s="3" t="s">
        <v>23</v>
      </c>
      <c r="D628" s="5">
        <v>45130</v>
      </c>
      <c r="E628" s="5">
        <v>45310</v>
      </c>
      <c r="F628" s="3">
        <f ca="1">TODAY() - Table1[[#This Row],[SubscriptionStart]]</f>
        <v>851</v>
      </c>
      <c r="G628" s="4">
        <v>6</v>
      </c>
      <c r="H628" s="3" t="s">
        <v>38</v>
      </c>
      <c r="I628" s="3" t="s">
        <v>39</v>
      </c>
      <c r="J628" s="7" cm="1">
        <f t="array" ref="J628">_xlfn.IFS(Table1[[#This Row],[Tier]]="Basic",10,Table1[[#This Row],[Tier]]="Standard",18,Table1[[#This Row],[Tier]]="Premium",25)</f>
        <v>18</v>
      </c>
      <c r="K628" s="7" cm="1">
        <f t="array" ref="K62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628" s="7" cm="1">
        <f t="array" ref="L62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628" s="3" t="str" cm="1">
        <f t="array" ref="M62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28" s="3" t="s">
        <v>31</v>
      </c>
      <c r="O628" s="3" t="s">
        <v>40</v>
      </c>
      <c r="P628" s="3" t="s">
        <v>47</v>
      </c>
      <c r="Q628" s="3" t="str" cm="1">
        <f t="array" ref="Q628">_xlfn.IFS(Table1[[#This Row],[TotalRevenue]]&lt;100,"Low",Table1[[#This Row],[TotalRevenue]]&lt;300,"Medium",Table1[[#This Row],[TotalRevenue]]&lt;600,"High",TRUE,"Very High")</f>
        <v>Low</v>
      </c>
      <c r="R628" s="3" t="str" cm="1">
        <f t="array" ref="R62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28" s="3" t="str">
        <f>IF(Table1[[#This Row],[NextBillingDate]]="","Cancelled",IF(Table1[[#This Row],[CancellationDate]]&lt;&gt;"","Cancelled","Active"))</f>
        <v>Cancelled</v>
      </c>
      <c r="T628" s="7" cm="1">
        <f t="array" ref="T62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628" s="5">
        <v>45310</v>
      </c>
      <c r="W628" s="5">
        <v>45310</v>
      </c>
      <c r="X628" s="3">
        <v>0</v>
      </c>
      <c r="Y628" s="5">
        <f ca="1">IF(Table1[[#This Row],[ChurnStatus]]="Cancelled",Table1[[#This Row],[CancellationDate]],TODAY())</f>
        <v>45310</v>
      </c>
      <c r="Z628" s="46">
        <f ca="1">IF(AND(Table1[[#This Row],[SubscriptionStart]] &lt;= TODAY(), Table1[[#This Row],[EffectiveEndDate]] &gt;= TODAY()),1,0)</f>
        <v>0</v>
      </c>
      <c r="AA628" s="46">
        <f ca="1">IF(AND(Table1[[#This Row],[SubscriptionStart]]&lt;=Settings!$A$2,Table1[[#This Row],[EffectiveEndDate]]&gt;=Settings!$A$2),1,0)</f>
        <v>0</v>
      </c>
      <c r="AB628" s="46">
        <f ca="1">IF(AND(Table1[[#This Row],[SubscriptionStart]]&lt;=Settings!$B$2,Table1[[#This Row],[EffectiveEndDate]]&gt;=Settings!$B$2),1,0)</f>
        <v>0</v>
      </c>
      <c r="AC628" s="46">
        <f ca="1">IF(AND(Table1[[#This Row],[SubscriptionStart]]&lt;=Settings!$C$2,Table1[[#This Row],[EffectiveEndDate]]&gt;=Settings!$C$2),1,0)</f>
        <v>0</v>
      </c>
      <c r="AD628" s="46">
        <f ca="1">IF(AND(Table1[[#This Row],[SubscriptionStart]]&lt;=Settings!$D$2,Table1[[#This Row],[EffectiveEndDate]]&gt;=Settings!$D$2),1,0)</f>
        <v>0</v>
      </c>
      <c r="AE628" s="46">
        <f ca="1">IF(AND(Table1[[#This Row],[SubscriptionStart]]&lt;=Settings!$E$2,Table1[[#This Row],[EffectiveEndDate]]&gt;=Settings!$E$2),1,0)</f>
        <v>0</v>
      </c>
      <c r="AF628"/>
      <c r="AG628"/>
      <c r="AH628"/>
      <c r="AI628"/>
      <c r="AJ628"/>
      <c r="AK628"/>
    </row>
    <row r="629" spans="1:37">
      <c r="A629" s="3" t="s">
        <v>674</v>
      </c>
      <c r="B629" s="3">
        <v>27</v>
      </c>
      <c r="C629" s="3" t="s">
        <v>23</v>
      </c>
      <c r="D629" s="5">
        <v>45132</v>
      </c>
      <c r="E629" s="5">
        <v>45312</v>
      </c>
      <c r="F629" s="3">
        <f ca="1">TODAY() - Table1[[#This Row],[SubscriptionStart]]</f>
        <v>849</v>
      </c>
      <c r="G629" s="4">
        <v>6</v>
      </c>
      <c r="H629" s="3" t="s">
        <v>38</v>
      </c>
      <c r="I629" s="3" t="s">
        <v>30</v>
      </c>
      <c r="J629" s="7" cm="1">
        <f t="array" ref="J629">_xlfn.IFS(Table1[[#This Row],[Tier]]="Basic",10,Table1[[#This Row],[Tier]]="Standard",18,Table1[[#This Row],[Tier]]="Premium",25)</f>
        <v>10</v>
      </c>
      <c r="K629" s="7" cm="1">
        <f t="array" ref="K62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629" s="7" cm="1">
        <f t="array" ref="L62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629" s="3" t="str" cm="1">
        <f t="array" ref="M62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29" s="3" t="s">
        <v>31</v>
      </c>
      <c r="O629" s="3" t="s">
        <v>43</v>
      </c>
      <c r="P629" s="3" t="s">
        <v>47</v>
      </c>
      <c r="Q629" s="3" t="str" cm="1">
        <f t="array" ref="Q629">_xlfn.IFS(Table1[[#This Row],[TotalRevenue]]&lt;100,"Low",Table1[[#This Row],[TotalRevenue]]&lt;300,"Medium",Table1[[#This Row],[TotalRevenue]]&lt;600,"High",TRUE,"Very High")</f>
        <v>Low</v>
      </c>
      <c r="R629" s="3" t="str" cm="1">
        <f t="array" ref="R62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29" s="3" t="str">
        <f>IF(Table1[[#This Row],[NextBillingDate]]="","Cancelled",IF(Table1[[#This Row],[CancellationDate]]&lt;&gt;"","Cancelled","Active"))</f>
        <v>Cancelled</v>
      </c>
      <c r="T629" s="7" cm="1">
        <f t="array" ref="T62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629" s="5">
        <v>45312</v>
      </c>
      <c r="W629" s="5">
        <v>45312</v>
      </c>
      <c r="X629" s="3">
        <v>0</v>
      </c>
      <c r="Y629" s="5">
        <f ca="1">IF(Table1[[#This Row],[ChurnStatus]]="Cancelled",Table1[[#This Row],[CancellationDate]],TODAY())</f>
        <v>45312</v>
      </c>
      <c r="Z629" s="46">
        <f ca="1">IF(AND(Table1[[#This Row],[SubscriptionStart]] &lt;= TODAY(), Table1[[#This Row],[EffectiveEndDate]] &gt;= TODAY()),1,0)</f>
        <v>0</v>
      </c>
      <c r="AA629" s="46">
        <f ca="1">IF(AND(Table1[[#This Row],[SubscriptionStart]]&lt;=Settings!$A$2,Table1[[#This Row],[EffectiveEndDate]]&gt;=Settings!$A$2),1,0)</f>
        <v>0</v>
      </c>
      <c r="AB629" s="46">
        <f ca="1">IF(AND(Table1[[#This Row],[SubscriptionStart]]&lt;=Settings!$B$2,Table1[[#This Row],[EffectiveEndDate]]&gt;=Settings!$B$2),1,0)</f>
        <v>0</v>
      </c>
      <c r="AC629" s="46">
        <f ca="1">IF(AND(Table1[[#This Row],[SubscriptionStart]]&lt;=Settings!$C$2,Table1[[#This Row],[EffectiveEndDate]]&gt;=Settings!$C$2),1,0)</f>
        <v>0</v>
      </c>
      <c r="AD629" s="46">
        <f ca="1">IF(AND(Table1[[#This Row],[SubscriptionStart]]&lt;=Settings!$D$2,Table1[[#This Row],[EffectiveEndDate]]&gt;=Settings!$D$2),1,0)</f>
        <v>0</v>
      </c>
      <c r="AE629" s="46">
        <f ca="1">IF(AND(Table1[[#This Row],[SubscriptionStart]]&lt;=Settings!$E$2,Table1[[#This Row],[EffectiveEndDate]]&gt;=Settings!$E$2),1,0)</f>
        <v>0</v>
      </c>
      <c r="AF629"/>
      <c r="AG629"/>
      <c r="AH629"/>
      <c r="AI629"/>
      <c r="AJ629"/>
      <c r="AK629"/>
    </row>
    <row r="630" spans="1:37">
      <c r="A630" s="3" t="s">
        <v>601</v>
      </c>
      <c r="B630" s="3">
        <v>21</v>
      </c>
      <c r="C630" s="3" t="s">
        <v>37</v>
      </c>
      <c r="D630" s="5">
        <v>45133</v>
      </c>
      <c r="E630" s="5">
        <v>45493</v>
      </c>
      <c r="F630" s="3">
        <f ca="1">TODAY() - Table1[[#This Row],[SubscriptionStart]]</f>
        <v>848</v>
      </c>
      <c r="G630" s="4">
        <v>12</v>
      </c>
      <c r="H630" s="3" t="s">
        <v>24</v>
      </c>
      <c r="I630" s="3" t="s">
        <v>30</v>
      </c>
      <c r="J630" s="7" cm="1">
        <f t="array" ref="J630">_xlfn.IFS(Table1[[#This Row],[Tier]]="Basic",10,Table1[[#This Row],[Tier]]="Standard",18,Table1[[#This Row],[Tier]]="Premium",25)</f>
        <v>10</v>
      </c>
      <c r="K630" s="7" cm="1">
        <f t="array" ref="K63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30" s="7" cm="1">
        <f t="array" ref="L63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30" s="3" t="str" cm="1">
        <f t="array" ref="M630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630" s="3" t="s">
        <v>52</v>
      </c>
      <c r="O630" s="3" t="s">
        <v>40</v>
      </c>
      <c r="P630" s="3" t="s">
        <v>35</v>
      </c>
      <c r="Q630" s="3" t="str" cm="1">
        <f t="array" ref="Q630">_xlfn.IFS(Table1[[#This Row],[TotalRevenue]]&lt;100,"Low",Table1[[#This Row],[TotalRevenue]]&lt;300,"Medium",Table1[[#This Row],[TotalRevenue]]&lt;600,"High",TRUE,"Very High")</f>
        <v>Low</v>
      </c>
      <c r="R630" s="3" t="str" cm="1">
        <f t="array" ref="R630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630" s="3" t="str">
        <f>IF(Table1[[#This Row],[NextBillingDate]]="","Cancelled",IF(Table1[[#This Row],[CancellationDate]]&lt;&gt;"","Cancelled","Active"))</f>
        <v>Cancelled</v>
      </c>
      <c r="T630" s="7" cm="1">
        <f t="array" ref="T63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30" s="5">
        <v>45493</v>
      </c>
      <c r="W630" s="5">
        <v>45493</v>
      </c>
      <c r="X630" s="3">
        <v>0</v>
      </c>
      <c r="Y630" s="5">
        <f ca="1">IF(Table1[[#This Row],[ChurnStatus]]="Cancelled",Table1[[#This Row],[CancellationDate]],TODAY())</f>
        <v>45493</v>
      </c>
      <c r="Z630" s="46">
        <f ca="1">IF(AND(Table1[[#This Row],[SubscriptionStart]] &lt;= TODAY(), Table1[[#This Row],[EffectiveEndDate]] &gt;= TODAY()),1,0)</f>
        <v>0</v>
      </c>
      <c r="AA630" s="46">
        <f ca="1">IF(AND(Table1[[#This Row],[SubscriptionStart]]&lt;=Settings!$A$2,Table1[[#This Row],[EffectiveEndDate]]&gt;=Settings!$A$2),1,0)</f>
        <v>0</v>
      </c>
      <c r="AB630" s="46">
        <f ca="1">IF(AND(Table1[[#This Row],[SubscriptionStart]]&lt;=Settings!$B$2,Table1[[#This Row],[EffectiveEndDate]]&gt;=Settings!$B$2),1,0)</f>
        <v>0</v>
      </c>
      <c r="AC630" s="46">
        <f ca="1">IF(AND(Table1[[#This Row],[SubscriptionStart]]&lt;=Settings!$C$2,Table1[[#This Row],[EffectiveEndDate]]&gt;=Settings!$C$2),1,0)</f>
        <v>0</v>
      </c>
      <c r="AD630" s="46">
        <f ca="1">IF(AND(Table1[[#This Row],[SubscriptionStart]]&lt;=Settings!$D$2,Table1[[#This Row],[EffectiveEndDate]]&gt;=Settings!$D$2),1,0)</f>
        <v>0</v>
      </c>
      <c r="AE630" s="46">
        <f ca="1">IF(AND(Table1[[#This Row],[SubscriptionStart]]&lt;=Settings!$E$2,Table1[[#This Row],[EffectiveEndDate]]&gt;=Settings!$E$2),1,0)</f>
        <v>0</v>
      </c>
      <c r="AF630"/>
      <c r="AG630"/>
      <c r="AH630"/>
      <c r="AI630"/>
      <c r="AJ630"/>
      <c r="AK630"/>
    </row>
    <row r="631" spans="1:37">
      <c r="A631" s="3" t="s">
        <v>776</v>
      </c>
      <c r="B631" s="3">
        <v>29</v>
      </c>
      <c r="C631" s="3" t="s">
        <v>37</v>
      </c>
      <c r="D631" s="5">
        <v>45133</v>
      </c>
      <c r="E631" s="5">
        <v>45493</v>
      </c>
      <c r="F631" s="3">
        <f ca="1">TODAY() - Table1[[#This Row],[SubscriptionStart]]</f>
        <v>848</v>
      </c>
      <c r="G631" s="4">
        <v>12</v>
      </c>
      <c r="H631" s="3" t="s">
        <v>24</v>
      </c>
      <c r="I631" s="3" t="s">
        <v>25</v>
      </c>
      <c r="J631" s="7" cm="1">
        <f t="array" ref="J631">_xlfn.IFS(Table1[[#This Row],[Tier]]="Basic",10,Table1[[#This Row],[Tier]]="Standard",18,Table1[[#This Row],[Tier]]="Premium",25)</f>
        <v>25</v>
      </c>
      <c r="K631" s="7" cm="1">
        <f t="array" ref="K63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631" s="7" cm="1">
        <f t="array" ref="L63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631" s="3" t="str" cm="1">
        <f t="array" ref="M63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31" s="3" t="s">
        <v>31</v>
      </c>
      <c r="O631" s="3" t="s">
        <v>43</v>
      </c>
      <c r="P631" s="3" t="s">
        <v>41</v>
      </c>
      <c r="Q631" s="3" t="str" cm="1">
        <f t="array" ref="Q631">_xlfn.IFS(Table1[[#This Row],[TotalRevenue]]&lt;100,"Low",Table1[[#This Row],[TotalRevenue]]&lt;300,"Medium",Table1[[#This Row],[TotalRevenue]]&lt;600,"High",TRUE,"Very High")</f>
        <v>Medium</v>
      </c>
      <c r="R631" s="3" t="str" cm="1">
        <f t="array" ref="R63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31" s="3" t="str">
        <f>IF(Table1[[#This Row],[NextBillingDate]]="","Cancelled",IF(Table1[[#This Row],[CancellationDate]]&lt;&gt;"","Cancelled","Active"))</f>
        <v>Cancelled</v>
      </c>
      <c r="T631" s="7" cm="1">
        <f t="array" ref="T63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631" s="5">
        <v>45493</v>
      </c>
      <c r="W631" s="5">
        <v>45493</v>
      </c>
      <c r="X631" s="3">
        <v>0</v>
      </c>
      <c r="Y631" s="5">
        <f ca="1">IF(Table1[[#This Row],[ChurnStatus]]="Cancelled",Table1[[#This Row],[CancellationDate]],TODAY())</f>
        <v>45493</v>
      </c>
      <c r="Z631" s="46">
        <f ca="1">IF(AND(Table1[[#This Row],[SubscriptionStart]] &lt;= TODAY(), Table1[[#This Row],[EffectiveEndDate]] &gt;= TODAY()),1,0)</f>
        <v>0</v>
      </c>
      <c r="AA631" s="46">
        <f ca="1">IF(AND(Table1[[#This Row],[SubscriptionStart]]&lt;=Settings!$A$2,Table1[[#This Row],[EffectiveEndDate]]&gt;=Settings!$A$2),1,0)</f>
        <v>0</v>
      </c>
      <c r="AB631" s="46">
        <f ca="1">IF(AND(Table1[[#This Row],[SubscriptionStart]]&lt;=Settings!$B$2,Table1[[#This Row],[EffectiveEndDate]]&gt;=Settings!$B$2),1,0)</f>
        <v>0</v>
      </c>
      <c r="AC631" s="46">
        <f ca="1">IF(AND(Table1[[#This Row],[SubscriptionStart]]&lt;=Settings!$C$2,Table1[[#This Row],[EffectiveEndDate]]&gt;=Settings!$C$2),1,0)</f>
        <v>0</v>
      </c>
      <c r="AD631" s="46">
        <f ca="1">IF(AND(Table1[[#This Row],[SubscriptionStart]]&lt;=Settings!$D$2,Table1[[#This Row],[EffectiveEndDate]]&gt;=Settings!$D$2),1,0)</f>
        <v>0</v>
      </c>
      <c r="AE631" s="46">
        <f ca="1">IF(AND(Table1[[#This Row],[SubscriptionStart]]&lt;=Settings!$E$2,Table1[[#This Row],[EffectiveEndDate]]&gt;=Settings!$E$2),1,0)</f>
        <v>0</v>
      </c>
      <c r="AF631"/>
      <c r="AG631"/>
      <c r="AH631"/>
      <c r="AI631"/>
      <c r="AJ631"/>
      <c r="AK631"/>
    </row>
    <row r="632" spans="1:37">
      <c r="A632" s="3" t="s">
        <v>309</v>
      </c>
      <c r="B632" s="3">
        <v>36</v>
      </c>
      <c r="C632" s="3" t="s">
        <v>37</v>
      </c>
      <c r="D632" s="5">
        <v>45134</v>
      </c>
      <c r="E632" s="5">
        <v>45494</v>
      </c>
      <c r="F632" s="3">
        <f ca="1">TODAY() - Table1[[#This Row],[SubscriptionStart]]</f>
        <v>847</v>
      </c>
      <c r="G632" s="4">
        <v>12</v>
      </c>
      <c r="H632" s="3" t="s">
        <v>24</v>
      </c>
      <c r="I632" s="3" t="s">
        <v>30</v>
      </c>
      <c r="J632" s="7" cm="1">
        <f t="array" ref="J632">_xlfn.IFS(Table1[[#This Row],[Tier]]="Basic",10,Table1[[#This Row],[Tier]]="Standard",18,Table1[[#This Row],[Tier]]="Premium",25)</f>
        <v>10</v>
      </c>
      <c r="K632" s="7" cm="1">
        <f t="array" ref="K63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32" s="7" cm="1">
        <f t="array" ref="L63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32" s="3" t="str" cm="1">
        <f t="array" ref="M63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32" s="3" t="s">
        <v>52</v>
      </c>
      <c r="O632" s="3" t="s">
        <v>49</v>
      </c>
      <c r="P632" s="3" t="s">
        <v>44</v>
      </c>
      <c r="Q632" s="3" t="str" cm="1">
        <f t="array" ref="Q632">_xlfn.IFS(Table1[[#This Row],[TotalRevenue]]&lt;100,"Low",Table1[[#This Row],[TotalRevenue]]&lt;300,"Medium",Table1[[#This Row],[TotalRevenue]]&lt;600,"High",TRUE,"Very High")</f>
        <v>Low</v>
      </c>
      <c r="R632" s="3" t="str" cm="1">
        <f t="array" ref="R63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32" s="3" t="str">
        <f>IF(Table1[[#This Row],[NextBillingDate]]="","Cancelled",IF(Table1[[#This Row],[CancellationDate]]&lt;&gt;"","Cancelled","Active"))</f>
        <v>Cancelled</v>
      </c>
      <c r="T632" s="7" cm="1">
        <f t="array" ref="T63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32" s="5">
        <v>45494</v>
      </c>
      <c r="W632" s="5">
        <v>45494</v>
      </c>
      <c r="X632" s="3">
        <v>0</v>
      </c>
      <c r="Y632" s="5">
        <f ca="1">IF(Table1[[#This Row],[ChurnStatus]]="Cancelled",Table1[[#This Row],[CancellationDate]],TODAY())</f>
        <v>45494</v>
      </c>
      <c r="Z632" s="46">
        <f ca="1">IF(AND(Table1[[#This Row],[SubscriptionStart]] &lt;= TODAY(), Table1[[#This Row],[EffectiveEndDate]] &gt;= TODAY()),1,0)</f>
        <v>0</v>
      </c>
      <c r="AA632" s="46">
        <f ca="1">IF(AND(Table1[[#This Row],[SubscriptionStart]]&lt;=Settings!$A$2,Table1[[#This Row],[EffectiveEndDate]]&gt;=Settings!$A$2),1,0)</f>
        <v>0</v>
      </c>
      <c r="AB632" s="46">
        <f ca="1">IF(AND(Table1[[#This Row],[SubscriptionStart]]&lt;=Settings!$B$2,Table1[[#This Row],[EffectiveEndDate]]&gt;=Settings!$B$2),1,0)</f>
        <v>0</v>
      </c>
      <c r="AC632" s="46">
        <f ca="1">IF(AND(Table1[[#This Row],[SubscriptionStart]]&lt;=Settings!$C$2,Table1[[#This Row],[EffectiveEndDate]]&gt;=Settings!$C$2),1,0)</f>
        <v>0</v>
      </c>
      <c r="AD632" s="46">
        <f ca="1">IF(AND(Table1[[#This Row],[SubscriptionStart]]&lt;=Settings!$D$2,Table1[[#This Row],[EffectiveEndDate]]&gt;=Settings!$D$2),1,0)</f>
        <v>0</v>
      </c>
      <c r="AE632" s="46">
        <f ca="1">IF(AND(Table1[[#This Row],[SubscriptionStart]]&lt;=Settings!$E$2,Table1[[#This Row],[EffectiveEndDate]]&gt;=Settings!$E$2),1,0)</f>
        <v>0</v>
      </c>
      <c r="AF632"/>
      <c r="AG632"/>
      <c r="AH632"/>
      <c r="AI632"/>
      <c r="AJ632"/>
      <c r="AK632"/>
    </row>
    <row r="633" spans="1:37">
      <c r="A633" s="3" t="s">
        <v>528</v>
      </c>
      <c r="B633" s="3">
        <v>26</v>
      </c>
      <c r="C633" s="3" t="s">
        <v>23</v>
      </c>
      <c r="D633" s="5">
        <v>45134</v>
      </c>
      <c r="F633" s="3">
        <f ca="1">TODAY() - Table1[[#This Row],[SubscriptionStart]]</f>
        <v>847</v>
      </c>
      <c r="G633" s="4">
        <v>36</v>
      </c>
      <c r="H633" s="3" t="s">
        <v>24</v>
      </c>
      <c r="I633" s="3" t="s">
        <v>25</v>
      </c>
      <c r="J633" s="7" cm="1">
        <f t="array" ref="J633">_xlfn.IFS(Table1[[#This Row],[Tier]]="Basic",10,Table1[[#This Row],[Tier]]="Standard",18,Table1[[#This Row],[Tier]]="Premium",25)</f>
        <v>25</v>
      </c>
      <c r="K633" s="7" cm="1">
        <f t="array" ref="K63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16.666666666666664</v>
      </c>
      <c r="L633" s="7" cm="1">
        <f t="array" ref="L63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580</v>
      </c>
      <c r="M633" s="3" t="str" cm="1">
        <f t="array" ref="M63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33" s="3" t="s">
        <v>31</v>
      </c>
      <c r="O633" s="3" t="s">
        <v>40</v>
      </c>
      <c r="Q633" s="3" t="str" cm="1">
        <f t="array" ref="Q633">_xlfn.IFS(Table1[[#This Row],[TotalRevenue]]&lt;100,"Low",Table1[[#This Row],[TotalRevenue]]&lt;300,"Medium",Table1[[#This Row],[TotalRevenue]]&lt;600,"High",TRUE,"Very High")</f>
        <v>High</v>
      </c>
      <c r="R633" s="3" t="str" cm="1">
        <f t="array" ref="R63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33" s="3" t="str">
        <f>IF(Table1[[#This Row],[NextBillingDate]]="","Cancelled",IF(Table1[[#This Row],[CancellationDate]]&lt;&gt;"","Cancelled","Active"))</f>
        <v>Active</v>
      </c>
      <c r="T633" s="7" cm="1">
        <f t="array" ref="T63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780</v>
      </c>
      <c r="V633" s="5">
        <v>46214</v>
      </c>
      <c r="W633" s="5">
        <v>46214</v>
      </c>
      <c r="X633" s="3">
        <v>2</v>
      </c>
      <c r="Y633" s="5">
        <f ca="1">IF(Table1[[#This Row],[ChurnStatus]]="Cancelled",Table1[[#This Row],[CancellationDate]],TODAY())</f>
        <v>45981</v>
      </c>
      <c r="Z633" s="46">
        <f ca="1">IF(AND(Table1[[#This Row],[SubscriptionStart]] &lt;= TODAY(), Table1[[#This Row],[EffectiveEndDate]] &gt;= TODAY()),1,0)</f>
        <v>1</v>
      </c>
      <c r="AA633" s="46">
        <f ca="1">IF(AND(Table1[[#This Row],[SubscriptionStart]]&lt;=Settings!$A$2,Table1[[#This Row],[EffectiveEndDate]]&gt;=Settings!$A$2),1,0)</f>
        <v>0</v>
      </c>
      <c r="AB633" s="46">
        <f ca="1">IF(AND(Table1[[#This Row],[SubscriptionStart]]&lt;=Settings!$B$2,Table1[[#This Row],[EffectiveEndDate]]&gt;=Settings!$B$2),1,0)</f>
        <v>0</v>
      </c>
      <c r="AC633" s="46">
        <f ca="1">IF(AND(Table1[[#This Row],[SubscriptionStart]]&lt;=Settings!$C$2,Table1[[#This Row],[EffectiveEndDate]]&gt;=Settings!$C$2),1,0)</f>
        <v>0</v>
      </c>
      <c r="AD633" s="46">
        <f ca="1">IF(AND(Table1[[#This Row],[SubscriptionStart]]&lt;=Settings!$D$2,Table1[[#This Row],[EffectiveEndDate]]&gt;=Settings!$D$2),1,0)</f>
        <v>0</v>
      </c>
      <c r="AE633" s="46">
        <f ca="1">IF(AND(Table1[[#This Row],[SubscriptionStart]]&lt;=Settings!$E$2,Table1[[#This Row],[EffectiveEndDate]]&gt;=Settings!$E$2),1,0)</f>
        <v>1</v>
      </c>
      <c r="AF633"/>
      <c r="AG633"/>
      <c r="AH633"/>
      <c r="AI633"/>
      <c r="AJ633"/>
      <c r="AK633"/>
    </row>
    <row r="634" spans="1:37">
      <c r="A634" s="3" t="s">
        <v>280</v>
      </c>
      <c r="B634" s="3">
        <v>23</v>
      </c>
      <c r="C634" s="3" t="s">
        <v>37</v>
      </c>
      <c r="D634" s="5">
        <v>45135</v>
      </c>
      <c r="E634" s="5">
        <v>45495</v>
      </c>
      <c r="F634" s="3">
        <f ca="1">TODAY() - Table1[[#This Row],[SubscriptionStart]]</f>
        <v>846</v>
      </c>
      <c r="G634" s="4">
        <v>12</v>
      </c>
      <c r="H634" s="3" t="s">
        <v>24</v>
      </c>
      <c r="I634" s="3" t="s">
        <v>25</v>
      </c>
      <c r="J634" s="7" cm="1">
        <f t="array" ref="J634">_xlfn.IFS(Table1[[#This Row],[Tier]]="Basic",10,Table1[[#This Row],[Tier]]="Standard",18,Table1[[#This Row],[Tier]]="Premium",25)</f>
        <v>25</v>
      </c>
      <c r="K634" s="7" cm="1">
        <f t="array" ref="K63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634" s="7" cm="1">
        <f t="array" ref="L63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634" s="3" t="str" cm="1">
        <f t="array" ref="M634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634" s="3" t="s">
        <v>34</v>
      </c>
      <c r="O634" s="3" t="s">
        <v>43</v>
      </c>
      <c r="P634" s="3" t="s">
        <v>47</v>
      </c>
      <c r="Q634" s="3" t="str" cm="1">
        <f t="array" ref="Q634">_xlfn.IFS(Table1[[#This Row],[TotalRevenue]]&lt;100,"Low",Table1[[#This Row],[TotalRevenue]]&lt;300,"Medium",Table1[[#This Row],[TotalRevenue]]&lt;600,"High",TRUE,"Very High")</f>
        <v>Medium</v>
      </c>
      <c r="R634" s="3" t="str" cm="1">
        <f t="array" ref="R634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634" s="3" t="str">
        <f>IF(Table1[[#This Row],[NextBillingDate]]="","Cancelled",IF(Table1[[#This Row],[CancellationDate]]&lt;&gt;"","Cancelled","Active"))</f>
        <v>Cancelled</v>
      </c>
      <c r="T634" s="7" cm="1">
        <f t="array" ref="T63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634" s="5">
        <v>45495</v>
      </c>
      <c r="W634" s="5">
        <v>45495</v>
      </c>
      <c r="X634" s="3">
        <v>0</v>
      </c>
      <c r="Y634" s="5">
        <f ca="1">IF(Table1[[#This Row],[ChurnStatus]]="Cancelled",Table1[[#This Row],[CancellationDate]],TODAY())</f>
        <v>45495</v>
      </c>
      <c r="Z634" s="46">
        <f ca="1">IF(AND(Table1[[#This Row],[SubscriptionStart]] &lt;= TODAY(), Table1[[#This Row],[EffectiveEndDate]] &gt;= TODAY()),1,0)</f>
        <v>0</v>
      </c>
      <c r="AA634" s="46">
        <f ca="1">IF(AND(Table1[[#This Row],[SubscriptionStart]]&lt;=Settings!$A$2,Table1[[#This Row],[EffectiveEndDate]]&gt;=Settings!$A$2),1,0)</f>
        <v>0</v>
      </c>
      <c r="AB634" s="46">
        <f ca="1">IF(AND(Table1[[#This Row],[SubscriptionStart]]&lt;=Settings!$B$2,Table1[[#This Row],[EffectiveEndDate]]&gt;=Settings!$B$2),1,0)</f>
        <v>0</v>
      </c>
      <c r="AC634" s="46">
        <f ca="1">IF(AND(Table1[[#This Row],[SubscriptionStart]]&lt;=Settings!$C$2,Table1[[#This Row],[EffectiveEndDate]]&gt;=Settings!$C$2),1,0)</f>
        <v>0</v>
      </c>
      <c r="AD634" s="46">
        <f ca="1">IF(AND(Table1[[#This Row],[SubscriptionStart]]&lt;=Settings!$D$2,Table1[[#This Row],[EffectiveEndDate]]&gt;=Settings!$D$2),1,0)</f>
        <v>0</v>
      </c>
      <c r="AE634" s="46">
        <f ca="1">IF(AND(Table1[[#This Row],[SubscriptionStart]]&lt;=Settings!$E$2,Table1[[#This Row],[EffectiveEndDate]]&gt;=Settings!$E$2),1,0)</f>
        <v>0</v>
      </c>
      <c r="AF634"/>
      <c r="AG634"/>
      <c r="AH634"/>
      <c r="AI634"/>
      <c r="AJ634"/>
      <c r="AK634"/>
    </row>
    <row r="635" spans="1:37">
      <c r="A635" s="3" t="s">
        <v>286</v>
      </c>
      <c r="B635" s="3">
        <v>61</v>
      </c>
      <c r="C635" s="3" t="s">
        <v>23</v>
      </c>
      <c r="D635" s="5">
        <v>45135</v>
      </c>
      <c r="E635" s="5">
        <v>45495</v>
      </c>
      <c r="F635" s="3">
        <f ca="1">TODAY() - Table1[[#This Row],[SubscriptionStart]]</f>
        <v>846</v>
      </c>
      <c r="G635" s="4">
        <v>12</v>
      </c>
      <c r="H635" s="3" t="s">
        <v>24</v>
      </c>
      <c r="I635" s="3" t="s">
        <v>25</v>
      </c>
      <c r="J635" s="7" cm="1">
        <f t="array" ref="J635">_xlfn.IFS(Table1[[#This Row],[Tier]]="Basic",10,Table1[[#This Row],[Tier]]="Standard",18,Table1[[#This Row],[Tier]]="Premium",25)</f>
        <v>25</v>
      </c>
      <c r="K635" s="7" cm="1">
        <f t="array" ref="K63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635" s="7" cm="1">
        <f t="array" ref="L63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635" s="3" t="str" cm="1">
        <f t="array" ref="M635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35" s="3" t="s">
        <v>52</v>
      </c>
      <c r="O635" s="3" t="s">
        <v>27</v>
      </c>
      <c r="P635" s="3" t="s">
        <v>44</v>
      </c>
      <c r="Q635" s="3" t="str" cm="1">
        <f t="array" ref="Q635">_xlfn.IFS(Table1[[#This Row],[TotalRevenue]]&lt;100,"Low",Table1[[#This Row],[TotalRevenue]]&lt;300,"Medium",Table1[[#This Row],[TotalRevenue]]&lt;600,"High",TRUE,"Very High")</f>
        <v>Medium</v>
      </c>
      <c r="R635" s="3" t="str" cm="1">
        <f t="array" ref="R635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635" s="3" t="str">
        <f>IF(Table1[[#This Row],[NextBillingDate]]="","Cancelled",IF(Table1[[#This Row],[CancellationDate]]&lt;&gt;"","Cancelled","Active"))</f>
        <v>Cancelled</v>
      </c>
      <c r="T635" s="7" cm="1">
        <f t="array" ref="T63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635" s="5">
        <v>45495</v>
      </c>
      <c r="W635" s="5">
        <v>45495</v>
      </c>
      <c r="X635" s="3">
        <v>0</v>
      </c>
      <c r="Y635" s="5">
        <f ca="1">IF(Table1[[#This Row],[ChurnStatus]]="Cancelled",Table1[[#This Row],[CancellationDate]],TODAY())</f>
        <v>45495</v>
      </c>
      <c r="Z635" s="46">
        <f ca="1">IF(AND(Table1[[#This Row],[SubscriptionStart]] &lt;= TODAY(), Table1[[#This Row],[EffectiveEndDate]] &gt;= TODAY()),1,0)</f>
        <v>0</v>
      </c>
      <c r="AA635" s="46">
        <f ca="1">IF(AND(Table1[[#This Row],[SubscriptionStart]]&lt;=Settings!$A$2,Table1[[#This Row],[EffectiveEndDate]]&gt;=Settings!$A$2),1,0)</f>
        <v>0</v>
      </c>
      <c r="AB635" s="46">
        <f ca="1">IF(AND(Table1[[#This Row],[SubscriptionStart]]&lt;=Settings!$B$2,Table1[[#This Row],[EffectiveEndDate]]&gt;=Settings!$B$2),1,0)</f>
        <v>0</v>
      </c>
      <c r="AC635" s="46">
        <f ca="1">IF(AND(Table1[[#This Row],[SubscriptionStart]]&lt;=Settings!$C$2,Table1[[#This Row],[EffectiveEndDate]]&gt;=Settings!$C$2),1,0)</f>
        <v>0</v>
      </c>
      <c r="AD635" s="46">
        <f ca="1">IF(AND(Table1[[#This Row],[SubscriptionStart]]&lt;=Settings!$D$2,Table1[[#This Row],[EffectiveEndDate]]&gt;=Settings!$D$2),1,0)</f>
        <v>0</v>
      </c>
      <c r="AE635" s="46">
        <f ca="1">IF(AND(Table1[[#This Row],[SubscriptionStart]]&lt;=Settings!$E$2,Table1[[#This Row],[EffectiveEndDate]]&gt;=Settings!$E$2),1,0)</f>
        <v>0</v>
      </c>
      <c r="AF635"/>
      <c r="AG635"/>
      <c r="AH635"/>
      <c r="AI635"/>
      <c r="AJ635"/>
      <c r="AK635"/>
    </row>
    <row r="636" spans="1:37">
      <c r="A636" s="3" t="s">
        <v>277</v>
      </c>
      <c r="B636" s="3">
        <v>70</v>
      </c>
      <c r="C636" s="3" t="s">
        <v>37</v>
      </c>
      <c r="D636" s="5">
        <v>45135</v>
      </c>
      <c r="F636" s="3">
        <f ca="1">TODAY() - Table1[[#This Row],[SubscriptionStart]]</f>
        <v>846</v>
      </c>
      <c r="G636" s="4">
        <v>29</v>
      </c>
      <c r="H636" s="3" t="s">
        <v>29</v>
      </c>
      <c r="I636" s="3" t="s">
        <v>25</v>
      </c>
      <c r="J636" s="7" cm="1">
        <f t="array" ref="J636">_xlfn.IFS(Table1[[#This Row],[Tier]]="Basic",10,Table1[[#This Row],[Tier]]="Standard",18,Table1[[#This Row],[Tier]]="Premium",25)</f>
        <v>25</v>
      </c>
      <c r="K636" s="7" cm="1">
        <f t="array" ref="K63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636" s="7" cm="1">
        <f t="array" ref="L63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672.5</v>
      </c>
      <c r="M636" s="3" t="str" cm="1">
        <f t="array" ref="M636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36" s="3" t="s">
        <v>26</v>
      </c>
      <c r="O636" s="3" t="s">
        <v>27</v>
      </c>
      <c r="Q636" s="3" t="str" cm="1">
        <f t="array" ref="Q636">_xlfn.IFS(Table1[[#This Row],[TotalRevenue]]&lt;100,"Low",Table1[[#This Row],[TotalRevenue]]&lt;300,"Medium",Table1[[#This Row],[TotalRevenue]]&lt;600,"High",TRUE,"Very High")</f>
        <v>Very High</v>
      </c>
      <c r="R636" s="3" t="str" cm="1">
        <f t="array" ref="R636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636" s="3" t="str">
        <f>IF(Table1[[#This Row],[NextBillingDate]]="","Cancelled",IF(Table1[[#This Row],[CancellationDate]]&lt;&gt;"","Cancelled","Active"))</f>
        <v>Active</v>
      </c>
      <c r="T636" s="7" cm="1">
        <f t="array" ref="T63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697.5</v>
      </c>
      <c r="V636" s="5">
        <v>46005</v>
      </c>
      <c r="W636" s="5">
        <v>46005</v>
      </c>
      <c r="X636" s="3">
        <v>28</v>
      </c>
      <c r="Y636" s="5">
        <f ca="1">IF(Table1[[#This Row],[ChurnStatus]]="Cancelled",Table1[[#This Row],[CancellationDate]],TODAY())</f>
        <v>45981</v>
      </c>
      <c r="Z636" s="46">
        <f ca="1">IF(AND(Table1[[#This Row],[SubscriptionStart]] &lt;= TODAY(), Table1[[#This Row],[EffectiveEndDate]] &gt;= TODAY()),1,0)</f>
        <v>1</v>
      </c>
      <c r="AA636" s="46">
        <f ca="1">IF(AND(Table1[[#This Row],[SubscriptionStart]]&lt;=Settings!$A$2,Table1[[#This Row],[EffectiveEndDate]]&gt;=Settings!$A$2),1,0)</f>
        <v>0</v>
      </c>
      <c r="AB636" s="46">
        <f ca="1">IF(AND(Table1[[#This Row],[SubscriptionStart]]&lt;=Settings!$B$2,Table1[[#This Row],[EffectiveEndDate]]&gt;=Settings!$B$2),1,0)</f>
        <v>0</v>
      </c>
      <c r="AC636" s="46">
        <f ca="1">IF(AND(Table1[[#This Row],[SubscriptionStart]]&lt;=Settings!$C$2,Table1[[#This Row],[EffectiveEndDate]]&gt;=Settings!$C$2),1,0)</f>
        <v>0</v>
      </c>
      <c r="AD636" s="46">
        <f ca="1">IF(AND(Table1[[#This Row],[SubscriptionStart]]&lt;=Settings!$D$2,Table1[[#This Row],[EffectiveEndDate]]&gt;=Settings!$D$2),1,0)</f>
        <v>0</v>
      </c>
      <c r="AE636" s="46">
        <f ca="1">IF(AND(Table1[[#This Row],[SubscriptionStart]]&lt;=Settings!$E$2,Table1[[#This Row],[EffectiveEndDate]]&gt;=Settings!$E$2),1,0)</f>
        <v>1</v>
      </c>
      <c r="AF636"/>
      <c r="AG636"/>
      <c r="AH636"/>
      <c r="AI636"/>
      <c r="AJ636"/>
      <c r="AK636"/>
    </row>
    <row r="637" spans="1:37">
      <c r="A637" s="3" t="s">
        <v>805</v>
      </c>
      <c r="B637" s="3">
        <v>37</v>
      </c>
      <c r="C637" s="3" t="s">
        <v>23</v>
      </c>
      <c r="D637" s="5">
        <v>45136</v>
      </c>
      <c r="E637" s="5">
        <v>45166</v>
      </c>
      <c r="F637" s="3">
        <f ca="1">TODAY() - Table1[[#This Row],[SubscriptionStart]]</f>
        <v>845</v>
      </c>
      <c r="G637" s="4">
        <v>1</v>
      </c>
      <c r="H637" s="3" t="s">
        <v>29</v>
      </c>
      <c r="I637" s="3" t="s">
        <v>39</v>
      </c>
      <c r="J637" s="7" cm="1">
        <f t="array" ref="J637">_xlfn.IFS(Table1[[#This Row],[Tier]]="Basic",10,Table1[[#This Row],[Tier]]="Standard",18,Table1[[#This Row],[Tier]]="Premium",25)</f>
        <v>18</v>
      </c>
      <c r="K637" s="7" cm="1">
        <f t="array" ref="K63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637" s="7" cm="1">
        <f t="array" ref="L63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637" s="3" t="str" cm="1">
        <f t="array" ref="M63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37" s="3" t="s">
        <v>31</v>
      </c>
      <c r="O637" s="3" t="s">
        <v>40</v>
      </c>
      <c r="P637" s="3" t="s">
        <v>50</v>
      </c>
      <c r="Q637" s="3" t="str" cm="1">
        <f t="array" ref="Q637">_xlfn.IFS(Table1[[#This Row],[TotalRevenue]]&lt;100,"Low",Table1[[#This Row],[TotalRevenue]]&lt;300,"Medium",Table1[[#This Row],[TotalRevenue]]&lt;600,"High",TRUE,"Very High")</f>
        <v>Low</v>
      </c>
      <c r="R637" s="3" t="str" cm="1">
        <f t="array" ref="R63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37" s="3" t="str">
        <f>IF(Table1[[#This Row],[NextBillingDate]]="","Cancelled",IF(Table1[[#This Row],[CancellationDate]]&lt;&gt;"","Cancelled","Active"))</f>
        <v>Cancelled</v>
      </c>
      <c r="T637" s="7" cm="1">
        <f t="array" ref="T63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637" s="5">
        <v>45166</v>
      </c>
      <c r="W637" s="5">
        <v>45166</v>
      </c>
      <c r="X637" s="3">
        <v>0</v>
      </c>
      <c r="Y637" s="5">
        <f ca="1">IF(Table1[[#This Row],[ChurnStatus]]="Cancelled",Table1[[#This Row],[CancellationDate]],TODAY())</f>
        <v>45166</v>
      </c>
      <c r="Z637" s="46">
        <f ca="1">IF(AND(Table1[[#This Row],[SubscriptionStart]] &lt;= TODAY(), Table1[[#This Row],[EffectiveEndDate]] &gt;= TODAY()),1,0)</f>
        <v>0</v>
      </c>
      <c r="AA637" s="46">
        <f ca="1">IF(AND(Table1[[#This Row],[SubscriptionStart]]&lt;=Settings!$A$2,Table1[[#This Row],[EffectiveEndDate]]&gt;=Settings!$A$2),1,0)</f>
        <v>0</v>
      </c>
      <c r="AB637" s="46">
        <f ca="1">IF(AND(Table1[[#This Row],[SubscriptionStart]]&lt;=Settings!$B$2,Table1[[#This Row],[EffectiveEndDate]]&gt;=Settings!$B$2),1,0)</f>
        <v>0</v>
      </c>
      <c r="AC637" s="46">
        <f ca="1">IF(AND(Table1[[#This Row],[SubscriptionStart]]&lt;=Settings!$C$2,Table1[[#This Row],[EffectiveEndDate]]&gt;=Settings!$C$2),1,0)</f>
        <v>0</v>
      </c>
      <c r="AD637" s="46">
        <f ca="1">IF(AND(Table1[[#This Row],[SubscriptionStart]]&lt;=Settings!$D$2,Table1[[#This Row],[EffectiveEndDate]]&gt;=Settings!$D$2),1,0)</f>
        <v>0</v>
      </c>
      <c r="AE637" s="46">
        <f ca="1">IF(AND(Table1[[#This Row],[SubscriptionStart]]&lt;=Settings!$E$2,Table1[[#This Row],[EffectiveEndDate]]&gt;=Settings!$E$2),1,0)</f>
        <v>0</v>
      </c>
      <c r="AF637"/>
      <c r="AG637"/>
      <c r="AH637"/>
      <c r="AI637"/>
      <c r="AJ637"/>
      <c r="AK637"/>
    </row>
    <row r="638" spans="1:37">
      <c r="A638" s="3" t="s">
        <v>700</v>
      </c>
      <c r="B638" s="3">
        <v>65</v>
      </c>
      <c r="C638" s="3" t="s">
        <v>23</v>
      </c>
      <c r="D638" s="5">
        <v>45136</v>
      </c>
      <c r="E638" s="5">
        <v>45316</v>
      </c>
      <c r="F638" s="3">
        <f ca="1">TODAY() - Table1[[#This Row],[SubscriptionStart]]</f>
        <v>845</v>
      </c>
      <c r="G638" s="4">
        <v>6</v>
      </c>
      <c r="H638" s="3" t="s">
        <v>38</v>
      </c>
      <c r="I638" s="3" t="s">
        <v>39</v>
      </c>
      <c r="J638" s="7" cm="1">
        <f t="array" ref="J638">_xlfn.IFS(Table1[[#This Row],[Tier]]="Basic",10,Table1[[#This Row],[Tier]]="Standard",18,Table1[[#This Row],[Tier]]="Premium",25)</f>
        <v>18</v>
      </c>
      <c r="K638" s="7" cm="1">
        <f t="array" ref="K63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638" s="7" cm="1">
        <f t="array" ref="L63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638" s="3" t="str" cm="1">
        <f t="array" ref="M638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38" s="3" t="s">
        <v>26</v>
      </c>
      <c r="O638" s="3" t="s">
        <v>40</v>
      </c>
      <c r="P638" s="3" t="s">
        <v>50</v>
      </c>
      <c r="Q638" s="3" t="str" cm="1">
        <f t="array" ref="Q638">_xlfn.IFS(Table1[[#This Row],[TotalRevenue]]&lt;100,"Low",Table1[[#This Row],[TotalRevenue]]&lt;300,"Medium",Table1[[#This Row],[TotalRevenue]]&lt;600,"High",TRUE,"Very High")</f>
        <v>Low</v>
      </c>
      <c r="R638" s="3" t="str" cm="1">
        <f t="array" ref="R638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638" s="3" t="str">
        <f>IF(Table1[[#This Row],[NextBillingDate]]="","Cancelled",IF(Table1[[#This Row],[CancellationDate]]&lt;&gt;"","Cancelled","Active"))</f>
        <v>Cancelled</v>
      </c>
      <c r="T638" s="7" cm="1">
        <f t="array" ref="T63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638" s="5">
        <v>45316</v>
      </c>
      <c r="W638" s="5">
        <v>45316</v>
      </c>
      <c r="X638" s="3">
        <v>0</v>
      </c>
      <c r="Y638" s="5">
        <f ca="1">IF(Table1[[#This Row],[ChurnStatus]]="Cancelled",Table1[[#This Row],[CancellationDate]],TODAY())</f>
        <v>45316</v>
      </c>
      <c r="Z638" s="46">
        <f ca="1">IF(AND(Table1[[#This Row],[SubscriptionStart]] &lt;= TODAY(), Table1[[#This Row],[EffectiveEndDate]] &gt;= TODAY()),1,0)</f>
        <v>0</v>
      </c>
      <c r="AA638" s="46">
        <f ca="1">IF(AND(Table1[[#This Row],[SubscriptionStart]]&lt;=Settings!$A$2,Table1[[#This Row],[EffectiveEndDate]]&gt;=Settings!$A$2),1,0)</f>
        <v>0</v>
      </c>
      <c r="AB638" s="46">
        <f ca="1">IF(AND(Table1[[#This Row],[SubscriptionStart]]&lt;=Settings!$B$2,Table1[[#This Row],[EffectiveEndDate]]&gt;=Settings!$B$2),1,0)</f>
        <v>0</v>
      </c>
      <c r="AC638" s="46">
        <f ca="1">IF(AND(Table1[[#This Row],[SubscriptionStart]]&lt;=Settings!$C$2,Table1[[#This Row],[EffectiveEndDate]]&gt;=Settings!$C$2),1,0)</f>
        <v>0</v>
      </c>
      <c r="AD638" s="46">
        <f ca="1">IF(AND(Table1[[#This Row],[SubscriptionStart]]&lt;=Settings!$D$2,Table1[[#This Row],[EffectiveEndDate]]&gt;=Settings!$D$2),1,0)</f>
        <v>0</v>
      </c>
      <c r="AE638" s="46">
        <f ca="1">IF(AND(Table1[[#This Row],[SubscriptionStart]]&lt;=Settings!$E$2,Table1[[#This Row],[EffectiveEndDate]]&gt;=Settings!$E$2),1,0)</f>
        <v>0</v>
      </c>
      <c r="AF638"/>
      <c r="AG638"/>
      <c r="AH638"/>
      <c r="AI638"/>
      <c r="AJ638"/>
      <c r="AK638"/>
    </row>
    <row r="639" spans="1:37">
      <c r="A639" s="3" t="s">
        <v>564</v>
      </c>
      <c r="B639" s="3">
        <v>64</v>
      </c>
      <c r="C639" s="3" t="s">
        <v>37</v>
      </c>
      <c r="D639" s="5">
        <v>45136</v>
      </c>
      <c r="F639" s="3">
        <f ca="1">TODAY() - Table1[[#This Row],[SubscriptionStart]]</f>
        <v>845</v>
      </c>
      <c r="G639" s="4">
        <v>36</v>
      </c>
      <c r="H639" s="3" t="s">
        <v>24</v>
      </c>
      <c r="I639" s="3" t="s">
        <v>30</v>
      </c>
      <c r="J639" s="7" cm="1">
        <f t="array" ref="J639">_xlfn.IFS(Table1[[#This Row],[Tier]]="Basic",10,Table1[[#This Row],[Tier]]="Standard",18,Table1[[#This Row],[Tier]]="Premium",25)</f>
        <v>10</v>
      </c>
      <c r="K639" s="7" cm="1">
        <f t="array" ref="K63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639" s="7" cm="1">
        <f t="array" ref="L63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232</v>
      </c>
      <c r="M639" s="3" t="str" cm="1">
        <f t="array" ref="M63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39" s="3" t="s">
        <v>34</v>
      </c>
      <c r="O639" s="3" t="s">
        <v>32</v>
      </c>
      <c r="Q639" s="3" t="str" cm="1">
        <f t="array" ref="Q639">_xlfn.IFS(Table1[[#This Row],[TotalRevenue]]&lt;100,"Low",Table1[[#This Row],[TotalRevenue]]&lt;300,"Medium",Table1[[#This Row],[TotalRevenue]]&lt;600,"High",TRUE,"Very High")</f>
        <v>Medium</v>
      </c>
      <c r="R639" s="3" t="str" cm="1">
        <f t="array" ref="R63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639" s="3" t="str">
        <f>IF(Table1[[#This Row],[NextBillingDate]]="","Cancelled",IF(Table1[[#This Row],[CancellationDate]]&lt;&gt;"","Cancelled","Active"))</f>
        <v>Active</v>
      </c>
      <c r="T639" s="7" cm="1">
        <f t="array" ref="T63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312</v>
      </c>
      <c r="V639" s="5">
        <v>46216</v>
      </c>
      <c r="W639" s="5">
        <v>46216</v>
      </c>
      <c r="X639" s="3">
        <v>2</v>
      </c>
      <c r="Y639" s="5">
        <f ca="1">IF(Table1[[#This Row],[ChurnStatus]]="Cancelled",Table1[[#This Row],[CancellationDate]],TODAY())</f>
        <v>45981</v>
      </c>
      <c r="Z639" s="46">
        <f ca="1">IF(AND(Table1[[#This Row],[SubscriptionStart]] &lt;= TODAY(), Table1[[#This Row],[EffectiveEndDate]] &gt;= TODAY()),1,0)</f>
        <v>1</v>
      </c>
      <c r="AA639" s="46">
        <f ca="1">IF(AND(Table1[[#This Row],[SubscriptionStart]]&lt;=Settings!$A$2,Table1[[#This Row],[EffectiveEndDate]]&gt;=Settings!$A$2),1,0)</f>
        <v>0</v>
      </c>
      <c r="AB639" s="46">
        <f ca="1">IF(AND(Table1[[#This Row],[SubscriptionStart]]&lt;=Settings!$B$2,Table1[[#This Row],[EffectiveEndDate]]&gt;=Settings!$B$2),1,0)</f>
        <v>0</v>
      </c>
      <c r="AC639" s="46">
        <f ca="1">IF(AND(Table1[[#This Row],[SubscriptionStart]]&lt;=Settings!$C$2,Table1[[#This Row],[EffectiveEndDate]]&gt;=Settings!$C$2),1,0)</f>
        <v>0</v>
      </c>
      <c r="AD639" s="46">
        <f ca="1">IF(AND(Table1[[#This Row],[SubscriptionStart]]&lt;=Settings!$D$2,Table1[[#This Row],[EffectiveEndDate]]&gt;=Settings!$D$2),1,0)</f>
        <v>0</v>
      </c>
      <c r="AE639" s="46">
        <f ca="1">IF(AND(Table1[[#This Row],[SubscriptionStart]]&lt;=Settings!$E$2,Table1[[#This Row],[EffectiveEndDate]]&gt;=Settings!$E$2),1,0)</f>
        <v>1</v>
      </c>
      <c r="AF639"/>
      <c r="AG639"/>
      <c r="AH639"/>
      <c r="AI639"/>
      <c r="AJ639"/>
      <c r="AK639"/>
    </row>
    <row r="640" spans="1:37">
      <c r="A640" s="3" t="s">
        <v>651</v>
      </c>
      <c r="B640" s="3">
        <v>39</v>
      </c>
      <c r="C640" s="3" t="s">
        <v>37</v>
      </c>
      <c r="D640" s="5">
        <v>45136</v>
      </c>
      <c r="F640" s="3">
        <f ca="1">TODAY() - Table1[[#This Row],[SubscriptionStart]]</f>
        <v>845</v>
      </c>
      <c r="G640" s="4">
        <v>29</v>
      </c>
      <c r="H640" s="3" t="s">
        <v>29</v>
      </c>
      <c r="I640" s="3" t="s">
        <v>30</v>
      </c>
      <c r="J640" s="7" cm="1">
        <f t="array" ref="J640">_xlfn.IFS(Table1[[#This Row],[Tier]]="Basic",10,Table1[[#This Row],[Tier]]="Standard",18,Table1[[#This Row],[Tier]]="Premium",25)</f>
        <v>10</v>
      </c>
      <c r="K640" s="7" cm="1">
        <f t="array" ref="K64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640" s="7" cm="1">
        <f t="array" ref="L64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269</v>
      </c>
      <c r="M640" s="3" t="str" cm="1">
        <f t="array" ref="M64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40" s="3" t="s">
        <v>26</v>
      </c>
      <c r="O640" s="3" t="s">
        <v>40</v>
      </c>
      <c r="Q640" s="3" t="str" cm="1">
        <f t="array" ref="Q640">_xlfn.IFS(Table1[[#This Row],[TotalRevenue]]&lt;100,"Low",Table1[[#This Row],[TotalRevenue]]&lt;300,"Medium",Table1[[#This Row],[TotalRevenue]]&lt;600,"High",TRUE,"Very High")</f>
        <v>Medium</v>
      </c>
      <c r="R640" s="3" t="str" cm="1">
        <f t="array" ref="R64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40" s="3" t="str">
        <f>IF(Table1[[#This Row],[NextBillingDate]]="","Cancelled",IF(Table1[[#This Row],[CancellationDate]]&lt;&gt;"","Cancelled","Active"))</f>
        <v>Active</v>
      </c>
      <c r="T640" s="7" cm="1">
        <f t="array" ref="T64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279</v>
      </c>
      <c r="V640" s="5">
        <v>46006</v>
      </c>
      <c r="W640" s="5">
        <v>46006</v>
      </c>
      <c r="X640" s="3">
        <v>28</v>
      </c>
      <c r="Y640" s="5">
        <f ca="1">IF(Table1[[#This Row],[ChurnStatus]]="Cancelled",Table1[[#This Row],[CancellationDate]],TODAY())</f>
        <v>45981</v>
      </c>
      <c r="Z640" s="46">
        <f ca="1">IF(AND(Table1[[#This Row],[SubscriptionStart]] &lt;= TODAY(), Table1[[#This Row],[EffectiveEndDate]] &gt;= TODAY()),1,0)</f>
        <v>1</v>
      </c>
      <c r="AA640" s="46">
        <f ca="1">IF(AND(Table1[[#This Row],[SubscriptionStart]]&lt;=Settings!$A$2,Table1[[#This Row],[EffectiveEndDate]]&gt;=Settings!$A$2),1,0)</f>
        <v>0</v>
      </c>
      <c r="AB640" s="46">
        <f ca="1">IF(AND(Table1[[#This Row],[SubscriptionStart]]&lt;=Settings!$B$2,Table1[[#This Row],[EffectiveEndDate]]&gt;=Settings!$B$2),1,0)</f>
        <v>0</v>
      </c>
      <c r="AC640" s="46">
        <f ca="1">IF(AND(Table1[[#This Row],[SubscriptionStart]]&lt;=Settings!$C$2,Table1[[#This Row],[EffectiveEndDate]]&gt;=Settings!$C$2),1,0)</f>
        <v>0</v>
      </c>
      <c r="AD640" s="46">
        <f ca="1">IF(AND(Table1[[#This Row],[SubscriptionStart]]&lt;=Settings!$D$2,Table1[[#This Row],[EffectiveEndDate]]&gt;=Settings!$D$2),1,0)</f>
        <v>0</v>
      </c>
      <c r="AE640" s="46">
        <f ca="1">IF(AND(Table1[[#This Row],[SubscriptionStart]]&lt;=Settings!$E$2,Table1[[#This Row],[EffectiveEndDate]]&gt;=Settings!$E$2),1,0)</f>
        <v>1</v>
      </c>
      <c r="AF640"/>
      <c r="AG640"/>
      <c r="AH640"/>
      <c r="AI640"/>
      <c r="AJ640"/>
      <c r="AK640"/>
    </row>
    <row r="641" spans="1:37">
      <c r="A641" s="3" t="s">
        <v>833</v>
      </c>
      <c r="B641" s="3">
        <v>62</v>
      </c>
      <c r="C641" s="3" t="s">
        <v>23</v>
      </c>
      <c r="D641" s="5">
        <v>45137</v>
      </c>
      <c r="E641" s="5">
        <v>45167</v>
      </c>
      <c r="F641" s="3">
        <f ca="1">TODAY() - Table1[[#This Row],[SubscriptionStart]]</f>
        <v>844</v>
      </c>
      <c r="G641" s="4">
        <v>1</v>
      </c>
      <c r="H641" s="3" t="s">
        <v>29</v>
      </c>
      <c r="I641" s="3" t="s">
        <v>25</v>
      </c>
      <c r="J641" s="7" cm="1">
        <f t="array" ref="J641">_xlfn.IFS(Table1[[#This Row],[Tier]]="Basic",10,Table1[[#This Row],[Tier]]="Standard",18,Table1[[#This Row],[Tier]]="Premium",25)</f>
        <v>25</v>
      </c>
      <c r="K641" s="7" cm="1">
        <f t="array" ref="K64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641" s="7" cm="1">
        <f t="array" ref="L64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641" s="3" t="str" cm="1">
        <f t="array" ref="M641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41" s="3" t="s">
        <v>52</v>
      </c>
      <c r="O641" s="3" t="s">
        <v>40</v>
      </c>
      <c r="P641" s="3" t="s">
        <v>50</v>
      </c>
      <c r="Q641" s="3" t="str" cm="1">
        <f t="array" ref="Q641">_xlfn.IFS(Table1[[#This Row],[TotalRevenue]]&lt;100,"Low",Table1[[#This Row],[TotalRevenue]]&lt;300,"Medium",Table1[[#This Row],[TotalRevenue]]&lt;600,"High",TRUE,"Very High")</f>
        <v>Low</v>
      </c>
      <c r="R641" s="3" t="str" cm="1">
        <f t="array" ref="R641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641" s="3" t="str">
        <f>IF(Table1[[#This Row],[NextBillingDate]]="","Cancelled",IF(Table1[[#This Row],[CancellationDate]]&lt;&gt;"","Cancelled","Active"))</f>
        <v>Cancelled</v>
      </c>
      <c r="T641" s="7" cm="1">
        <f t="array" ref="T64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641" s="5">
        <v>45167</v>
      </c>
      <c r="W641" s="5">
        <v>45167</v>
      </c>
      <c r="X641" s="3">
        <v>0</v>
      </c>
      <c r="Y641" s="5">
        <f ca="1">IF(Table1[[#This Row],[ChurnStatus]]="Cancelled",Table1[[#This Row],[CancellationDate]],TODAY())</f>
        <v>45167</v>
      </c>
      <c r="Z641" s="46">
        <f ca="1">IF(AND(Table1[[#This Row],[SubscriptionStart]] &lt;= TODAY(), Table1[[#This Row],[EffectiveEndDate]] &gt;= TODAY()),1,0)</f>
        <v>0</v>
      </c>
      <c r="AA641" s="46">
        <f ca="1">IF(AND(Table1[[#This Row],[SubscriptionStart]]&lt;=Settings!$A$2,Table1[[#This Row],[EffectiveEndDate]]&gt;=Settings!$A$2),1,0)</f>
        <v>0</v>
      </c>
      <c r="AB641" s="46">
        <f ca="1">IF(AND(Table1[[#This Row],[SubscriptionStart]]&lt;=Settings!$B$2,Table1[[#This Row],[EffectiveEndDate]]&gt;=Settings!$B$2),1,0)</f>
        <v>0</v>
      </c>
      <c r="AC641" s="46">
        <f ca="1">IF(AND(Table1[[#This Row],[SubscriptionStart]]&lt;=Settings!$C$2,Table1[[#This Row],[EffectiveEndDate]]&gt;=Settings!$C$2),1,0)</f>
        <v>0</v>
      </c>
      <c r="AD641" s="46">
        <f ca="1">IF(AND(Table1[[#This Row],[SubscriptionStart]]&lt;=Settings!$D$2,Table1[[#This Row],[EffectiveEndDate]]&gt;=Settings!$D$2),1,0)</f>
        <v>0</v>
      </c>
      <c r="AE641" s="46">
        <f ca="1">IF(AND(Table1[[#This Row],[SubscriptionStart]]&lt;=Settings!$E$2,Table1[[#This Row],[EffectiveEndDate]]&gt;=Settings!$E$2),1,0)</f>
        <v>0</v>
      </c>
      <c r="AF641"/>
      <c r="AG641"/>
      <c r="AH641"/>
      <c r="AI641"/>
      <c r="AJ641"/>
      <c r="AK641"/>
    </row>
    <row r="642" spans="1:37">
      <c r="A642" s="3" t="s">
        <v>554</v>
      </c>
      <c r="B642" s="3">
        <v>45</v>
      </c>
      <c r="C642" s="3" t="s">
        <v>23</v>
      </c>
      <c r="D642" s="5">
        <v>45137</v>
      </c>
      <c r="E642" s="5">
        <v>45497</v>
      </c>
      <c r="F642" s="3">
        <f ca="1">TODAY() - Table1[[#This Row],[SubscriptionStart]]</f>
        <v>844</v>
      </c>
      <c r="G642" s="4">
        <v>12</v>
      </c>
      <c r="H642" s="3" t="s">
        <v>24</v>
      </c>
      <c r="I642" s="3" t="s">
        <v>25</v>
      </c>
      <c r="J642" s="7" cm="1">
        <f t="array" ref="J642">_xlfn.IFS(Table1[[#This Row],[Tier]]="Basic",10,Table1[[#This Row],[Tier]]="Standard",18,Table1[[#This Row],[Tier]]="Premium",25)</f>
        <v>25</v>
      </c>
      <c r="K642" s="7" cm="1">
        <f t="array" ref="K64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642" s="7" cm="1">
        <f t="array" ref="L64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642" s="3" t="str" cm="1">
        <f t="array" ref="M64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42" s="3" t="s">
        <v>31</v>
      </c>
      <c r="O642" s="3" t="s">
        <v>27</v>
      </c>
      <c r="P642" s="3" t="s">
        <v>35</v>
      </c>
      <c r="Q642" s="3" t="str" cm="1">
        <f t="array" ref="Q642">_xlfn.IFS(Table1[[#This Row],[TotalRevenue]]&lt;100,"Low",Table1[[#This Row],[TotalRevenue]]&lt;300,"Medium",Table1[[#This Row],[TotalRevenue]]&lt;600,"High",TRUE,"Very High")</f>
        <v>Medium</v>
      </c>
      <c r="R642" s="3" t="str" cm="1">
        <f t="array" ref="R64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42" s="3" t="str">
        <f>IF(Table1[[#This Row],[NextBillingDate]]="","Cancelled",IF(Table1[[#This Row],[CancellationDate]]&lt;&gt;"","Cancelled","Active"))</f>
        <v>Cancelled</v>
      </c>
      <c r="T642" s="7" cm="1">
        <f t="array" ref="T64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642" s="5">
        <v>45497</v>
      </c>
      <c r="W642" s="5">
        <v>45497</v>
      </c>
      <c r="X642" s="3">
        <v>0</v>
      </c>
      <c r="Y642" s="5">
        <f ca="1">IF(Table1[[#This Row],[ChurnStatus]]="Cancelled",Table1[[#This Row],[CancellationDate]],TODAY())</f>
        <v>45497</v>
      </c>
      <c r="Z642" s="46">
        <f ca="1">IF(AND(Table1[[#This Row],[SubscriptionStart]] &lt;= TODAY(), Table1[[#This Row],[EffectiveEndDate]] &gt;= TODAY()),1,0)</f>
        <v>0</v>
      </c>
      <c r="AA642" s="46">
        <f ca="1">IF(AND(Table1[[#This Row],[SubscriptionStart]]&lt;=Settings!$A$2,Table1[[#This Row],[EffectiveEndDate]]&gt;=Settings!$A$2),1,0)</f>
        <v>0</v>
      </c>
      <c r="AB642" s="46">
        <f ca="1">IF(AND(Table1[[#This Row],[SubscriptionStart]]&lt;=Settings!$B$2,Table1[[#This Row],[EffectiveEndDate]]&gt;=Settings!$B$2),1,0)</f>
        <v>0</v>
      </c>
      <c r="AC642" s="46">
        <f ca="1">IF(AND(Table1[[#This Row],[SubscriptionStart]]&lt;=Settings!$C$2,Table1[[#This Row],[EffectiveEndDate]]&gt;=Settings!$C$2),1,0)</f>
        <v>0</v>
      </c>
      <c r="AD642" s="46">
        <f ca="1">IF(AND(Table1[[#This Row],[SubscriptionStart]]&lt;=Settings!$D$2,Table1[[#This Row],[EffectiveEndDate]]&gt;=Settings!$D$2),1,0)</f>
        <v>0</v>
      </c>
      <c r="AE642" s="46">
        <f ca="1">IF(AND(Table1[[#This Row],[SubscriptionStart]]&lt;=Settings!$E$2,Table1[[#This Row],[EffectiveEndDate]]&gt;=Settings!$E$2),1,0)</f>
        <v>0</v>
      </c>
      <c r="AF642"/>
      <c r="AG642"/>
      <c r="AH642"/>
      <c r="AI642"/>
      <c r="AJ642"/>
      <c r="AK642"/>
    </row>
    <row r="643" spans="1:37">
      <c r="A643" s="3" t="s">
        <v>466</v>
      </c>
      <c r="B643" s="3">
        <v>43</v>
      </c>
      <c r="C643" s="3" t="s">
        <v>37</v>
      </c>
      <c r="D643" s="5">
        <v>45139</v>
      </c>
      <c r="E643" s="5">
        <v>45499</v>
      </c>
      <c r="F643" s="3">
        <f ca="1">TODAY() - Table1[[#This Row],[SubscriptionStart]]</f>
        <v>842</v>
      </c>
      <c r="G643" s="4">
        <v>12</v>
      </c>
      <c r="H643" s="3" t="s">
        <v>24</v>
      </c>
      <c r="I643" s="3" t="s">
        <v>30</v>
      </c>
      <c r="J643" s="7" cm="1">
        <f t="array" ref="J643">_xlfn.IFS(Table1[[#This Row],[Tier]]="Basic",10,Table1[[#This Row],[Tier]]="Standard",18,Table1[[#This Row],[Tier]]="Premium",25)</f>
        <v>10</v>
      </c>
      <c r="K643" s="7" cm="1">
        <f t="array" ref="K64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43" s="7" cm="1">
        <f t="array" ref="L64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43" s="3" t="str" cm="1">
        <f t="array" ref="M64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43" s="3" t="s">
        <v>52</v>
      </c>
      <c r="O643" s="3" t="s">
        <v>32</v>
      </c>
      <c r="P643" s="3" t="s">
        <v>47</v>
      </c>
      <c r="Q643" s="3" t="str" cm="1">
        <f t="array" ref="Q643">_xlfn.IFS(Table1[[#This Row],[TotalRevenue]]&lt;100,"Low",Table1[[#This Row],[TotalRevenue]]&lt;300,"Medium",Table1[[#This Row],[TotalRevenue]]&lt;600,"High",TRUE,"Very High")</f>
        <v>Low</v>
      </c>
      <c r="R643" s="3" t="str" cm="1">
        <f t="array" ref="R64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43" s="3" t="str">
        <f>IF(Table1[[#This Row],[NextBillingDate]]="","Cancelled",IF(Table1[[#This Row],[CancellationDate]]&lt;&gt;"","Cancelled","Active"))</f>
        <v>Cancelled</v>
      </c>
      <c r="T643" s="7" cm="1">
        <f t="array" ref="T64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43" s="5">
        <v>45499</v>
      </c>
      <c r="W643" s="5">
        <v>45499</v>
      </c>
      <c r="X643" s="3">
        <v>0</v>
      </c>
      <c r="Y643" s="5">
        <f ca="1">IF(Table1[[#This Row],[ChurnStatus]]="Cancelled",Table1[[#This Row],[CancellationDate]],TODAY())</f>
        <v>45499</v>
      </c>
      <c r="Z643" s="46">
        <f ca="1">IF(AND(Table1[[#This Row],[SubscriptionStart]] &lt;= TODAY(), Table1[[#This Row],[EffectiveEndDate]] &gt;= TODAY()),1,0)</f>
        <v>0</v>
      </c>
      <c r="AA643" s="46">
        <f ca="1">IF(AND(Table1[[#This Row],[SubscriptionStart]]&lt;=Settings!$A$2,Table1[[#This Row],[EffectiveEndDate]]&gt;=Settings!$A$2),1,0)</f>
        <v>0</v>
      </c>
      <c r="AB643" s="46">
        <f ca="1">IF(AND(Table1[[#This Row],[SubscriptionStart]]&lt;=Settings!$B$2,Table1[[#This Row],[EffectiveEndDate]]&gt;=Settings!$B$2),1,0)</f>
        <v>0</v>
      </c>
      <c r="AC643" s="46">
        <f ca="1">IF(AND(Table1[[#This Row],[SubscriptionStart]]&lt;=Settings!$C$2,Table1[[#This Row],[EffectiveEndDate]]&gt;=Settings!$C$2),1,0)</f>
        <v>0</v>
      </c>
      <c r="AD643" s="46">
        <f ca="1">IF(AND(Table1[[#This Row],[SubscriptionStart]]&lt;=Settings!$D$2,Table1[[#This Row],[EffectiveEndDate]]&gt;=Settings!$D$2),1,0)</f>
        <v>0</v>
      </c>
      <c r="AE643" s="46">
        <f ca="1">IF(AND(Table1[[#This Row],[SubscriptionStart]]&lt;=Settings!$E$2,Table1[[#This Row],[EffectiveEndDate]]&gt;=Settings!$E$2),1,0)</f>
        <v>0</v>
      </c>
      <c r="AF643"/>
      <c r="AG643"/>
      <c r="AH643"/>
      <c r="AI643"/>
      <c r="AJ643"/>
      <c r="AK643"/>
    </row>
    <row r="644" spans="1:37">
      <c r="A644" s="3" t="s">
        <v>733</v>
      </c>
      <c r="B644" s="3">
        <v>26</v>
      </c>
      <c r="C644" s="3" t="s">
        <v>37</v>
      </c>
      <c r="D644" s="5">
        <v>45139</v>
      </c>
      <c r="E644" s="5">
        <v>45499</v>
      </c>
      <c r="F644" s="3">
        <f ca="1">TODAY() - Table1[[#This Row],[SubscriptionStart]]</f>
        <v>842</v>
      </c>
      <c r="G644" s="4">
        <v>12</v>
      </c>
      <c r="H644" s="3" t="s">
        <v>24</v>
      </c>
      <c r="I644" s="3" t="s">
        <v>30</v>
      </c>
      <c r="J644" s="7" cm="1">
        <f t="array" ref="J644">_xlfn.IFS(Table1[[#This Row],[Tier]]="Basic",10,Table1[[#This Row],[Tier]]="Standard",18,Table1[[#This Row],[Tier]]="Premium",25)</f>
        <v>10</v>
      </c>
      <c r="K644" s="7" cm="1">
        <f t="array" ref="K64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44" s="7" cm="1">
        <f t="array" ref="L64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44" s="3" t="str" cm="1">
        <f t="array" ref="M64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44" s="3" t="s">
        <v>31</v>
      </c>
      <c r="O644" s="3" t="s">
        <v>43</v>
      </c>
      <c r="P644" s="3" t="s">
        <v>50</v>
      </c>
      <c r="Q644" s="3" t="str" cm="1">
        <f t="array" ref="Q644">_xlfn.IFS(Table1[[#This Row],[TotalRevenue]]&lt;100,"Low",Table1[[#This Row],[TotalRevenue]]&lt;300,"Medium",Table1[[#This Row],[TotalRevenue]]&lt;600,"High",TRUE,"Very High")</f>
        <v>Low</v>
      </c>
      <c r="R644" s="3" t="str" cm="1">
        <f t="array" ref="R64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44" s="3" t="str">
        <f>IF(Table1[[#This Row],[NextBillingDate]]="","Cancelled",IF(Table1[[#This Row],[CancellationDate]]&lt;&gt;"","Cancelled","Active"))</f>
        <v>Cancelled</v>
      </c>
      <c r="T644" s="7" cm="1">
        <f t="array" ref="T64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44" s="5">
        <v>45499</v>
      </c>
      <c r="W644" s="5">
        <v>45499</v>
      </c>
      <c r="X644" s="3">
        <v>0</v>
      </c>
      <c r="Y644" s="5">
        <f ca="1">IF(Table1[[#This Row],[ChurnStatus]]="Cancelled",Table1[[#This Row],[CancellationDate]],TODAY())</f>
        <v>45499</v>
      </c>
      <c r="Z644" s="46">
        <f ca="1">IF(AND(Table1[[#This Row],[SubscriptionStart]] &lt;= TODAY(), Table1[[#This Row],[EffectiveEndDate]] &gt;= TODAY()),1,0)</f>
        <v>0</v>
      </c>
      <c r="AA644" s="46">
        <f ca="1">IF(AND(Table1[[#This Row],[SubscriptionStart]]&lt;=Settings!$A$2,Table1[[#This Row],[EffectiveEndDate]]&gt;=Settings!$A$2),1,0)</f>
        <v>0</v>
      </c>
      <c r="AB644" s="46">
        <f ca="1">IF(AND(Table1[[#This Row],[SubscriptionStart]]&lt;=Settings!$B$2,Table1[[#This Row],[EffectiveEndDate]]&gt;=Settings!$B$2),1,0)</f>
        <v>0</v>
      </c>
      <c r="AC644" s="46">
        <f ca="1">IF(AND(Table1[[#This Row],[SubscriptionStart]]&lt;=Settings!$C$2,Table1[[#This Row],[EffectiveEndDate]]&gt;=Settings!$C$2),1,0)</f>
        <v>0</v>
      </c>
      <c r="AD644" s="46">
        <f ca="1">IF(AND(Table1[[#This Row],[SubscriptionStart]]&lt;=Settings!$D$2,Table1[[#This Row],[EffectiveEndDate]]&gt;=Settings!$D$2),1,0)</f>
        <v>0</v>
      </c>
      <c r="AE644" s="46">
        <f ca="1">IF(AND(Table1[[#This Row],[SubscriptionStart]]&lt;=Settings!$E$2,Table1[[#This Row],[EffectiveEndDate]]&gt;=Settings!$E$2),1,0)</f>
        <v>0</v>
      </c>
      <c r="AF644"/>
      <c r="AG644"/>
      <c r="AH644"/>
      <c r="AI644"/>
      <c r="AJ644"/>
      <c r="AK644"/>
    </row>
    <row r="645" spans="1:37">
      <c r="A645" s="3" t="s">
        <v>482</v>
      </c>
      <c r="B645" s="3">
        <v>66</v>
      </c>
      <c r="C645" s="3" t="s">
        <v>23</v>
      </c>
      <c r="D645" s="5">
        <v>45139</v>
      </c>
      <c r="F645" s="3">
        <f ca="1">TODAY() - Table1[[#This Row],[SubscriptionStart]]</f>
        <v>842</v>
      </c>
      <c r="G645" s="4">
        <v>36</v>
      </c>
      <c r="H645" s="3" t="s">
        <v>24</v>
      </c>
      <c r="I645" s="3" t="s">
        <v>25</v>
      </c>
      <c r="J645" s="7" cm="1">
        <f t="array" ref="J645">_xlfn.IFS(Table1[[#This Row],[Tier]]="Basic",10,Table1[[#This Row],[Tier]]="Standard",18,Table1[[#This Row],[Tier]]="Premium",25)</f>
        <v>25</v>
      </c>
      <c r="K645" s="7" cm="1">
        <f t="array" ref="K64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16.666666666666664</v>
      </c>
      <c r="L645" s="7" cm="1">
        <f t="array" ref="L64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580</v>
      </c>
      <c r="M645" s="3" t="str" cm="1">
        <f t="array" ref="M645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45" s="3" t="s">
        <v>34</v>
      </c>
      <c r="O645" s="3" t="s">
        <v>49</v>
      </c>
      <c r="Q645" s="3" t="str" cm="1">
        <f t="array" ref="Q645">_xlfn.IFS(Table1[[#This Row],[TotalRevenue]]&lt;100,"Low",Table1[[#This Row],[TotalRevenue]]&lt;300,"Medium",Table1[[#This Row],[TotalRevenue]]&lt;600,"High",TRUE,"Very High")</f>
        <v>High</v>
      </c>
      <c r="R645" s="3" t="str" cm="1">
        <f t="array" ref="R645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645" s="3" t="str">
        <f>IF(Table1[[#This Row],[NextBillingDate]]="","Cancelled",IF(Table1[[#This Row],[CancellationDate]]&lt;&gt;"","Cancelled","Active"))</f>
        <v>Active</v>
      </c>
      <c r="T645" s="7" cm="1">
        <f t="array" ref="T64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780</v>
      </c>
      <c r="V645" s="5">
        <v>46219</v>
      </c>
      <c r="W645" s="5">
        <v>46219</v>
      </c>
      <c r="X645" s="3">
        <v>2</v>
      </c>
      <c r="Y645" s="5">
        <f ca="1">IF(Table1[[#This Row],[ChurnStatus]]="Cancelled",Table1[[#This Row],[CancellationDate]],TODAY())</f>
        <v>45981</v>
      </c>
      <c r="Z645" s="46">
        <f ca="1">IF(AND(Table1[[#This Row],[SubscriptionStart]] &lt;= TODAY(), Table1[[#This Row],[EffectiveEndDate]] &gt;= TODAY()),1,0)</f>
        <v>1</v>
      </c>
      <c r="AA645" s="46">
        <f ca="1">IF(AND(Table1[[#This Row],[SubscriptionStart]]&lt;=Settings!$A$2,Table1[[#This Row],[EffectiveEndDate]]&gt;=Settings!$A$2),1,0)</f>
        <v>0</v>
      </c>
      <c r="AB645" s="46">
        <f ca="1">IF(AND(Table1[[#This Row],[SubscriptionStart]]&lt;=Settings!$B$2,Table1[[#This Row],[EffectiveEndDate]]&gt;=Settings!$B$2),1,0)</f>
        <v>0</v>
      </c>
      <c r="AC645" s="46">
        <f ca="1">IF(AND(Table1[[#This Row],[SubscriptionStart]]&lt;=Settings!$C$2,Table1[[#This Row],[EffectiveEndDate]]&gt;=Settings!$C$2),1,0)</f>
        <v>0</v>
      </c>
      <c r="AD645" s="46">
        <f ca="1">IF(AND(Table1[[#This Row],[SubscriptionStart]]&lt;=Settings!$D$2,Table1[[#This Row],[EffectiveEndDate]]&gt;=Settings!$D$2),1,0)</f>
        <v>0</v>
      </c>
      <c r="AE645" s="46">
        <f ca="1">IF(AND(Table1[[#This Row],[SubscriptionStart]]&lt;=Settings!$E$2,Table1[[#This Row],[EffectiveEndDate]]&gt;=Settings!$E$2),1,0)</f>
        <v>1</v>
      </c>
      <c r="AF645"/>
      <c r="AG645"/>
      <c r="AH645"/>
      <c r="AI645"/>
      <c r="AJ645"/>
      <c r="AK645"/>
    </row>
    <row r="646" spans="1:37">
      <c r="A646" s="3" t="s">
        <v>270</v>
      </c>
      <c r="B646" s="3">
        <v>22</v>
      </c>
      <c r="C646" s="3" t="s">
        <v>37</v>
      </c>
      <c r="D646" s="5">
        <v>45140</v>
      </c>
      <c r="E646" s="5">
        <v>45170</v>
      </c>
      <c r="F646" s="3">
        <f ca="1">TODAY() - Table1[[#This Row],[SubscriptionStart]]</f>
        <v>841</v>
      </c>
      <c r="G646" s="4">
        <v>1</v>
      </c>
      <c r="H646" s="3" t="s">
        <v>29</v>
      </c>
      <c r="I646" s="3" t="s">
        <v>39</v>
      </c>
      <c r="J646" s="7" cm="1">
        <f t="array" ref="J646">_xlfn.IFS(Table1[[#This Row],[Tier]]="Basic",10,Table1[[#This Row],[Tier]]="Standard",18,Table1[[#This Row],[Tier]]="Premium",25)</f>
        <v>18</v>
      </c>
      <c r="K646" s="7" cm="1">
        <f t="array" ref="K64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646" s="7" cm="1">
        <f t="array" ref="L64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646" s="3" t="str" cm="1">
        <f t="array" ref="M646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646" s="3" t="s">
        <v>52</v>
      </c>
      <c r="O646" s="3" t="s">
        <v>27</v>
      </c>
      <c r="P646" s="3" t="s">
        <v>44</v>
      </c>
      <c r="Q646" s="3" t="str" cm="1">
        <f t="array" ref="Q646">_xlfn.IFS(Table1[[#This Row],[TotalRevenue]]&lt;100,"Low",Table1[[#This Row],[TotalRevenue]]&lt;300,"Medium",Table1[[#This Row],[TotalRevenue]]&lt;600,"High",TRUE,"Very High")</f>
        <v>Low</v>
      </c>
      <c r="R646" s="3" t="str" cm="1">
        <f t="array" ref="R646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646" s="3" t="str">
        <f>IF(Table1[[#This Row],[NextBillingDate]]="","Cancelled",IF(Table1[[#This Row],[CancellationDate]]&lt;&gt;"","Cancelled","Active"))</f>
        <v>Cancelled</v>
      </c>
      <c r="T646" s="7" cm="1">
        <f t="array" ref="T64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646" s="5">
        <v>45170</v>
      </c>
      <c r="W646" s="5">
        <v>45170</v>
      </c>
      <c r="X646" s="3">
        <v>0</v>
      </c>
      <c r="Y646" s="5">
        <f ca="1">IF(Table1[[#This Row],[ChurnStatus]]="Cancelled",Table1[[#This Row],[CancellationDate]],TODAY())</f>
        <v>45170</v>
      </c>
      <c r="Z646" s="46">
        <f ca="1">IF(AND(Table1[[#This Row],[SubscriptionStart]] &lt;= TODAY(), Table1[[#This Row],[EffectiveEndDate]] &gt;= TODAY()),1,0)</f>
        <v>0</v>
      </c>
      <c r="AA646" s="46">
        <f ca="1">IF(AND(Table1[[#This Row],[SubscriptionStart]]&lt;=Settings!$A$2,Table1[[#This Row],[EffectiveEndDate]]&gt;=Settings!$A$2),1,0)</f>
        <v>0</v>
      </c>
      <c r="AB646" s="46">
        <f ca="1">IF(AND(Table1[[#This Row],[SubscriptionStart]]&lt;=Settings!$B$2,Table1[[#This Row],[EffectiveEndDate]]&gt;=Settings!$B$2),1,0)</f>
        <v>0</v>
      </c>
      <c r="AC646" s="46">
        <f ca="1">IF(AND(Table1[[#This Row],[SubscriptionStart]]&lt;=Settings!$C$2,Table1[[#This Row],[EffectiveEndDate]]&gt;=Settings!$C$2),1,0)</f>
        <v>0</v>
      </c>
      <c r="AD646" s="46">
        <f ca="1">IF(AND(Table1[[#This Row],[SubscriptionStart]]&lt;=Settings!$D$2,Table1[[#This Row],[EffectiveEndDate]]&gt;=Settings!$D$2),1,0)</f>
        <v>0</v>
      </c>
      <c r="AE646" s="46">
        <f ca="1">IF(AND(Table1[[#This Row],[SubscriptionStart]]&lt;=Settings!$E$2,Table1[[#This Row],[EffectiveEndDate]]&gt;=Settings!$E$2),1,0)</f>
        <v>0</v>
      </c>
      <c r="AF646"/>
      <c r="AG646"/>
      <c r="AH646"/>
      <c r="AI646"/>
      <c r="AJ646"/>
      <c r="AK646"/>
    </row>
    <row r="647" spans="1:37">
      <c r="A647" s="3" t="s">
        <v>209</v>
      </c>
      <c r="B647" s="3">
        <v>48</v>
      </c>
      <c r="C647" s="3" t="s">
        <v>23</v>
      </c>
      <c r="D647" s="5">
        <v>45141</v>
      </c>
      <c r="E647" s="5">
        <v>45171</v>
      </c>
      <c r="F647" s="3">
        <f ca="1">TODAY() - Table1[[#This Row],[SubscriptionStart]]</f>
        <v>840</v>
      </c>
      <c r="G647" s="4">
        <v>1</v>
      </c>
      <c r="H647" s="3" t="s">
        <v>29</v>
      </c>
      <c r="I647" s="3" t="s">
        <v>30</v>
      </c>
      <c r="J647" s="7" cm="1">
        <f t="array" ref="J647">_xlfn.IFS(Table1[[#This Row],[Tier]]="Basic",10,Table1[[#This Row],[Tier]]="Standard",18,Table1[[#This Row],[Tier]]="Premium",25)</f>
        <v>10</v>
      </c>
      <c r="K647" s="7" cm="1">
        <f t="array" ref="K64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647" s="7" cm="1">
        <f t="array" ref="L64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647" s="3" t="str" cm="1">
        <f t="array" ref="M64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47" s="3" t="s">
        <v>52</v>
      </c>
      <c r="O647" s="3" t="s">
        <v>49</v>
      </c>
      <c r="P647" s="3" t="s">
        <v>44</v>
      </c>
      <c r="Q647" s="3" t="str" cm="1">
        <f t="array" ref="Q647">_xlfn.IFS(Table1[[#This Row],[TotalRevenue]]&lt;100,"Low",Table1[[#This Row],[TotalRevenue]]&lt;300,"Medium",Table1[[#This Row],[TotalRevenue]]&lt;600,"High",TRUE,"Very High")</f>
        <v>Low</v>
      </c>
      <c r="R647" s="3" t="str" cm="1">
        <f t="array" ref="R64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47" s="3" t="str">
        <f>IF(Table1[[#This Row],[NextBillingDate]]="","Cancelled",IF(Table1[[#This Row],[CancellationDate]]&lt;&gt;"","Cancelled","Active"))</f>
        <v>Cancelled</v>
      </c>
      <c r="T647" s="7" cm="1">
        <f t="array" ref="T64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647" s="5">
        <v>45171</v>
      </c>
      <c r="W647" s="5">
        <v>45171</v>
      </c>
      <c r="X647" s="3">
        <v>0</v>
      </c>
      <c r="Y647" s="5">
        <f ca="1">IF(Table1[[#This Row],[ChurnStatus]]="Cancelled",Table1[[#This Row],[CancellationDate]],TODAY())</f>
        <v>45171</v>
      </c>
      <c r="Z647" s="46">
        <f ca="1">IF(AND(Table1[[#This Row],[SubscriptionStart]] &lt;= TODAY(), Table1[[#This Row],[EffectiveEndDate]] &gt;= TODAY()),1,0)</f>
        <v>0</v>
      </c>
      <c r="AA647" s="46">
        <f ca="1">IF(AND(Table1[[#This Row],[SubscriptionStart]]&lt;=Settings!$A$2,Table1[[#This Row],[EffectiveEndDate]]&gt;=Settings!$A$2),1,0)</f>
        <v>0</v>
      </c>
      <c r="AB647" s="46">
        <f ca="1">IF(AND(Table1[[#This Row],[SubscriptionStart]]&lt;=Settings!$B$2,Table1[[#This Row],[EffectiveEndDate]]&gt;=Settings!$B$2),1,0)</f>
        <v>0</v>
      </c>
      <c r="AC647" s="46">
        <f ca="1">IF(AND(Table1[[#This Row],[SubscriptionStart]]&lt;=Settings!$C$2,Table1[[#This Row],[EffectiveEndDate]]&gt;=Settings!$C$2),1,0)</f>
        <v>0</v>
      </c>
      <c r="AD647" s="46">
        <f ca="1">IF(AND(Table1[[#This Row],[SubscriptionStart]]&lt;=Settings!$D$2,Table1[[#This Row],[EffectiveEndDate]]&gt;=Settings!$D$2),1,0)</f>
        <v>0</v>
      </c>
      <c r="AE647" s="46">
        <f ca="1">IF(AND(Table1[[#This Row],[SubscriptionStart]]&lt;=Settings!$E$2,Table1[[#This Row],[EffectiveEndDate]]&gt;=Settings!$E$2),1,0)</f>
        <v>0</v>
      </c>
      <c r="AF647"/>
      <c r="AG647"/>
      <c r="AH647"/>
      <c r="AI647"/>
      <c r="AJ647"/>
      <c r="AK647"/>
    </row>
    <row r="648" spans="1:37">
      <c r="A648" s="3" t="s">
        <v>180</v>
      </c>
      <c r="B648" s="3">
        <v>44</v>
      </c>
      <c r="C648" s="3" t="s">
        <v>37</v>
      </c>
      <c r="D648" s="5">
        <v>45141</v>
      </c>
      <c r="E648" s="5">
        <v>45501</v>
      </c>
      <c r="F648" s="3">
        <f ca="1">TODAY() - Table1[[#This Row],[SubscriptionStart]]</f>
        <v>840</v>
      </c>
      <c r="G648" s="4">
        <v>12</v>
      </c>
      <c r="H648" s="3" t="s">
        <v>24</v>
      </c>
      <c r="I648" s="3" t="s">
        <v>25</v>
      </c>
      <c r="J648" s="7" cm="1">
        <f t="array" ref="J648">_xlfn.IFS(Table1[[#This Row],[Tier]]="Basic",10,Table1[[#This Row],[Tier]]="Standard",18,Table1[[#This Row],[Tier]]="Premium",25)</f>
        <v>25</v>
      </c>
      <c r="K648" s="7" cm="1">
        <f t="array" ref="K64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648" s="7" cm="1">
        <f t="array" ref="L64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648" s="3" t="str" cm="1">
        <f t="array" ref="M64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48" s="3" t="s">
        <v>52</v>
      </c>
      <c r="O648" s="3" t="s">
        <v>40</v>
      </c>
      <c r="P648" s="3" t="s">
        <v>41</v>
      </c>
      <c r="Q648" s="3" t="str" cm="1">
        <f t="array" ref="Q648">_xlfn.IFS(Table1[[#This Row],[TotalRevenue]]&lt;100,"Low",Table1[[#This Row],[TotalRevenue]]&lt;300,"Medium",Table1[[#This Row],[TotalRevenue]]&lt;600,"High",TRUE,"Very High")</f>
        <v>Medium</v>
      </c>
      <c r="R648" s="3" t="str" cm="1">
        <f t="array" ref="R64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48" s="3" t="str">
        <f>IF(Table1[[#This Row],[NextBillingDate]]="","Cancelled",IF(Table1[[#This Row],[CancellationDate]]&lt;&gt;"","Cancelled","Active"))</f>
        <v>Cancelled</v>
      </c>
      <c r="T648" s="7" cm="1">
        <f t="array" ref="T64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648" s="5">
        <v>45501</v>
      </c>
      <c r="W648" s="5">
        <v>45501</v>
      </c>
      <c r="X648" s="3">
        <v>0</v>
      </c>
      <c r="Y648" s="5">
        <f ca="1">IF(Table1[[#This Row],[ChurnStatus]]="Cancelled",Table1[[#This Row],[CancellationDate]],TODAY())</f>
        <v>45501</v>
      </c>
      <c r="Z648" s="46">
        <f ca="1">IF(AND(Table1[[#This Row],[SubscriptionStart]] &lt;= TODAY(), Table1[[#This Row],[EffectiveEndDate]] &gt;= TODAY()),1,0)</f>
        <v>0</v>
      </c>
      <c r="AA648" s="46">
        <f ca="1">IF(AND(Table1[[#This Row],[SubscriptionStart]]&lt;=Settings!$A$2,Table1[[#This Row],[EffectiveEndDate]]&gt;=Settings!$A$2),1,0)</f>
        <v>0</v>
      </c>
      <c r="AB648" s="46">
        <f ca="1">IF(AND(Table1[[#This Row],[SubscriptionStart]]&lt;=Settings!$B$2,Table1[[#This Row],[EffectiveEndDate]]&gt;=Settings!$B$2),1,0)</f>
        <v>0</v>
      </c>
      <c r="AC648" s="46">
        <f ca="1">IF(AND(Table1[[#This Row],[SubscriptionStart]]&lt;=Settings!$C$2,Table1[[#This Row],[EffectiveEndDate]]&gt;=Settings!$C$2),1,0)</f>
        <v>0</v>
      </c>
      <c r="AD648" s="46">
        <f ca="1">IF(AND(Table1[[#This Row],[SubscriptionStart]]&lt;=Settings!$D$2,Table1[[#This Row],[EffectiveEndDate]]&gt;=Settings!$D$2),1,0)</f>
        <v>0</v>
      </c>
      <c r="AE648" s="46">
        <f ca="1">IF(AND(Table1[[#This Row],[SubscriptionStart]]&lt;=Settings!$E$2,Table1[[#This Row],[EffectiveEndDate]]&gt;=Settings!$E$2),1,0)</f>
        <v>0</v>
      </c>
      <c r="AF648"/>
      <c r="AG648"/>
      <c r="AH648"/>
      <c r="AI648"/>
      <c r="AJ648"/>
      <c r="AK648"/>
    </row>
    <row r="649" spans="1:37">
      <c r="A649" s="3" t="s">
        <v>774</v>
      </c>
      <c r="B649" s="3">
        <v>57</v>
      </c>
      <c r="C649" s="3" t="s">
        <v>23</v>
      </c>
      <c r="D649" s="5">
        <v>45141</v>
      </c>
      <c r="F649" s="3">
        <f ca="1">TODAY() - Table1[[#This Row],[SubscriptionStart]]</f>
        <v>840</v>
      </c>
      <c r="G649" s="4">
        <v>36</v>
      </c>
      <c r="H649" s="3" t="s">
        <v>24</v>
      </c>
      <c r="I649" s="3" t="s">
        <v>39</v>
      </c>
      <c r="J649" s="7" cm="1">
        <f t="array" ref="J649">_xlfn.IFS(Table1[[#This Row],[Tier]]="Basic",10,Table1[[#This Row],[Tier]]="Standard",18,Table1[[#This Row],[Tier]]="Premium",25)</f>
        <v>18</v>
      </c>
      <c r="K649" s="7" cm="1">
        <f t="array" ref="K64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649" s="7" cm="1">
        <f t="array" ref="L64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417.6</v>
      </c>
      <c r="M649" s="3" t="str" cm="1">
        <f t="array" ref="M649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49" s="3" t="s">
        <v>52</v>
      </c>
      <c r="O649" s="3" t="s">
        <v>27</v>
      </c>
      <c r="Q649" s="3" t="str" cm="1">
        <f t="array" ref="Q649">_xlfn.IFS(Table1[[#This Row],[TotalRevenue]]&lt;100,"Low",Table1[[#This Row],[TotalRevenue]]&lt;300,"Medium",Table1[[#This Row],[TotalRevenue]]&lt;600,"High",TRUE,"Very High")</f>
        <v>High</v>
      </c>
      <c r="R649" s="3" t="str" cm="1">
        <f t="array" ref="R64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49" s="3" t="str">
        <f>IF(Table1[[#This Row],[NextBillingDate]]="","Cancelled",IF(Table1[[#This Row],[CancellationDate]]&lt;&gt;"","Cancelled","Active"))</f>
        <v>Active</v>
      </c>
      <c r="T649" s="7" cm="1">
        <f t="array" ref="T64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561.6</v>
      </c>
      <c r="V649" s="5">
        <v>46221</v>
      </c>
      <c r="W649" s="5">
        <v>46221</v>
      </c>
      <c r="X649" s="3">
        <v>2</v>
      </c>
      <c r="Y649" s="5">
        <f ca="1">IF(Table1[[#This Row],[ChurnStatus]]="Cancelled",Table1[[#This Row],[CancellationDate]],TODAY())</f>
        <v>45981</v>
      </c>
      <c r="Z649" s="46">
        <f ca="1">IF(AND(Table1[[#This Row],[SubscriptionStart]] &lt;= TODAY(), Table1[[#This Row],[EffectiveEndDate]] &gt;= TODAY()),1,0)</f>
        <v>1</v>
      </c>
      <c r="AA649" s="46">
        <f ca="1">IF(AND(Table1[[#This Row],[SubscriptionStart]]&lt;=Settings!$A$2,Table1[[#This Row],[EffectiveEndDate]]&gt;=Settings!$A$2),1,0)</f>
        <v>0</v>
      </c>
      <c r="AB649" s="46">
        <f ca="1">IF(AND(Table1[[#This Row],[SubscriptionStart]]&lt;=Settings!$B$2,Table1[[#This Row],[EffectiveEndDate]]&gt;=Settings!$B$2),1,0)</f>
        <v>0</v>
      </c>
      <c r="AC649" s="46">
        <f ca="1">IF(AND(Table1[[#This Row],[SubscriptionStart]]&lt;=Settings!$C$2,Table1[[#This Row],[EffectiveEndDate]]&gt;=Settings!$C$2),1,0)</f>
        <v>0</v>
      </c>
      <c r="AD649" s="46">
        <f ca="1">IF(AND(Table1[[#This Row],[SubscriptionStart]]&lt;=Settings!$D$2,Table1[[#This Row],[EffectiveEndDate]]&gt;=Settings!$D$2),1,0)</f>
        <v>0</v>
      </c>
      <c r="AE649" s="46">
        <f ca="1">IF(AND(Table1[[#This Row],[SubscriptionStart]]&lt;=Settings!$E$2,Table1[[#This Row],[EffectiveEndDate]]&gt;=Settings!$E$2),1,0)</f>
        <v>1</v>
      </c>
      <c r="AF649"/>
      <c r="AG649"/>
      <c r="AH649"/>
      <c r="AI649"/>
      <c r="AJ649"/>
      <c r="AK649"/>
    </row>
    <row r="650" spans="1:37">
      <c r="A650" s="3" t="s">
        <v>811</v>
      </c>
      <c r="B650" s="3">
        <v>73</v>
      </c>
      <c r="C650" s="3" t="s">
        <v>37</v>
      </c>
      <c r="D650" s="5">
        <v>45142</v>
      </c>
      <c r="E650" s="5">
        <v>45502</v>
      </c>
      <c r="F650" s="3">
        <f ca="1">TODAY() - Table1[[#This Row],[SubscriptionStart]]</f>
        <v>839</v>
      </c>
      <c r="G650" s="4">
        <v>12</v>
      </c>
      <c r="H650" s="3" t="s">
        <v>24</v>
      </c>
      <c r="I650" s="3" t="s">
        <v>30</v>
      </c>
      <c r="J650" s="7" cm="1">
        <f t="array" ref="J650">_xlfn.IFS(Table1[[#This Row],[Tier]]="Basic",10,Table1[[#This Row],[Tier]]="Standard",18,Table1[[#This Row],[Tier]]="Premium",25)</f>
        <v>10</v>
      </c>
      <c r="K650" s="7" cm="1">
        <f t="array" ref="K65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50" s="7" cm="1">
        <f t="array" ref="L65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50" s="3" t="str" cm="1">
        <f t="array" ref="M650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650" s="3" t="s">
        <v>34</v>
      </c>
      <c r="O650" s="3" t="s">
        <v>32</v>
      </c>
      <c r="P650" s="3" t="s">
        <v>47</v>
      </c>
      <c r="Q650" s="3" t="str" cm="1">
        <f t="array" ref="Q650">_xlfn.IFS(Table1[[#This Row],[TotalRevenue]]&lt;100,"Low",Table1[[#This Row],[TotalRevenue]]&lt;300,"Medium",Table1[[#This Row],[TotalRevenue]]&lt;600,"High",TRUE,"Very High")</f>
        <v>Low</v>
      </c>
      <c r="R650" s="3" t="str" cm="1">
        <f t="array" ref="R650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650" s="3" t="str">
        <f>IF(Table1[[#This Row],[NextBillingDate]]="","Cancelled",IF(Table1[[#This Row],[CancellationDate]]&lt;&gt;"","Cancelled","Active"))</f>
        <v>Cancelled</v>
      </c>
      <c r="T650" s="7" cm="1">
        <f t="array" ref="T65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50" s="5">
        <v>45502</v>
      </c>
      <c r="W650" s="5">
        <v>45502</v>
      </c>
      <c r="X650" s="3">
        <v>0</v>
      </c>
      <c r="Y650" s="5">
        <f ca="1">IF(Table1[[#This Row],[ChurnStatus]]="Cancelled",Table1[[#This Row],[CancellationDate]],TODAY())</f>
        <v>45502</v>
      </c>
      <c r="Z650" s="46">
        <f ca="1">IF(AND(Table1[[#This Row],[SubscriptionStart]] &lt;= TODAY(), Table1[[#This Row],[EffectiveEndDate]] &gt;= TODAY()),1,0)</f>
        <v>0</v>
      </c>
      <c r="AA650" s="46">
        <f ca="1">IF(AND(Table1[[#This Row],[SubscriptionStart]]&lt;=Settings!$A$2,Table1[[#This Row],[EffectiveEndDate]]&gt;=Settings!$A$2),1,0)</f>
        <v>0</v>
      </c>
      <c r="AB650" s="46">
        <f ca="1">IF(AND(Table1[[#This Row],[SubscriptionStart]]&lt;=Settings!$B$2,Table1[[#This Row],[EffectiveEndDate]]&gt;=Settings!$B$2),1,0)</f>
        <v>0</v>
      </c>
      <c r="AC650" s="46">
        <f ca="1">IF(AND(Table1[[#This Row],[SubscriptionStart]]&lt;=Settings!$C$2,Table1[[#This Row],[EffectiveEndDate]]&gt;=Settings!$C$2),1,0)</f>
        <v>0</v>
      </c>
      <c r="AD650" s="46">
        <f ca="1">IF(AND(Table1[[#This Row],[SubscriptionStart]]&lt;=Settings!$D$2,Table1[[#This Row],[EffectiveEndDate]]&gt;=Settings!$D$2),1,0)</f>
        <v>0</v>
      </c>
      <c r="AE650" s="46">
        <f ca="1">IF(AND(Table1[[#This Row],[SubscriptionStart]]&lt;=Settings!$E$2,Table1[[#This Row],[EffectiveEndDate]]&gt;=Settings!$E$2),1,0)</f>
        <v>0</v>
      </c>
      <c r="AF650"/>
      <c r="AG650"/>
      <c r="AH650"/>
      <c r="AI650"/>
      <c r="AJ650"/>
      <c r="AK650"/>
    </row>
    <row r="651" spans="1:37">
      <c r="A651" s="3" t="s">
        <v>512</v>
      </c>
      <c r="B651" s="3">
        <v>27</v>
      </c>
      <c r="C651" s="3" t="s">
        <v>37</v>
      </c>
      <c r="D651" s="5">
        <v>45142</v>
      </c>
      <c r="F651" s="3">
        <f ca="1">TODAY() - Table1[[#This Row],[SubscriptionStart]]</f>
        <v>839</v>
      </c>
      <c r="G651" s="4">
        <v>28</v>
      </c>
      <c r="H651" s="3" t="s">
        <v>29</v>
      </c>
      <c r="I651" s="3" t="s">
        <v>39</v>
      </c>
      <c r="J651" s="7" cm="1">
        <f t="array" ref="J651">_xlfn.IFS(Table1[[#This Row],[Tier]]="Basic",10,Table1[[#This Row],[Tier]]="Standard",18,Table1[[#This Row],[Tier]]="Premium",25)</f>
        <v>18</v>
      </c>
      <c r="K651" s="7" cm="1">
        <f t="array" ref="K65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651" s="7" cm="1">
        <f t="array" ref="L65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466.2</v>
      </c>
      <c r="M651" s="3" t="str" cm="1">
        <f t="array" ref="M65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51" s="3" t="s">
        <v>34</v>
      </c>
      <c r="O651" s="3" t="s">
        <v>43</v>
      </c>
      <c r="Q651" s="3" t="str" cm="1">
        <f t="array" ref="Q651">_xlfn.IFS(Table1[[#This Row],[TotalRevenue]]&lt;100,"Low",Table1[[#This Row],[TotalRevenue]]&lt;300,"Medium",Table1[[#This Row],[TotalRevenue]]&lt;600,"High",TRUE,"Very High")</f>
        <v>High</v>
      </c>
      <c r="R651" s="3" t="str" cm="1">
        <f t="array" ref="R65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51" s="3" t="str">
        <f>IF(Table1[[#This Row],[NextBillingDate]]="","Cancelled",IF(Table1[[#This Row],[CancellationDate]]&lt;&gt;"","Cancelled","Active"))</f>
        <v>Active</v>
      </c>
      <c r="T651" s="7" cm="1">
        <f t="array" ref="T65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484.2</v>
      </c>
      <c r="V651" s="5">
        <v>45982</v>
      </c>
      <c r="W651" s="5">
        <v>45982</v>
      </c>
      <c r="X651" s="3">
        <v>27</v>
      </c>
      <c r="Y651" s="5">
        <f ca="1">IF(Table1[[#This Row],[ChurnStatus]]="Cancelled",Table1[[#This Row],[CancellationDate]],TODAY())</f>
        <v>45981</v>
      </c>
      <c r="Z651" s="46">
        <f ca="1">IF(AND(Table1[[#This Row],[SubscriptionStart]] &lt;= TODAY(), Table1[[#This Row],[EffectiveEndDate]] &gt;= TODAY()),1,0)</f>
        <v>1</v>
      </c>
      <c r="AA651" s="46">
        <f ca="1">IF(AND(Table1[[#This Row],[SubscriptionStart]]&lt;=Settings!$A$2,Table1[[#This Row],[EffectiveEndDate]]&gt;=Settings!$A$2),1,0)</f>
        <v>0</v>
      </c>
      <c r="AB651" s="46">
        <f ca="1">IF(AND(Table1[[#This Row],[SubscriptionStart]]&lt;=Settings!$B$2,Table1[[#This Row],[EffectiveEndDate]]&gt;=Settings!$B$2),1,0)</f>
        <v>0</v>
      </c>
      <c r="AC651" s="46">
        <f ca="1">IF(AND(Table1[[#This Row],[SubscriptionStart]]&lt;=Settings!$C$2,Table1[[#This Row],[EffectiveEndDate]]&gt;=Settings!$C$2),1,0)</f>
        <v>0</v>
      </c>
      <c r="AD651" s="46">
        <f ca="1">IF(AND(Table1[[#This Row],[SubscriptionStart]]&lt;=Settings!$D$2,Table1[[#This Row],[EffectiveEndDate]]&gt;=Settings!$D$2),1,0)</f>
        <v>0</v>
      </c>
      <c r="AE651" s="46">
        <f ca="1">IF(AND(Table1[[#This Row],[SubscriptionStart]]&lt;=Settings!$E$2,Table1[[#This Row],[EffectiveEndDate]]&gt;=Settings!$E$2),1,0)</f>
        <v>1</v>
      </c>
      <c r="AF651"/>
      <c r="AG651"/>
      <c r="AH651"/>
      <c r="AI651"/>
      <c r="AJ651"/>
      <c r="AK651"/>
    </row>
    <row r="652" spans="1:37">
      <c r="A652" s="3" t="s">
        <v>778</v>
      </c>
      <c r="B652" s="3">
        <v>64</v>
      </c>
      <c r="C652" s="3" t="s">
        <v>37</v>
      </c>
      <c r="D652" s="5">
        <v>45143</v>
      </c>
      <c r="E652" s="5">
        <v>45503</v>
      </c>
      <c r="F652" s="3">
        <f ca="1">TODAY() - Table1[[#This Row],[SubscriptionStart]]</f>
        <v>838</v>
      </c>
      <c r="G652" s="4">
        <v>12</v>
      </c>
      <c r="H652" s="3" t="s">
        <v>24</v>
      </c>
      <c r="I652" s="3" t="s">
        <v>25</v>
      </c>
      <c r="J652" s="7" cm="1">
        <f t="array" ref="J652">_xlfn.IFS(Table1[[#This Row],[Tier]]="Basic",10,Table1[[#This Row],[Tier]]="Standard",18,Table1[[#This Row],[Tier]]="Premium",25)</f>
        <v>25</v>
      </c>
      <c r="K652" s="7" cm="1">
        <f t="array" ref="K65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652" s="7" cm="1">
        <f t="array" ref="L65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652" s="3" t="str" cm="1">
        <f t="array" ref="M652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52" s="3" t="s">
        <v>26</v>
      </c>
      <c r="O652" s="3" t="s">
        <v>40</v>
      </c>
      <c r="P652" s="3" t="s">
        <v>50</v>
      </c>
      <c r="Q652" s="3" t="str" cm="1">
        <f t="array" ref="Q652">_xlfn.IFS(Table1[[#This Row],[TotalRevenue]]&lt;100,"Low",Table1[[#This Row],[TotalRevenue]]&lt;300,"Medium",Table1[[#This Row],[TotalRevenue]]&lt;600,"High",TRUE,"Very High")</f>
        <v>Medium</v>
      </c>
      <c r="R652" s="3" t="str" cm="1">
        <f t="array" ref="R652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652" s="3" t="str">
        <f>IF(Table1[[#This Row],[NextBillingDate]]="","Cancelled",IF(Table1[[#This Row],[CancellationDate]]&lt;&gt;"","Cancelled","Active"))</f>
        <v>Cancelled</v>
      </c>
      <c r="T652" s="7" cm="1">
        <f t="array" ref="T65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652" s="5">
        <v>45503</v>
      </c>
      <c r="W652" s="5">
        <v>45503</v>
      </c>
      <c r="X652" s="3">
        <v>0</v>
      </c>
      <c r="Y652" s="5">
        <f ca="1">IF(Table1[[#This Row],[ChurnStatus]]="Cancelled",Table1[[#This Row],[CancellationDate]],TODAY())</f>
        <v>45503</v>
      </c>
      <c r="Z652" s="46">
        <f ca="1">IF(AND(Table1[[#This Row],[SubscriptionStart]] &lt;= TODAY(), Table1[[#This Row],[EffectiveEndDate]] &gt;= TODAY()),1,0)</f>
        <v>0</v>
      </c>
      <c r="AA652" s="46">
        <f ca="1">IF(AND(Table1[[#This Row],[SubscriptionStart]]&lt;=Settings!$A$2,Table1[[#This Row],[EffectiveEndDate]]&gt;=Settings!$A$2),1,0)</f>
        <v>0</v>
      </c>
      <c r="AB652" s="46">
        <f ca="1">IF(AND(Table1[[#This Row],[SubscriptionStart]]&lt;=Settings!$B$2,Table1[[#This Row],[EffectiveEndDate]]&gt;=Settings!$B$2),1,0)</f>
        <v>0</v>
      </c>
      <c r="AC652" s="46">
        <f ca="1">IF(AND(Table1[[#This Row],[SubscriptionStart]]&lt;=Settings!$C$2,Table1[[#This Row],[EffectiveEndDate]]&gt;=Settings!$C$2),1,0)</f>
        <v>0</v>
      </c>
      <c r="AD652" s="46">
        <f ca="1">IF(AND(Table1[[#This Row],[SubscriptionStart]]&lt;=Settings!$D$2,Table1[[#This Row],[EffectiveEndDate]]&gt;=Settings!$D$2),1,0)</f>
        <v>0</v>
      </c>
      <c r="AE652" s="46">
        <f ca="1">IF(AND(Table1[[#This Row],[SubscriptionStart]]&lt;=Settings!$E$2,Table1[[#This Row],[EffectiveEndDate]]&gt;=Settings!$E$2),1,0)</f>
        <v>0</v>
      </c>
      <c r="AF652"/>
      <c r="AG652"/>
      <c r="AH652"/>
      <c r="AI652"/>
      <c r="AJ652"/>
      <c r="AK652"/>
    </row>
    <row r="653" spans="1:37">
      <c r="A653" s="3" t="s">
        <v>838</v>
      </c>
      <c r="B653" s="3">
        <v>52</v>
      </c>
      <c r="C653" s="3" t="s">
        <v>23</v>
      </c>
      <c r="D653" s="5">
        <v>45145</v>
      </c>
      <c r="F653" s="3">
        <f ca="1">TODAY() - Table1[[#This Row],[SubscriptionStart]]</f>
        <v>836</v>
      </c>
      <c r="G653" s="4">
        <v>36</v>
      </c>
      <c r="H653" s="3" t="s">
        <v>24</v>
      </c>
      <c r="I653" s="3" t="s">
        <v>39</v>
      </c>
      <c r="J653" s="7" cm="1">
        <f t="array" ref="J653">_xlfn.IFS(Table1[[#This Row],[Tier]]="Basic",10,Table1[[#This Row],[Tier]]="Standard",18,Table1[[#This Row],[Tier]]="Premium",25)</f>
        <v>18</v>
      </c>
      <c r="K653" s="7" cm="1">
        <f t="array" ref="K65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653" s="7" cm="1">
        <f t="array" ref="L65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417.6</v>
      </c>
      <c r="M653" s="3" t="str" cm="1">
        <f t="array" ref="M65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53" s="3" t="s">
        <v>52</v>
      </c>
      <c r="O653" s="3" t="s">
        <v>27</v>
      </c>
      <c r="Q653" s="3" t="str" cm="1">
        <f t="array" ref="Q653">_xlfn.IFS(Table1[[#This Row],[TotalRevenue]]&lt;100,"Low",Table1[[#This Row],[TotalRevenue]]&lt;300,"Medium",Table1[[#This Row],[TotalRevenue]]&lt;600,"High",TRUE,"Very High")</f>
        <v>High</v>
      </c>
      <c r="R653" s="3" t="str" cm="1">
        <f t="array" ref="R65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53" s="3" t="str">
        <f>IF(Table1[[#This Row],[NextBillingDate]]="","Cancelled",IF(Table1[[#This Row],[CancellationDate]]&lt;&gt;"","Cancelled","Active"))</f>
        <v>Active</v>
      </c>
      <c r="T653" s="7" cm="1">
        <f t="array" ref="T65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561.6</v>
      </c>
      <c r="V653" s="5">
        <v>46225</v>
      </c>
      <c r="W653" s="5">
        <v>46225</v>
      </c>
      <c r="X653" s="3">
        <v>2</v>
      </c>
      <c r="Y653" s="5">
        <f ca="1">IF(Table1[[#This Row],[ChurnStatus]]="Cancelled",Table1[[#This Row],[CancellationDate]],TODAY())</f>
        <v>45981</v>
      </c>
      <c r="Z653" s="46">
        <f ca="1">IF(AND(Table1[[#This Row],[SubscriptionStart]] &lt;= TODAY(), Table1[[#This Row],[EffectiveEndDate]] &gt;= TODAY()),1,0)</f>
        <v>1</v>
      </c>
      <c r="AA653" s="46">
        <f ca="1">IF(AND(Table1[[#This Row],[SubscriptionStart]]&lt;=Settings!$A$2,Table1[[#This Row],[EffectiveEndDate]]&gt;=Settings!$A$2),1,0)</f>
        <v>0</v>
      </c>
      <c r="AB653" s="46">
        <f ca="1">IF(AND(Table1[[#This Row],[SubscriptionStart]]&lt;=Settings!$B$2,Table1[[#This Row],[EffectiveEndDate]]&gt;=Settings!$B$2),1,0)</f>
        <v>0</v>
      </c>
      <c r="AC653" s="46">
        <f ca="1">IF(AND(Table1[[#This Row],[SubscriptionStart]]&lt;=Settings!$C$2,Table1[[#This Row],[EffectiveEndDate]]&gt;=Settings!$C$2),1,0)</f>
        <v>0</v>
      </c>
      <c r="AD653" s="46">
        <f ca="1">IF(AND(Table1[[#This Row],[SubscriptionStart]]&lt;=Settings!$D$2,Table1[[#This Row],[EffectiveEndDate]]&gt;=Settings!$D$2),1,0)</f>
        <v>0</v>
      </c>
      <c r="AE653" s="46">
        <f ca="1">IF(AND(Table1[[#This Row],[SubscriptionStart]]&lt;=Settings!$E$2,Table1[[#This Row],[EffectiveEndDate]]&gt;=Settings!$E$2),1,0)</f>
        <v>1</v>
      </c>
      <c r="AF653"/>
      <c r="AG653"/>
      <c r="AH653"/>
      <c r="AI653"/>
      <c r="AJ653"/>
      <c r="AK653"/>
    </row>
    <row r="654" spans="1:37">
      <c r="A654" s="3" t="s">
        <v>120</v>
      </c>
      <c r="B654" s="3">
        <v>61</v>
      </c>
      <c r="C654" s="3" t="s">
        <v>37</v>
      </c>
      <c r="D654" s="5">
        <v>45145</v>
      </c>
      <c r="F654" s="3">
        <f ca="1">TODAY() - Table1[[#This Row],[SubscriptionStart]]</f>
        <v>836</v>
      </c>
      <c r="G654" s="4">
        <v>28</v>
      </c>
      <c r="H654" s="3" t="s">
        <v>29</v>
      </c>
      <c r="I654" s="3" t="s">
        <v>25</v>
      </c>
      <c r="J654" s="7" cm="1">
        <f t="array" ref="J654">_xlfn.IFS(Table1[[#This Row],[Tier]]="Basic",10,Table1[[#This Row],[Tier]]="Standard",18,Table1[[#This Row],[Tier]]="Premium",25)</f>
        <v>25</v>
      </c>
      <c r="K654" s="7" cm="1">
        <f t="array" ref="K65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654" s="7" cm="1">
        <f t="array" ref="L65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647.5</v>
      </c>
      <c r="M654" s="3" t="str" cm="1">
        <f t="array" ref="M65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54" s="3" t="s">
        <v>31</v>
      </c>
      <c r="O654" s="3" t="s">
        <v>32</v>
      </c>
      <c r="Q654" s="3" t="str" cm="1">
        <f t="array" ref="Q654">_xlfn.IFS(Table1[[#This Row],[TotalRevenue]]&lt;100,"Low",Table1[[#This Row],[TotalRevenue]]&lt;300,"Medium",Table1[[#This Row],[TotalRevenue]]&lt;600,"High",TRUE,"Very High")</f>
        <v>Very High</v>
      </c>
      <c r="R654" s="3" t="str" cm="1">
        <f t="array" ref="R65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654" s="3" t="str">
        <f>IF(Table1[[#This Row],[NextBillingDate]]="","Cancelled",IF(Table1[[#This Row],[CancellationDate]]&lt;&gt;"","Cancelled","Active"))</f>
        <v>Active</v>
      </c>
      <c r="T654" s="7" cm="1">
        <f t="array" ref="T65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672.5</v>
      </c>
      <c r="V654" s="5">
        <v>45985</v>
      </c>
      <c r="W654" s="5">
        <v>45985</v>
      </c>
      <c r="X654" s="3">
        <v>27</v>
      </c>
      <c r="Y654" s="5">
        <f ca="1">IF(Table1[[#This Row],[ChurnStatus]]="Cancelled",Table1[[#This Row],[CancellationDate]],TODAY())</f>
        <v>45981</v>
      </c>
      <c r="Z654" s="46">
        <f ca="1">IF(AND(Table1[[#This Row],[SubscriptionStart]] &lt;= TODAY(), Table1[[#This Row],[EffectiveEndDate]] &gt;= TODAY()),1,0)</f>
        <v>1</v>
      </c>
      <c r="AA654" s="46">
        <f ca="1">IF(AND(Table1[[#This Row],[SubscriptionStart]]&lt;=Settings!$A$2,Table1[[#This Row],[EffectiveEndDate]]&gt;=Settings!$A$2),1,0)</f>
        <v>0</v>
      </c>
      <c r="AB654" s="46">
        <f ca="1">IF(AND(Table1[[#This Row],[SubscriptionStart]]&lt;=Settings!$B$2,Table1[[#This Row],[EffectiveEndDate]]&gt;=Settings!$B$2),1,0)</f>
        <v>0</v>
      </c>
      <c r="AC654" s="46">
        <f ca="1">IF(AND(Table1[[#This Row],[SubscriptionStart]]&lt;=Settings!$C$2,Table1[[#This Row],[EffectiveEndDate]]&gt;=Settings!$C$2),1,0)</f>
        <v>0</v>
      </c>
      <c r="AD654" s="46">
        <f ca="1">IF(AND(Table1[[#This Row],[SubscriptionStart]]&lt;=Settings!$D$2,Table1[[#This Row],[EffectiveEndDate]]&gt;=Settings!$D$2),1,0)</f>
        <v>0</v>
      </c>
      <c r="AE654" s="46">
        <f ca="1">IF(AND(Table1[[#This Row],[SubscriptionStart]]&lt;=Settings!$E$2,Table1[[#This Row],[EffectiveEndDate]]&gt;=Settings!$E$2),1,0)</f>
        <v>1</v>
      </c>
      <c r="AF654"/>
      <c r="AG654"/>
      <c r="AH654"/>
      <c r="AI654"/>
      <c r="AJ654"/>
      <c r="AK654"/>
    </row>
    <row r="655" spans="1:37">
      <c r="A655" s="3" t="s">
        <v>95</v>
      </c>
      <c r="B655" s="3">
        <v>44</v>
      </c>
      <c r="C655" s="3" t="s">
        <v>37</v>
      </c>
      <c r="D655" s="5">
        <v>45148</v>
      </c>
      <c r="E655" s="5">
        <v>45508</v>
      </c>
      <c r="F655" s="3">
        <f ca="1">TODAY() - Table1[[#This Row],[SubscriptionStart]]</f>
        <v>833</v>
      </c>
      <c r="G655" s="4">
        <v>12</v>
      </c>
      <c r="H655" s="3" t="s">
        <v>24</v>
      </c>
      <c r="I655" s="3" t="s">
        <v>30</v>
      </c>
      <c r="J655" s="7" cm="1">
        <f t="array" ref="J655">_xlfn.IFS(Table1[[#This Row],[Tier]]="Basic",10,Table1[[#This Row],[Tier]]="Standard",18,Table1[[#This Row],[Tier]]="Premium",25)</f>
        <v>10</v>
      </c>
      <c r="K655" s="7" cm="1">
        <f t="array" ref="K65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55" s="7" cm="1">
        <f t="array" ref="L65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55" s="3" t="str" cm="1">
        <f t="array" ref="M65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55" s="3" t="s">
        <v>34</v>
      </c>
      <c r="O655" s="3" t="s">
        <v>49</v>
      </c>
      <c r="P655" s="3" t="s">
        <v>47</v>
      </c>
      <c r="Q655" s="3" t="str" cm="1">
        <f t="array" ref="Q655">_xlfn.IFS(Table1[[#This Row],[TotalRevenue]]&lt;100,"Low",Table1[[#This Row],[TotalRevenue]]&lt;300,"Medium",Table1[[#This Row],[TotalRevenue]]&lt;600,"High",TRUE,"Very High")</f>
        <v>Low</v>
      </c>
      <c r="R655" s="3" t="str" cm="1">
        <f t="array" ref="R65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55" s="3" t="str">
        <f>IF(Table1[[#This Row],[NextBillingDate]]="","Cancelled",IF(Table1[[#This Row],[CancellationDate]]&lt;&gt;"","Cancelled","Active"))</f>
        <v>Cancelled</v>
      </c>
      <c r="T655" s="7" cm="1">
        <f t="array" ref="T65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55" s="5">
        <v>45508</v>
      </c>
      <c r="W655" s="5">
        <v>45508</v>
      </c>
      <c r="X655" s="3">
        <v>0</v>
      </c>
      <c r="Y655" s="5">
        <f ca="1">IF(Table1[[#This Row],[ChurnStatus]]="Cancelled",Table1[[#This Row],[CancellationDate]],TODAY())</f>
        <v>45508</v>
      </c>
      <c r="Z655" s="46">
        <f ca="1">IF(AND(Table1[[#This Row],[SubscriptionStart]] &lt;= TODAY(), Table1[[#This Row],[EffectiveEndDate]] &gt;= TODAY()),1,0)</f>
        <v>0</v>
      </c>
      <c r="AA655" s="46">
        <f ca="1">IF(AND(Table1[[#This Row],[SubscriptionStart]]&lt;=Settings!$A$2,Table1[[#This Row],[EffectiveEndDate]]&gt;=Settings!$A$2),1,0)</f>
        <v>0</v>
      </c>
      <c r="AB655" s="46">
        <f ca="1">IF(AND(Table1[[#This Row],[SubscriptionStart]]&lt;=Settings!$B$2,Table1[[#This Row],[EffectiveEndDate]]&gt;=Settings!$B$2),1,0)</f>
        <v>0</v>
      </c>
      <c r="AC655" s="46">
        <f ca="1">IF(AND(Table1[[#This Row],[SubscriptionStart]]&lt;=Settings!$C$2,Table1[[#This Row],[EffectiveEndDate]]&gt;=Settings!$C$2),1,0)</f>
        <v>0</v>
      </c>
      <c r="AD655" s="46">
        <f ca="1">IF(AND(Table1[[#This Row],[SubscriptionStart]]&lt;=Settings!$D$2,Table1[[#This Row],[EffectiveEndDate]]&gt;=Settings!$D$2),1,0)</f>
        <v>0</v>
      </c>
      <c r="AE655" s="46">
        <f ca="1">IF(AND(Table1[[#This Row],[SubscriptionStart]]&lt;=Settings!$E$2,Table1[[#This Row],[EffectiveEndDate]]&gt;=Settings!$E$2),1,0)</f>
        <v>0</v>
      </c>
      <c r="AF655"/>
      <c r="AG655"/>
      <c r="AH655"/>
      <c r="AI655"/>
      <c r="AJ655"/>
      <c r="AK655"/>
    </row>
    <row r="656" spans="1:37">
      <c r="A656" s="3" t="s">
        <v>320</v>
      </c>
      <c r="B656" s="3">
        <v>40</v>
      </c>
      <c r="C656" s="3" t="s">
        <v>23</v>
      </c>
      <c r="D656" s="5">
        <v>45150</v>
      </c>
      <c r="E656" s="5">
        <v>45330</v>
      </c>
      <c r="F656" s="3">
        <f ca="1">TODAY() - Table1[[#This Row],[SubscriptionStart]]</f>
        <v>831</v>
      </c>
      <c r="G656" s="4">
        <v>6</v>
      </c>
      <c r="H656" s="3" t="s">
        <v>38</v>
      </c>
      <c r="I656" s="3" t="s">
        <v>39</v>
      </c>
      <c r="J656" s="7" cm="1">
        <f t="array" ref="J656">_xlfn.IFS(Table1[[#This Row],[Tier]]="Basic",10,Table1[[#This Row],[Tier]]="Standard",18,Table1[[#This Row],[Tier]]="Premium",25)</f>
        <v>18</v>
      </c>
      <c r="K656" s="7" cm="1">
        <f t="array" ref="K65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656" s="7" cm="1">
        <f t="array" ref="L65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656" s="3" t="str" cm="1">
        <f t="array" ref="M65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56" s="3" t="s">
        <v>26</v>
      </c>
      <c r="O656" s="3" t="s">
        <v>27</v>
      </c>
      <c r="P656" s="3" t="s">
        <v>44</v>
      </c>
      <c r="Q656" s="3" t="str" cm="1">
        <f t="array" ref="Q656">_xlfn.IFS(Table1[[#This Row],[TotalRevenue]]&lt;100,"Low",Table1[[#This Row],[TotalRevenue]]&lt;300,"Medium",Table1[[#This Row],[TotalRevenue]]&lt;600,"High",TRUE,"Very High")</f>
        <v>Low</v>
      </c>
      <c r="R656" s="3" t="str" cm="1">
        <f t="array" ref="R65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56" s="3" t="str">
        <f>IF(Table1[[#This Row],[NextBillingDate]]="","Cancelled",IF(Table1[[#This Row],[CancellationDate]]&lt;&gt;"","Cancelled","Active"))</f>
        <v>Cancelled</v>
      </c>
      <c r="T656" s="7" cm="1">
        <f t="array" ref="T65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656" s="5">
        <v>45330</v>
      </c>
      <c r="W656" s="5">
        <v>45330</v>
      </c>
      <c r="X656" s="3">
        <v>0</v>
      </c>
      <c r="Y656" s="5">
        <f ca="1">IF(Table1[[#This Row],[ChurnStatus]]="Cancelled",Table1[[#This Row],[CancellationDate]],TODAY())</f>
        <v>45330</v>
      </c>
      <c r="Z656" s="46">
        <f ca="1">IF(AND(Table1[[#This Row],[SubscriptionStart]] &lt;= TODAY(), Table1[[#This Row],[EffectiveEndDate]] &gt;= TODAY()),1,0)</f>
        <v>0</v>
      </c>
      <c r="AA656" s="46">
        <f ca="1">IF(AND(Table1[[#This Row],[SubscriptionStart]]&lt;=Settings!$A$2,Table1[[#This Row],[EffectiveEndDate]]&gt;=Settings!$A$2),1,0)</f>
        <v>0</v>
      </c>
      <c r="AB656" s="46">
        <f ca="1">IF(AND(Table1[[#This Row],[SubscriptionStart]]&lt;=Settings!$B$2,Table1[[#This Row],[EffectiveEndDate]]&gt;=Settings!$B$2),1,0)</f>
        <v>0</v>
      </c>
      <c r="AC656" s="46">
        <f ca="1">IF(AND(Table1[[#This Row],[SubscriptionStart]]&lt;=Settings!$C$2,Table1[[#This Row],[EffectiveEndDate]]&gt;=Settings!$C$2),1,0)</f>
        <v>0</v>
      </c>
      <c r="AD656" s="46">
        <f ca="1">IF(AND(Table1[[#This Row],[SubscriptionStart]]&lt;=Settings!$D$2,Table1[[#This Row],[EffectiveEndDate]]&gt;=Settings!$D$2),1,0)</f>
        <v>0</v>
      </c>
      <c r="AE656" s="46">
        <f ca="1">IF(AND(Table1[[#This Row],[SubscriptionStart]]&lt;=Settings!$E$2,Table1[[#This Row],[EffectiveEndDate]]&gt;=Settings!$E$2),1,0)</f>
        <v>0</v>
      </c>
      <c r="AF656"/>
      <c r="AG656"/>
      <c r="AH656"/>
      <c r="AI656"/>
      <c r="AJ656"/>
      <c r="AK656"/>
    </row>
    <row r="657" spans="1:37">
      <c r="A657" s="3" t="s">
        <v>680</v>
      </c>
      <c r="B657" s="3">
        <v>70</v>
      </c>
      <c r="C657" s="3" t="s">
        <v>23</v>
      </c>
      <c r="D657" s="5">
        <v>45150</v>
      </c>
      <c r="E657" s="5">
        <v>45510</v>
      </c>
      <c r="F657" s="3">
        <f ca="1">TODAY() - Table1[[#This Row],[SubscriptionStart]]</f>
        <v>831</v>
      </c>
      <c r="G657" s="4">
        <v>12</v>
      </c>
      <c r="H657" s="3" t="s">
        <v>24</v>
      </c>
      <c r="I657" s="3" t="s">
        <v>30</v>
      </c>
      <c r="J657" s="7" cm="1">
        <f t="array" ref="J657">_xlfn.IFS(Table1[[#This Row],[Tier]]="Basic",10,Table1[[#This Row],[Tier]]="Standard",18,Table1[[#This Row],[Tier]]="Premium",25)</f>
        <v>10</v>
      </c>
      <c r="K657" s="7" cm="1">
        <f t="array" ref="K65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57" s="7" cm="1">
        <f t="array" ref="L65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57" s="3" t="str" cm="1">
        <f t="array" ref="M657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57" s="3" t="s">
        <v>31</v>
      </c>
      <c r="O657" s="3" t="s">
        <v>43</v>
      </c>
      <c r="P657" s="3" t="s">
        <v>41</v>
      </c>
      <c r="Q657" s="3" t="str" cm="1">
        <f t="array" ref="Q657">_xlfn.IFS(Table1[[#This Row],[TotalRevenue]]&lt;100,"Low",Table1[[#This Row],[TotalRevenue]]&lt;300,"Medium",Table1[[#This Row],[TotalRevenue]]&lt;600,"High",TRUE,"Very High")</f>
        <v>Low</v>
      </c>
      <c r="R657" s="3" t="str" cm="1">
        <f t="array" ref="R657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657" s="3" t="str">
        <f>IF(Table1[[#This Row],[NextBillingDate]]="","Cancelled",IF(Table1[[#This Row],[CancellationDate]]&lt;&gt;"","Cancelled","Active"))</f>
        <v>Cancelled</v>
      </c>
      <c r="T657" s="7" cm="1">
        <f t="array" ref="T65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57" s="5">
        <v>45510</v>
      </c>
      <c r="W657" s="5">
        <v>45510</v>
      </c>
      <c r="X657" s="3">
        <v>0</v>
      </c>
      <c r="Y657" s="5">
        <f ca="1">IF(Table1[[#This Row],[ChurnStatus]]="Cancelled",Table1[[#This Row],[CancellationDate]],TODAY())</f>
        <v>45510</v>
      </c>
      <c r="Z657" s="46">
        <f ca="1">IF(AND(Table1[[#This Row],[SubscriptionStart]] &lt;= TODAY(), Table1[[#This Row],[EffectiveEndDate]] &gt;= TODAY()),1,0)</f>
        <v>0</v>
      </c>
      <c r="AA657" s="46">
        <f ca="1">IF(AND(Table1[[#This Row],[SubscriptionStart]]&lt;=Settings!$A$2,Table1[[#This Row],[EffectiveEndDate]]&gt;=Settings!$A$2),1,0)</f>
        <v>0</v>
      </c>
      <c r="AB657" s="46">
        <f ca="1">IF(AND(Table1[[#This Row],[SubscriptionStart]]&lt;=Settings!$B$2,Table1[[#This Row],[EffectiveEndDate]]&gt;=Settings!$B$2),1,0)</f>
        <v>0</v>
      </c>
      <c r="AC657" s="46">
        <f ca="1">IF(AND(Table1[[#This Row],[SubscriptionStart]]&lt;=Settings!$C$2,Table1[[#This Row],[EffectiveEndDate]]&gt;=Settings!$C$2),1,0)</f>
        <v>0</v>
      </c>
      <c r="AD657" s="46">
        <f ca="1">IF(AND(Table1[[#This Row],[SubscriptionStart]]&lt;=Settings!$D$2,Table1[[#This Row],[EffectiveEndDate]]&gt;=Settings!$D$2),1,0)</f>
        <v>0</v>
      </c>
      <c r="AE657" s="46">
        <f ca="1">IF(AND(Table1[[#This Row],[SubscriptionStart]]&lt;=Settings!$E$2,Table1[[#This Row],[EffectiveEndDate]]&gt;=Settings!$E$2),1,0)</f>
        <v>0</v>
      </c>
      <c r="AF657"/>
      <c r="AG657"/>
      <c r="AH657"/>
      <c r="AI657"/>
      <c r="AJ657"/>
      <c r="AK657"/>
    </row>
    <row r="658" spans="1:37">
      <c r="A658" s="3" t="s">
        <v>53</v>
      </c>
      <c r="B658" s="3">
        <v>27</v>
      </c>
      <c r="C658" s="3" t="s">
        <v>37</v>
      </c>
      <c r="D658" s="5">
        <v>45150</v>
      </c>
      <c r="F658" s="3">
        <f ca="1">TODAY() - Table1[[#This Row],[SubscriptionStart]]</f>
        <v>831</v>
      </c>
      <c r="G658" s="4">
        <v>28</v>
      </c>
      <c r="H658" s="3" t="s">
        <v>29</v>
      </c>
      <c r="I658" s="3" t="s">
        <v>25</v>
      </c>
      <c r="J658" s="7" cm="1">
        <f t="array" ref="J658">_xlfn.IFS(Table1[[#This Row],[Tier]]="Basic",10,Table1[[#This Row],[Tier]]="Standard",18,Table1[[#This Row],[Tier]]="Premium",25)</f>
        <v>25</v>
      </c>
      <c r="K658" s="7" cm="1">
        <f t="array" ref="K65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658" s="7" cm="1">
        <f t="array" ref="L65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647.5</v>
      </c>
      <c r="M658" s="3" t="str" cm="1">
        <f t="array" ref="M65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58" s="3" t="s">
        <v>52</v>
      </c>
      <c r="O658" s="3" t="s">
        <v>43</v>
      </c>
      <c r="Q658" s="3" t="str" cm="1">
        <f t="array" ref="Q658">_xlfn.IFS(Table1[[#This Row],[TotalRevenue]]&lt;100,"Low",Table1[[#This Row],[TotalRevenue]]&lt;300,"Medium",Table1[[#This Row],[TotalRevenue]]&lt;600,"High",TRUE,"Very High")</f>
        <v>Very High</v>
      </c>
      <c r="R658" s="3" t="str" cm="1">
        <f t="array" ref="R65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58" s="3" t="str">
        <f>IF(Table1[[#This Row],[NextBillingDate]]="","Cancelled",IF(Table1[[#This Row],[CancellationDate]]&lt;&gt;"","Cancelled","Active"))</f>
        <v>Active</v>
      </c>
      <c r="T658" s="7" cm="1">
        <f t="array" ref="T65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672.5</v>
      </c>
      <c r="V658" s="5">
        <v>45990</v>
      </c>
      <c r="W658" s="5">
        <v>45990</v>
      </c>
      <c r="X658" s="3">
        <v>27</v>
      </c>
      <c r="Y658" s="5">
        <f ca="1">IF(Table1[[#This Row],[ChurnStatus]]="Cancelled",Table1[[#This Row],[CancellationDate]],TODAY())</f>
        <v>45981</v>
      </c>
      <c r="Z658" s="46">
        <f ca="1">IF(AND(Table1[[#This Row],[SubscriptionStart]] &lt;= TODAY(), Table1[[#This Row],[EffectiveEndDate]] &gt;= TODAY()),1,0)</f>
        <v>1</v>
      </c>
      <c r="AA658" s="46">
        <f ca="1">IF(AND(Table1[[#This Row],[SubscriptionStart]]&lt;=Settings!$A$2,Table1[[#This Row],[EffectiveEndDate]]&gt;=Settings!$A$2),1,0)</f>
        <v>0</v>
      </c>
      <c r="AB658" s="46">
        <f ca="1">IF(AND(Table1[[#This Row],[SubscriptionStart]]&lt;=Settings!$B$2,Table1[[#This Row],[EffectiveEndDate]]&gt;=Settings!$B$2),1,0)</f>
        <v>0</v>
      </c>
      <c r="AC658" s="46">
        <f ca="1">IF(AND(Table1[[#This Row],[SubscriptionStart]]&lt;=Settings!$C$2,Table1[[#This Row],[EffectiveEndDate]]&gt;=Settings!$C$2),1,0)</f>
        <v>0</v>
      </c>
      <c r="AD658" s="46">
        <f ca="1">IF(AND(Table1[[#This Row],[SubscriptionStart]]&lt;=Settings!$D$2,Table1[[#This Row],[EffectiveEndDate]]&gt;=Settings!$D$2),1,0)</f>
        <v>0</v>
      </c>
      <c r="AE658" s="46">
        <f ca="1">IF(AND(Table1[[#This Row],[SubscriptionStart]]&lt;=Settings!$E$2,Table1[[#This Row],[EffectiveEndDate]]&gt;=Settings!$E$2),1,0)</f>
        <v>1</v>
      </c>
      <c r="AF658"/>
      <c r="AG658"/>
      <c r="AH658"/>
      <c r="AI658"/>
      <c r="AJ658"/>
      <c r="AK658"/>
    </row>
    <row r="659" spans="1:37">
      <c r="A659" s="3" t="s">
        <v>106</v>
      </c>
      <c r="B659" s="3">
        <v>74</v>
      </c>
      <c r="C659" s="3" t="s">
        <v>37</v>
      </c>
      <c r="D659" s="5">
        <v>45152</v>
      </c>
      <c r="F659" s="3">
        <f ca="1">TODAY() - Table1[[#This Row],[SubscriptionStart]]</f>
        <v>829</v>
      </c>
      <c r="G659" s="4">
        <v>30</v>
      </c>
      <c r="H659" s="3" t="s">
        <v>38</v>
      </c>
      <c r="I659" s="3" t="s">
        <v>39</v>
      </c>
      <c r="J659" s="7" cm="1">
        <f t="array" ref="J659">_xlfn.IFS(Table1[[#This Row],[Tier]]="Basic",10,Table1[[#This Row],[Tier]]="Standard",18,Table1[[#This Row],[Tier]]="Premium",25)</f>
        <v>18</v>
      </c>
      <c r="K659" s="7" cm="1">
        <f t="array" ref="K65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659" s="7" cm="1">
        <f t="array" ref="L65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388.8</v>
      </c>
      <c r="M659" s="3" t="str" cm="1">
        <f t="array" ref="M659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659" s="3" t="s">
        <v>26</v>
      </c>
      <c r="O659" s="3" t="s">
        <v>32</v>
      </c>
      <c r="Q659" s="3" t="str" cm="1">
        <f t="array" ref="Q659">_xlfn.IFS(Table1[[#This Row],[TotalRevenue]]&lt;100,"Low",Table1[[#This Row],[TotalRevenue]]&lt;300,"Medium",Table1[[#This Row],[TotalRevenue]]&lt;600,"High",TRUE,"Very High")</f>
        <v>High</v>
      </c>
      <c r="R659" s="3" t="str" cm="1">
        <f t="array" ref="R659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659" s="3" t="str">
        <f>IF(Table1[[#This Row],[NextBillingDate]]="","Cancelled",IF(Table1[[#This Row],[CancellationDate]]&lt;&gt;"","Cancelled","Active"))</f>
        <v>Active</v>
      </c>
      <c r="T659" s="7" cm="1">
        <f t="array" ref="T65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469.8</v>
      </c>
      <c r="V659" s="5">
        <v>46052</v>
      </c>
      <c r="W659" s="5">
        <v>46052</v>
      </c>
      <c r="X659" s="3">
        <v>4</v>
      </c>
      <c r="Y659" s="5">
        <f ca="1">IF(Table1[[#This Row],[ChurnStatus]]="Cancelled",Table1[[#This Row],[CancellationDate]],TODAY())</f>
        <v>45981</v>
      </c>
      <c r="Z659" s="46">
        <f ca="1">IF(AND(Table1[[#This Row],[SubscriptionStart]] &lt;= TODAY(), Table1[[#This Row],[EffectiveEndDate]] &gt;= TODAY()),1,0)</f>
        <v>1</v>
      </c>
      <c r="AA659" s="46">
        <f ca="1">IF(AND(Table1[[#This Row],[SubscriptionStart]]&lt;=Settings!$A$2,Table1[[#This Row],[EffectiveEndDate]]&gt;=Settings!$A$2),1,0)</f>
        <v>0</v>
      </c>
      <c r="AB659" s="46">
        <f ca="1">IF(AND(Table1[[#This Row],[SubscriptionStart]]&lt;=Settings!$B$2,Table1[[#This Row],[EffectiveEndDate]]&gt;=Settings!$B$2),1,0)</f>
        <v>0</v>
      </c>
      <c r="AC659" s="46">
        <f ca="1">IF(AND(Table1[[#This Row],[SubscriptionStart]]&lt;=Settings!$C$2,Table1[[#This Row],[EffectiveEndDate]]&gt;=Settings!$C$2),1,0)</f>
        <v>0</v>
      </c>
      <c r="AD659" s="46">
        <f ca="1">IF(AND(Table1[[#This Row],[SubscriptionStart]]&lt;=Settings!$D$2,Table1[[#This Row],[EffectiveEndDate]]&gt;=Settings!$D$2),1,0)</f>
        <v>0</v>
      </c>
      <c r="AE659" s="46">
        <f ca="1">IF(AND(Table1[[#This Row],[SubscriptionStart]]&lt;=Settings!$E$2,Table1[[#This Row],[EffectiveEndDate]]&gt;=Settings!$E$2),1,0)</f>
        <v>1</v>
      </c>
      <c r="AF659"/>
      <c r="AG659"/>
      <c r="AH659"/>
      <c r="AI659"/>
      <c r="AJ659"/>
      <c r="AK659"/>
    </row>
    <row r="660" spans="1:37">
      <c r="A660" s="3" t="s">
        <v>770</v>
      </c>
      <c r="B660" s="3">
        <v>26</v>
      </c>
      <c r="C660" s="3" t="s">
        <v>37</v>
      </c>
      <c r="D660" s="5">
        <v>45153</v>
      </c>
      <c r="E660" s="5">
        <v>45333</v>
      </c>
      <c r="F660" s="3">
        <f ca="1">TODAY() - Table1[[#This Row],[SubscriptionStart]]</f>
        <v>828</v>
      </c>
      <c r="G660" s="4">
        <v>6</v>
      </c>
      <c r="H660" s="3" t="s">
        <v>38</v>
      </c>
      <c r="I660" s="3" t="s">
        <v>25</v>
      </c>
      <c r="J660" s="7" cm="1">
        <f t="array" ref="J660">_xlfn.IFS(Table1[[#This Row],[Tier]]="Basic",10,Table1[[#This Row],[Tier]]="Standard",18,Table1[[#This Row],[Tier]]="Premium",25)</f>
        <v>25</v>
      </c>
      <c r="K660" s="7" cm="1">
        <f t="array" ref="K66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660" s="7" cm="1">
        <f t="array" ref="L66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660" s="3" t="str" cm="1">
        <f t="array" ref="M66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60" s="3" t="s">
        <v>52</v>
      </c>
      <c r="O660" s="3" t="s">
        <v>27</v>
      </c>
      <c r="P660" s="3" t="s">
        <v>41</v>
      </c>
      <c r="Q660" s="3" t="str" cm="1">
        <f t="array" ref="Q660">_xlfn.IFS(Table1[[#This Row],[TotalRevenue]]&lt;100,"Low",Table1[[#This Row],[TotalRevenue]]&lt;300,"Medium",Table1[[#This Row],[TotalRevenue]]&lt;600,"High",TRUE,"Very High")</f>
        <v>Medium</v>
      </c>
      <c r="R660" s="3" t="str" cm="1">
        <f t="array" ref="R66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60" s="3" t="str">
        <f>IF(Table1[[#This Row],[NextBillingDate]]="","Cancelled",IF(Table1[[#This Row],[CancellationDate]]&lt;&gt;"","Cancelled","Active"))</f>
        <v>Cancelled</v>
      </c>
      <c r="T660" s="7" cm="1">
        <f t="array" ref="T66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660" s="5">
        <v>45333</v>
      </c>
      <c r="W660" s="5">
        <v>45333</v>
      </c>
      <c r="X660" s="3">
        <v>0</v>
      </c>
      <c r="Y660" s="5">
        <f ca="1">IF(Table1[[#This Row],[ChurnStatus]]="Cancelled",Table1[[#This Row],[CancellationDate]],TODAY())</f>
        <v>45333</v>
      </c>
      <c r="Z660" s="46">
        <f ca="1">IF(AND(Table1[[#This Row],[SubscriptionStart]] &lt;= TODAY(), Table1[[#This Row],[EffectiveEndDate]] &gt;= TODAY()),1,0)</f>
        <v>0</v>
      </c>
      <c r="AA660" s="46">
        <f ca="1">IF(AND(Table1[[#This Row],[SubscriptionStart]]&lt;=Settings!$A$2,Table1[[#This Row],[EffectiveEndDate]]&gt;=Settings!$A$2),1,0)</f>
        <v>0</v>
      </c>
      <c r="AB660" s="46">
        <f ca="1">IF(AND(Table1[[#This Row],[SubscriptionStart]]&lt;=Settings!$B$2,Table1[[#This Row],[EffectiveEndDate]]&gt;=Settings!$B$2),1,0)</f>
        <v>0</v>
      </c>
      <c r="AC660" s="46">
        <f ca="1">IF(AND(Table1[[#This Row],[SubscriptionStart]]&lt;=Settings!$C$2,Table1[[#This Row],[EffectiveEndDate]]&gt;=Settings!$C$2),1,0)</f>
        <v>0</v>
      </c>
      <c r="AD660" s="46">
        <f ca="1">IF(AND(Table1[[#This Row],[SubscriptionStart]]&lt;=Settings!$D$2,Table1[[#This Row],[EffectiveEndDate]]&gt;=Settings!$D$2),1,0)</f>
        <v>0</v>
      </c>
      <c r="AE660" s="46">
        <f ca="1">IF(AND(Table1[[#This Row],[SubscriptionStart]]&lt;=Settings!$E$2,Table1[[#This Row],[EffectiveEndDate]]&gt;=Settings!$E$2),1,0)</f>
        <v>0</v>
      </c>
      <c r="AF660"/>
      <c r="AG660"/>
      <c r="AH660"/>
      <c r="AI660"/>
      <c r="AJ660"/>
      <c r="AK660"/>
    </row>
    <row r="661" spans="1:37">
      <c r="A661" s="3" t="s">
        <v>639</v>
      </c>
      <c r="B661" s="3">
        <v>23</v>
      </c>
      <c r="C661" s="3" t="s">
        <v>37</v>
      </c>
      <c r="D661" s="5">
        <v>45153</v>
      </c>
      <c r="E661" s="5">
        <v>45513</v>
      </c>
      <c r="F661" s="3">
        <f ca="1">TODAY() - Table1[[#This Row],[SubscriptionStart]]</f>
        <v>828</v>
      </c>
      <c r="G661" s="4">
        <v>12</v>
      </c>
      <c r="H661" s="3" t="s">
        <v>24</v>
      </c>
      <c r="I661" s="3" t="s">
        <v>39</v>
      </c>
      <c r="J661" s="7" cm="1">
        <f t="array" ref="J661">_xlfn.IFS(Table1[[#This Row],[Tier]]="Basic",10,Table1[[#This Row],[Tier]]="Standard",18,Table1[[#This Row],[Tier]]="Premium",25)</f>
        <v>18</v>
      </c>
      <c r="K661" s="7" cm="1">
        <f t="array" ref="K66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661" s="7" cm="1">
        <f t="array" ref="L66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661" s="3" t="str" cm="1">
        <f t="array" ref="M661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661" s="3" t="s">
        <v>31</v>
      </c>
      <c r="O661" s="3" t="s">
        <v>27</v>
      </c>
      <c r="P661" s="3" t="s">
        <v>47</v>
      </c>
      <c r="Q661" s="3" t="str" cm="1">
        <f t="array" ref="Q661">_xlfn.IFS(Table1[[#This Row],[TotalRevenue]]&lt;100,"Low",Table1[[#This Row],[TotalRevenue]]&lt;300,"Medium",Table1[[#This Row],[TotalRevenue]]&lt;600,"High",TRUE,"Very High")</f>
        <v>Medium</v>
      </c>
      <c r="R661" s="3" t="str" cm="1">
        <f t="array" ref="R661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661" s="3" t="str">
        <f>IF(Table1[[#This Row],[NextBillingDate]]="","Cancelled",IF(Table1[[#This Row],[CancellationDate]]&lt;&gt;"","Cancelled","Active"))</f>
        <v>Cancelled</v>
      </c>
      <c r="T661" s="7" cm="1">
        <f t="array" ref="T66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661" s="5">
        <v>45513</v>
      </c>
      <c r="W661" s="5">
        <v>45513</v>
      </c>
      <c r="X661" s="3">
        <v>0</v>
      </c>
      <c r="Y661" s="5">
        <f ca="1">IF(Table1[[#This Row],[ChurnStatus]]="Cancelled",Table1[[#This Row],[CancellationDate]],TODAY())</f>
        <v>45513</v>
      </c>
      <c r="Z661" s="46">
        <f ca="1">IF(AND(Table1[[#This Row],[SubscriptionStart]] &lt;= TODAY(), Table1[[#This Row],[EffectiveEndDate]] &gt;= TODAY()),1,0)</f>
        <v>0</v>
      </c>
      <c r="AA661" s="46">
        <f ca="1">IF(AND(Table1[[#This Row],[SubscriptionStart]]&lt;=Settings!$A$2,Table1[[#This Row],[EffectiveEndDate]]&gt;=Settings!$A$2),1,0)</f>
        <v>0</v>
      </c>
      <c r="AB661" s="46">
        <f ca="1">IF(AND(Table1[[#This Row],[SubscriptionStart]]&lt;=Settings!$B$2,Table1[[#This Row],[EffectiveEndDate]]&gt;=Settings!$B$2),1,0)</f>
        <v>0</v>
      </c>
      <c r="AC661" s="46">
        <f ca="1">IF(AND(Table1[[#This Row],[SubscriptionStart]]&lt;=Settings!$C$2,Table1[[#This Row],[EffectiveEndDate]]&gt;=Settings!$C$2),1,0)</f>
        <v>0</v>
      </c>
      <c r="AD661" s="46">
        <f ca="1">IF(AND(Table1[[#This Row],[SubscriptionStart]]&lt;=Settings!$D$2,Table1[[#This Row],[EffectiveEndDate]]&gt;=Settings!$D$2),1,0)</f>
        <v>0</v>
      </c>
      <c r="AE661" s="46">
        <f ca="1">IF(AND(Table1[[#This Row],[SubscriptionStart]]&lt;=Settings!$E$2,Table1[[#This Row],[EffectiveEndDate]]&gt;=Settings!$E$2),1,0)</f>
        <v>0</v>
      </c>
      <c r="AF661"/>
      <c r="AG661"/>
      <c r="AH661"/>
      <c r="AI661"/>
      <c r="AJ661"/>
      <c r="AK661"/>
    </row>
    <row r="662" spans="1:37">
      <c r="A662" s="3" t="s">
        <v>575</v>
      </c>
      <c r="B662" s="3">
        <v>58</v>
      </c>
      <c r="C662" s="3" t="s">
        <v>23</v>
      </c>
      <c r="D662" s="5">
        <v>45153</v>
      </c>
      <c r="F662" s="3">
        <f ca="1">TODAY() - Table1[[#This Row],[SubscriptionStart]]</f>
        <v>828</v>
      </c>
      <c r="G662" s="4">
        <v>28</v>
      </c>
      <c r="H662" s="3" t="s">
        <v>29</v>
      </c>
      <c r="I662" s="3" t="s">
        <v>39</v>
      </c>
      <c r="J662" s="7" cm="1">
        <f t="array" ref="J662">_xlfn.IFS(Table1[[#This Row],[Tier]]="Basic",10,Table1[[#This Row],[Tier]]="Standard",18,Table1[[#This Row],[Tier]]="Premium",25)</f>
        <v>18</v>
      </c>
      <c r="K662" s="7" cm="1">
        <f t="array" ref="K66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662" s="7" cm="1">
        <f t="array" ref="L66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466.2</v>
      </c>
      <c r="M662" s="3" t="str" cm="1">
        <f t="array" ref="M662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62" s="3" t="s">
        <v>26</v>
      </c>
      <c r="O662" s="3" t="s">
        <v>40</v>
      </c>
      <c r="Q662" s="3" t="str" cm="1">
        <f t="array" ref="Q662">_xlfn.IFS(Table1[[#This Row],[TotalRevenue]]&lt;100,"Low",Table1[[#This Row],[TotalRevenue]]&lt;300,"Medium",Table1[[#This Row],[TotalRevenue]]&lt;600,"High",TRUE,"Very High")</f>
        <v>High</v>
      </c>
      <c r="R662" s="3" t="str" cm="1">
        <f t="array" ref="R66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62" s="3" t="str">
        <f>IF(Table1[[#This Row],[NextBillingDate]]="","Cancelled",IF(Table1[[#This Row],[CancellationDate]]&lt;&gt;"","Cancelled","Active"))</f>
        <v>Active</v>
      </c>
      <c r="T662" s="7" cm="1">
        <f t="array" ref="T66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484.2</v>
      </c>
      <c r="V662" s="5">
        <v>45993</v>
      </c>
      <c r="W662" s="5">
        <v>45993</v>
      </c>
      <c r="X662" s="3">
        <v>27</v>
      </c>
      <c r="Y662" s="5">
        <f ca="1">IF(Table1[[#This Row],[ChurnStatus]]="Cancelled",Table1[[#This Row],[CancellationDate]],TODAY())</f>
        <v>45981</v>
      </c>
      <c r="Z662" s="46">
        <f ca="1">IF(AND(Table1[[#This Row],[SubscriptionStart]] &lt;= TODAY(), Table1[[#This Row],[EffectiveEndDate]] &gt;= TODAY()),1,0)</f>
        <v>1</v>
      </c>
      <c r="AA662" s="46">
        <f ca="1">IF(AND(Table1[[#This Row],[SubscriptionStart]]&lt;=Settings!$A$2,Table1[[#This Row],[EffectiveEndDate]]&gt;=Settings!$A$2),1,0)</f>
        <v>0</v>
      </c>
      <c r="AB662" s="46">
        <f ca="1">IF(AND(Table1[[#This Row],[SubscriptionStart]]&lt;=Settings!$B$2,Table1[[#This Row],[EffectiveEndDate]]&gt;=Settings!$B$2),1,0)</f>
        <v>0</v>
      </c>
      <c r="AC662" s="46">
        <f ca="1">IF(AND(Table1[[#This Row],[SubscriptionStart]]&lt;=Settings!$C$2,Table1[[#This Row],[EffectiveEndDate]]&gt;=Settings!$C$2),1,0)</f>
        <v>0</v>
      </c>
      <c r="AD662" s="46">
        <f ca="1">IF(AND(Table1[[#This Row],[SubscriptionStart]]&lt;=Settings!$D$2,Table1[[#This Row],[EffectiveEndDate]]&gt;=Settings!$D$2),1,0)</f>
        <v>0</v>
      </c>
      <c r="AE662" s="46">
        <f ca="1">IF(AND(Table1[[#This Row],[SubscriptionStart]]&lt;=Settings!$E$2,Table1[[#This Row],[EffectiveEndDate]]&gt;=Settings!$E$2),1,0)</f>
        <v>1</v>
      </c>
      <c r="AF662"/>
      <c r="AG662"/>
      <c r="AH662"/>
      <c r="AI662"/>
      <c r="AJ662"/>
      <c r="AK662"/>
    </row>
    <row r="663" spans="1:37">
      <c r="A663" s="3" t="s">
        <v>301</v>
      </c>
      <c r="B663" s="3">
        <v>42</v>
      </c>
      <c r="C663" s="3" t="s">
        <v>37</v>
      </c>
      <c r="D663" s="5">
        <v>45158</v>
      </c>
      <c r="E663" s="5">
        <v>45338</v>
      </c>
      <c r="F663" s="3">
        <f ca="1">TODAY() - Table1[[#This Row],[SubscriptionStart]]</f>
        <v>823</v>
      </c>
      <c r="G663" s="4">
        <v>6</v>
      </c>
      <c r="H663" s="3" t="s">
        <v>38</v>
      </c>
      <c r="I663" s="3" t="s">
        <v>25</v>
      </c>
      <c r="J663" s="7" cm="1">
        <f t="array" ref="J663">_xlfn.IFS(Table1[[#This Row],[Tier]]="Basic",10,Table1[[#This Row],[Tier]]="Standard",18,Table1[[#This Row],[Tier]]="Premium",25)</f>
        <v>25</v>
      </c>
      <c r="K663" s="7" cm="1">
        <f t="array" ref="K66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663" s="7" cm="1">
        <f t="array" ref="L66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663" s="3" t="str" cm="1">
        <f t="array" ref="M66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63" s="3" t="s">
        <v>26</v>
      </c>
      <c r="O663" s="3" t="s">
        <v>40</v>
      </c>
      <c r="P663" s="3" t="s">
        <v>50</v>
      </c>
      <c r="Q663" s="3" t="str" cm="1">
        <f t="array" ref="Q663">_xlfn.IFS(Table1[[#This Row],[TotalRevenue]]&lt;100,"Low",Table1[[#This Row],[TotalRevenue]]&lt;300,"Medium",Table1[[#This Row],[TotalRevenue]]&lt;600,"High",TRUE,"Very High")</f>
        <v>Medium</v>
      </c>
      <c r="R663" s="3" t="str" cm="1">
        <f t="array" ref="R66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63" s="3" t="str">
        <f>IF(Table1[[#This Row],[NextBillingDate]]="","Cancelled",IF(Table1[[#This Row],[CancellationDate]]&lt;&gt;"","Cancelled","Active"))</f>
        <v>Cancelled</v>
      </c>
      <c r="T663" s="7" cm="1">
        <f t="array" ref="T66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663" s="5">
        <v>45338</v>
      </c>
      <c r="W663" s="5">
        <v>45338</v>
      </c>
      <c r="X663" s="3">
        <v>0</v>
      </c>
      <c r="Y663" s="5">
        <f ca="1">IF(Table1[[#This Row],[ChurnStatus]]="Cancelled",Table1[[#This Row],[CancellationDate]],TODAY())</f>
        <v>45338</v>
      </c>
      <c r="Z663" s="46">
        <f ca="1">IF(AND(Table1[[#This Row],[SubscriptionStart]] &lt;= TODAY(), Table1[[#This Row],[EffectiveEndDate]] &gt;= TODAY()),1,0)</f>
        <v>0</v>
      </c>
      <c r="AA663" s="46">
        <f ca="1">IF(AND(Table1[[#This Row],[SubscriptionStart]]&lt;=Settings!$A$2,Table1[[#This Row],[EffectiveEndDate]]&gt;=Settings!$A$2),1,0)</f>
        <v>0</v>
      </c>
      <c r="AB663" s="46">
        <f ca="1">IF(AND(Table1[[#This Row],[SubscriptionStart]]&lt;=Settings!$B$2,Table1[[#This Row],[EffectiveEndDate]]&gt;=Settings!$B$2),1,0)</f>
        <v>0</v>
      </c>
      <c r="AC663" s="46">
        <f ca="1">IF(AND(Table1[[#This Row],[SubscriptionStart]]&lt;=Settings!$C$2,Table1[[#This Row],[EffectiveEndDate]]&gt;=Settings!$C$2),1,0)</f>
        <v>0</v>
      </c>
      <c r="AD663" s="46">
        <f ca="1">IF(AND(Table1[[#This Row],[SubscriptionStart]]&lt;=Settings!$D$2,Table1[[#This Row],[EffectiveEndDate]]&gt;=Settings!$D$2),1,0)</f>
        <v>0</v>
      </c>
      <c r="AE663" s="46">
        <f ca="1">IF(AND(Table1[[#This Row],[SubscriptionStart]]&lt;=Settings!$E$2,Table1[[#This Row],[EffectiveEndDate]]&gt;=Settings!$E$2),1,0)</f>
        <v>0</v>
      </c>
      <c r="AF663"/>
      <c r="AG663"/>
      <c r="AH663"/>
      <c r="AI663"/>
      <c r="AJ663"/>
      <c r="AK663"/>
    </row>
    <row r="664" spans="1:37">
      <c r="A664" s="3" t="s">
        <v>250</v>
      </c>
      <c r="B664" s="3">
        <v>30</v>
      </c>
      <c r="C664" s="3" t="s">
        <v>37</v>
      </c>
      <c r="D664" s="5">
        <v>45158</v>
      </c>
      <c r="F664" s="3">
        <f ca="1">TODAY() - Table1[[#This Row],[SubscriptionStart]]</f>
        <v>823</v>
      </c>
      <c r="G664" s="4">
        <v>28</v>
      </c>
      <c r="H664" s="3" t="s">
        <v>29</v>
      </c>
      <c r="I664" s="3" t="s">
        <v>30</v>
      </c>
      <c r="J664" s="7" cm="1">
        <f t="array" ref="J664">_xlfn.IFS(Table1[[#This Row],[Tier]]="Basic",10,Table1[[#This Row],[Tier]]="Standard",18,Table1[[#This Row],[Tier]]="Premium",25)</f>
        <v>10</v>
      </c>
      <c r="K664" s="7" cm="1">
        <f t="array" ref="K66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664" s="7" cm="1">
        <f t="array" ref="L66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259</v>
      </c>
      <c r="M664" s="3" t="str" cm="1">
        <f t="array" ref="M66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64" s="3" t="s">
        <v>26</v>
      </c>
      <c r="O664" s="3" t="s">
        <v>27</v>
      </c>
      <c r="Q664" s="3" t="str" cm="1">
        <f t="array" ref="Q664">_xlfn.IFS(Table1[[#This Row],[TotalRevenue]]&lt;100,"Low",Table1[[#This Row],[TotalRevenue]]&lt;300,"Medium",Table1[[#This Row],[TotalRevenue]]&lt;600,"High",TRUE,"Very High")</f>
        <v>Medium</v>
      </c>
      <c r="R664" s="3" t="str" cm="1">
        <f t="array" ref="R66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64" s="3" t="str">
        <f>IF(Table1[[#This Row],[NextBillingDate]]="","Cancelled",IF(Table1[[#This Row],[CancellationDate]]&lt;&gt;"","Cancelled","Active"))</f>
        <v>Active</v>
      </c>
      <c r="T664" s="7" cm="1">
        <f t="array" ref="T66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269</v>
      </c>
      <c r="V664" s="5">
        <v>45998</v>
      </c>
      <c r="W664" s="5">
        <v>45998</v>
      </c>
      <c r="X664" s="3">
        <v>27</v>
      </c>
      <c r="Y664" s="5">
        <f ca="1">IF(Table1[[#This Row],[ChurnStatus]]="Cancelled",Table1[[#This Row],[CancellationDate]],TODAY())</f>
        <v>45981</v>
      </c>
      <c r="Z664" s="46">
        <f ca="1">IF(AND(Table1[[#This Row],[SubscriptionStart]] &lt;= TODAY(), Table1[[#This Row],[EffectiveEndDate]] &gt;= TODAY()),1,0)</f>
        <v>1</v>
      </c>
      <c r="AA664" s="46">
        <f ca="1">IF(AND(Table1[[#This Row],[SubscriptionStart]]&lt;=Settings!$A$2,Table1[[#This Row],[EffectiveEndDate]]&gt;=Settings!$A$2),1,0)</f>
        <v>0</v>
      </c>
      <c r="AB664" s="46">
        <f ca="1">IF(AND(Table1[[#This Row],[SubscriptionStart]]&lt;=Settings!$B$2,Table1[[#This Row],[EffectiveEndDate]]&gt;=Settings!$B$2),1,0)</f>
        <v>0</v>
      </c>
      <c r="AC664" s="46">
        <f ca="1">IF(AND(Table1[[#This Row],[SubscriptionStart]]&lt;=Settings!$C$2,Table1[[#This Row],[EffectiveEndDate]]&gt;=Settings!$C$2),1,0)</f>
        <v>0</v>
      </c>
      <c r="AD664" s="46">
        <f ca="1">IF(AND(Table1[[#This Row],[SubscriptionStart]]&lt;=Settings!$D$2,Table1[[#This Row],[EffectiveEndDate]]&gt;=Settings!$D$2),1,0)</f>
        <v>0</v>
      </c>
      <c r="AE664" s="46">
        <f ca="1">IF(AND(Table1[[#This Row],[SubscriptionStart]]&lt;=Settings!$E$2,Table1[[#This Row],[EffectiveEndDate]]&gt;=Settings!$E$2),1,0)</f>
        <v>1</v>
      </c>
      <c r="AF664"/>
      <c r="AG664"/>
      <c r="AH664"/>
      <c r="AI664"/>
      <c r="AJ664"/>
      <c r="AK664"/>
    </row>
    <row r="665" spans="1:37">
      <c r="A665" s="3" t="s">
        <v>94</v>
      </c>
      <c r="B665" s="3">
        <v>73</v>
      </c>
      <c r="C665" s="3" t="s">
        <v>37</v>
      </c>
      <c r="D665" s="5">
        <v>45160</v>
      </c>
      <c r="E665" s="5">
        <v>45340</v>
      </c>
      <c r="F665" s="3">
        <f ca="1">TODAY() - Table1[[#This Row],[SubscriptionStart]]</f>
        <v>821</v>
      </c>
      <c r="G665" s="4">
        <v>6</v>
      </c>
      <c r="H665" s="3" t="s">
        <v>38</v>
      </c>
      <c r="I665" s="3" t="s">
        <v>30</v>
      </c>
      <c r="J665" s="7" cm="1">
        <f t="array" ref="J665">_xlfn.IFS(Table1[[#This Row],[Tier]]="Basic",10,Table1[[#This Row],[Tier]]="Standard",18,Table1[[#This Row],[Tier]]="Premium",25)</f>
        <v>10</v>
      </c>
      <c r="K665" s="7" cm="1">
        <f t="array" ref="K66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665" s="7" cm="1">
        <f t="array" ref="L66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665" s="3" t="str" cm="1">
        <f t="array" ref="M665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665" s="3" t="s">
        <v>31</v>
      </c>
      <c r="O665" s="3" t="s">
        <v>49</v>
      </c>
      <c r="P665" s="3" t="s">
        <v>35</v>
      </c>
      <c r="Q665" s="3" t="str" cm="1">
        <f t="array" ref="Q665">_xlfn.IFS(Table1[[#This Row],[TotalRevenue]]&lt;100,"Low",Table1[[#This Row],[TotalRevenue]]&lt;300,"Medium",Table1[[#This Row],[TotalRevenue]]&lt;600,"High",TRUE,"Very High")</f>
        <v>Low</v>
      </c>
      <c r="R665" s="3" t="str" cm="1">
        <f t="array" ref="R665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665" s="3" t="str">
        <f>IF(Table1[[#This Row],[NextBillingDate]]="","Cancelled",IF(Table1[[#This Row],[CancellationDate]]&lt;&gt;"","Cancelled","Active"))</f>
        <v>Cancelled</v>
      </c>
      <c r="T665" s="7" cm="1">
        <f t="array" ref="T66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665" s="5">
        <v>45340</v>
      </c>
      <c r="W665" s="5">
        <v>45340</v>
      </c>
      <c r="X665" s="3">
        <v>0</v>
      </c>
      <c r="Y665" s="5">
        <f ca="1">IF(Table1[[#This Row],[ChurnStatus]]="Cancelled",Table1[[#This Row],[CancellationDate]],TODAY())</f>
        <v>45340</v>
      </c>
      <c r="Z665" s="46">
        <f ca="1">IF(AND(Table1[[#This Row],[SubscriptionStart]] &lt;= TODAY(), Table1[[#This Row],[EffectiveEndDate]] &gt;= TODAY()),1,0)</f>
        <v>0</v>
      </c>
      <c r="AA665" s="46">
        <f ca="1">IF(AND(Table1[[#This Row],[SubscriptionStart]]&lt;=Settings!$A$2,Table1[[#This Row],[EffectiveEndDate]]&gt;=Settings!$A$2),1,0)</f>
        <v>0</v>
      </c>
      <c r="AB665" s="46">
        <f ca="1">IF(AND(Table1[[#This Row],[SubscriptionStart]]&lt;=Settings!$B$2,Table1[[#This Row],[EffectiveEndDate]]&gt;=Settings!$B$2),1,0)</f>
        <v>0</v>
      </c>
      <c r="AC665" s="46">
        <f ca="1">IF(AND(Table1[[#This Row],[SubscriptionStart]]&lt;=Settings!$C$2,Table1[[#This Row],[EffectiveEndDate]]&gt;=Settings!$C$2),1,0)</f>
        <v>0</v>
      </c>
      <c r="AD665" s="46">
        <f ca="1">IF(AND(Table1[[#This Row],[SubscriptionStart]]&lt;=Settings!$D$2,Table1[[#This Row],[EffectiveEndDate]]&gt;=Settings!$D$2),1,0)</f>
        <v>0</v>
      </c>
      <c r="AE665" s="46">
        <f ca="1">IF(AND(Table1[[#This Row],[SubscriptionStart]]&lt;=Settings!$E$2,Table1[[#This Row],[EffectiveEndDate]]&gt;=Settings!$E$2),1,0)</f>
        <v>0</v>
      </c>
      <c r="AF665"/>
      <c r="AG665"/>
      <c r="AH665"/>
      <c r="AI665"/>
      <c r="AJ665"/>
      <c r="AK665"/>
    </row>
    <row r="666" spans="1:37">
      <c r="A666" s="3" t="s">
        <v>614</v>
      </c>
      <c r="B666" s="3">
        <v>32</v>
      </c>
      <c r="C666" s="3" t="s">
        <v>37</v>
      </c>
      <c r="D666" s="5">
        <v>45160</v>
      </c>
      <c r="E666" s="5">
        <v>45340</v>
      </c>
      <c r="F666" s="3">
        <f ca="1">TODAY() - Table1[[#This Row],[SubscriptionStart]]</f>
        <v>821</v>
      </c>
      <c r="G666" s="4">
        <v>6</v>
      </c>
      <c r="H666" s="3" t="s">
        <v>38</v>
      </c>
      <c r="I666" s="3" t="s">
        <v>39</v>
      </c>
      <c r="J666" s="7" cm="1">
        <f t="array" ref="J666">_xlfn.IFS(Table1[[#This Row],[Tier]]="Basic",10,Table1[[#This Row],[Tier]]="Standard",18,Table1[[#This Row],[Tier]]="Premium",25)</f>
        <v>18</v>
      </c>
      <c r="K666" s="7" cm="1">
        <f t="array" ref="K66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666" s="7" cm="1">
        <f t="array" ref="L66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666" s="3" t="str" cm="1">
        <f t="array" ref="M66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66" s="3" t="s">
        <v>31</v>
      </c>
      <c r="O666" s="3" t="s">
        <v>49</v>
      </c>
      <c r="P666" s="3" t="s">
        <v>47</v>
      </c>
      <c r="Q666" s="3" t="str" cm="1">
        <f t="array" ref="Q666">_xlfn.IFS(Table1[[#This Row],[TotalRevenue]]&lt;100,"Low",Table1[[#This Row],[TotalRevenue]]&lt;300,"Medium",Table1[[#This Row],[TotalRevenue]]&lt;600,"High",TRUE,"Very High")</f>
        <v>Low</v>
      </c>
      <c r="R666" s="3" t="str" cm="1">
        <f t="array" ref="R66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66" s="3" t="str">
        <f>IF(Table1[[#This Row],[NextBillingDate]]="","Cancelled",IF(Table1[[#This Row],[CancellationDate]]&lt;&gt;"","Cancelled","Active"))</f>
        <v>Cancelled</v>
      </c>
      <c r="T666" s="7" cm="1">
        <f t="array" ref="T66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666" s="5">
        <v>45340</v>
      </c>
      <c r="W666" s="5">
        <v>45340</v>
      </c>
      <c r="X666" s="3">
        <v>0</v>
      </c>
      <c r="Y666" s="5">
        <f ca="1">IF(Table1[[#This Row],[ChurnStatus]]="Cancelled",Table1[[#This Row],[CancellationDate]],TODAY())</f>
        <v>45340</v>
      </c>
      <c r="Z666" s="46">
        <f ca="1">IF(AND(Table1[[#This Row],[SubscriptionStart]] &lt;= TODAY(), Table1[[#This Row],[EffectiveEndDate]] &gt;= TODAY()),1,0)</f>
        <v>0</v>
      </c>
      <c r="AA666" s="46">
        <f ca="1">IF(AND(Table1[[#This Row],[SubscriptionStart]]&lt;=Settings!$A$2,Table1[[#This Row],[EffectiveEndDate]]&gt;=Settings!$A$2),1,0)</f>
        <v>0</v>
      </c>
      <c r="AB666" s="46">
        <f ca="1">IF(AND(Table1[[#This Row],[SubscriptionStart]]&lt;=Settings!$B$2,Table1[[#This Row],[EffectiveEndDate]]&gt;=Settings!$B$2),1,0)</f>
        <v>0</v>
      </c>
      <c r="AC666" s="46">
        <f ca="1">IF(AND(Table1[[#This Row],[SubscriptionStart]]&lt;=Settings!$C$2,Table1[[#This Row],[EffectiveEndDate]]&gt;=Settings!$C$2),1,0)</f>
        <v>0</v>
      </c>
      <c r="AD666" s="46">
        <f ca="1">IF(AND(Table1[[#This Row],[SubscriptionStart]]&lt;=Settings!$D$2,Table1[[#This Row],[EffectiveEndDate]]&gt;=Settings!$D$2),1,0)</f>
        <v>0</v>
      </c>
      <c r="AE666" s="46">
        <f ca="1">IF(AND(Table1[[#This Row],[SubscriptionStart]]&lt;=Settings!$E$2,Table1[[#This Row],[EffectiveEndDate]]&gt;=Settings!$E$2),1,0)</f>
        <v>0</v>
      </c>
      <c r="AF666"/>
      <c r="AG666"/>
      <c r="AH666"/>
      <c r="AI666"/>
      <c r="AJ666"/>
      <c r="AK666"/>
    </row>
    <row r="667" spans="1:37">
      <c r="A667" s="3" t="s">
        <v>608</v>
      </c>
      <c r="B667" s="3">
        <v>34</v>
      </c>
      <c r="C667" s="3" t="s">
        <v>23</v>
      </c>
      <c r="D667" s="5">
        <v>45160</v>
      </c>
      <c r="E667" s="5">
        <v>45520</v>
      </c>
      <c r="F667" s="3">
        <f ca="1">TODAY() - Table1[[#This Row],[SubscriptionStart]]</f>
        <v>821</v>
      </c>
      <c r="G667" s="4">
        <v>12</v>
      </c>
      <c r="H667" s="3" t="s">
        <v>24</v>
      </c>
      <c r="I667" s="3" t="s">
        <v>30</v>
      </c>
      <c r="J667" s="7" cm="1">
        <f t="array" ref="J667">_xlfn.IFS(Table1[[#This Row],[Tier]]="Basic",10,Table1[[#This Row],[Tier]]="Standard",18,Table1[[#This Row],[Tier]]="Premium",25)</f>
        <v>10</v>
      </c>
      <c r="K667" s="7" cm="1">
        <f t="array" ref="K66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67" s="7" cm="1">
        <f t="array" ref="L66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67" s="3" t="str" cm="1">
        <f t="array" ref="M66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67" s="3" t="s">
        <v>52</v>
      </c>
      <c r="O667" s="3" t="s">
        <v>43</v>
      </c>
      <c r="P667" s="3" t="s">
        <v>47</v>
      </c>
      <c r="Q667" s="3" t="str" cm="1">
        <f t="array" ref="Q667">_xlfn.IFS(Table1[[#This Row],[TotalRevenue]]&lt;100,"Low",Table1[[#This Row],[TotalRevenue]]&lt;300,"Medium",Table1[[#This Row],[TotalRevenue]]&lt;600,"High",TRUE,"Very High")</f>
        <v>Low</v>
      </c>
      <c r="R667" s="3" t="str" cm="1">
        <f t="array" ref="R66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67" s="3" t="str">
        <f>IF(Table1[[#This Row],[NextBillingDate]]="","Cancelled",IF(Table1[[#This Row],[CancellationDate]]&lt;&gt;"","Cancelled","Active"))</f>
        <v>Cancelled</v>
      </c>
      <c r="T667" s="7" cm="1">
        <f t="array" ref="T66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67" s="5">
        <v>45520</v>
      </c>
      <c r="W667" s="5">
        <v>45520</v>
      </c>
      <c r="X667" s="3">
        <v>0</v>
      </c>
      <c r="Y667" s="5">
        <f ca="1">IF(Table1[[#This Row],[ChurnStatus]]="Cancelled",Table1[[#This Row],[CancellationDate]],TODAY())</f>
        <v>45520</v>
      </c>
      <c r="Z667" s="46">
        <f ca="1">IF(AND(Table1[[#This Row],[SubscriptionStart]] &lt;= TODAY(), Table1[[#This Row],[EffectiveEndDate]] &gt;= TODAY()),1,0)</f>
        <v>0</v>
      </c>
      <c r="AA667" s="46">
        <f ca="1">IF(AND(Table1[[#This Row],[SubscriptionStart]]&lt;=Settings!$A$2,Table1[[#This Row],[EffectiveEndDate]]&gt;=Settings!$A$2),1,0)</f>
        <v>0</v>
      </c>
      <c r="AB667" s="46">
        <f ca="1">IF(AND(Table1[[#This Row],[SubscriptionStart]]&lt;=Settings!$B$2,Table1[[#This Row],[EffectiveEndDate]]&gt;=Settings!$B$2),1,0)</f>
        <v>0</v>
      </c>
      <c r="AC667" s="46">
        <f ca="1">IF(AND(Table1[[#This Row],[SubscriptionStart]]&lt;=Settings!$C$2,Table1[[#This Row],[EffectiveEndDate]]&gt;=Settings!$C$2),1,0)</f>
        <v>0</v>
      </c>
      <c r="AD667" s="46">
        <f ca="1">IF(AND(Table1[[#This Row],[SubscriptionStart]]&lt;=Settings!$D$2,Table1[[#This Row],[EffectiveEndDate]]&gt;=Settings!$D$2),1,0)</f>
        <v>0</v>
      </c>
      <c r="AE667" s="46">
        <f ca="1">IF(AND(Table1[[#This Row],[SubscriptionStart]]&lt;=Settings!$E$2,Table1[[#This Row],[EffectiveEndDate]]&gt;=Settings!$E$2),1,0)</f>
        <v>0</v>
      </c>
      <c r="AF667"/>
      <c r="AG667"/>
      <c r="AH667"/>
      <c r="AI667"/>
      <c r="AJ667"/>
      <c r="AK667"/>
    </row>
    <row r="668" spans="1:37">
      <c r="A668" s="3" t="s">
        <v>261</v>
      </c>
      <c r="B668" s="3">
        <v>44</v>
      </c>
      <c r="C668" s="3" t="s">
        <v>37</v>
      </c>
      <c r="D668" s="5">
        <v>45161</v>
      </c>
      <c r="E668" s="5">
        <v>45521</v>
      </c>
      <c r="F668" s="3">
        <f ca="1">TODAY() - Table1[[#This Row],[SubscriptionStart]]</f>
        <v>820</v>
      </c>
      <c r="G668" s="4">
        <v>12</v>
      </c>
      <c r="H668" s="3" t="s">
        <v>24</v>
      </c>
      <c r="I668" s="3" t="s">
        <v>39</v>
      </c>
      <c r="J668" s="7" cm="1">
        <f t="array" ref="J668">_xlfn.IFS(Table1[[#This Row],[Tier]]="Basic",10,Table1[[#This Row],[Tier]]="Standard",18,Table1[[#This Row],[Tier]]="Premium",25)</f>
        <v>18</v>
      </c>
      <c r="K668" s="7" cm="1">
        <f t="array" ref="K66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668" s="7" cm="1">
        <f t="array" ref="L66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668" s="3" t="str" cm="1">
        <f t="array" ref="M66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68" s="3" t="s">
        <v>34</v>
      </c>
      <c r="O668" s="3" t="s">
        <v>49</v>
      </c>
      <c r="P668" s="3" t="s">
        <v>35</v>
      </c>
      <c r="Q668" s="3" t="str" cm="1">
        <f t="array" ref="Q668">_xlfn.IFS(Table1[[#This Row],[TotalRevenue]]&lt;100,"Low",Table1[[#This Row],[TotalRevenue]]&lt;300,"Medium",Table1[[#This Row],[TotalRevenue]]&lt;600,"High",TRUE,"Very High")</f>
        <v>Medium</v>
      </c>
      <c r="R668" s="3" t="str" cm="1">
        <f t="array" ref="R66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68" s="3" t="str">
        <f>IF(Table1[[#This Row],[NextBillingDate]]="","Cancelled",IF(Table1[[#This Row],[CancellationDate]]&lt;&gt;"","Cancelled","Active"))</f>
        <v>Cancelled</v>
      </c>
      <c r="T668" s="7" cm="1">
        <f t="array" ref="T66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668" s="5">
        <v>45521</v>
      </c>
      <c r="W668" s="5">
        <v>45521</v>
      </c>
      <c r="X668" s="3">
        <v>0</v>
      </c>
      <c r="Y668" s="5">
        <f ca="1">IF(Table1[[#This Row],[ChurnStatus]]="Cancelled",Table1[[#This Row],[CancellationDate]],TODAY())</f>
        <v>45521</v>
      </c>
      <c r="Z668" s="46">
        <f ca="1">IF(AND(Table1[[#This Row],[SubscriptionStart]] &lt;= TODAY(), Table1[[#This Row],[EffectiveEndDate]] &gt;= TODAY()),1,0)</f>
        <v>0</v>
      </c>
      <c r="AA668" s="46">
        <f ca="1">IF(AND(Table1[[#This Row],[SubscriptionStart]]&lt;=Settings!$A$2,Table1[[#This Row],[EffectiveEndDate]]&gt;=Settings!$A$2),1,0)</f>
        <v>0</v>
      </c>
      <c r="AB668" s="46">
        <f ca="1">IF(AND(Table1[[#This Row],[SubscriptionStart]]&lt;=Settings!$B$2,Table1[[#This Row],[EffectiveEndDate]]&gt;=Settings!$B$2),1,0)</f>
        <v>0</v>
      </c>
      <c r="AC668" s="46">
        <f ca="1">IF(AND(Table1[[#This Row],[SubscriptionStart]]&lt;=Settings!$C$2,Table1[[#This Row],[EffectiveEndDate]]&gt;=Settings!$C$2),1,0)</f>
        <v>0</v>
      </c>
      <c r="AD668" s="46">
        <f ca="1">IF(AND(Table1[[#This Row],[SubscriptionStart]]&lt;=Settings!$D$2,Table1[[#This Row],[EffectiveEndDate]]&gt;=Settings!$D$2),1,0)</f>
        <v>0</v>
      </c>
      <c r="AE668" s="46">
        <f ca="1">IF(AND(Table1[[#This Row],[SubscriptionStart]]&lt;=Settings!$E$2,Table1[[#This Row],[EffectiveEndDate]]&gt;=Settings!$E$2),1,0)</f>
        <v>0</v>
      </c>
      <c r="AF668"/>
      <c r="AG668"/>
      <c r="AH668"/>
      <c r="AI668"/>
      <c r="AJ668"/>
      <c r="AK668"/>
    </row>
    <row r="669" spans="1:37">
      <c r="A669" s="3" t="s">
        <v>508</v>
      </c>
      <c r="B669" s="3">
        <v>22</v>
      </c>
      <c r="C669" s="3" t="s">
        <v>37</v>
      </c>
      <c r="D669" s="5">
        <v>45161</v>
      </c>
      <c r="F669" s="3">
        <f ca="1">TODAY() - Table1[[#This Row],[SubscriptionStart]]</f>
        <v>820</v>
      </c>
      <c r="G669" s="4">
        <v>36</v>
      </c>
      <c r="H669" s="3" t="s">
        <v>24</v>
      </c>
      <c r="I669" s="3" t="s">
        <v>39</v>
      </c>
      <c r="J669" s="7" cm="1">
        <f t="array" ref="J669">_xlfn.IFS(Table1[[#This Row],[Tier]]="Basic",10,Table1[[#This Row],[Tier]]="Standard",18,Table1[[#This Row],[Tier]]="Premium",25)</f>
        <v>18</v>
      </c>
      <c r="K669" s="7" cm="1">
        <f t="array" ref="K66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669" s="7" cm="1">
        <f t="array" ref="L66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417.6</v>
      </c>
      <c r="M669" s="3" t="str" cm="1">
        <f t="array" ref="M669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669" s="3" t="s">
        <v>34</v>
      </c>
      <c r="O669" s="3" t="s">
        <v>49</v>
      </c>
      <c r="Q669" s="3" t="str" cm="1">
        <f t="array" ref="Q669">_xlfn.IFS(Table1[[#This Row],[TotalRevenue]]&lt;100,"Low",Table1[[#This Row],[TotalRevenue]]&lt;300,"Medium",Table1[[#This Row],[TotalRevenue]]&lt;600,"High",TRUE,"Very High")</f>
        <v>High</v>
      </c>
      <c r="R669" s="3" t="str" cm="1">
        <f t="array" ref="R669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669" s="3" t="str">
        <f>IF(Table1[[#This Row],[NextBillingDate]]="","Cancelled",IF(Table1[[#This Row],[CancellationDate]]&lt;&gt;"","Cancelled","Active"))</f>
        <v>Active</v>
      </c>
      <c r="T669" s="7" cm="1">
        <f t="array" ref="T66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561.6</v>
      </c>
      <c r="V669" s="5">
        <v>46241</v>
      </c>
      <c r="W669" s="5">
        <v>46241</v>
      </c>
      <c r="X669" s="3">
        <v>2</v>
      </c>
      <c r="Y669" s="5">
        <f ca="1">IF(Table1[[#This Row],[ChurnStatus]]="Cancelled",Table1[[#This Row],[CancellationDate]],TODAY())</f>
        <v>45981</v>
      </c>
      <c r="Z669" s="46">
        <f ca="1">IF(AND(Table1[[#This Row],[SubscriptionStart]] &lt;= TODAY(), Table1[[#This Row],[EffectiveEndDate]] &gt;= TODAY()),1,0)</f>
        <v>1</v>
      </c>
      <c r="AA669" s="46">
        <f ca="1">IF(AND(Table1[[#This Row],[SubscriptionStart]]&lt;=Settings!$A$2,Table1[[#This Row],[EffectiveEndDate]]&gt;=Settings!$A$2),1,0)</f>
        <v>0</v>
      </c>
      <c r="AB669" s="46">
        <f ca="1">IF(AND(Table1[[#This Row],[SubscriptionStart]]&lt;=Settings!$B$2,Table1[[#This Row],[EffectiveEndDate]]&gt;=Settings!$B$2),1,0)</f>
        <v>0</v>
      </c>
      <c r="AC669" s="46">
        <f ca="1">IF(AND(Table1[[#This Row],[SubscriptionStart]]&lt;=Settings!$C$2,Table1[[#This Row],[EffectiveEndDate]]&gt;=Settings!$C$2),1,0)</f>
        <v>0</v>
      </c>
      <c r="AD669" s="46">
        <f ca="1">IF(AND(Table1[[#This Row],[SubscriptionStart]]&lt;=Settings!$D$2,Table1[[#This Row],[EffectiveEndDate]]&gt;=Settings!$D$2),1,0)</f>
        <v>0</v>
      </c>
      <c r="AE669" s="46">
        <f ca="1">IF(AND(Table1[[#This Row],[SubscriptionStart]]&lt;=Settings!$E$2,Table1[[#This Row],[EffectiveEndDate]]&gt;=Settings!$E$2),1,0)</f>
        <v>1</v>
      </c>
      <c r="AF669"/>
      <c r="AG669"/>
      <c r="AH669"/>
      <c r="AI669"/>
      <c r="AJ669"/>
      <c r="AK669"/>
    </row>
    <row r="670" spans="1:37">
      <c r="A670" s="3" t="s">
        <v>715</v>
      </c>
      <c r="B670" s="3">
        <v>48</v>
      </c>
      <c r="C670" s="3" t="s">
        <v>23</v>
      </c>
      <c r="D670" s="5">
        <v>45162</v>
      </c>
      <c r="F670" s="3">
        <f ca="1">TODAY() - Table1[[#This Row],[SubscriptionStart]]</f>
        <v>819</v>
      </c>
      <c r="G670" s="4">
        <v>30</v>
      </c>
      <c r="H670" s="3" t="s">
        <v>38</v>
      </c>
      <c r="I670" s="3" t="s">
        <v>30</v>
      </c>
      <c r="J670" s="7" cm="1">
        <f t="array" ref="J670">_xlfn.IFS(Table1[[#This Row],[Tier]]="Basic",10,Table1[[#This Row],[Tier]]="Standard",18,Table1[[#This Row],[Tier]]="Premium",25)</f>
        <v>10</v>
      </c>
      <c r="K670" s="7" cm="1">
        <f t="array" ref="K67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670" s="7" cm="1">
        <f t="array" ref="L67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216</v>
      </c>
      <c r="M670" s="3" t="str" cm="1">
        <f t="array" ref="M67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70" s="3" t="s">
        <v>52</v>
      </c>
      <c r="O670" s="3" t="s">
        <v>49</v>
      </c>
      <c r="Q670" s="3" t="str" cm="1">
        <f t="array" ref="Q670">_xlfn.IFS(Table1[[#This Row],[TotalRevenue]]&lt;100,"Low",Table1[[#This Row],[TotalRevenue]]&lt;300,"Medium",Table1[[#This Row],[TotalRevenue]]&lt;600,"High",TRUE,"Very High")</f>
        <v>Medium</v>
      </c>
      <c r="R670" s="3" t="str" cm="1">
        <f t="array" ref="R67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70" s="3" t="str">
        <f>IF(Table1[[#This Row],[NextBillingDate]]="","Cancelled",IF(Table1[[#This Row],[CancellationDate]]&lt;&gt;"","Cancelled","Active"))</f>
        <v>Active</v>
      </c>
      <c r="T670" s="7" cm="1">
        <f t="array" ref="T67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261</v>
      </c>
      <c r="V670" s="5">
        <v>46062</v>
      </c>
      <c r="W670" s="5">
        <v>46062</v>
      </c>
      <c r="X670" s="3">
        <v>4</v>
      </c>
      <c r="Y670" s="5">
        <f ca="1">IF(Table1[[#This Row],[ChurnStatus]]="Cancelled",Table1[[#This Row],[CancellationDate]],TODAY())</f>
        <v>45981</v>
      </c>
      <c r="Z670" s="46">
        <f ca="1">IF(AND(Table1[[#This Row],[SubscriptionStart]] &lt;= TODAY(), Table1[[#This Row],[EffectiveEndDate]] &gt;= TODAY()),1,0)</f>
        <v>1</v>
      </c>
      <c r="AA670" s="46">
        <f ca="1">IF(AND(Table1[[#This Row],[SubscriptionStart]]&lt;=Settings!$A$2,Table1[[#This Row],[EffectiveEndDate]]&gt;=Settings!$A$2),1,0)</f>
        <v>0</v>
      </c>
      <c r="AB670" s="46">
        <f ca="1">IF(AND(Table1[[#This Row],[SubscriptionStart]]&lt;=Settings!$B$2,Table1[[#This Row],[EffectiveEndDate]]&gt;=Settings!$B$2),1,0)</f>
        <v>0</v>
      </c>
      <c r="AC670" s="46">
        <f ca="1">IF(AND(Table1[[#This Row],[SubscriptionStart]]&lt;=Settings!$C$2,Table1[[#This Row],[EffectiveEndDate]]&gt;=Settings!$C$2),1,0)</f>
        <v>0</v>
      </c>
      <c r="AD670" s="46">
        <f ca="1">IF(AND(Table1[[#This Row],[SubscriptionStart]]&lt;=Settings!$D$2,Table1[[#This Row],[EffectiveEndDate]]&gt;=Settings!$D$2),1,0)</f>
        <v>0</v>
      </c>
      <c r="AE670" s="46">
        <f ca="1">IF(AND(Table1[[#This Row],[SubscriptionStart]]&lt;=Settings!$E$2,Table1[[#This Row],[EffectiveEndDate]]&gt;=Settings!$E$2),1,0)</f>
        <v>1</v>
      </c>
      <c r="AF670"/>
      <c r="AG670"/>
      <c r="AH670"/>
      <c r="AI670"/>
      <c r="AJ670"/>
      <c r="AK670"/>
    </row>
    <row r="671" spans="1:37">
      <c r="A671" s="3" t="s">
        <v>746</v>
      </c>
      <c r="B671" s="3">
        <v>34</v>
      </c>
      <c r="C671" s="3" t="s">
        <v>23</v>
      </c>
      <c r="D671" s="5">
        <v>45163</v>
      </c>
      <c r="E671" s="5">
        <v>45193</v>
      </c>
      <c r="F671" s="3">
        <f ca="1">TODAY() - Table1[[#This Row],[SubscriptionStart]]</f>
        <v>818</v>
      </c>
      <c r="G671" s="4">
        <v>1</v>
      </c>
      <c r="H671" s="3" t="s">
        <v>29</v>
      </c>
      <c r="I671" s="3" t="s">
        <v>30</v>
      </c>
      <c r="J671" s="7" cm="1">
        <f t="array" ref="J671">_xlfn.IFS(Table1[[#This Row],[Tier]]="Basic",10,Table1[[#This Row],[Tier]]="Standard",18,Table1[[#This Row],[Tier]]="Premium",25)</f>
        <v>10</v>
      </c>
      <c r="K671" s="7" cm="1">
        <f t="array" ref="K67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671" s="7" cm="1">
        <f t="array" ref="L67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671" s="3" t="str" cm="1">
        <f t="array" ref="M67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71" s="3" t="s">
        <v>52</v>
      </c>
      <c r="O671" s="3" t="s">
        <v>40</v>
      </c>
      <c r="P671" s="3" t="s">
        <v>50</v>
      </c>
      <c r="Q671" s="3" t="str" cm="1">
        <f t="array" ref="Q671">_xlfn.IFS(Table1[[#This Row],[TotalRevenue]]&lt;100,"Low",Table1[[#This Row],[TotalRevenue]]&lt;300,"Medium",Table1[[#This Row],[TotalRevenue]]&lt;600,"High",TRUE,"Very High")</f>
        <v>Low</v>
      </c>
      <c r="R671" s="3" t="str" cm="1">
        <f t="array" ref="R67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71" s="3" t="str">
        <f>IF(Table1[[#This Row],[NextBillingDate]]="","Cancelled",IF(Table1[[#This Row],[CancellationDate]]&lt;&gt;"","Cancelled","Active"))</f>
        <v>Cancelled</v>
      </c>
      <c r="T671" s="7" cm="1">
        <f t="array" ref="T67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671" s="5">
        <v>45193</v>
      </c>
      <c r="W671" s="5">
        <v>45193</v>
      </c>
      <c r="X671" s="3">
        <v>0</v>
      </c>
      <c r="Y671" s="5">
        <f ca="1">IF(Table1[[#This Row],[ChurnStatus]]="Cancelled",Table1[[#This Row],[CancellationDate]],TODAY())</f>
        <v>45193</v>
      </c>
      <c r="Z671" s="46">
        <f ca="1">IF(AND(Table1[[#This Row],[SubscriptionStart]] &lt;= TODAY(), Table1[[#This Row],[EffectiveEndDate]] &gt;= TODAY()),1,0)</f>
        <v>0</v>
      </c>
      <c r="AA671" s="46">
        <f ca="1">IF(AND(Table1[[#This Row],[SubscriptionStart]]&lt;=Settings!$A$2,Table1[[#This Row],[EffectiveEndDate]]&gt;=Settings!$A$2),1,0)</f>
        <v>0</v>
      </c>
      <c r="AB671" s="46">
        <f ca="1">IF(AND(Table1[[#This Row],[SubscriptionStart]]&lt;=Settings!$B$2,Table1[[#This Row],[EffectiveEndDate]]&gt;=Settings!$B$2),1,0)</f>
        <v>0</v>
      </c>
      <c r="AC671" s="46">
        <f ca="1">IF(AND(Table1[[#This Row],[SubscriptionStart]]&lt;=Settings!$C$2,Table1[[#This Row],[EffectiveEndDate]]&gt;=Settings!$C$2),1,0)</f>
        <v>0</v>
      </c>
      <c r="AD671" s="46">
        <f ca="1">IF(AND(Table1[[#This Row],[SubscriptionStart]]&lt;=Settings!$D$2,Table1[[#This Row],[EffectiveEndDate]]&gt;=Settings!$D$2),1,0)</f>
        <v>0</v>
      </c>
      <c r="AE671" s="46">
        <f ca="1">IF(AND(Table1[[#This Row],[SubscriptionStart]]&lt;=Settings!$E$2,Table1[[#This Row],[EffectiveEndDate]]&gt;=Settings!$E$2),1,0)</f>
        <v>0</v>
      </c>
      <c r="AF671"/>
      <c r="AG671"/>
      <c r="AH671"/>
      <c r="AI671"/>
      <c r="AJ671"/>
      <c r="AK671"/>
    </row>
    <row r="672" spans="1:37">
      <c r="A672" s="3" t="s">
        <v>332</v>
      </c>
      <c r="B672" s="3">
        <v>74</v>
      </c>
      <c r="C672" s="3" t="s">
        <v>23</v>
      </c>
      <c r="D672" s="5">
        <v>45163</v>
      </c>
      <c r="E672" s="5">
        <v>45523</v>
      </c>
      <c r="F672" s="3">
        <f ca="1">TODAY() - Table1[[#This Row],[SubscriptionStart]]</f>
        <v>818</v>
      </c>
      <c r="G672" s="4">
        <v>12</v>
      </c>
      <c r="H672" s="3" t="s">
        <v>24</v>
      </c>
      <c r="I672" s="3" t="s">
        <v>30</v>
      </c>
      <c r="J672" s="7" cm="1">
        <f t="array" ref="J672">_xlfn.IFS(Table1[[#This Row],[Tier]]="Basic",10,Table1[[#This Row],[Tier]]="Standard",18,Table1[[#This Row],[Tier]]="Premium",25)</f>
        <v>10</v>
      </c>
      <c r="K672" s="7" cm="1">
        <f t="array" ref="K67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72" s="7" cm="1">
        <f t="array" ref="L67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72" s="3" t="str" cm="1">
        <f t="array" ref="M672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672" s="3" t="s">
        <v>31</v>
      </c>
      <c r="O672" s="3" t="s">
        <v>43</v>
      </c>
      <c r="P672" s="3" t="s">
        <v>35</v>
      </c>
      <c r="Q672" s="3" t="str" cm="1">
        <f t="array" ref="Q672">_xlfn.IFS(Table1[[#This Row],[TotalRevenue]]&lt;100,"Low",Table1[[#This Row],[TotalRevenue]]&lt;300,"Medium",Table1[[#This Row],[TotalRevenue]]&lt;600,"High",TRUE,"Very High")</f>
        <v>Low</v>
      </c>
      <c r="R672" s="3" t="str" cm="1">
        <f t="array" ref="R672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672" s="3" t="str">
        <f>IF(Table1[[#This Row],[NextBillingDate]]="","Cancelled",IF(Table1[[#This Row],[CancellationDate]]&lt;&gt;"","Cancelled","Active"))</f>
        <v>Cancelled</v>
      </c>
      <c r="T672" s="7" cm="1">
        <f t="array" ref="T67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72" s="5">
        <v>45523</v>
      </c>
      <c r="W672" s="5">
        <v>45523</v>
      </c>
      <c r="X672" s="3">
        <v>0</v>
      </c>
      <c r="Y672" s="5">
        <f ca="1">IF(Table1[[#This Row],[ChurnStatus]]="Cancelled",Table1[[#This Row],[CancellationDate]],TODAY())</f>
        <v>45523</v>
      </c>
      <c r="Z672" s="46">
        <f ca="1">IF(AND(Table1[[#This Row],[SubscriptionStart]] &lt;= TODAY(), Table1[[#This Row],[EffectiveEndDate]] &gt;= TODAY()),1,0)</f>
        <v>0</v>
      </c>
      <c r="AA672" s="46">
        <f ca="1">IF(AND(Table1[[#This Row],[SubscriptionStart]]&lt;=Settings!$A$2,Table1[[#This Row],[EffectiveEndDate]]&gt;=Settings!$A$2),1,0)</f>
        <v>0</v>
      </c>
      <c r="AB672" s="46">
        <f ca="1">IF(AND(Table1[[#This Row],[SubscriptionStart]]&lt;=Settings!$B$2,Table1[[#This Row],[EffectiveEndDate]]&gt;=Settings!$B$2),1,0)</f>
        <v>0</v>
      </c>
      <c r="AC672" s="46">
        <f ca="1">IF(AND(Table1[[#This Row],[SubscriptionStart]]&lt;=Settings!$C$2,Table1[[#This Row],[EffectiveEndDate]]&gt;=Settings!$C$2),1,0)</f>
        <v>0</v>
      </c>
      <c r="AD672" s="46">
        <f ca="1">IF(AND(Table1[[#This Row],[SubscriptionStart]]&lt;=Settings!$D$2,Table1[[#This Row],[EffectiveEndDate]]&gt;=Settings!$D$2),1,0)</f>
        <v>0</v>
      </c>
      <c r="AE672" s="46">
        <f ca="1">IF(AND(Table1[[#This Row],[SubscriptionStart]]&lt;=Settings!$E$2,Table1[[#This Row],[EffectiveEndDate]]&gt;=Settings!$E$2),1,0)</f>
        <v>0</v>
      </c>
      <c r="AF672"/>
      <c r="AG672"/>
      <c r="AH672"/>
      <c r="AI672"/>
      <c r="AJ672"/>
      <c r="AK672"/>
    </row>
    <row r="673" spans="1:37">
      <c r="A673" s="3" t="s">
        <v>444</v>
      </c>
      <c r="B673" s="3">
        <v>71</v>
      </c>
      <c r="C673" s="3" t="s">
        <v>23</v>
      </c>
      <c r="D673" s="5">
        <v>45163</v>
      </c>
      <c r="E673" s="5">
        <v>45523</v>
      </c>
      <c r="F673" s="3">
        <f ca="1">TODAY() - Table1[[#This Row],[SubscriptionStart]]</f>
        <v>818</v>
      </c>
      <c r="G673" s="4">
        <v>12</v>
      </c>
      <c r="H673" s="3" t="s">
        <v>24</v>
      </c>
      <c r="I673" s="3" t="s">
        <v>39</v>
      </c>
      <c r="J673" s="7" cm="1">
        <f t="array" ref="J673">_xlfn.IFS(Table1[[#This Row],[Tier]]="Basic",10,Table1[[#This Row],[Tier]]="Standard",18,Table1[[#This Row],[Tier]]="Premium",25)</f>
        <v>18</v>
      </c>
      <c r="K673" s="7" cm="1">
        <f t="array" ref="K67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673" s="7" cm="1">
        <f t="array" ref="L67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673" s="3" t="str" cm="1">
        <f t="array" ref="M673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673" s="3" t="s">
        <v>34</v>
      </c>
      <c r="O673" s="3" t="s">
        <v>40</v>
      </c>
      <c r="P673" s="3" t="s">
        <v>44</v>
      </c>
      <c r="Q673" s="3" t="str" cm="1">
        <f t="array" ref="Q673">_xlfn.IFS(Table1[[#This Row],[TotalRevenue]]&lt;100,"Low",Table1[[#This Row],[TotalRevenue]]&lt;300,"Medium",Table1[[#This Row],[TotalRevenue]]&lt;600,"High",TRUE,"Very High")</f>
        <v>Medium</v>
      </c>
      <c r="R673" s="3" t="str" cm="1">
        <f t="array" ref="R673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673" s="3" t="str">
        <f>IF(Table1[[#This Row],[NextBillingDate]]="","Cancelled",IF(Table1[[#This Row],[CancellationDate]]&lt;&gt;"","Cancelled","Active"))</f>
        <v>Cancelled</v>
      </c>
      <c r="T673" s="7" cm="1">
        <f t="array" ref="T67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673" s="5">
        <v>45523</v>
      </c>
      <c r="W673" s="5">
        <v>45523</v>
      </c>
      <c r="X673" s="3">
        <v>0</v>
      </c>
      <c r="Y673" s="5">
        <f ca="1">IF(Table1[[#This Row],[ChurnStatus]]="Cancelled",Table1[[#This Row],[CancellationDate]],TODAY())</f>
        <v>45523</v>
      </c>
      <c r="Z673" s="46">
        <f ca="1">IF(AND(Table1[[#This Row],[SubscriptionStart]] &lt;= TODAY(), Table1[[#This Row],[EffectiveEndDate]] &gt;= TODAY()),1,0)</f>
        <v>0</v>
      </c>
      <c r="AA673" s="46">
        <f ca="1">IF(AND(Table1[[#This Row],[SubscriptionStart]]&lt;=Settings!$A$2,Table1[[#This Row],[EffectiveEndDate]]&gt;=Settings!$A$2),1,0)</f>
        <v>0</v>
      </c>
      <c r="AB673" s="46">
        <f ca="1">IF(AND(Table1[[#This Row],[SubscriptionStart]]&lt;=Settings!$B$2,Table1[[#This Row],[EffectiveEndDate]]&gt;=Settings!$B$2),1,0)</f>
        <v>0</v>
      </c>
      <c r="AC673" s="46">
        <f ca="1">IF(AND(Table1[[#This Row],[SubscriptionStart]]&lt;=Settings!$C$2,Table1[[#This Row],[EffectiveEndDate]]&gt;=Settings!$C$2),1,0)</f>
        <v>0</v>
      </c>
      <c r="AD673" s="46">
        <f ca="1">IF(AND(Table1[[#This Row],[SubscriptionStart]]&lt;=Settings!$D$2,Table1[[#This Row],[EffectiveEndDate]]&gt;=Settings!$D$2),1,0)</f>
        <v>0</v>
      </c>
      <c r="AE673" s="46">
        <f ca="1">IF(AND(Table1[[#This Row],[SubscriptionStart]]&lt;=Settings!$E$2,Table1[[#This Row],[EffectiveEndDate]]&gt;=Settings!$E$2),1,0)</f>
        <v>0</v>
      </c>
      <c r="AF673"/>
      <c r="AG673"/>
      <c r="AH673"/>
      <c r="AI673"/>
      <c r="AJ673"/>
      <c r="AK673"/>
    </row>
    <row r="674" spans="1:37">
      <c r="A674" s="3" t="s">
        <v>357</v>
      </c>
      <c r="B674" s="3">
        <v>50</v>
      </c>
      <c r="C674" s="3" t="s">
        <v>37</v>
      </c>
      <c r="D674" s="5">
        <v>45164</v>
      </c>
      <c r="F674" s="3">
        <f ca="1">TODAY() - Table1[[#This Row],[SubscriptionStart]]</f>
        <v>817</v>
      </c>
      <c r="G674" s="4">
        <v>36</v>
      </c>
      <c r="H674" s="3" t="s">
        <v>24</v>
      </c>
      <c r="I674" s="3" t="s">
        <v>25</v>
      </c>
      <c r="J674" s="7" cm="1">
        <f t="array" ref="J674">_xlfn.IFS(Table1[[#This Row],[Tier]]="Basic",10,Table1[[#This Row],[Tier]]="Standard",18,Table1[[#This Row],[Tier]]="Premium",25)</f>
        <v>25</v>
      </c>
      <c r="K674" s="7" cm="1">
        <f t="array" ref="K67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16.666666666666664</v>
      </c>
      <c r="L674" s="7" cm="1">
        <f t="array" ref="L67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580</v>
      </c>
      <c r="M674" s="3" t="str" cm="1">
        <f t="array" ref="M674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74" s="3" t="s">
        <v>52</v>
      </c>
      <c r="O674" s="3" t="s">
        <v>27</v>
      </c>
      <c r="Q674" s="3" t="str" cm="1">
        <f t="array" ref="Q674">_xlfn.IFS(Table1[[#This Row],[TotalRevenue]]&lt;100,"Low",Table1[[#This Row],[TotalRevenue]]&lt;300,"Medium",Table1[[#This Row],[TotalRevenue]]&lt;600,"High",TRUE,"Very High")</f>
        <v>High</v>
      </c>
      <c r="R674" s="3" t="str" cm="1">
        <f t="array" ref="R67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74" s="3" t="str">
        <f>IF(Table1[[#This Row],[NextBillingDate]]="","Cancelled",IF(Table1[[#This Row],[CancellationDate]]&lt;&gt;"","Cancelled","Active"))</f>
        <v>Active</v>
      </c>
      <c r="T674" s="7" cm="1">
        <f t="array" ref="T67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780</v>
      </c>
      <c r="V674" s="5">
        <v>46244</v>
      </c>
      <c r="W674" s="5">
        <v>46244</v>
      </c>
      <c r="X674" s="3">
        <v>2</v>
      </c>
      <c r="Y674" s="5">
        <f ca="1">IF(Table1[[#This Row],[ChurnStatus]]="Cancelled",Table1[[#This Row],[CancellationDate]],TODAY())</f>
        <v>45981</v>
      </c>
      <c r="Z674" s="46">
        <f ca="1">IF(AND(Table1[[#This Row],[SubscriptionStart]] &lt;= TODAY(), Table1[[#This Row],[EffectiveEndDate]] &gt;= TODAY()),1,0)</f>
        <v>1</v>
      </c>
      <c r="AA674" s="46">
        <f ca="1">IF(AND(Table1[[#This Row],[SubscriptionStart]]&lt;=Settings!$A$2,Table1[[#This Row],[EffectiveEndDate]]&gt;=Settings!$A$2),1,0)</f>
        <v>0</v>
      </c>
      <c r="AB674" s="46">
        <f ca="1">IF(AND(Table1[[#This Row],[SubscriptionStart]]&lt;=Settings!$B$2,Table1[[#This Row],[EffectiveEndDate]]&gt;=Settings!$B$2),1,0)</f>
        <v>0</v>
      </c>
      <c r="AC674" s="46">
        <f ca="1">IF(AND(Table1[[#This Row],[SubscriptionStart]]&lt;=Settings!$C$2,Table1[[#This Row],[EffectiveEndDate]]&gt;=Settings!$C$2),1,0)</f>
        <v>0</v>
      </c>
      <c r="AD674" s="46">
        <f ca="1">IF(AND(Table1[[#This Row],[SubscriptionStart]]&lt;=Settings!$D$2,Table1[[#This Row],[EffectiveEndDate]]&gt;=Settings!$D$2),1,0)</f>
        <v>0</v>
      </c>
      <c r="AE674" s="46">
        <f ca="1">IF(AND(Table1[[#This Row],[SubscriptionStart]]&lt;=Settings!$E$2,Table1[[#This Row],[EffectiveEndDate]]&gt;=Settings!$E$2),1,0)</f>
        <v>1</v>
      </c>
      <c r="AF674"/>
      <c r="AG674"/>
      <c r="AH674"/>
      <c r="AI674"/>
      <c r="AJ674"/>
      <c r="AK674"/>
    </row>
    <row r="675" spans="1:37">
      <c r="A675" s="3" t="s">
        <v>724</v>
      </c>
      <c r="B675" s="3">
        <v>75</v>
      </c>
      <c r="C675" s="3" t="s">
        <v>23</v>
      </c>
      <c r="D675" s="5">
        <v>45164</v>
      </c>
      <c r="F675" s="3">
        <f ca="1">TODAY() - Table1[[#This Row],[SubscriptionStart]]</f>
        <v>817</v>
      </c>
      <c r="G675" s="4">
        <v>30</v>
      </c>
      <c r="H675" s="3" t="s">
        <v>38</v>
      </c>
      <c r="I675" s="3" t="s">
        <v>39</v>
      </c>
      <c r="J675" s="7" cm="1">
        <f t="array" ref="J675">_xlfn.IFS(Table1[[#This Row],[Tier]]="Basic",10,Table1[[#This Row],[Tier]]="Standard",18,Table1[[#This Row],[Tier]]="Premium",25)</f>
        <v>18</v>
      </c>
      <c r="K675" s="7" cm="1">
        <f t="array" ref="K67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13.5</v>
      </c>
      <c r="L675" s="7" cm="1">
        <f t="array" ref="L67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388.8</v>
      </c>
      <c r="M675" s="3" t="str" cm="1">
        <f t="array" ref="M675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675" s="3" t="s">
        <v>26</v>
      </c>
      <c r="O675" s="3" t="s">
        <v>43</v>
      </c>
      <c r="Q675" s="3" t="str" cm="1">
        <f t="array" ref="Q675">_xlfn.IFS(Table1[[#This Row],[TotalRevenue]]&lt;100,"Low",Table1[[#This Row],[TotalRevenue]]&lt;300,"Medium",Table1[[#This Row],[TotalRevenue]]&lt;600,"High",TRUE,"Very High")</f>
        <v>High</v>
      </c>
      <c r="R675" s="3" t="str" cm="1">
        <f t="array" ref="R675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675" s="3" t="str">
        <f>IF(Table1[[#This Row],[NextBillingDate]]="","Cancelled",IF(Table1[[#This Row],[CancellationDate]]&lt;&gt;"","Cancelled","Active"))</f>
        <v>Active</v>
      </c>
      <c r="T675" s="7" cm="1">
        <f t="array" ref="T67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469.8</v>
      </c>
      <c r="V675" s="5">
        <v>46064</v>
      </c>
      <c r="W675" s="5">
        <v>46064</v>
      </c>
      <c r="X675" s="3">
        <v>4</v>
      </c>
      <c r="Y675" s="5">
        <f ca="1">IF(Table1[[#This Row],[ChurnStatus]]="Cancelled",Table1[[#This Row],[CancellationDate]],TODAY())</f>
        <v>45981</v>
      </c>
      <c r="Z675" s="46">
        <f ca="1">IF(AND(Table1[[#This Row],[SubscriptionStart]] &lt;= TODAY(), Table1[[#This Row],[EffectiveEndDate]] &gt;= TODAY()),1,0)</f>
        <v>1</v>
      </c>
      <c r="AA675" s="46">
        <f ca="1">IF(AND(Table1[[#This Row],[SubscriptionStart]]&lt;=Settings!$A$2,Table1[[#This Row],[EffectiveEndDate]]&gt;=Settings!$A$2),1,0)</f>
        <v>0</v>
      </c>
      <c r="AB675" s="46">
        <f ca="1">IF(AND(Table1[[#This Row],[SubscriptionStart]]&lt;=Settings!$B$2,Table1[[#This Row],[EffectiveEndDate]]&gt;=Settings!$B$2),1,0)</f>
        <v>0</v>
      </c>
      <c r="AC675" s="46">
        <f ca="1">IF(AND(Table1[[#This Row],[SubscriptionStart]]&lt;=Settings!$C$2,Table1[[#This Row],[EffectiveEndDate]]&gt;=Settings!$C$2),1,0)</f>
        <v>0</v>
      </c>
      <c r="AD675" s="46">
        <f ca="1">IF(AND(Table1[[#This Row],[SubscriptionStart]]&lt;=Settings!$D$2,Table1[[#This Row],[EffectiveEndDate]]&gt;=Settings!$D$2),1,0)</f>
        <v>0</v>
      </c>
      <c r="AE675" s="46">
        <f ca="1">IF(AND(Table1[[#This Row],[SubscriptionStart]]&lt;=Settings!$E$2,Table1[[#This Row],[EffectiveEndDate]]&gt;=Settings!$E$2),1,0)</f>
        <v>1</v>
      </c>
      <c r="AF675"/>
      <c r="AG675"/>
      <c r="AH675"/>
      <c r="AI675"/>
      <c r="AJ675"/>
      <c r="AK675"/>
    </row>
    <row r="676" spans="1:37">
      <c r="A676" s="3" t="s">
        <v>590</v>
      </c>
      <c r="B676" s="3">
        <v>38</v>
      </c>
      <c r="C676" s="3" t="s">
        <v>23</v>
      </c>
      <c r="D676" s="5">
        <v>45165</v>
      </c>
      <c r="E676" s="5">
        <v>45345</v>
      </c>
      <c r="F676" s="3">
        <f ca="1">TODAY() - Table1[[#This Row],[SubscriptionStart]]</f>
        <v>816</v>
      </c>
      <c r="G676" s="4">
        <v>6</v>
      </c>
      <c r="H676" s="3" t="s">
        <v>38</v>
      </c>
      <c r="I676" s="3" t="s">
        <v>25</v>
      </c>
      <c r="J676" s="7" cm="1">
        <f t="array" ref="J676">_xlfn.IFS(Table1[[#This Row],[Tier]]="Basic",10,Table1[[#This Row],[Tier]]="Standard",18,Table1[[#This Row],[Tier]]="Premium",25)</f>
        <v>25</v>
      </c>
      <c r="K676" s="7" cm="1">
        <f t="array" ref="K67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676" s="7" cm="1">
        <f t="array" ref="L67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676" s="3" t="str" cm="1">
        <f t="array" ref="M67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76" s="3" t="s">
        <v>26</v>
      </c>
      <c r="O676" s="3" t="s">
        <v>27</v>
      </c>
      <c r="P676" s="3" t="s">
        <v>35</v>
      </c>
      <c r="Q676" s="3" t="str" cm="1">
        <f t="array" ref="Q676">_xlfn.IFS(Table1[[#This Row],[TotalRevenue]]&lt;100,"Low",Table1[[#This Row],[TotalRevenue]]&lt;300,"Medium",Table1[[#This Row],[TotalRevenue]]&lt;600,"High",TRUE,"Very High")</f>
        <v>Medium</v>
      </c>
      <c r="R676" s="3" t="str" cm="1">
        <f t="array" ref="R67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76" s="3" t="str">
        <f>IF(Table1[[#This Row],[NextBillingDate]]="","Cancelled",IF(Table1[[#This Row],[CancellationDate]]&lt;&gt;"","Cancelled","Active"))</f>
        <v>Cancelled</v>
      </c>
      <c r="T676" s="7" cm="1">
        <f t="array" ref="T67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676" s="5">
        <v>45345</v>
      </c>
      <c r="W676" s="5">
        <v>45345</v>
      </c>
      <c r="X676" s="3">
        <v>0</v>
      </c>
      <c r="Y676" s="5">
        <f ca="1">IF(Table1[[#This Row],[ChurnStatus]]="Cancelled",Table1[[#This Row],[CancellationDate]],TODAY())</f>
        <v>45345</v>
      </c>
      <c r="Z676" s="46">
        <f ca="1">IF(AND(Table1[[#This Row],[SubscriptionStart]] &lt;= TODAY(), Table1[[#This Row],[EffectiveEndDate]] &gt;= TODAY()),1,0)</f>
        <v>0</v>
      </c>
      <c r="AA676" s="46">
        <f ca="1">IF(AND(Table1[[#This Row],[SubscriptionStart]]&lt;=Settings!$A$2,Table1[[#This Row],[EffectiveEndDate]]&gt;=Settings!$A$2),1,0)</f>
        <v>0</v>
      </c>
      <c r="AB676" s="46">
        <f ca="1">IF(AND(Table1[[#This Row],[SubscriptionStart]]&lt;=Settings!$B$2,Table1[[#This Row],[EffectiveEndDate]]&gt;=Settings!$B$2),1,0)</f>
        <v>0</v>
      </c>
      <c r="AC676" s="46">
        <f ca="1">IF(AND(Table1[[#This Row],[SubscriptionStart]]&lt;=Settings!$C$2,Table1[[#This Row],[EffectiveEndDate]]&gt;=Settings!$C$2),1,0)</f>
        <v>0</v>
      </c>
      <c r="AD676" s="46">
        <f ca="1">IF(AND(Table1[[#This Row],[SubscriptionStart]]&lt;=Settings!$D$2,Table1[[#This Row],[EffectiveEndDate]]&gt;=Settings!$D$2),1,0)</f>
        <v>0</v>
      </c>
      <c r="AE676" s="46">
        <f ca="1">IF(AND(Table1[[#This Row],[SubscriptionStart]]&lt;=Settings!$E$2,Table1[[#This Row],[EffectiveEndDate]]&gt;=Settings!$E$2),1,0)</f>
        <v>0</v>
      </c>
      <c r="AF676"/>
      <c r="AG676"/>
      <c r="AH676"/>
      <c r="AI676"/>
      <c r="AJ676"/>
      <c r="AK676"/>
    </row>
    <row r="677" spans="1:37">
      <c r="A677" s="3" t="s">
        <v>527</v>
      </c>
      <c r="B677" s="3">
        <v>70</v>
      </c>
      <c r="C677" s="3" t="s">
        <v>23</v>
      </c>
      <c r="D677" s="5">
        <v>45165</v>
      </c>
      <c r="E677" s="5">
        <v>45525</v>
      </c>
      <c r="F677" s="3">
        <f ca="1">TODAY() - Table1[[#This Row],[SubscriptionStart]]</f>
        <v>816</v>
      </c>
      <c r="G677" s="4">
        <v>12</v>
      </c>
      <c r="H677" s="3" t="s">
        <v>24</v>
      </c>
      <c r="I677" s="3" t="s">
        <v>25</v>
      </c>
      <c r="J677" s="7" cm="1">
        <f t="array" ref="J677">_xlfn.IFS(Table1[[#This Row],[Tier]]="Basic",10,Table1[[#This Row],[Tier]]="Standard",18,Table1[[#This Row],[Tier]]="Premium",25)</f>
        <v>25</v>
      </c>
      <c r="K677" s="7" cm="1">
        <f t="array" ref="K67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677" s="7" cm="1">
        <f t="array" ref="L67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677" s="3" t="str" cm="1">
        <f t="array" ref="M677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77" s="3" t="s">
        <v>26</v>
      </c>
      <c r="O677" s="3" t="s">
        <v>27</v>
      </c>
      <c r="P677" s="3" t="s">
        <v>41</v>
      </c>
      <c r="Q677" s="3" t="str" cm="1">
        <f t="array" ref="Q677">_xlfn.IFS(Table1[[#This Row],[TotalRevenue]]&lt;100,"Low",Table1[[#This Row],[TotalRevenue]]&lt;300,"Medium",Table1[[#This Row],[TotalRevenue]]&lt;600,"High",TRUE,"Very High")</f>
        <v>Medium</v>
      </c>
      <c r="R677" s="3" t="str" cm="1">
        <f t="array" ref="R677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677" s="3" t="str">
        <f>IF(Table1[[#This Row],[NextBillingDate]]="","Cancelled",IF(Table1[[#This Row],[CancellationDate]]&lt;&gt;"","Cancelled","Active"))</f>
        <v>Cancelled</v>
      </c>
      <c r="T677" s="7" cm="1">
        <f t="array" ref="T67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677" s="5">
        <v>45525</v>
      </c>
      <c r="W677" s="5">
        <v>45525</v>
      </c>
      <c r="X677" s="3">
        <v>0</v>
      </c>
      <c r="Y677" s="5">
        <f ca="1">IF(Table1[[#This Row],[ChurnStatus]]="Cancelled",Table1[[#This Row],[CancellationDate]],TODAY())</f>
        <v>45525</v>
      </c>
      <c r="Z677" s="46">
        <f ca="1">IF(AND(Table1[[#This Row],[SubscriptionStart]] &lt;= TODAY(), Table1[[#This Row],[EffectiveEndDate]] &gt;= TODAY()),1,0)</f>
        <v>0</v>
      </c>
      <c r="AA677" s="46">
        <f ca="1">IF(AND(Table1[[#This Row],[SubscriptionStart]]&lt;=Settings!$A$2,Table1[[#This Row],[EffectiveEndDate]]&gt;=Settings!$A$2),1,0)</f>
        <v>0</v>
      </c>
      <c r="AB677" s="46">
        <f ca="1">IF(AND(Table1[[#This Row],[SubscriptionStart]]&lt;=Settings!$B$2,Table1[[#This Row],[EffectiveEndDate]]&gt;=Settings!$B$2),1,0)</f>
        <v>0</v>
      </c>
      <c r="AC677" s="46">
        <f ca="1">IF(AND(Table1[[#This Row],[SubscriptionStart]]&lt;=Settings!$C$2,Table1[[#This Row],[EffectiveEndDate]]&gt;=Settings!$C$2),1,0)</f>
        <v>0</v>
      </c>
      <c r="AD677" s="46">
        <f ca="1">IF(AND(Table1[[#This Row],[SubscriptionStart]]&lt;=Settings!$D$2,Table1[[#This Row],[EffectiveEndDate]]&gt;=Settings!$D$2),1,0)</f>
        <v>0</v>
      </c>
      <c r="AE677" s="46">
        <f ca="1">IF(AND(Table1[[#This Row],[SubscriptionStart]]&lt;=Settings!$E$2,Table1[[#This Row],[EffectiveEndDate]]&gt;=Settings!$E$2),1,0)</f>
        <v>0</v>
      </c>
      <c r="AF677"/>
      <c r="AG677"/>
      <c r="AH677"/>
      <c r="AI677"/>
      <c r="AJ677"/>
      <c r="AK677"/>
    </row>
    <row r="678" spans="1:37">
      <c r="A678" s="3" t="s">
        <v>660</v>
      </c>
      <c r="B678" s="3">
        <v>51</v>
      </c>
      <c r="C678" s="3" t="s">
        <v>23</v>
      </c>
      <c r="D678" s="5">
        <v>45167</v>
      </c>
      <c r="E678" s="5">
        <v>45197</v>
      </c>
      <c r="F678" s="3">
        <f ca="1">TODAY() - Table1[[#This Row],[SubscriptionStart]]</f>
        <v>814</v>
      </c>
      <c r="G678" s="4">
        <v>1</v>
      </c>
      <c r="H678" s="3" t="s">
        <v>29</v>
      </c>
      <c r="I678" s="3" t="s">
        <v>39</v>
      </c>
      <c r="J678" s="7" cm="1">
        <f t="array" ref="J678">_xlfn.IFS(Table1[[#This Row],[Tier]]="Basic",10,Table1[[#This Row],[Tier]]="Standard",18,Table1[[#This Row],[Tier]]="Premium",25)</f>
        <v>18</v>
      </c>
      <c r="K678" s="7" cm="1">
        <f t="array" ref="K67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678" s="7" cm="1">
        <f t="array" ref="L67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678" s="3" t="str" cm="1">
        <f t="array" ref="M67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78" s="3" t="s">
        <v>52</v>
      </c>
      <c r="O678" s="3" t="s">
        <v>40</v>
      </c>
      <c r="P678" s="3" t="s">
        <v>41</v>
      </c>
      <c r="Q678" s="3" t="str" cm="1">
        <f t="array" ref="Q678">_xlfn.IFS(Table1[[#This Row],[TotalRevenue]]&lt;100,"Low",Table1[[#This Row],[TotalRevenue]]&lt;300,"Medium",Table1[[#This Row],[TotalRevenue]]&lt;600,"High",TRUE,"Very High")</f>
        <v>Low</v>
      </c>
      <c r="R678" s="3" t="str" cm="1">
        <f t="array" ref="R67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78" s="3" t="str">
        <f>IF(Table1[[#This Row],[NextBillingDate]]="","Cancelled",IF(Table1[[#This Row],[CancellationDate]]&lt;&gt;"","Cancelled","Active"))</f>
        <v>Cancelled</v>
      </c>
      <c r="T678" s="7" cm="1">
        <f t="array" ref="T67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678" s="5">
        <v>45197</v>
      </c>
      <c r="W678" s="5">
        <v>45197</v>
      </c>
      <c r="X678" s="3">
        <v>0</v>
      </c>
      <c r="Y678" s="5">
        <f ca="1">IF(Table1[[#This Row],[ChurnStatus]]="Cancelled",Table1[[#This Row],[CancellationDate]],TODAY())</f>
        <v>45197</v>
      </c>
      <c r="Z678" s="46">
        <f ca="1">IF(AND(Table1[[#This Row],[SubscriptionStart]] &lt;= TODAY(), Table1[[#This Row],[EffectiveEndDate]] &gt;= TODAY()),1,0)</f>
        <v>0</v>
      </c>
      <c r="AA678" s="46">
        <f ca="1">IF(AND(Table1[[#This Row],[SubscriptionStart]]&lt;=Settings!$A$2,Table1[[#This Row],[EffectiveEndDate]]&gt;=Settings!$A$2),1,0)</f>
        <v>0</v>
      </c>
      <c r="AB678" s="46">
        <f ca="1">IF(AND(Table1[[#This Row],[SubscriptionStart]]&lt;=Settings!$B$2,Table1[[#This Row],[EffectiveEndDate]]&gt;=Settings!$B$2),1,0)</f>
        <v>0</v>
      </c>
      <c r="AC678" s="46">
        <f ca="1">IF(AND(Table1[[#This Row],[SubscriptionStart]]&lt;=Settings!$C$2,Table1[[#This Row],[EffectiveEndDate]]&gt;=Settings!$C$2),1,0)</f>
        <v>0</v>
      </c>
      <c r="AD678" s="46">
        <f ca="1">IF(AND(Table1[[#This Row],[SubscriptionStart]]&lt;=Settings!$D$2,Table1[[#This Row],[EffectiveEndDate]]&gt;=Settings!$D$2),1,0)</f>
        <v>0</v>
      </c>
      <c r="AE678" s="46">
        <f ca="1">IF(AND(Table1[[#This Row],[SubscriptionStart]]&lt;=Settings!$E$2,Table1[[#This Row],[EffectiveEndDate]]&gt;=Settings!$E$2),1,0)</f>
        <v>0</v>
      </c>
      <c r="AF678"/>
      <c r="AG678"/>
      <c r="AH678"/>
      <c r="AI678"/>
      <c r="AJ678"/>
      <c r="AK678"/>
    </row>
    <row r="679" spans="1:37">
      <c r="A679" s="3" t="s">
        <v>283</v>
      </c>
      <c r="B679" s="3">
        <v>32</v>
      </c>
      <c r="C679" s="3" t="s">
        <v>23</v>
      </c>
      <c r="D679" s="5">
        <v>45167</v>
      </c>
      <c r="E679" s="5">
        <v>45527</v>
      </c>
      <c r="F679" s="3">
        <f ca="1">TODAY() - Table1[[#This Row],[SubscriptionStart]]</f>
        <v>814</v>
      </c>
      <c r="G679" s="4">
        <v>12</v>
      </c>
      <c r="H679" s="3" t="s">
        <v>24</v>
      </c>
      <c r="I679" s="3" t="s">
        <v>30</v>
      </c>
      <c r="J679" s="7" cm="1">
        <f t="array" ref="J679">_xlfn.IFS(Table1[[#This Row],[Tier]]="Basic",10,Table1[[#This Row],[Tier]]="Standard",18,Table1[[#This Row],[Tier]]="Premium",25)</f>
        <v>10</v>
      </c>
      <c r="K679" s="7" cm="1">
        <f t="array" ref="K67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79" s="7" cm="1">
        <f t="array" ref="L67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79" s="3" t="str" cm="1">
        <f t="array" ref="M67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79" s="3" t="s">
        <v>31</v>
      </c>
      <c r="O679" s="3" t="s">
        <v>40</v>
      </c>
      <c r="P679" s="3" t="s">
        <v>50</v>
      </c>
      <c r="Q679" s="3" t="str" cm="1">
        <f t="array" ref="Q679">_xlfn.IFS(Table1[[#This Row],[TotalRevenue]]&lt;100,"Low",Table1[[#This Row],[TotalRevenue]]&lt;300,"Medium",Table1[[#This Row],[TotalRevenue]]&lt;600,"High",TRUE,"Very High")</f>
        <v>Low</v>
      </c>
      <c r="R679" s="3" t="str" cm="1">
        <f t="array" ref="R67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79" s="3" t="str">
        <f>IF(Table1[[#This Row],[NextBillingDate]]="","Cancelled",IF(Table1[[#This Row],[CancellationDate]]&lt;&gt;"","Cancelled","Active"))</f>
        <v>Cancelled</v>
      </c>
      <c r="T679" s="7" cm="1">
        <f t="array" ref="T67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79" s="5">
        <v>45527</v>
      </c>
      <c r="W679" s="5">
        <v>45527</v>
      </c>
      <c r="X679" s="3">
        <v>0</v>
      </c>
      <c r="Y679" s="5">
        <f ca="1">IF(Table1[[#This Row],[ChurnStatus]]="Cancelled",Table1[[#This Row],[CancellationDate]],TODAY())</f>
        <v>45527</v>
      </c>
      <c r="Z679" s="46">
        <f ca="1">IF(AND(Table1[[#This Row],[SubscriptionStart]] &lt;= TODAY(), Table1[[#This Row],[EffectiveEndDate]] &gt;= TODAY()),1,0)</f>
        <v>0</v>
      </c>
      <c r="AA679" s="46">
        <f ca="1">IF(AND(Table1[[#This Row],[SubscriptionStart]]&lt;=Settings!$A$2,Table1[[#This Row],[EffectiveEndDate]]&gt;=Settings!$A$2),1,0)</f>
        <v>0</v>
      </c>
      <c r="AB679" s="46">
        <f ca="1">IF(AND(Table1[[#This Row],[SubscriptionStart]]&lt;=Settings!$B$2,Table1[[#This Row],[EffectiveEndDate]]&gt;=Settings!$B$2),1,0)</f>
        <v>0</v>
      </c>
      <c r="AC679" s="46">
        <f ca="1">IF(AND(Table1[[#This Row],[SubscriptionStart]]&lt;=Settings!$C$2,Table1[[#This Row],[EffectiveEndDate]]&gt;=Settings!$C$2),1,0)</f>
        <v>0</v>
      </c>
      <c r="AD679" s="46">
        <f ca="1">IF(AND(Table1[[#This Row],[SubscriptionStart]]&lt;=Settings!$D$2,Table1[[#This Row],[EffectiveEndDate]]&gt;=Settings!$D$2),1,0)</f>
        <v>0</v>
      </c>
      <c r="AE679" s="46">
        <f ca="1">IF(AND(Table1[[#This Row],[SubscriptionStart]]&lt;=Settings!$E$2,Table1[[#This Row],[EffectiveEndDate]]&gt;=Settings!$E$2),1,0)</f>
        <v>0</v>
      </c>
      <c r="AF679"/>
      <c r="AG679"/>
      <c r="AH679"/>
      <c r="AI679"/>
      <c r="AJ679"/>
      <c r="AK679"/>
    </row>
    <row r="680" spans="1:37">
      <c r="A680" s="3" t="s">
        <v>64</v>
      </c>
      <c r="B680" s="3">
        <v>63</v>
      </c>
      <c r="C680" s="3" t="s">
        <v>23</v>
      </c>
      <c r="D680" s="5">
        <v>45167</v>
      </c>
      <c r="F680" s="3">
        <f ca="1">TODAY() - Table1[[#This Row],[SubscriptionStart]]</f>
        <v>814</v>
      </c>
      <c r="G680" s="4">
        <v>28</v>
      </c>
      <c r="H680" s="3" t="s">
        <v>29</v>
      </c>
      <c r="I680" s="3" t="s">
        <v>30</v>
      </c>
      <c r="J680" s="7" cm="1">
        <f t="array" ref="J680">_xlfn.IFS(Table1[[#This Row],[Tier]]="Basic",10,Table1[[#This Row],[Tier]]="Standard",18,Table1[[#This Row],[Tier]]="Premium",25)</f>
        <v>10</v>
      </c>
      <c r="K680" s="7" cm="1">
        <f t="array" ref="K68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680" s="7" cm="1">
        <f t="array" ref="L68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259</v>
      </c>
      <c r="M680" s="3" t="str" cm="1">
        <f t="array" ref="M680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80" s="3" t="s">
        <v>26</v>
      </c>
      <c r="O680" s="3" t="s">
        <v>43</v>
      </c>
      <c r="Q680" s="3" t="str" cm="1">
        <f t="array" ref="Q680">_xlfn.IFS(Table1[[#This Row],[TotalRevenue]]&lt;100,"Low",Table1[[#This Row],[TotalRevenue]]&lt;300,"Medium",Table1[[#This Row],[TotalRevenue]]&lt;600,"High",TRUE,"Very High")</f>
        <v>Medium</v>
      </c>
      <c r="R680" s="3" t="str" cm="1">
        <f t="array" ref="R680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680" s="3" t="str">
        <f>IF(Table1[[#This Row],[NextBillingDate]]="","Cancelled",IF(Table1[[#This Row],[CancellationDate]]&lt;&gt;"","Cancelled","Active"))</f>
        <v>Active</v>
      </c>
      <c r="T680" s="7" cm="1">
        <f t="array" ref="T68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269</v>
      </c>
      <c r="V680" s="5">
        <v>46007</v>
      </c>
      <c r="W680" s="5">
        <v>46007</v>
      </c>
      <c r="X680" s="3">
        <v>27</v>
      </c>
      <c r="Y680" s="5">
        <f ca="1">IF(Table1[[#This Row],[ChurnStatus]]="Cancelled",Table1[[#This Row],[CancellationDate]],TODAY())</f>
        <v>45981</v>
      </c>
      <c r="Z680" s="46">
        <f ca="1">IF(AND(Table1[[#This Row],[SubscriptionStart]] &lt;= TODAY(), Table1[[#This Row],[EffectiveEndDate]] &gt;= TODAY()),1,0)</f>
        <v>1</v>
      </c>
      <c r="AA680" s="46">
        <f ca="1">IF(AND(Table1[[#This Row],[SubscriptionStart]]&lt;=Settings!$A$2,Table1[[#This Row],[EffectiveEndDate]]&gt;=Settings!$A$2),1,0)</f>
        <v>0</v>
      </c>
      <c r="AB680" s="46">
        <f ca="1">IF(AND(Table1[[#This Row],[SubscriptionStart]]&lt;=Settings!$B$2,Table1[[#This Row],[EffectiveEndDate]]&gt;=Settings!$B$2),1,0)</f>
        <v>0</v>
      </c>
      <c r="AC680" s="46">
        <f ca="1">IF(AND(Table1[[#This Row],[SubscriptionStart]]&lt;=Settings!$C$2,Table1[[#This Row],[EffectiveEndDate]]&gt;=Settings!$C$2),1,0)</f>
        <v>0</v>
      </c>
      <c r="AD680" s="46">
        <f ca="1">IF(AND(Table1[[#This Row],[SubscriptionStart]]&lt;=Settings!$D$2,Table1[[#This Row],[EffectiveEndDate]]&gt;=Settings!$D$2),1,0)</f>
        <v>0</v>
      </c>
      <c r="AE680" s="46">
        <f ca="1">IF(AND(Table1[[#This Row],[SubscriptionStart]]&lt;=Settings!$E$2,Table1[[#This Row],[EffectiveEndDate]]&gt;=Settings!$E$2),1,0)</f>
        <v>1</v>
      </c>
      <c r="AF680"/>
      <c r="AG680"/>
      <c r="AH680"/>
      <c r="AI680"/>
      <c r="AJ680"/>
      <c r="AK680"/>
    </row>
    <row r="681" spans="1:37">
      <c r="A681" s="3" t="s">
        <v>326</v>
      </c>
      <c r="B681" s="3">
        <v>49</v>
      </c>
      <c r="C681" s="3" t="s">
        <v>37</v>
      </c>
      <c r="D681" s="5">
        <v>45168</v>
      </c>
      <c r="E681" s="5">
        <v>45348</v>
      </c>
      <c r="F681" s="3">
        <f ca="1">TODAY() - Table1[[#This Row],[SubscriptionStart]]</f>
        <v>813</v>
      </c>
      <c r="G681" s="4">
        <v>6</v>
      </c>
      <c r="H681" s="3" t="s">
        <v>38</v>
      </c>
      <c r="I681" s="3" t="s">
        <v>30</v>
      </c>
      <c r="J681" s="7" cm="1">
        <f t="array" ref="J681">_xlfn.IFS(Table1[[#This Row],[Tier]]="Basic",10,Table1[[#This Row],[Tier]]="Standard",18,Table1[[#This Row],[Tier]]="Premium",25)</f>
        <v>10</v>
      </c>
      <c r="K681" s="7" cm="1">
        <f t="array" ref="K68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681" s="7" cm="1">
        <f t="array" ref="L68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681" s="3" t="str" cm="1">
        <f t="array" ref="M68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81" s="3" t="s">
        <v>31</v>
      </c>
      <c r="O681" s="3" t="s">
        <v>40</v>
      </c>
      <c r="P681" s="3" t="s">
        <v>41</v>
      </c>
      <c r="Q681" s="3" t="str" cm="1">
        <f t="array" ref="Q681">_xlfn.IFS(Table1[[#This Row],[TotalRevenue]]&lt;100,"Low",Table1[[#This Row],[TotalRevenue]]&lt;300,"Medium",Table1[[#This Row],[TotalRevenue]]&lt;600,"High",TRUE,"Very High")</f>
        <v>Low</v>
      </c>
      <c r="R681" s="3" t="str" cm="1">
        <f t="array" ref="R68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81" s="3" t="str">
        <f>IF(Table1[[#This Row],[NextBillingDate]]="","Cancelled",IF(Table1[[#This Row],[CancellationDate]]&lt;&gt;"","Cancelled","Active"))</f>
        <v>Cancelled</v>
      </c>
      <c r="T681" s="7" cm="1">
        <f t="array" ref="T68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681" s="5">
        <v>45348</v>
      </c>
      <c r="W681" s="5">
        <v>45348</v>
      </c>
      <c r="X681" s="3">
        <v>0</v>
      </c>
      <c r="Y681" s="5">
        <f ca="1">IF(Table1[[#This Row],[ChurnStatus]]="Cancelled",Table1[[#This Row],[CancellationDate]],TODAY())</f>
        <v>45348</v>
      </c>
      <c r="Z681" s="46">
        <f ca="1">IF(AND(Table1[[#This Row],[SubscriptionStart]] &lt;= TODAY(), Table1[[#This Row],[EffectiveEndDate]] &gt;= TODAY()),1,0)</f>
        <v>0</v>
      </c>
      <c r="AA681" s="46">
        <f ca="1">IF(AND(Table1[[#This Row],[SubscriptionStart]]&lt;=Settings!$A$2,Table1[[#This Row],[EffectiveEndDate]]&gt;=Settings!$A$2),1,0)</f>
        <v>0</v>
      </c>
      <c r="AB681" s="46">
        <f ca="1">IF(AND(Table1[[#This Row],[SubscriptionStart]]&lt;=Settings!$B$2,Table1[[#This Row],[EffectiveEndDate]]&gt;=Settings!$B$2),1,0)</f>
        <v>0</v>
      </c>
      <c r="AC681" s="46">
        <f ca="1">IF(AND(Table1[[#This Row],[SubscriptionStart]]&lt;=Settings!$C$2,Table1[[#This Row],[EffectiveEndDate]]&gt;=Settings!$C$2),1,0)</f>
        <v>0</v>
      </c>
      <c r="AD681" s="46">
        <f ca="1">IF(AND(Table1[[#This Row],[SubscriptionStart]]&lt;=Settings!$D$2,Table1[[#This Row],[EffectiveEndDate]]&gt;=Settings!$D$2),1,0)</f>
        <v>0</v>
      </c>
      <c r="AE681" s="46">
        <f ca="1">IF(AND(Table1[[#This Row],[SubscriptionStart]]&lt;=Settings!$E$2,Table1[[#This Row],[EffectiveEndDate]]&gt;=Settings!$E$2),1,0)</f>
        <v>0</v>
      </c>
      <c r="AF681"/>
      <c r="AG681"/>
      <c r="AH681"/>
      <c r="AI681"/>
      <c r="AJ681"/>
      <c r="AK681"/>
    </row>
    <row r="682" spans="1:37">
      <c r="A682" s="3" t="s">
        <v>578</v>
      </c>
      <c r="B682" s="3">
        <v>71</v>
      </c>
      <c r="C682" s="3" t="s">
        <v>23</v>
      </c>
      <c r="D682" s="5">
        <v>45168</v>
      </c>
      <c r="E682" s="5">
        <v>45348</v>
      </c>
      <c r="F682" s="3">
        <f ca="1">TODAY() - Table1[[#This Row],[SubscriptionStart]]</f>
        <v>813</v>
      </c>
      <c r="G682" s="4">
        <v>6</v>
      </c>
      <c r="H682" s="3" t="s">
        <v>38</v>
      </c>
      <c r="I682" s="3" t="s">
        <v>25</v>
      </c>
      <c r="J682" s="7" cm="1">
        <f t="array" ref="J682">_xlfn.IFS(Table1[[#This Row],[Tier]]="Basic",10,Table1[[#This Row],[Tier]]="Standard",18,Table1[[#This Row],[Tier]]="Premium",25)</f>
        <v>25</v>
      </c>
      <c r="K682" s="7" cm="1">
        <f t="array" ref="K68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682" s="7" cm="1">
        <f t="array" ref="L68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682" s="3" t="str" cm="1">
        <f t="array" ref="M682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682" s="3" t="s">
        <v>52</v>
      </c>
      <c r="O682" s="3" t="s">
        <v>49</v>
      </c>
      <c r="P682" s="3" t="s">
        <v>41</v>
      </c>
      <c r="Q682" s="3" t="str" cm="1">
        <f t="array" ref="Q682">_xlfn.IFS(Table1[[#This Row],[TotalRevenue]]&lt;100,"Low",Table1[[#This Row],[TotalRevenue]]&lt;300,"Medium",Table1[[#This Row],[TotalRevenue]]&lt;600,"High",TRUE,"Very High")</f>
        <v>Medium</v>
      </c>
      <c r="R682" s="3" t="str" cm="1">
        <f t="array" ref="R682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682" s="3" t="str">
        <f>IF(Table1[[#This Row],[NextBillingDate]]="","Cancelled",IF(Table1[[#This Row],[CancellationDate]]&lt;&gt;"","Cancelled","Active"))</f>
        <v>Cancelled</v>
      </c>
      <c r="T682" s="7" cm="1">
        <f t="array" ref="T68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682" s="5">
        <v>45348</v>
      </c>
      <c r="W682" s="5">
        <v>45348</v>
      </c>
      <c r="X682" s="3">
        <v>0</v>
      </c>
      <c r="Y682" s="5">
        <f ca="1">IF(Table1[[#This Row],[ChurnStatus]]="Cancelled",Table1[[#This Row],[CancellationDate]],TODAY())</f>
        <v>45348</v>
      </c>
      <c r="Z682" s="46">
        <f ca="1">IF(AND(Table1[[#This Row],[SubscriptionStart]] &lt;= TODAY(), Table1[[#This Row],[EffectiveEndDate]] &gt;= TODAY()),1,0)</f>
        <v>0</v>
      </c>
      <c r="AA682" s="46">
        <f ca="1">IF(AND(Table1[[#This Row],[SubscriptionStart]]&lt;=Settings!$A$2,Table1[[#This Row],[EffectiveEndDate]]&gt;=Settings!$A$2),1,0)</f>
        <v>0</v>
      </c>
      <c r="AB682" s="46">
        <f ca="1">IF(AND(Table1[[#This Row],[SubscriptionStart]]&lt;=Settings!$B$2,Table1[[#This Row],[EffectiveEndDate]]&gt;=Settings!$B$2),1,0)</f>
        <v>0</v>
      </c>
      <c r="AC682" s="46">
        <f ca="1">IF(AND(Table1[[#This Row],[SubscriptionStart]]&lt;=Settings!$C$2,Table1[[#This Row],[EffectiveEndDate]]&gt;=Settings!$C$2),1,0)</f>
        <v>0</v>
      </c>
      <c r="AD682" s="46">
        <f ca="1">IF(AND(Table1[[#This Row],[SubscriptionStart]]&lt;=Settings!$D$2,Table1[[#This Row],[EffectiveEndDate]]&gt;=Settings!$D$2),1,0)</f>
        <v>0</v>
      </c>
      <c r="AE682" s="46">
        <f ca="1">IF(AND(Table1[[#This Row],[SubscriptionStart]]&lt;=Settings!$E$2,Table1[[#This Row],[EffectiveEndDate]]&gt;=Settings!$E$2),1,0)</f>
        <v>0</v>
      </c>
      <c r="AF682"/>
      <c r="AG682"/>
      <c r="AH682"/>
      <c r="AI682"/>
      <c r="AJ682"/>
      <c r="AK682"/>
    </row>
    <row r="683" spans="1:37">
      <c r="A683" s="3" t="s">
        <v>353</v>
      </c>
      <c r="B683" s="3">
        <v>28</v>
      </c>
      <c r="C683" s="3" t="s">
        <v>37</v>
      </c>
      <c r="D683" s="5">
        <v>45170</v>
      </c>
      <c r="E683" s="5">
        <v>45530</v>
      </c>
      <c r="F683" s="3">
        <f ca="1">TODAY() - Table1[[#This Row],[SubscriptionStart]]</f>
        <v>811</v>
      </c>
      <c r="G683" s="4">
        <v>12</v>
      </c>
      <c r="H683" s="3" t="s">
        <v>24</v>
      </c>
      <c r="I683" s="3" t="s">
        <v>25</v>
      </c>
      <c r="J683" s="7" cm="1">
        <f t="array" ref="J683">_xlfn.IFS(Table1[[#This Row],[Tier]]="Basic",10,Table1[[#This Row],[Tier]]="Standard",18,Table1[[#This Row],[Tier]]="Premium",25)</f>
        <v>25</v>
      </c>
      <c r="K683" s="7" cm="1">
        <f t="array" ref="K68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683" s="7" cm="1">
        <f t="array" ref="L68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683" s="3" t="str" cm="1">
        <f t="array" ref="M68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83" s="3" t="s">
        <v>52</v>
      </c>
      <c r="O683" s="3" t="s">
        <v>49</v>
      </c>
      <c r="P683" s="3" t="s">
        <v>35</v>
      </c>
      <c r="Q683" s="3" t="str" cm="1">
        <f t="array" ref="Q683">_xlfn.IFS(Table1[[#This Row],[TotalRevenue]]&lt;100,"Low",Table1[[#This Row],[TotalRevenue]]&lt;300,"Medium",Table1[[#This Row],[TotalRevenue]]&lt;600,"High",TRUE,"Very High")</f>
        <v>Medium</v>
      </c>
      <c r="R683" s="3" t="str" cm="1">
        <f t="array" ref="R68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83" s="3" t="str">
        <f>IF(Table1[[#This Row],[NextBillingDate]]="","Cancelled",IF(Table1[[#This Row],[CancellationDate]]&lt;&gt;"","Cancelled","Active"))</f>
        <v>Cancelled</v>
      </c>
      <c r="T683" s="7" cm="1">
        <f t="array" ref="T68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683" s="5">
        <v>45530</v>
      </c>
      <c r="W683" s="5">
        <v>45530</v>
      </c>
      <c r="X683" s="3">
        <v>0</v>
      </c>
      <c r="Y683" s="5">
        <f ca="1">IF(Table1[[#This Row],[ChurnStatus]]="Cancelled",Table1[[#This Row],[CancellationDate]],TODAY())</f>
        <v>45530</v>
      </c>
      <c r="Z683" s="46">
        <f ca="1">IF(AND(Table1[[#This Row],[SubscriptionStart]] &lt;= TODAY(), Table1[[#This Row],[EffectiveEndDate]] &gt;= TODAY()),1,0)</f>
        <v>0</v>
      </c>
      <c r="AA683" s="46">
        <f ca="1">IF(AND(Table1[[#This Row],[SubscriptionStart]]&lt;=Settings!$A$2,Table1[[#This Row],[EffectiveEndDate]]&gt;=Settings!$A$2),1,0)</f>
        <v>0</v>
      </c>
      <c r="AB683" s="46">
        <f ca="1">IF(AND(Table1[[#This Row],[SubscriptionStart]]&lt;=Settings!$B$2,Table1[[#This Row],[EffectiveEndDate]]&gt;=Settings!$B$2),1,0)</f>
        <v>0</v>
      </c>
      <c r="AC683" s="46">
        <f ca="1">IF(AND(Table1[[#This Row],[SubscriptionStart]]&lt;=Settings!$C$2,Table1[[#This Row],[EffectiveEndDate]]&gt;=Settings!$C$2),1,0)</f>
        <v>0</v>
      </c>
      <c r="AD683" s="46">
        <f ca="1">IF(AND(Table1[[#This Row],[SubscriptionStart]]&lt;=Settings!$D$2,Table1[[#This Row],[EffectiveEndDate]]&gt;=Settings!$D$2),1,0)</f>
        <v>0</v>
      </c>
      <c r="AE683" s="46">
        <f ca="1">IF(AND(Table1[[#This Row],[SubscriptionStart]]&lt;=Settings!$E$2,Table1[[#This Row],[EffectiveEndDate]]&gt;=Settings!$E$2),1,0)</f>
        <v>0</v>
      </c>
      <c r="AF683"/>
      <c r="AG683"/>
      <c r="AH683"/>
      <c r="AI683"/>
      <c r="AJ683"/>
      <c r="AK683"/>
    </row>
    <row r="684" spans="1:37">
      <c r="A684" s="3" t="s">
        <v>179</v>
      </c>
      <c r="B684" s="3">
        <v>73</v>
      </c>
      <c r="C684" s="3" t="s">
        <v>23</v>
      </c>
      <c r="D684" s="5">
        <v>45175</v>
      </c>
      <c r="E684" s="5">
        <v>45535</v>
      </c>
      <c r="F684" s="3">
        <f ca="1">TODAY() - Table1[[#This Row],[SubscriptionStart]]</f>
        <v>806</v>
      </c>
      <c r="G684" s="4">
        <v>12</v>
      </c>
      <c r="H684" s="3" t="s">
        <v>24</v>
      </c>
      <c r="I684" s="3" t="s">
        <v>39</v>
      </c>
      <c r="J684" s="7" cm="1">
        <f t="array" ref="J684">_xlfn.IFS(Table1[[#This Row],[Tier]]="Basic",10,Table1[[#This Row],[Tier]]="Standard",18,Table1[[#This Row],[Tier]]="Premium",25)</f>
        <v>18</v>
      </c>
      <c r="K684" s="7" cm="1">
        <f t="array" ref="K68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684" s="7" cm="1">
        <f t="array" ref="L68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684" s="3" t="str" cm="1">
        <f t="array" ref="M684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684" s="3" t="s">
        <v>31</v>
      </c>
      <c r="O684" s="3" t="s">
        <v>32</v>
      </c>
      <c r="P684" s="3" t="s">
        <v>35</v>
      </c>
      <c r="Q684" s="3" t="str" cm="1">
        <f t="array" ref="Q684">_xlfn.IFS(Table1[[#This Row],[TotalRevenue]]&lt;100,"Low",Table1[[#This Row],[TotalRevenue]]&lt;300,"Medium",Table1[[#This Row],[TotalRevenue]]&lt;600,"High",TRUE,"Very High")</f>
        <v>Medium</v>
      </c>
      <c r="R684" s="3" t="str" cm="1">
        <f t="array" ref="R684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684" s="3" t="str">
        <f>IF(Table1[[#This Row],[NextBillingDate]]="","Cancelled",IF(Table1[[#This Row],[CancellationDate]]&lt;&gt;"","Cancelled","Active"))</f>
        <v>Cancelled</v>
      </c>
      <c r="T684" s="7" cm="1">
        <f t="array" ref="T68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684" s="5">
        <v>45535</v>
      </c>
      <c r="W684" s="5">
        <v>45535</v>
      </c>
      <c r="X684" s="3">
        <v>0</v>
      </c>
      <c r="Y684" s="5">
        <f ca="1">IF(Table1[[#This Row],[ChurnStatus]]="Cancelled",Table1[[#This Row],[CancellationDate]],TODAY())</f>
        <v>45535</v>
      </c>
      <c r="Z684" s="46">
        <f ca="1">IF(AND(Table1[[#This Row],[SubscriptionStart]] &lt;= TODAY(), Table1[[#This Row],[EffectiveEndDate]] &gt;= TODAY()),1,0)</f>
        <v>0</v>
      </c>
      <c r="AA684" s="46">
        <f ca="1">IF(AND(Table1[[#This Row],[SubscriptionStart]]&lt;=Settings!$A$2,Table1[[#This Row],[EffectiveEndDate]]&gt;=Settings!$A$2),1,0)</f>
        <v>0</v>
      </c>
      <c r="AB684" s="46">
        <f ca="1">IF(AND(Table1[[#This Row],[SubscriptionStart]]&lt;=Settings!$B$2,Table1[[#This Row],[EffectiveEndDate]]&gt;=Settings!$B$2),1,0)</f>
        <v>0</v>
      </c>
      <c r="AC684" s="46">
        <f ca="1">IF(AND(Table1[[#This Row],[SubscriptionStart]]&lt;=Settings!$C$2,Table1[[#This Row],[EffectiveEndDate]]&gt;=Settings!$C$2),1,0)</f>
        <v>0</v>
      </c>
      <c r="AD684" s="46">
        <f ca="1">IF(AND(Table1[[#This Row],[SubscriptionStart]]&lt;=Settings!$D$2,Table1[[#This Row],[EffectiveEndDate]]&gt;=Settings!$D$2),1,0)</f>
        <v>0</v>
      </c>
      <c r="AE684" s="46">
        <f ca="1">IF(AND(Table1[[#This Row],[SubscriptionStart]]&lt;=Settings!$E$2,Table1[[#This Row],[EffectiveEndDate]]&gt;=Settings!$E$2),1,0)</f>
        <v>0</v>
      </c>
      <c r="AF684"/>
      <c r="AG684"/>
      <c r="AH684"/>
      <c r="AI684"/>
      <c r="AJ684"/>
      <c r="AK684"/>
    </row>
    <row r="685" spans="1:37">
      <c r="A685" s="3" t="s">
        <v>315</v>
      </c>
      <c r="B685" s="3">
        <v>42</v>
      </c>
      <c r="C685" s="3" t="s">
        <v>37</v>
      </c>
      <c r="D685" s="5">
        <v>45179</v>
      </c>
      <c r="E685" s="5">
        <v>45539</v>
      </c>
      <c r="F685" s="3">
        <f ca="1">TODAY() - Table1[[#This Row],[SubscriptionStart]]</f>
        <v>802</v>
      </c>
      <c r="G685" s="4">
        <v>12</v>
      </c>
      <c r="H685" s="3" t="s">
        <v>24</v>
      </c>
      <c r="I685" s="3" t="s">
        <v>30</v>
      </c>
      <c r="J685" s="7" cm="1">
        <f t="array" ref="J685">_xlfn.IFS(Table1[[#This Row],[Tier]]="Basic",10,Table1[[#This Row],[Tier]]="Standard",18,Table1[[#This Row],[Tier]]="Premium",25)</f>
        <v>10</v>
      </c>
      <c r="K685" s="7" cm="1">
        <f t="array" ref="K68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85" s="7" cm="1">
        <f t="array" ref="L68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85" s="3" t="str" cm="1">
        <f t="array" ref="M68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85" s="3" t="s">
        <v>26</v>
      </c>
      <c r="O685" s="3" t="s">
        <v>32</v>
      </c>
      <c r="P685" s="3" t="s">
        <v>35</v>
      </c>
      <c r="Q685" s="3" t="str" cm="1">
        <f t="array" ref="Q685">_xlfn.IFS(Table1[[#This Row],[TotalRevenue]]&lt;100,"Low",Table1[[#This Row],[TotalRevenue]]&lt;300,"Medium",Table1[[#This Row],[TotalRevenue]]&lt;600,"High",TRUE,"Very High")</f>
        <v>Low</v>
      </c>
      <c r="R685" s="3" t="str" cm="1">
        <f t="array" ref="R68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85" s="3" t="str">
        <f>IF(Table1[[#This Row],[NextBillingDate]]="","Cancelled",IF(Table1[[#This Row],[CancellationDate]]&lt;&gt;"","Cancelled","Active"))</f>
        <v>Cancelled</v>
      </c>
      <c r="T685" s="7" cm="1">
        <f t="array" ref="T68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85" s="5">
        <v>45539</v>
      </c>
      <c r="W685" s="5">
        <v>45539</v>
      </c>
      <c r="X685" s="3">
        <v>0</v>
      </c>
      <c r="Y685" s="5">
        <f ca="1">IF(Table1[[#This Row],[ChurnStatus]]="Cancelled",Table1[[#This Row],[CancellationDate]],TODAY())</f>
        <v>45539</v>
      </c>
      <c r="Z685" s="46">
        <f ca="1">IF(AND(Table1[[#This Row],[SubscriptionStart]] &lt;= TODAY(), Table1[[#This Row],[EffectiveEndDate]] &gt;= TODAY()),1,0)</f>
        <v>0</v>
      </c>
      <c r="AA685" s="46">
        <f ca="1">IF(AND(Table1[[#This Row],[SubscriptionStart]]&lt;=Settings!$A$2,Table1[[#This Row],[EffectiveEndDate]]&gt;=Settings!$A$2),1,0)</f>
        <v>0</v>
      </c>
      <c r="AB685" s="46">
        <f ca="1">IF(AND(Table1[[#This Row],[SubscriptionStart]]&lt;=Settings!$B$2,Table1[[#This Row],[EffectiveEndDate]]&gt;=Settings!$B$2),1,0)</f>
        <v>0</v>
      </c>
      <c r="AC685" s="46">
        <f ca="1">IF(AND(Table1[[#This Row],[SubscriptionStart]]&lt;=Settings!$C$2,Table1[[#This Row],[EffectiveEndDate]]&gt;=Settings!$C$2),1,0)</f>
        <v>0</v>
      </c>
      <c r="AD685" s="46">
        <f ca="1">IF(AND(Table1[[#This Row],[SubscriptionStart]]&lt;=Settings!$D$2,Table1[[#This Row],[EffectiveEndDate]]&gt;=Settings!$D$2),1,0)</f>
        <v>0</v>
      </c>
      <c r="AE685" s="46">
        <f ca="1">IF(AND(Table1[[#This Row],[SubscriptionStart]]&lt;=Settings!$E$2,Table1[[#This Row],[EffectiveEndDate]]&gt;=Settings!$E$2),1,0)</f>
        <v>0</v>
      </c>
      <c r="AF685"/>
      <c r="AG685"/>
      <c r="AH685"/>
      <c r="AI685"/>
      <c r="AJ685"/>
      <c r="AK685"/>
    </row>
    <row r="686" spans="1:37">
      <c r="A686" s="3" t="s">
        <v>321</v>
      </c>
      <c r="B686" s="3">
        <v>44</v>
      </c>
      <c r="C686" s="3" t="s">
        <v>23</v>
      </c>
      <c r="D686" s="5">
        <v>45183</v>
      </c>
      <c r="E686" s="5">
        <v>45543</v>
      </c>
      <c r="F686" s="3">
        <f ca="1">TODAY() - Table1[[#This Row],[SubscriptionStart]]</f>
        <v>798</v>
      </c>
      <c r="G686" s="4">
        <v>12</v>
      </c>
      <c r="H686" s="3" t="s">
        <v>24</v>
      </c>
      <c r="I686" s="3" t="s">
        <v>30</v>
      </c>
      <c r="J686" s="7" cm="1">
        <f t="array" ref="J686">_xlfn.IFS(Table1[[#This Row],[Tier]]="Basic",10,Table1[[#This Row],[Tier]]="Standard",18,Table1[[#This Row],[Tier]]="Premium",25)</f>
        <v>10</v>
      </c>
      <c r="K686" s="7" cm="1">
        <f t="array" ref="K68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86" s="7" cm="1">
        <f t="array" ref="L68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86" s="3" t="str" cm="1">
        <f t="array" ref="M68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86" s="3" t="s">
        <v>26</v>
      </c>
      <c r="O686" s="3" t="s">
        <v>43</v>
      </c>
      <c r="P686" s="3" t="s">
        <v>35</v>
      </c>
      <c r="Q686" s="3" t="str" cm="1">
        <f t="array" ref="Q686">_xlfn.IFS(Table1[[#This Row],[TotalRevenue]]&lt;100,"Low",Table1[[#This Row],[TotalRevenue]]&lt;300,"Medium",Table1[[#This Row],[TotalRevenue]]&lt;600,"High",TRUE,"Very High")</f>
        <v>Low</v>
      </c>
      <c r="R686" s="3" t="str" cm="1">
        <f t="array" ref="R68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86" s="3" t="str">
        <f>IF(Table1[[#This Row],[NextBillingDate]]="","Cancelled",IF(Table1[[#This Row],[CancellationDate]]&lt;&gt;"","Cancelled","Active"))</f>
        <v>Cancelled</v>
      </c>
      <c r="T686" s="7" cm="1">
        <f t="array" ref="T68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86" s="5">
        <v>45543</v>
      </c>
      <c r="W686" s="5">
        <v>45543</v>
      </c>
      <c r="X686" s="3">
        <v>0</v>
      </c>
      <c r="Y686" s="5">
        <f ca="1">IF(Table1[[#This Row],[ChurnStatus]]="Cancelled",Table1[[#This Row],[CancellationDate]],TODAY())</f>
        <v>45543</v>
      </c>
      <c r="Z686" s="46">
        <f ca="1">IF(AND(Table1[[#This Row],[SubscriptionStart]] &lt;= TODAY(), Table1[[#This Row],[EffectiveEndDate]] &gt;= TODAY()),1,0)</f>
        <v>0</v>
      </c>
      <c r="AA686" s="46">
        <f ca="1">IF(AND(Table1[[#This Row],[SubscriptionStart]]&lt;=Settings!$A$2,Table1[[#This Row],[EffectiveEndDate]]&gt;=Settings!$A$2),1,0)</f>
        <v>0</v>
      </c>
      <c r="AB686" s="46">
        <f ca="1">IF(AND(Table1[[#This Row],[SubscriptionStart]]&lt;=Settings!$B$2,Table1[[#This Row],[EffectiveEndDate]]&gt;=Settings!$B$2),1,0)</f>
        <v>0</v>
      </c>
      <c r="AC686" s="46">
        <f ca="1">IF(AND(Table1[[#This Row],[SubscriptionStart]]&lt;=Settings!$C$2,Table1[[#This Row],[EffectiveEndDate]]&gt;=Settings!$C$2),1,0)</f>
        <v>0</v>
      </c>
      <c r="AD686" s="46">
        <f ca="1">IF(AND(Table1[[#This Row],[SubscriptionStart]]&lt;=Settings!$D$2,Table1[[#This Row],[EffectiveEndDate]]&gt;=Settings!$D$2),1,0)</f>
        <v>0</v>
      </c>
      <c r="AE686" s="46">
        <f ca="1">IF(AND(Table1[[#This Row],[SubscriptionStart]]&lt;=Settings!$E$2,Table1[[#This Row],[EffectiveEndDate]]&gt;=Settings!$E$2),1,0)</f>
        <v>0</v>
      </c>
      <c r="AF686"/>
      <c r="AG686"/>
      <c r="AH686"/>
      <c r="AI686"/>
      <c r="AJ686"/>
      <c r="AK686"/>
    </row>
    <row r="687" spans="1:37">
      <c r="A687" s="3" t="s">
        <v>511</v>
      </c>
      <c r="B687" s="3">
        <v>53</v>
      </c>
      <c r="C687" s="3" t="s">
        <v>23</v>
      </c>
      <c r="D687" s="5">
        <v>45185</v>
      </c>
      <c r="F687" s="3">
        <f ca="1">TODAY() - Table1[[#This Row],[SubscriptionStart]]</f>
        <v>796</v>
      </c>
      <c r="G687" s="4">
        <v>36</v>
      </c>
      <c r="H687" s="3" t="s">
        <v>24</v>
      </c>
      <c r="I687" s="3" t="s">
        <v>39</v>
      </c>
      <c r="J687" s="7" cm="1">
        <f t="array" ref="J687">_xlfn.IFS(Table1[[#This Row],[Tier]]="Basic",10,Table1[[#This Row],[Tier]]="Standard",18,Table1[[#This Row],[Tier]]="Premium",25)</f>
        <v>18</v>
      </c>
      <c r="K687" s="7" cm="1">
        <f t="array" ref="K68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687" s="7" cm="1">
        <f t="array" ref="L68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417.6</v>
      </c>
      <c r="M687" s="3" t="str" cm="1">
        <f t="array" ref="M68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87" s="3" t="s">
        <v>31</v>
      </c>
      <c r="O687" s="3" t="s">
        <v>40</v>
      </c>
      <c r="Q687" s="3" t="str" cm="1">
        <f t="array" ref="Q687">_xlfn.IFS(Table1[[#This Row],[TotalRevenue]]&lt;100,"Low",Table1[[#This Row],[TotalRevenue]]&lt;300,"Medium",Table1[[#This Row],[TotalRevenue]]&lt;600,"High",TRUE,"Very High")</f>
        <v>High</v>
      </c>
      <c r="R687" s="3" t="str" cm="1">
        <f t="array" ref="R68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87" s="3" t="str">
        <f>IF(Table1[[#This Row],[NextBillingDate]]="","Cancelled",IF(Table1[[#This Row],[CancellationDate]]&lt;&gt;"","Cancelled","Active"))</f>
        <v>Active</v>
      </c>
      <c r="T687" s="7" cm="1">
        <f t="array" ref="T68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561.6</v>
      </c>
      <c r="V687" s="5">
        <v>46265</v>
      </c>
      <c r="W687" s="5">
        <v>46265</v>
      </c>
      <c r="X687" s="3">
        <v>2</v>
      </c>
      <c r="Y687" s="5">
        <f ca="1">IF(Table1[[#This Row],[ChurnStatus]]="Cancelled",Table1[[#This Row],[CancellationDate]],TODAY())</f>
        <v>45981</v>
      </c>
      <c r="Z687" s="46">
        <f ca="1">IF(AND(Table1[[#This Row],[SubscriptionStart]] &lt;= TODAY(), Table1[[#This Row],[EffectiveEndDate]] &gt;= TODAY()),1,0)</f>
        <v>1</v>
      </c>
      <c r="AA687" s="46">
        <f ca="1">IF(AND(Table1[[#This Row],[SubscriptionStart]]&lt;=Settings!$A$2,Table1[[#This Row],[EffectiveEndDate]]&gt;=Settings!$A$2),1,0)</f>
        <v>0</v>
      </c>
      <c r="AB687" s="46">
        <f ca="1">IF(AND(Table1[[#This Row],[SubscriptionStart]]&lt;=Settings!$B$2,Table1[[#This Row],[EffectiveEndDate]]&gt;=Settings!$B$2),1,0)</f>
        <v>0</v>
      </c>
      <c r="AC687" s="46">
        <f ca="1">IF(AND(Table1[[#This Row],[SubscriptionStart]]&lt;=Settings!$C$2,Table1[[#This Row],[EffectiveEndDate]]&gt;=Settings!$C$2),1,0)</f>
        <v>0</v>
      </c>
      <c r="AD687" s="46">
        <f ca="1">IF(AND(Table1[[#This Row],[SubscriptionStart]]&lt;=Settings!$D$2,Table1[[#This Row],[EffectiveEndDate]]&gt;=Settings!$D$2),1,0)</f>
        <v>0</v>
      </c>
      <c r="AE687" s="46">
        <f ca="1">IF(AND(Table1[[#This Row],[SubscriptionStart]]&lt;=Settings!$E$2,Table1[[#This Row],[EffectiveEndDate]]&gt;=Settings!$E$2),1,0)</f>
        <v>1</v>
      </c>
      <c r="AF687"/>
      <c r="AG687"/>
      <c r="AH687"/>
      <c r="AI687"/>
      <c r="AJ687"/>
      <c r="AK687"/>
    </row>
    <row r="688" spans="1:37">
      <c r="A688" s="3" t="s">
        <v>459</v>
      </c>
      <c r="B688" s="3">
        <v>55</v>
      </c>
      <c r="C688" s="3" t="s">
        <v>37</v>
      </c>
      <c r="D688" s="5">
        <v>45186</v>
      </c>
      <c r="E688" s="5">
        <v>45546</v>
      </c>
      <c r="F688" s="3">
        <f ca="1">TODAY() - Table1[[#This Row],[SubscriptionStart]]</f>
        <v>795</v>
      </c>
      <c r="G688" s="4">
        <v>12</v>
      </c>
      <c r="H688" s="3" t="s">
        <v>24</v>
      </c>
      <c r="I688" s="3" t="s">
        <v>39</v>
      </c>
      <c r="J688" s="7" cm="1">
        <f t="array" ref="J688">_xlfn.IFS(Table1[[#This Row],[Tier]]="Basic",10,Table1[[#This Row],[Tier]]="Standard",18,Table1[[#This Row],[Tier]]="Premium",25)</f>
        <v>18</v>
      </c>
      <c r="K688" s="7" cm="1">
        <f t="array" ref="K68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688" s="7" cm="1">
        <f t="array" ref="L68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688" s="3" t="str" cm="1">
        <f t="array" ref="M68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88" s="3" t="s">
        <v>34</v>
      </c>
      <c r="O688" s="3" t="s">
        <v>49</v>
      </c>
      <c r="P688" s="3" t="s">
        <v>44</v>
      </c>
      <c r="Q688" s="3" t="str" cm="1">
        <f t="array" ref="Q688">_xlfn.IFS(Table1[[#This Row],[TotalRevenue]]&lt;100,"Low",Table1[[#This Row],[TotalRevenue]]&lt;300,"Medium",Table1[[#This Row],[TotalRevenue]]&lt;600,"High",TRUE,"Very High")</f>
        <v>Medium</v>
      </c>
      <c r="R688" s="3" t="str" cm="1">
        <f t="array" ref="R68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88" s="3" t="str">
        <f>IF(Table1[[#This Row],[NextBillingDate]]="","Cancelled",IF(Table1[[#This Row],[CancellationDate]]&lt;&gt;"","Cancelled","Active"))</f>
        <v>Cancelled</v>
      </c>
      <c r="T688" s="7" cm="1">
        <f t="array" ref="T68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688" s="5">
        <v>45546</v>
      </c>
      <c r="W688" s="5">
        <v>45546</v>
      </c>
      <c r="X688" s="3">
        <v>0</v>
      </c>
      <c r="Y688" s="5">
        <f ca="1">IF(Table1[[#This Row],[ChurnStatus]]="Cancelled",Table1[[#This Row],[CancellationDate]],TODAY())</f>
        <v>45546</v>
      </c>
      <c r="Z688" s="46">
        <f ca="1">IF(AND(Table1[[#This Row],[SubscriptionStart]] &lt;= TODAY(), Table1[[#This Row],[EffectiveEndDate]] &gt;= TODAY()),1,0)</f>
        <v>0</v>
      </c>
      <c r="AA688" s="46">
        <f ca="1">IF(AND(Table1[[#This Row],[SubscriptionStart]]&lt;=Settings!$A$2,Table1[[#This Row],[EffectiveEndDate]]&gt;=Settings!$A$2),1,0)</f>
        <v>0</v>
      </c>
      <c r="AB688" s="46">
        <f ca="1">IF(AND(Table1[[#This Row],[SubscriptionStart]]&lt;=Settings!$B$2,Table1[[#This Row],[EffectiveEndDate]]&gt;=Settings!$B$2),1,0)</f>
        <v>0</v>
      </c>
      <c r="AC688" s="46">
        <f ca="1">IF(AND(Table1[[#This Row],[SubscriptionStart]]&lt;=Settings!$C$2,Table1[[#This Row],[EffectiveEndDate]]&gt;=Settings!$C$2),1,0)</f>
        <v>0</v>
      </c>
      <c r="AD688" s="46">
        <f ca="1">IF(AND(Table1[[#This Row],[SubscriptionStart]]&lt;=Settings!$D$2,Table1[[#This Row],[EffectiveEndDate]]&gt;=Settings!$D$2),1,0)</f>
        <v>0</v>
      </c>
      <c r="AE688" s="46">
        <f ca="1">IF(AND(Table1[[#This Row],[SubscriptionStart]]&lt;=Settings!$E$2,Table1[[#This Row],[EffectiveEndDate]]&gt;=Settings!$E$2),1,0)</f>
        <v>0</v>
      </c>
      <c r="AF688"/>
      <c r="AG688"/>
      <c r="AH688"/>
      <c r="AI688"/>
      <c r="AJ688"/>
      <c r="AK688"/>
    </row>
    <row r="689" spans="1:37">
      <c r="A689" s="3" t="s">
        <v>843</v>
      </c>
      <c r="B689" s="3">
        <v>67</v>
      </c>
      <c r="C689" s="3" t="s">
        <v>37</v>
      </c>
      <c r="D689" s="5">
        <v>45186</v>
      </c>
      <c r="E689" s="5">
        <v>45546</v>
      </c>
      <c r="F689" s="3">
        <f ca="1">TODAY() - Table1[[#This Row],[SubscriptionStart]]</f>
        <v>795</v>
      </c>
      <c r="G689" s="4">
        <v>12</v>
      </c>
      <c r="H689" s="3" t="s">
        <v>24</v>
      </c>
      <c r="I689" s="3" t="s">
        <v>30</v>
      </c>
      <c r="J689" s="7" cm="1">
        <f t="array" ref="J689">_xlfn.IFS(Table1[[#This Row],[Tier]]="Basic",10,Table1[[#This Row],[Tier]]="Standard",18,Table1[[#This Row],[Tier]]="Premium",25)</f>
        <v>10</v>
      </c>
      <c r="K689" s="7" cm="1">
        <f t="array" ref="K68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89" s="7" cm="1">
        <f t="array" ref="L68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89" s="3" t="str" cm="1">
        <f t="array" ref="M68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89" s="3" t="s">
        <v>34</v>
      </c>
      <c r="O689" s="3" t="s">
        <v>40</v>
      </c>
      <c r="P689" s="3" t="s">
        <v>35</v>
      </c>
      <c r="Q689" s="3" t="str" cm="1">
        <f t="array" ref="Q689">_xlfn.IFS(Table1[[#This Row],[TotalRevenue]]&lt;100,"Low",Table1[[#This Row],[TotalRevenue]]&lt;300,"Medium",Table1[[#This Row],[TotalRevenue]]&lt;600,"High",TRUE,"Very High")</f>
        <v>Low</v>
      </c>
      <c r="R689" s="3" t="str" cm="1">
        <f t="array" ref="R68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689" s="3" t="str">
        <f>IF(Table1[[#This Row],[NextBillingDate]]="","Cancelled",IF(Table1[[#This Row],[CancellationDate]]&lt;&gt;"","Cancelled","Active"))</f>
        <v>Cancelled</v>
      </c>
      <c r="T689" s="7" cm="1">
        <f t="array" ref="T68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89" s="5">
        <v>45546</v>
      </c>
      <c r="W689" s="5">
        <v>45546</v>
      </c>
      <c r="X689" s="3">
        <v>0</v>
      </c>
      <c r="Y689" s="5">
        <f ca="1">IF(Table1[[#This Row],[ChurnStatus]]="Cancelled",Table1[[#This Row],[CancellationDate]],TODAY())</f>
        <v>45546</v>
      </c>
      <c r="Z689" s="46">
        <f ca="1">IF(AND(Table1[[#This Row],[SubscriptionStart]] &lt;= TODAY(), Table1[[#This Row],[EffectiveEndDate]] &gt;= TODAY()),1,0)</f>
        <v>0</v>
      </c>
      <c r="AA689" s="46">
        <f ca="1">IF(AND(Table1[[#This Row],[SubscriptionStart]]&lt;=Settings!$A$2,Table1[[#This Row],[EffectiveEndDate]]&gt;=Settings!$A$2),1,0)</f>
        <v>0</v>
      </c>
      <c r="AB689" s="46">
        <f ca="1">IF(AND(Table1[[#This Row],[SubscriptionStart]]&lt;=Settings!$B$2,Table1[[#This Row],[EffectiveEndDate]]&gt;=Settings!$B$2),1,0)</f>
        <v>0</v>
      </c>
      <c r="AC689" s="46">
        <f ca="1">IF(AND(Table1[[#This Row],[SubscriptionStart]]&lt;=Settings!$C$2,Table1[[#This Row],[EffectiveEndDate]]&gt;=Settings!$C$2),1,0)</f>
        <v>0</v>
      </c>
      <c r="AD689" s="46">
        <f ca="1">IF(AND(Table1[[#This Row],[SubscriptionStart]]&lt;=Settings!$D$2,Table1[[#This Row],[EffectiveEndDate]]&gt;=Settings!$D$2),1,0)</f>
        <v>0</v>
      </c>
      <c r="AE689" s="46">
        <f ca="1">IF(AND(Table1[[#This Row],[SubscriptionStart]]&lt;=Settings!$E$2,Table1[[#This Row],[EffectiveEndDate]]&gt;=Settings!$E$2),1,0)</f>
        <v>0</v>
      </c>
      <c r="AF689"/>
      <c r="AG689"/>
      <c r="AH689"/>
      <c r="AI689"/>
      <c r="AJ689"/>
      <c r="AK689"/>
    </row>
    <row r="690" spans="1:37">
      <c r="A690" s="3" t="s">
        <v>393</v>
      </c>
      <c r="B690" s="3">
        <v>55</v>
      </c>
      <c r="C690" s="3" t="s">
        <v>23</v>
      </c>
      <c r="D690" s="5">
        <v>45188</v>
      </c>
      <c r="E690" s="5">
        <v>45368</v>
      </c>
      <c r="F690" s="3">
        <f ca="1">TODAY() - Table1[[#This Row],[SubscriptionStart]]</f>
        <v>793</v>
      </c>
      <c r="G690" s="4">
        <v>6</v>
      </c>
      <c r="H690" s="3" t="s">
        <v>38</v>
      </c>
      <c r="I690" s="3" t="s">
        <v>39</v>
      </c>
      <c r="J690" s="7" cm="1">
        <f t="array" ref="J690">_xlfn.IFS(Table1[[#This Row],[Tier]]="Basic",10,Table1[[#This Row],[Tier]]="Standard",18,Table1[[#This Row],[Tier]]="Premium",25)</f>
        <v>18</v>
      </c>
      <c r="K690" s="7" cm="1">
        <f t="array" ref="K69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690" s="7" cm="1">
        <f t="array" ref="L69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690" s="3" t="str" cm="1">
        <f t="array" ref="M69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90" s="3" t="s">
        <v>34</v>
      </c>
      <c r="O690" s="3" t="s">
        <v>43</v>
      </c>
      <c r="P690" s="3" t="s">
        <v>35</v>
      </c>
      <c r="Q690" s="3" t="str" cm="1">
        <f t="array" ref="Q690">_xlfn.IFS(Table1[[#This Row],[TotalRevenue]]&lt;100,"Low",Table1[[#This Row],[TotalRevenue]]&lt;300,"Medium",Table1[[#This Row],[TotalRevenue]]&lt;600,"High",TRUE,"Very High")</f>
        <v>Low</v>
      </c>
      <c r="R690" s="3" t="str" cm="1">
        <f t="array" ref="R69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90" s="3" t="str">
        <f>IF(Table1[[#This Row],[NextBillingDate]]="","Cancelled",IF(Table1[[#This Row],[CancellationDate]]&lt;&gt;"","Cancelled","Active"))</f>
        <v>Cancelled</v>
      </c>
      <c r="T690" s="7" cm="1">
        <f t="array" ref="T69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690" s="5">
        <v>45368</v>
      </c>
      <c r="W690" s="5">
        <v>45368</v>
      </c>
      <c r="X690" s="3">
        <v>0</v>
      </c>
      <c r="Y690" s="5">
        <f ca="1">IF(Table1[[#This Row],[ChurnStatus]]="Cancelled",Table1[[#This Row],[CancellationDate]],TODAY())</f>
        <v>45368</v>
      </c>
      <c r="Z690" s="46">
        <f ca="1">IF(AND(Table1[[#This Row],[SubscriptionStart]] &lt;= TODAY(), Table1[[#This Row],[EffectiveEndDate]] &gt;= TODAY()),1,0)</f>
        <v>0</v>
      </c>
      <c r="AA690" s="46">
        <f ca="1">IF(AND(Table1[[#This Row],[SubscriptionStart]]&lt;=Settings!$A$2,Table1[[#This Row],[EffectiveEndDate]]&gt;=Settings!$A$2),1,0)</f>
        <v>0</v>
      </c>
      <c r="AB690" s="46">
        <f ca="1">IF(AND(Table1[[#This Row],[SubscriptionStart]]&lt;=Settings!$B$2,Table1[[#This Row],[EffectiveEndDate]]&gt;=Settings!$B$2),1,0)</f>
        <v>0</v>
      </c>
      <c r="AC690" s="46">
        <f ca="1">IF(AND(Table1[[#This Row],[SubscriptionStart]]&lt;=Settings!$C$2,Table1[[#This Row],[EffectiveEndDate]]&gt;=Settings!$C$2),1,0)</f>
        <v>0</v>
      </c>
      <c r="AD690" s="46">
        <f ca="1">IF(AND(Table1[[#This Row],[SubscriptionStart]]&lt;=Settings!$D$2,Table1[[#This Row],[EffectiveEndDate]]&gt;=Settings!$D$2),1,0)</f>
        <v>0</v>
      </c>
      <c r="AE690" s="46">
        <f ca="1">IF(AND(Table1[[#This Row],[SubscriptionStart]]&lt;=Settings!$E$2,Table1[[#This Row],[EffectiveEndDate]]&gt;=Settings!$E$2),1,0)</f>
        <v>0</v>
      </c>
      <c r="AF690"/>
      <c r="AG690"/>
      <c r="AH690"/>
      <c r="AI690"/>
      <c r="AJ690"/>
      <c r="AK690"/>
    </row>
    <row r="691" spans="1:37">
      <c r="A691" s="3" t="s">
        <v>798</v>
      </c>
      <c r="B691" s="3">
        <v>29</v>
      </c>
      <c r="C691" s="3" t="s">
        <v>37</v>
      </c>
      <c r="D691" s="5">
        <v>45188</v>
      </c>
      <c r="E691" s="5">
        <v>45548</v>
      </c>
      <c r="F691" s="3">
        <f ca="1">TODAY() - Table1[[#This Row],[SubscriptionStart]]</f>
        <v>793</v>
      </c>
      <c r="G691" s="4">
        <v>12</v>
      </c>
      <c r="H691" s="3" t="s">
        <v>24</v>
      </c>
      <c r="I691" s="3" t="s">
        <v>39</v>
      </c>
      <c r="J691" s="7" cm="1">
        <f t="array" ref="J691">_xlfn.IFS(Table1[[#This Row],[Tier]]="Basic",10,Table1[[#This Row],[Tier]]="Standard",18,Table1[[#This Row],[Tier]]="Premium",25)</f>
        <v>18</v>
      </c>
      <c r="K691" s="7" cm="1">
        <f t="array" ref="K69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691" s="7" cm="1">
        <f t="array" ref="L69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691" s="3" t="str" cm="1">
        <f t="array" ref="M69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691" s="3" t="s">
        <v>26</v>
      </c>
      <c r="O691" s="3" t="s">
        <v>43</v>
      </c>
      <c r="P691" s="3" t="s">
        <v>35</v>
      </c>
      <c r="Q691" s="3" t="str" cm="1">
        <f t="array" ref="Q691">_xlfn.IFS(Table1[[#This Row],[TotalRevenue]]&lt;100,"Low",Table1[[#This Row],[TotalRevenue]]&lt;300,"Medium",Table1[[#This Row],[TotalRevenue]]&lt;600,"High",TRUE,"Very High")</f>
        <v>Medium</v>
      </c>
      <c r="R691" s="3" t="str" cm="1">
        <f t="array" ref="R69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91" s="3" t="str">
        <f>IF(Table1[[#This Row],[NextBillingDate]]="","Cancelled",IF(Table1[[#This Row],[CancellationDate]]&lt;&gt;"","Cancelled","Active"))</f>
        <v>Cancelled</v>
      </c>
      <c r="T691" s="7" cm="1">
        <f t="array" ref="T69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691" s="5">
        <v>45548</v>
      </c>
      <c r="W691" s="5">
        <v>45548</v>
      </c>
      <c r="X691" s="3">
        <v>0</v>
      </c>
      <c r="Y691" s="5">
        <f ca="1">IF(Table1[[#This Row],[ChurnStatus]]="Cancelled",Table1[[#This Row],[CancellationDate]],TODAY())</f>
        <v>45548</v>
      </c>
      <c r="Z691" s="46">
        <f ca="1">IF(AND(Table1[[#This Row],[SubscriptionStart]] &lt;= TODAY(), Table1[[#This Row],[EffectiveEndDate]] &gt;= TODAY()),1,0)</f>
        <v>0</v>
      </c>
      <c r="AA691" s="46">
        <f ca="1">IF(AND(Table1[[#This Row],[SubscriptionStart]]&lt;=Settings!$A$2,Table1[[#This Row],[EffectiveEndDate]]&gt;=Settings!$A$2),1,0)</f>
        <v>0</v>
      </c>
      <c r="AB691" s="46">
        <f ca="1">IF(AND(Table1[[#This Row],[SubscriptionStart]]&lt;=Settings!$B$2,Table1[[#This Row],[EffectiveEndDate]]&gt;=Settings!$B$2),1,0)</f>
        <v>0</v>
      </c>
      <c r="AC691" s="46">
        <f ca="1">IF(AND(Table1[[#This Row],[SubscriptionStart]]&lt;=Settings!$C$2,Table1[[#This Row],[EffectiveEndDate]]&gt;=Settings!$C$2),1,0)</f>
        <v>0</v>
      </c>
      <c r="AD691" s="46">
        <f ca="1">IF(AND(Table1[[#This Row],[SubscriptionStart]]&lt;=Settings!$D$2,Table1[[#This Row],[EffectiveEndDate]]&gt;=Settings!$D$2),1,0)</f>
        <v>0</v>
      </c>
      <c r="AE691" s="46">
        <f ca="1">IF(AND(Table1[[#This Row],[SubscriptionStart]]&lt;=Settings!$E$2,Table1[[#This Row],[EffectiveEndDate]]&gt;=Settings!$E$2),1,0)</f>
        <v>0</v>
      </c>
      <c r="AF691"/>
      <c r="AG691"/>
      <c r="AH691"/>
      <c r="AI691"/>
      <c r="AJ691"/>
      <c r="AK691"/>
    </row>
    <row r="692" spans="1:37">
      <c r="A692" s="3" t="s">
        <v>154</v>
      </c>
      <c r="B692" s="3">
        <v>24</v>
      </c>
      <c r="C692" s="3" t="s">
        <v>37</v>
      </c>
      <c r="D692" s="5">
        <v>45190</v>
      </c>
      <c r="F692" s="3">
        <f ca="1">TODAY() - Table1[[#This Row],[SubscriptionStart]]</f>
        <v>791</v>
      </c>
      <c r="G692" s="4">
        <v>30</v>
      </c>
      <c r="H692" s="3" t="s">
        <v>38</v>
      </c>
      <c r="I692" s="3" t="s">
        <v>30</v>
      </c>
      <c r="J692" s="7" cm="1">
        <f t="array" ref="J692">_xlfn.IFS(Table1[[#This Row],[Tier]]="Basic",10,Table1[[#This Row],[Tier]]="Standard",18,Table1[[#This Row],[Tier]]="Premium",25)</f>
        <v>10</v>
      </c>
      <c r="K692" s="7" cm="1">
        <f t="array" ref="K69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692" s="7" cm="1">
        <f t="array" ref="L69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216</v>
      </c>
      <c r="M692" s="3" t="str" cm="1">
        <f t="array" ref="M692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692" s="3" t="s">
        <v>26</v>
      </c>
      <c r="O692" s="3" t="s">
        <v>40</v>
      </c>
      <c r="Q692" s="3" t="str" cm="1">
        <f t="array" ref="Q692">_xlfn.IFS(Table1[[#This Row],[TotalRevenue]]&lt;100,"Low",Table1[[#This Row],[TotalRevenue]]&lt;300,"Medium",Table1[[#This Row],[TotalRevenue]]&lt;600,"High",TRUE,"Very High")</f>
        <v>Medium</v>
      </c>
      <c r="R692" s="3" t="str" cm="1">
        <f t="array" ref="R692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692" s="3" t="str">
        <f>IF(Table1[[#This Row],[NextBillingDate]]="","Cancelled",IF(Table1[[#This Row],[CancellationDate]]&lt;&gt;"","Cancelled","Active"))</f>
        <v>Active</v>
      </c>
      <c r="T692" s="7" cm="1">
        <f t="array" ref="T69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261</v>
      </c>
      <c r="V692" s="5">
        <v>46090</v>
      </c>
      <c r="W692" s="5">
        <v>46090</v>
      </c>
      <c r="X692" s="3">
        <v>4</v>
      </c>
      <c r="Y692" s="5">
        <f ca="1">IF(Table1[[#This Row],[ChurnStatus]]="Cancelled",Table1[[#This Row],[CancellationDate]],TODAY())</f>
        <v>45981</v>
      </c>
      <c r="Z692" s="46">
        <f ca="1">IF(AND(Table1[[#This Row],[SubscriptionStart]] &lt;= TODAY(), Table1[[#This Row],[EffectiveEndDate]] &gt;= TODAY()),1,0)</f>
        <v>1</v>
      </c>
      <c r="AA692" s="46">
        <f ca="1">IF(AND(Table1[[#This Row],[SubscriptionStart]]&lt;=Settings!$A$2,Table1[[#This Row],[EffectiveEndDate]]&gt;=Settings!$A$2),1,0)</f>
        <v>0</v>
      </c>
      <c r="AB692" s="46">
        <f ca="1">IF(AND(Table1[[#This Row],[SubscriptionStart]]&lt;=Settings!$B$2,Table1[[#This Row],[EffectiveEndDate]]&gt;=Settings!$B$2),1,0)</f>
        <v>0</v>
      </c>
      <c r="AC692" s="46">
        <f ca="1">IF(AND(Table1[[#This Row],[SubscriptionStart]]&lt;=Settings!$C$2,Table1[[#This Row],[EffectiveEndDate]]&gt;=Settings!$C$2),1,0)</f>
        <v>0</v>
      </c>
      <c r="AD692" s="46">
        <f ca="1">IF(AND(Table1[[#This Row],[SubscriptionStart]]&lt;=Settings!$D$2,Table1[[#This Row],[EffectiveEndDate]]&gt;=Settings!$D$2),1,0)</f>
        <v>0</v>
      </c>
      <c r="AE692" s="46">
        <f ca="1">IF(AND(Table1[[#This Row],[SubscriptionStart]]&lt;=Settings!$E$2,Table1[[#This Row],[EffectiveEndDate]]&gt;=Settings!$E$2),1,0)</f>
        <v>1</v>
      </c>
      <c r="AF692"/>
      <c r="AG692"/>
      <c r="AH692"/>
      <c r="AI692"/>
      <c r="AJ692"/>
      <c r="AK692"/>
    </row>
    <row r="693" spans="1:37">
      <c r="A693" s="3" t="s">
        <v>480</v>
      </c>
      <c r="B693" s="3">
        <v>57</v>
      </c>
      <c r="C693" s="3" t="s">
        <v>37</v>
      </c>
      <c r="D693" s="5">
        <v>45191</v>
      </c>
      <c r="E693" s="5">
        <v>45221</v>
      </c>
      <c r="F693" s="3">
        <f ca="1">TODAY() - Table1[[#This Row],[SubscriptionStart]]</f>
        <v>790</v>
      </c>
      <c r="G693" s="4">
        <v>1</v>
      </c>
      <c r="H693" s="3" t="s">
        <v>29</v>
      </c>
      <c r="I693" s="3" t="s">
        <v>25</v>
      </c>
      <c r="J693" s="7" cm="1">
        <f t="array" ref="J693">_xlfn.IFS(Table1[[#This Row],[Tier]]="Basic",10,Table1[[#This Row],[Tier]]="Standard",18,Table1[[#This Row],[Tier]]="Premium",25)</f>
        <v>25</v>
      </c>
      <c r="K693" s="7" cm="1">
        <f t="array" ref="K69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693" s="7" cm="1">
        <f t="array" ref="L69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693" s="3" t="str" cm="1">
        <f t="array" ref="M69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93" s="3" t="s">
        <v>34</v>
      </c>
      <c r="O693" s="3" t="s">
        <v>49</v>
      </c>
      <c r="P693" s="3" t="s">
        <v>47</v>
      </c>
      <c r="Q693" s="3" t="str" cm="1">
        <f t="array" ref="Q693">_xlfn.IFS(Table1[[#This Row],[TotalRevenue]]&lt;100,"Low",Table1[[#This Row],[TotalRevenue]]&lt;300,"Medium",Table1[[#This Row],[TotalRevenue]]&lt;600,"High",TRUE,"Very High")</f>
        <v>Low</v>
      </c>
      <c r="R693" s="3" t="str" cm="1">
        <f t="array" ref="R69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93" s="3" t="str">
        <f>IF(Table1[[#This Row],[NextBillingDate]]="","Cancelled",IF(Table1[[#This Row],[CancellationDate]]&lt;&gt;"","Cancelled","Active"))</f>
        <v>Cancelled</v>
      </c>
      <c r="T693" s="7" cm="1">
        <f t="array" ref="T69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693" s="5">
        <v>45221</v>
      </c>
      <c r="W693" s="5">
        <v>45221</v>
      </c>
      <c r="X693" s="3">
        <v>0</v>
      </c>
      <c r="Y693" s="5">
        <f ca="1">IF(Table1[[#This Row],[ChurnStatus]]="Cancelled",Table1[[#This Row],[CancellationDate]],TODAY())</f>
        <v>45221</v>
      </c>
      <c r="Z693" s="46">
        <f ca="1">IF(AND(Table1[[#This Row],[SubscriptionStart]] &lt;= TODAY(), Table1[[#This Row],[EffectiveEndDate]] &gt;= TODAY()),1,0)</f>
        <v>0</v>
      </c>
      <c r="AA693" s="46">
        <f ca="1">IF(AND(Table1[[#This Row],[SubscriptionStart]]&lt;=Settings!$A$2,Table1[[#This Row],[EffectiveEndDate]]&gt;=Settings!$A$2),1,0)</f>
        <v>0</v>
      </c>
      <c r="AB693" s="46">
        <f ca="1">IF(AND(Table1[[#This Row],[SubscriptionStart]]&lt;=Settings!$B$2,Table1[[#This Row],[EffectiveEndDate]]&gt;=Settings!$B$2),1,0)</f>
        <v>0</v>
      </c>
      <c r="AC693" s="46">
        <f ca="1">IF(AND(Table1[[#This Row],[SubscriptionStart]]&lt;=Settings!$C$2,Table1[[#This Row],[EffectiveEndDate]]&gt;=Settings!$C$2),1,0)</f>
        <v>0</v>
      </c>
      <c r="AD693" s="46">
        <f ca="1">IF(AND(Table1[[#This Row],[SubscriptionStart]]&lt;=Settings!$D$2,Table1[[#This Row],[EffectiveEndDate]]&gt;=Settings!$D$2),1,0)</f>
        <v>0</v>
      </c>
      <c r="AE693" s="46">
        <f ca="1">IF(AND(Table1[[#This Row],[SubscriptionStart]]&lt;=Settings!$E$2,Table1[[#This Row],[EffectiveEndDate]]&gt;=Settings!$E$2),1,0)</f>
        <v>0</v>
      </c>
      <c r="AF693"/>
      <c r="AG693"/>
      <c r="AH693"/>
      <c r="AI693"/>
      <c r="AJ693"/>
      <c r="AK693"/>
    </row>
    <row r="694" spans="1:37">
      <c r="A694" s="3" t="s">
        <v>698</v>
      </c>
      <c r="B694" s="3">
        <v>66</v>
      </c>
      <c r="C694" s="3" t="s">
        <v>37</v>
      </c>
      <c r="D694" s="5">
        <v>45192</v>
      </c>
      <c r="E694" s="5">
        <v>45552</v>
      </c>
      <c r="F694" s="3">
        <f ca="1">TODAY() - Table1[[#This Row],[SubscriptionStart]]</f>
        <v>789</v>
      </c>
      <c r="G694" s="4">
        <v>12</v>
      </c>
      <c r="H694" s="3" t="s">
        <v>24</v>
      </c>
      <c r="I694" s="3" t="s">
        <v>30</v>
      </c>
      <c r="J694" s="7" cm="1">
        <f t="array" ref="J694">_xlfn.IFS(Table1[[#This Row],[Tier]]="Basic",10,Table1[[#This Row],[Tier]]="Standard",18,Table1[[#This Row],[Tier]]="Premium",25)</f>
        <v>10</v>
      </c>
      <c r="K694" s="7" cm="1">
        <f t="array" ref="K69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94" s="7" cm="1">
        <f t="array" ref="L69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94" s="3" t="str" cm="1">
        <f t="array" ref="M69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694" s="3" t="s">
        <v>26</v>
      </c>
      <c r="O694" s="3" t="s">
        <v>40</v>
      </c>
      <c r="P694" s="3" t="s">
        <v>44</v>
      </c>
      <c r="Q694" s="3" t="str" cm="1">
        <f t="array" ref="Q694">_xlfn.IFS(Table1[[#This Row],[TotalRevenue]]&lt;100,"Low",Table1[[#This Row],[TotalRevenue]]&lt;300,"Medium",Table1[[#This Row],[TotalRevenue]]&lt;600,"High",TRUE,"Very High")</f>
        <v>Low</v>
      </c>
      <c r="R694" s="3" t="str" cm="1">
        <f t="array" ref="R69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694" s="3" t="str">
        <f>IF(Table1[[#This Row],[NextBillingDate]]="","Cancelled",IF(Table1[[#This Row],[CancellationDate]]&lt;&gt;"","Cancelled","Active"))</f>
        <v>Cancelled</v>
      </c>
      <c r="T694" s="7" cm="1">
        <f t="array" ref="T69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94" s="5">
        <v>45552</v>
      </c>
      <c r="W694" s="5">
        <v>45552</v>
      </c>
      <c r="X694" s="3">
        <v>0</v>
      </c>
      <c r="Y694" s="5">
        <f ca="1">IF(Table1[[#This Row],[ChurnStatus]]="Cancelled",Table1[[#This Row],[CancellationDate]],TODAY())</f>
        <v>45552</v>
      </c>
      <c r="Z694" s="46">
        <f ca="1">IF(AND(Table1[[#This Row],[SubscriptionStart]] &lt;= TODAY(), Table1[[#This Row],[EffectiveEndDate]] &gt;= TODAY()),1,0)</f>
        <v>0</v>
      </c>
      <c r="AA694" s="46">
        <f ca="1">IF(AND(Table1[[#This Row],[SubscriptionStart]]&lt;=Settings!$A$2,Table1[[#This Row],[EffectiveEndDate]]&gt;=Settings!$A$2),1,0)</f>
        <v>0</v>
      </c>
      <c r="AB694" s="46">
        <f ca="1">IF(AND(Table1[[#This Row],[SubscriptionStart]]&lt;=Settings!$B$2,Table1[[#This Row],[EffectiveEndDate]]&gt;=Settings!$B$2),1,0)</f>
        <v>0</v>
      </c>
      <c r="AC694" s="46">
        <f ca="1">IF(AND(Table1[[#This Row],[SubscriptionStart]]&lt;=Settings!$C$2,Table1[[#This Row],[EffectiveEndDate]]&gt;=Settings!$C$2),1,0)</f>
        <v>0</v>
      </c>
      <c r="AD694" s="46">
        <f ca="1">IF(AND(Table1[[#This Row],[SubscriptionStart]]&lt;=Settings!$D$2,Table1[[#This Row],[EffectiveEndDate]]&gt;=Settings!$D$2),1,0)</f>
        <v>0</v>
      </c>
      <c r="AE694" s="46">
        <f ca="1">IF(AND(Table1[[#This Row],[SubscriptionStart]]&lt;=Settings!$E$2,Table1[[#This Row],[EffectiveEndDate]]&gt;=Settings!$E$2),1,0)</f>
        <v>0</v>
      </c>
      <c r="AF694"/>
      <c r="AG694"/>
      <c r="AH694"/>
      <c r="AI694"/>
      <c r="AJ694"/>
      <c r="AK694"/>
    </row>
    <row r="695" spans="1:37">
      <c r="A695" s="3" t="s">
        <v>808</v>
      </c>
      <c r="B695" s="3">
        <v>75</v>
      </c>
      <c r="C695" s="3" t="s">
        <v>37</v>
      </c>
      <c r="D695" s="5">
        <v>45192</v>
      </c>
      <c r="E695" s="5">
        <v>45552</v>
      </c>
      <c r="F695" s="3">
        <f ca="1">TODAY() - Table1[[#This Row],[SubscriptionStart]]</f>
        <v>789</v>
      </c>
      <c r="G695" s="4">
        <v>12</v>
      </c>
      <c r="H695" s="3" t="s">
        <v>24</v>
      </c>
      <c r="I695" s="3" t="s">
        <v>30</v>
      </c>
      <c r="J695" s="7" cm="1">
        <f t="array" ref="J695">_xlfn.IFS(Table1[[#This Row],[Tier]]="Basic",10,Table1[[#This Row],[Tier]]="Standard",18,Table1[[#This Row],[Tier]]="Premium",25)</f>
        <v>10</v>
      </c>
      <c r="K695" s="7" cm="1">
        <f t="array" ref="K69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95" s="7" cm="1">
        <f t="array" ref="L69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95" s="3" t="str" cm="1">
        <f t="array" ref="M695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695" s="3" t="s">
        <v>52</v>
      </c>
      <c r="O695" s="3" t="s">
        <v>32</v>
      </c>
      <c r="P695" s="3" t="s">
        <v>35</v>
      </c>
      <c r="Q695" s="3" t="str" cm="1">
        <f t="array" ref="Q695">_xlfn.IFS(Table1[[#This Row],[TotalRevenue]]&lt;100,"Low",Table1[[#This Row],[TotalRevenue]]&lt;300,"Medium",Table1[[#This Row],[TotalRevenue]]&lt;600,"High",TRUE,"Very High")</f>
        <v>Low</v>
      </c>
      <c r="R695" s="3" t="str" cm="1">
        <f t="array" ref="R695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695" s="3" t="str">
        <f>IF(Table1[[#This Row],[NextBillingDate]]="","Cancelled",IF(Table1[[#This Row],[CancellationDate]]&lt;&gt;"","Cancelled","Active"))</f>
        <v>Cancelled</v>
      </c>
      <c r="T695" s="7" cm="1">
        <f t="array" ref="T69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95" s="5">
        <v>45552</v>
      </c>
      <c r="W695" s="5">
        <v>45552</v>
      </c>
      <c r="X695" s="3">
        <v>0</v>
      </c>
      <c r="Y695" s="5">
        <f ca="1">IF(Table1[[#This Row],[ChurnStatus]]="Cancelled",Table1[[#This Row],[CancellationDate]],TODAY())</f>
        <v>45552</v>
      </c>
      <c r="Z695" s="46">
        <f ca="1">IF(AND(Table1[[#This Row],[SubscriptionStart]] &lt;= TODAY(), Table1[[#This Row],[EffectiveEndDate]] &gt;= TODAY()),1,0)</f>
        <v>0</v>
      </c>
      <c r="AA695" s="46">
        <f ca="1">IF(AND(Table1[[#This Row],[SubscriptionStart]]&lt;=Settings!$A$2,Table1[[#This Row],[EffectiveEndDate]]&gt;=Settings!$A$2),1,0)</f>
        <v>0</v>
      </c>
      <c r="AB695" s="46">
        <f ca="1">IF(AND(Table1[[#This Row],[SubscriptionStart]]&lt;=Settings!$B$2,Table1[[#This Row],[EffectiveEndDate]]&gt;=Settings!$B$2),1,0)</f>
        <v>0</v>
      </c>
      <c r="AC695" s="46">
        <f ca="1">IF(AND(Table1[[#This Row],[SubscriptionStart]]&lt;=Settings!$C$2,Table1[[#This Row],[EffectiveEndDate]]&gt;=Settings!$C$2),1,0)</f>
        <v>0</v>
      </c>
      <c r="AD695" s="46">
        <f ca="1">IF(AND(Table1[[#This Row],[SubscriptionStart]]&lt;=Settings!$D$2,Table1[[#This Row],[EffectiveEndDate]]&gt;=Settings!$D$2),1,0)</f>
        <v>0</v>
      </c>
      <c r="AE695" s="46">
        <f ca="1">IF(AND(Table1[[#This Row],[SubscriptionStart]]&lt;=Settings!$E$2,Table1[[#This Row],[EffectiveEndDate]]&gt;=Settings!$E$2),1,0)</f>
        <v>0</v>
      </c>
      <c r="AF695"/>
      <c r="AG695"/>
      <c r="AH695"/>
      <c r="AI695"/>
      <c r="AJ695"/>
      <c r="AK695"/>
    </row>
    <row r="696" spans="1:37">
      <c r="A696" s="3" t="s">
        <v>65</v>
      </c>
      <c r="B696" s="3">
        <v>25</v>
      </c>
      <c r="C696" s="3" t="s">
        <v>23</v>
      </c>
      <c r="D696" s="5">
        <v>45193</v>
      </c>
      <c r="E696" s="5">
        <v>45553</v>
      </c>
      <c r="F696" s="3">
        <f ca="1">TODAY() - Table1[[#This Row],[SubscriptionStart]]</f>
        <v>788</v>
      </c>
      <c r="G696" s="4">
        <v>12</v>
      </c>
      <c r="H696" s="3" t="s">
        <v>24</v>
      </c>
      <c r="I696" s="3" t="s">
        <v>30</v>
      </c>
      <c r="J696" s="7" cm="1">
        <f t="array" ref="J696">_xlfn.IFS(Table1[[#This Row],[Tier]]="Basic",10,Table1[[#This Row],[Tier]]="Standard",18,Table1[[#This Row],[Tier]]="Premium",25)</f>
        <v>10</v>
      </c>
      <c r="K696" s="7" cm="1">
        <f t="array" ref="K69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696" s="7" cm="1">
        <f t="array" ref="L69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696" s="3" t="str" cm="1">
        <f t="array" ref="M696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696" s="3" t="s">
        <v>26</v>
      </c>
      <c r="O696" s="3" t="s">
        <v>43</v>
      </c>
      <c r="P696" s="3" t="s">
        <v>50</v>
      </c>
      <c r="Q696" s="3" t="str" cm="1">
        <f t="array" ref="Q696">_xlfn.IFS(Table1[[#This Row],[TotalRevenue]]&lt;100,"Low",Table1[[#This Row],[TotalRevenue]]&lt;300,"Medium",Table1[[#This Row],[TotalRevenue]]&lt;600,"High",TRUE,"Very High")</f>
        <v>Low</v>
      </c>
      <c r="R696" s="3" t="str" cm="1">
        <f t="array" ref="R696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696" s="3" t="str">
        <f>IF(Table1[[#This Row],[NextBillingDate]]="","Cancelled",IF(Table1[[#This Row],[CancellationDate]]&lt;&gt;"","Cancelled","Active"))</f>
        <v>Cancelled</v>
      </c>
      <c r="T696" s="7" cm="1">
        <f t="array" ref="T69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696" s="5">
        <v>45553</v>
      </c>
      <c r="W696" s="5">
        <v>45553</v>
      </c>
      <c r="X696" s="3">
        <v>0</v>
      </c>
      <c r="Y696" s="5">
        <f ca="1">IF(Table1[[#This Row],[ChurnStatus]]="Cancelled",Table1[[#This Row],[CancellationDate]],TODAY())</f>
        <v>45553</v>
      </c>
      <c r="Z696" s="46">
        <f ca="1">IF(AND(Table1[[#This Row],[SubscriptionStart]] &lt;= TODAY(), Table1[[#This Row],[EffectiveEndDate]] &gt;= TODAY()),1,0)</f>
        <v>0</v>
      </c>
      <c r="AA696" s="46">
        <f ca="1">IF(AND(Table1[[#This Row],[SubscriptionStart]]&lt;=Settings!$A$2,Table1[[#This Row],[EffectiveEndDate]]&gt;=Settings!$A$2),1,0)</f>
        <v>0</v>
      </c>
      <c r="AB696" s="46">
        <f ca="1">IF(AND(Table1[[#This Row],[SubscriptionStart]]&lt;=Settings!$B$2,Table1[[#This Row],[EffectiveEndDate]]&gt;=Settings!$B$2),1,0)</f>
        <v>0</v>
      </c>
      <c r="AC696" s="46">
        <f ca="1">IF(AND(Table1[[#This Row],[SubscriptionStart]]&lt;=Settings!$C$2,Table1[[#This Row],[EffectiveEndDate]]&gt;=Settings!$C$2),1,0)</f>
        <v>0</v>
      </c>
      <c r="AD696" s="46">
        <f ca="1">IF(AND(Table1[[#This Row],[SubscriptionStart]]&lt;=Settings!$D$2,Table1[[#This Row],[EffectiveEndDate]]&gt;=Settings!$D$2),1,0)</f>
        <v>0</v>
      </c>
      <c r="AE696" s="46">
        <f ca="1">IF(AND(Table1[[#This Row],[SubscriptionStart]]&lt;=Settings!$E$2,Table1[[#This Row],[EffectiveEndDate]]&gt;=Settings!$E$2),1,0)</f>
        <v>0</v>
      </c>
      <c r="AF696"/>
      <c r="AG696"/>
      <c r="AH696"/>
      <c r="AI696"/>
      <c r="AJ696"/>
      <c r="AK696"/>
    </row>
    <row r="697" spans="1:37">
      <c r="A697" s="3" t="s">
        <v>163</v>
      </c>
      <c r="B697" s="3">
        <v>22</v>
      </c>
      <c r="C697" s="3" t="s">
        <v>23</v>
      </c>
      <c r="D697" s="5">
        <v>45197</v>
      </c>
      <c r="E697" s="5">
        <v>45557</v>
      </c>
      <c r="F697" s="3">
        <f ca="1">TODAY() - Table1[[#This Row],[SubscriptionStart]]</f>
        <v>784</v>
      </c>
      <c r="G697" s="4">
        <v>12</v>
      </c>
      <c r="H697" s="3" t="s">
        <v>24</v>
      </c>
      <c r="I697" s="3" t="s">
        <v>25</v>
      </c>
      <c r="J697" s="7" cm="1">
        <f t="array" ref="J697">_xlfn.IFS(Table1[[#This Row],[Tier]]="Basic",10,Table1[[#This Row],[Tier]]="Standard",18,Table1[[#This Row],[Tier]]="Premium",25)</f>
        <v>25</v>
      </c>
      <c r="K697" s="7" cm="1">
        <f t="array" ref="K69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697" s="7" cm="1">
        <f t="array" ref="L69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697" s="3" t="str" cm="1">
        <f t="array" ref="M697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697" s="3" t="s">
        <v>34</v>
      </c>
      <c r="O697" s="3" t="s">
        <v>27</v>
      </c>
      <c r="P697" s="3" t="s">
        <v>50</v>
      </c>
      <c r="Q697" s="3" t="str" cm="1">
        <f t="array" ref="Q697">_xlfn.IFS(Table1[[#This Row],[TotalRevenue]]&lt;100,"Low",Table1[[#This Row],[TotalRevenue]]&lt;300,"Medium",Table1[[#This Row],[TotalRevenue]]&lt;600,"High",TRUE,"Very High")</f>
        <v>Medium</v>
      </c>
      <c r="R697" s="3" t="str" cm="1">
        <f t="array" ref="R697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697" s="3" t="str">
        <f>IF(Table1[[#This Row],[NextBillingDate]]="","Cancelled",IF(Table1[[#This Row],[CancellationDate]]&lt;&gt;"","Cancelled","Active"))</f>
        <v>Cancelled</v>
      </c>
      <c r="T697" s="7" cm="1">
        <f t="array" ref="T69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697" s="5">
        <v>45557</v>
      </c>
      <c r="W697" s="5">
        <v>45557</v>
      </c>
      <c r="X697" s="3">
        <v>0</v>
      </c>
      <c r="Y697" s="5">
        <f ca="1">IF(Table1[[#This Row],[ChurnStatus]]="Cancelled",Table1[[#This Row],[CancellationDate]],TODAY())</f>
        <v>45557</v>
      </c>
      <c r="Z697" s="46">
        <f ca="1">IF(AND(Table1[[#This Row],[SubscriptionStart]] &lt;= TODAY(), Table1[[#This Row],[EffectiveEndDate]] &gt;= TODAY()),1,0)</f>
        <v>0</v>
      </c>
      <c r="AA697" s="46">
        <f ca="1">IF(AND(Table1[[#This Row],[SubscriptionStart]]&lt;=Settings!$A$2,Table1[[#This Row],[EffectiveEndDate]]&gt;=Settings!$A$2),1,0)</f>
        <v>0</v>
      </c>
      <c r="AB697" s="46">
        <f ca="1">IF(AND(Table1[[#This Row],[SubscriptionStart]]&lt;=Settings!$B$2,Table1[[#This Row],[EffectiveEndDate]]&gt;=Settings!$B$2),1,0)</f>
        <v>0</v>
      </c>
      <c r="AC697" s="46">
        <f ca="1">IF(AND(Table1[[#This Row],[SubscriptionStart]]&lt;=Settings!$C$2,Table1[[#This Row],[EffectiveEndDate]]&gt;=Settings!$C$2),1,0)</f>
        <v>0</v>
      </c>
      <c r="AD697" s="46">
        <f ca="1">IF(AND(Table1[[#This Row],[SubscriptionStart]]&lt;=Settings!$D$2,Table1[[#This Row],[EffectiveEndDate]]&gt;=Settings!$D$2),1,0)</f>
        <v>0</v>
      </c>
      <c r="AE697" s="46">
        <f ca="1">IF(AND(Table1[[#This Row],[SubscriptionStart]]&lt;=Settings!$E$2,Table1[[#This Row],[EffectiveEndDate]]&gt;=Settings!$E$2),1,0)</f>
        <v>0</v>
      </c>
      <c r="AF697"/>
      <c r="AG697"/>
      <c r="AH697"/>
      <c r="AI697"/>
      <c r="AJ697"/>
      <c r="AK697"/>
    </row>
    <row r="698" spans="1:37">
      <c r="A698" s="3" t="s">
        <v>615</v>
      </c>
      <c r="B698" s="3">
        <v>25</v>
      </c>
      <c r="C698" s="3" t="s">
        <v>23</v>
      </c>
      <c r="D698" s="5">
        <v>45197</v>
      </c>
      <c r="E698" s="5">
        <v>45557</v>
      </c>
      <c r="F698" s="3">
        <f ca="1">TODAY() - Table1[[#This Row],[SubscriptionStart]]</f>
        <v>784</v>
      </c>
      <c r="G698" s="4">
        <v>12</v>
      </c>
      <c r="H698" s="3" t="s">
        <v>24</v>
      </c>
      <c r="I698" s="3" t="s">
        <v>39</v>
      </c>
      <c r="J698" s="7" cm="1">
        <f t="array" ref="J698">_xlfn.IFS(Table1[[#This Row],[Tier]]="Basic",10,Table1[[#This Row],[Tier]]="Standard",18,Table1[[#This Row],[Tier]]="Premium",25)</f>
        <v>18</v>
      </c>
      <c r="K698" s="7" cm="1">
        <f t="array" ref="K69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698" s="7" cm="1">
        <f t="array" ref="L69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698" s="3" t="str" cm="1">
        <f t="array" ref="M698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698" s="3" t="s">
        <v>52</v>
      </c>
      <c r="O698" s="3" t="s">
        <v>49</v>
      </c>
      <c r="P698" s="3" t="s">
        <v>50</v>
      </c>
      <c r="Q698" s="3" t="str" cm="1">
        <f t="array" ref="Q698">_xlfn.IFS(Table1[[#This Row],[TotalRevenue]]&lt;100,"Low",Table1[[#This Row],[TotalRevenue]]&lt;300,"Medium",Table1[[#This Row],[TotalRevenue]]&lt;600,"High",TRUE,"Very High")</f>
        <v>Medium</v>
      </c>
      <c r="R698" s="3" t="str" cm="1">
        <f t="array" ref="R698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698" s="3" t="str">
        <f>IF(Table1[[#This Row],[NextBillingDate]]="","Cancelled",IF(Table1[[#This Row],[CancellationDate]]&lt;&gt;"","Cancelled","Active"))</f>
        <v>Cancelled</v>
      </c>
      <c r="T698" s="7" cm="1">
        <f t="array" ref="T69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698" s="5">
        <v>45557</v>
      </c>
      <c r="W698" s="5">
        <v>45557</v>
      </c>
      <c r="X698" s="3">
        <v>0</v>
      </c>
      <c r="Y698" s="5">
        <f ca="1">IF(Table1[[#This Row],[ChurnStatus]]="Cancelled",Table1[[#This Row],[CancellationDate]],TODAY())</f>
        <v>45557</v>
      </c>
      <c r="Z698" s="46">
        <f ca="1">IF(AND(Table1[[#This Row],[SubscriptionStart]] &lt;= TODAY(), Table1[[#This Row],[EffectiveEndDate]] &gt;= TODAY()),1,0)</f>
        <v>0</v>
      </c>
      <c r="AA698" s="46">
        <f ca="1">IF(AND(Table1[[#This Row],[SubscriptionStart]]&lt;=Settings!$A$2,Table1[[#This Row],[EffectiveEndDate]]&gt;=Settings!$A$2),1,0)</f>
        <v>0</v>
      </c>
      <c r="AB698" s="46">
        <f ca="1">IF(AND(Table1[[#This Row],[SubscriptionStart]]&lt;=Settings!$B$2,Table1[[#This Row],[EffectiveEndDate]]&gt;=Settings!$B$2),1,0)</f>
        <v>0</v>
      </c>
      <c r="AC698" s="46">
        <f ca="1">IF(AND(Table1[[#This Row],[SubscriptionStart]]&lt;=Settings!$C$2,Table1[[#This Row],[EffectiveEndDate]]&gt;=Settings!$C$2),1,0)</f>
        <v>0</v>
      </c>
      <c r="AD698" s="46">
        <f ca="1">IF(AND(Table1[[#This Row],[SubscriptionStart]]&lt;=Settings!$D$2,Table1[[#This Row],[EffectiveEndDate]]&gt;=Settings!$D$2),1,0)</f>
        <v>0</v>
      </c>
      <c r="AE698" s="46">
        <f ca="1">IF(AND(Table1[[#This Row],[SubscriptionStart]]&lt;=Settings!$E$2,Table1[[#This Row],[EffectiveEndDate]]&gt;=Settings!$E$2),1,0)</f>
        <v>0</v>
      </c>
      <c r="AF698"/>
      <c r="AG698"/>
      <c r="AH698"/>
      <c r="AI698"/>
      <c r="AJ698"/>
      <c r="AK698"/>
    </row>
    <row r="699" spans="1:37">
      <c r="A699" s="3" t="s">
        <v>346</v>
      </c>
      <c r="B699" s="3">
        <v>50</v>
      </c>
      <c r="C699" s="3" t="s">
        <v>37</v>
      </c>
      <c r="D699" s="5">
        <v>45198</v>
      </c>
      <c r="E699" s="5">
        <v>45378</v>
      </c>
      <c r="F699" s="3">
        <f ca="1">TODAY() - Table1[[#This Row],[SubscriptionStart]]</f>
        <v>783</v>
      </c>
      <c r="G699" s="4">
        <v>6</v>
      </c>
      <c r="H699" s="3" t="s">
        <v>38</v>
      </c>
      <c r="I699" s="3" t="s">
        <v>39</v>
      </c>
      <c r="J699" s="7" cm="1">
        <f t="array" ref="J699">_xlfn.IFS(Table1[[#This Row],[Tier]]="Basic",10,Table1[[#This Row],[Tier]]="Standard",18,Table1[[#This Row],[Tier]]="Premium",25)</f>
        <v>18</v>
      </c>
      <c r="K699" s="7" cm="1">
        <f t="array" ref="K69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699" s="7" cm="1">
        <f t="array" ref="L69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699" s="3" t="str" cm="1">
        <f t="array" ref="M699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699" s="3" t="s">
        <v>31</v>
      </c>
      <c r="O699" s="3" t="s">
        <v>43</v>
      </c>
      <c r="P699" s="3" t="s">
        <v>47</v>
      </c>
      <c r="Q699" s="3" t="str" cm="1">
        <f t="array" ref="Q699">_xlfn.IFS(Table1[[#This Row],[TotalRevenue]]&lt;100,"Low",Table1[[#This Row],[TotalRevenue]]&lt;300,"Medium",Table1[[#This Row],[TotalRevenue]]&lt;600,"High",TRUE,"Very High")</f>
        <v>Low</v>
      </c>
      <c r="R699" s="3" t="str" cm="1">
        <f t="array" ref="R69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699" s="3" t="str">
        <f>IF(Table1[[#This Row],[NextBillingDate]]="","Cancelled",IF(Table1[[#This Row],[CancellationDate]]&lt;&gt;"","Cancelled","Active"))</f>
        <v>Cancelled</v>
      </c>
      <c r="T699" s="7" cm="1">
        <f t="array" ref="T69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699" s="5">
        <v>45378</v>
      </c>
      <c r="W699" s="5">
        <v>45378</v>
      </c>
      <c r="X699" s="3">
        <v>0</v>
      </c>
      <c r="Y699" s="5">
        <f ca="1">IF(Table1[[#This Row],[ChurnStatus]]="Cancelled",Table1[[#This Row],[CancellationDate]],TODAY())</f>
        <v>45378</v>
      </c>
      <c r="Z699" s="46">
        <f ca="1">IF(AND(Table1[[#This Row],[SubscriptionStart]] &lt;= TODAY(), Table1[[#This Row],[EffectiveEndDate]] &gt;= TODAY()),1,0)</f>
        <v>0</v>
      </c>
      <c r="AA699" s="46">
        <f ca="1">IF(AND(Table1[[#This Row],[SubscriptionStart]]&lt;=Settings!$A$2,Table1[[#This Row],[EffectiveEndDate]]&gt;=Settings!$A$2),1,0)</f>
        <v>0</v>
      </c>
      <c r="AB699" s="46">
        <f ca="1">IF(AND(Table1[[#This Row],[SubscriptionStart]]&lt;=Settings!$B$2,Table1[[#This Row],[EffectiveEndDate]]&gt;=Settings!$B$2),1,0)</f>
        <v>0</v>
      </c>
      <c r="AC699" s="46">
        <f ca="1">IF(AND(Table1[[#This Row],[SubscriptionStart]]&lt;=Settings!$C$2,Table1[[#This Row],[EffectiveEndDate]]&gt;=Settings!$C$2),1,0)</f>
        <v>0</v>
      </c>
      <c r="AD699" s="46">
        <f ca="1">IF(AND(Table1[[#This Row],[SubscriptionStart]]&lt;=Settings!$D$2,Table1[[#This Row],[EffectiveEndDate]]&gt;=Settings!$D$2),1,0)</f>
        <v>0</v>
      </c>
      <c r="AE699" s="46">
        <f ca="1">IF(AND(Table1[[#This Row],[SubscriptionStart]]&lt;=Settings!$E$2,Table1[[#This Row],[EffectiveEndDate]]&gt;=Settings!$E$2),1,0)</f>
        <v>0</v>
      </c>
      <c r="AF699"/>
      <c r="AG699"/>
      <c r="AH699"/>
      <c r="AI699"/>
      <c r="AJ699"/>
      <c r="AK699"/>
    </row>
    <row r="700" spans="1:37">
      <c r="A700" s="3" t="s">
        <v>831</v>
      </c>
      <c r="B700" s="3">
        <v>28</v>
      </c>
      <c r="C700" s="3" t="s">
        <v>23</v>
      </c>
      <c r="D700" s="5">
        <v>45198</v>
      </c>
      <c r="E700" s="5">
        <v>45558</v>
      </c>
      <c r="F700" s="3">
        <f ca="1">TODAY() - Table1[[#This Row],[SubscriptionStart]]</f>
        <v>783</v>
      </c>
      <c r="G700" s="4">
        <v>12</v>
      </c>
      <c r="H700" s="3" t="s">
        <v>24</v>
      </c>
      <c r="I700" s="3" t="s">
        <v>25</v>
      </c>
      <c r="J700" s="7" cm="1">
        <f t="array" ref="J700">_xlfn.IFS(Table1[[#This Row],[Tier]]="Basic",10,Table1[[#This Row],[Tier]]="Standard",18,Table1[[#This Row],[Tier]]="Premium",25)</f>
        <v>25</v>
      </c>
      <c r="K700" s="7" cm="1">
        <f t="array" ref="K70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00" s="7" cm="1">
        <f t="array" ref="L70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00" s="3" t="str" cm="1">
        <f t="array" ref="M70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00" s="3" t="s">
        <v>34</v>
      </c>
      <c r="O700" s="3" t="s">
        <v>40</v>
      </c>
      <c r="P700" s="3" t="s">
        <v>35</v>
      </c>
      <c r="Q700" s="3" t="str" cm="1">
        <f t="array" ref="Q700">_xlfn.IFS(Table1[[#This Row],[TotalRevenue]]&lt;100,"Low",Table1[[#This Row],[TotalRevenue]]&lt;300,"Medium",Table1[[#This Row],[TotalRevenue]]&lt;600,"High",TRUE,"Very High")</f>
        <v>Medium</v>
      </c>
      <c r="R700" s="3" t="str" cm="1">
        <f t="array" ref="R70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00" s="3" t="str">
        <f>IF(Table1[[#This Row],[NextBillingDate]]="","Cancelled",IF(Table1[[#This Row],[CancellationDate]]&lt;&gt;"","Cancelled","Active"))</f>
        <v>Cancelled</v>
      </c>
      <c r="T700" s="7" cm="1">
        <f t="array" ref="T70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00" s="5">
        <v>45558</v>
      </c>
      <c r="W700" s="5">
        <v>45558</v>
      </c>
      <c r="X700" s="3">
        <v>0</v>
      </c>
      <c r="Y700" s="5">
        <f ca="1">IF(Table1[[#This Row],[ChurnStatus]]="Cancelled",Table1[[#This Row],[CancellationDate]],TODAY())</f>
        <v>45558</v>
      </c>
      <c r="Z700" s="46">
        <f ca="1">IF(AND(Table1[[#This Row],[SubscriptionStart]] &lt;= TODAY(), Table1[[#This Row],[EffectiveEndDate]] &gt;= TODAY()),1,0)</f>
        <v>0</v>
      </c>
      <c r="AA700" s="46">
        <f ca="1">IF(AND(Table1[[#This Row],[SubscriptionStart]]&lt;=Settings!$A$2,Table1[[#This Row],[EffectiveEndDate]]&gt;=Settings!$A$2),1,0)</f>
        <v>0</v>
      </c>
      <c r="AB700" s="46">
        <f ca="1">IF(AND(Table1[[#This Row],[SubscriptionStart]]&lt;=Settings!$B$2,Table1[[#This Row],[EffectiveEndDate]]&gt;=Settings!$B$2),1,0)</f>
        <v>0</v>
      </c>
      <c r="AC700" s="46">
        <f ca="1">IF(AND(Table1[[#This Row],[SubscriptionStart]]&lt;=Settings!$C$2,Table1[[#This Row],[EffectiveEndDate]]&gt;=Settings!$C$2),1,0)</f>
        <v>0</v>
      </c>
      <c r="AD700" s="46">
        <f ca="1">IF(AND(Table1[[#This Row],[SubscriptionStart]]&lt;=Settings!$D$2,Table1[[#This Row],[EffectiveEndDate]]&gt;=Settings!$D$2),1,0)</f>
        <v>0</v>
      </c>
      <c r="AE700" s="46">
        <f ca="1">IF(AND(Table1[[#This Row],[SubscriptionStart]]&lt;=Settings!$E$2,Table1[[#This Row],[EffectiveEndDate]]&gt;=Settings!$E$2),1,0)</f>
        <v>0</v>
      </c>
      <c r="AF700"/>
      <c r="AG700"/>
      <c r="AH700"/>
      <c r="AI700"/>
      <c r="AJ700"/>
      <c r="AK700"/>
    </row>
    <row r="701" spans="1:37">
      <c r="A701" s="3" t="s">
        <v>714</v>
      </c>
      <c r="B701" s="3">
        <v>45</v>
      </c>
      <c r="C701" s="3" t="s">
        <v>37</v>
      </c>
      <c r="D701" s="5">
        <v>45199</v>
      </c>
      <c r="E701" s="5">
        <v>45229</v>
      </c>
      <c r="F701" s="3">
        <f ca="1">TODAY() - Table1[[#This Row],[SubscriptionStart]]</f>
        <v>782</v>
      </c>
      <c r="G701" s="4">
        <v>1</v>
      </c>
      <c r="H701" s="3" t="s">
        <v>29</v>
      </c>
      <c r="I701" s="3" t="s">
        <v>30</v>
      </c>
      <c r="J701" s="7" cm="1">
        <f t="array" ref="J701">_xlfn.IFS(Table1[[#This Row],[Tier]]="Basic",10,Table1[[#This Row],[Tier]]="Standard",18,Table1[[#This Row],[Tier]]="Premium",25)</f>
        <v>10</v>
      </c>
      <c r="K701" s="7" cm="1">
        <f t="array" ref="K70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701" s="7" cm="1">
        <f t="array" ref="L70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01" s="3" t="str" cm="1">
        <f t="array" ref="M70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01" s="3" t="s">
        <v>31</v>
      </c>
      <c r="O701" s="3" t="s">
        <v>27</v>
      </c>
      <c r="P701" s="3" t="s">
        <v>41</v>
      </c>
      <c r="Q701" s="3" t="str" cm="1">
        <f t="array" ref="Q701">_xlfn.IFS(Table1[[#This Row],[TotalRevenue]]&lt;100,"Low",Table1[[#This Row],[TotalRevenue]]&lt;300,"Medium",Table1[[#This Row],[TotalRevenue]]&lt;600,"High",TRUE,"Very High")</f>
        <v>Low</v>
      </c>
      <c r="R701" s="3" t="str" cm="1">
        <f t="array" ref="R70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01" s="3" t="str">
        <f>IF(Table1[[#This Row],[NextBillingDate]]="","Cancelled",IF(Table1[[#This Row],[CancellationDate]]&lt;&gt;"","Cancelled","Active"))</f>
        <v>Cancelled</v>
      </c>
      <c r="T701" s="7" cm="1">
        <f t="array" ref="T70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01" s="5">
        <v>45229</v>
      </c>
      <c r="W701" s="5">
        <v>45229</v>
      </c>
      <c r="X701" s="3">
        <v>0</v>
      </c>
      <c r="Y701" s="5">
        <f ca="1">IF(Table1[[#This Row],[ChurnStatus]]="Cancelled",Table1[[#This Row],[CancellationDate]],TODAY())</f>
        <v>45229</v>
      </c>
      <c r="Z701" s="46">
        <f ca="1">IF(AND(Table1[[#This Row],[SubscriptionStart]] &lt;= TODAY(), Table1[[#This Row],[EffectiveEndDate]] &gt;= TODAY()),1,0)</f>
        <v>0</v>
      </c>
      <c r="AA701" s="46">
        <f ca="1">IF(AND(Table1[[#This Row],[SubscriptionStart]]&lt;=Settings!$A$2,Table1[[#This Row],[EffectiveEndDate]]&gt;=Settings!$A$2),1,0)</f>
        <v>0</v>
      </c>
      <c r="AB701" s="46">
        <f ca="1">IF(AND(Table1[[#This Row],[SubscriptionStart]]&lt;=Settings!$B$2,Table1[[#This Row],[EffectiveEndDate]]&gt;=Settings!$B$2),1,0)</f>
        <v>0</v>
      </c>
      <c r="AC701" s="46">
        <f ca="1">IF(AND(Table1[[#This Row],[SubscriptionStart]]&lt;=Settings!$C$2,Table1[[#This Row],[EffectiveEndDate]]&gt;=Settings!$C$2),1,0)</f>
        <v>0</v>
      </c>
      <c r="AD701" s="46">
        <f ca="1">IF(AND(Table1[[#This Row],[SubscriptionStart]]&lt;=Settings!$D$2,Table1[[#This Row],[EffectiveEndDate]]&gt;=Settings!$D$2),1,0)</f>
        <v>0</v>
      </c>
      <c r="AE701" s="46">
        <f ca="1">IF(AND(Table1[[#This Row],[SubscriptionStart]]&lt;=Settings!$E$2,Table1[[#This Row],[EffectiveEndDate]]&gt;=Settings!$E$2),1,0)</f>
        <v>0</v>
      </c>
      <c r="AF701"/>
      <c r="AG701"/>
      <c r="AH701"/>
      <c r="AI701"/>
      <c r="AJ701"/>
      <c r="AK701"/>
    </row>
    <row r="702" spans="1:37">
      <c r="A702" s="3" t="s">
        <v>505</v>
      </c>
      <c r="B702" s="3">
        <v>44</v>
      </c>
      <c r="C702" s="3" t="s">
        <v>37</v>
      </c>
      <c r="D702" s="5">
        <v>45199</v>
      </c>
      <c r="F702" s="3">
        <f ca="1">TODAY() - Table1[[#This Row],[SubscriptionStart]]</f>
        <v>782</v>
      </c>
      <c r="G702" s="4">
        <v>36</v>
      </c>
      <c r="H702" s="3" t="s">
        <v>24</v>
      </c>
      <c r="I702" s="3" t="s">
        <v>30</v>
      </c>
      <c r="J702" s="7" cm="1">
        <f t="array" ref="J702">_xlfn.IFS(Table1[[#This Row],[Tier]]="Basic",10,Table1[[#This Row],[Tier]]="Standard",18,Table1[[#This Row],[Tier]]="Premium",25)</f>
        <v>10</v>
      </c>
      <c r="K702" s="7" cm="1">
        <f t="array" ref="K70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702" s="7" cm="1">
        <f t="array" ref="L70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232</v>
      </c>
      <c r="M702" s="3" t="str" cm="1">
        <f t="array" ref="M70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02" s="3" t="s">
        <v>34</v>
      </c>
      <c r="O702" s="3" t="s">
        <v>49</v>
      </c>
      <c r="Q702" s="3" t="str" cm="1">
        <f t="array" ref="Q702">_xlfn.IFS(Table1[[#This Row],[TotalRevenue]]&lt;100,"Low",Table1[[#This Row],[TotalRevenue]]&lt;300,"Medium",Table1[[#This Row],[TotalRevenue]]&lt;600,"High",TRUE,"Very High")</f>
        <v>Medium</v>
      </c>
      <c r="R702" s="3" t="str" cm="1">
        <f t="array" ref="R70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02" s="3" t="str">
        <f>IF(Table1[[#This Row],[NextBillingDate]]="","Cancelled",IF(Table1[[#This Row],[CancellationDate]]&lt;&gt;"","Cancelled","Active"))</f>
        <v>Active</v>
      </c>
      <c r="T702" s="7" cm="1">
        <f t="array" ref="T70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312</v>
      </c>
      <c r="V702" s="5">
        <v>46279</v>
      </c>
      <c r="W702" s="5">
        <v>46279</v>
      </c>
      <c r="X702" s="3">
        <v>2</v>
      </c>
      <c r="Y702" s="5">
        <f ca="1">IF(Table1[[#This Row],[ChurnStatus]]="Cancelled",Table1[[#This Row],[CancellationDate]],TODAY())</f>
        <v>45981</v>
      </c>
      <c r="Z702" s="46">
        <f ca="1">IF(AND(Table1[[#This Row],[SubscriptionStart]] &lt;= TODAY(), Table1[[#This Row],[EffectiveEndDate]] &gt;= TODAY()),1,0)</f>
        <v>1</v>
      </c>
      <c r="AA702" s="46">
        <f ca="1">IF(AND(Table1[[#This Row],[SubscriptionStart]]&lt;=Settings!$A$2,Table1[[#This Row],[EffectiveEndDate]]&gt;=Settings!$A$2),1,0)</f>
        <v>0</v>
      </c>
      <c r="AB702" s="46">
        <f ca="1">IF(AND(Table1[[#This Row],[SubscriptionStart]]&lt;=Settings!$B$2,Table1[[#This Row],[EffectiveEndDate]]&gt;=Settings!$B$2),1,0)</f>
        <v>0</v>
      </c>
      <c r="AC702" s="46">
        <f ca="1">IF(AND(Table1[[#This Row],[SubscriptionStart]]&lt;=Settings!$C$2,Table1[[#This Row],[EffectiveEndDate]]&gt;=Settings!$C$2),1,0)</f>
        <v>0</v>
      </c>
      <c r="AD702" s="46">
        <f ca="1">IF(AND(Table1[[#This Row],[SubscriptionStart]]&lt;=Settings!$D$2,Table1[[#This Row],[EffectiveEndDate]]&gt;=Settings!$D$2),1,0)</f>
        <v>0</v>
      </c>
      <c r="AE702" s="46">
        <f ca="1">IF(AND(Table1[[#This Row],[SubscriptionStart]]&lt;=Settings!$E$2,Table1[[#This Row],[EffectiveEndDate]]&gt;=Settings!$E$2),1,0)</f>
        <v>1</v>
      </c>
      <c r="AF702"/>
      <c r="AG702"/>
      <c r="AH702"/>
      <c r="AI702"/>
      <c r="AJ702"/>
      <c r="AK702"/>
    </row>
    <row r="703" spans="1:37">
      <c r="A703" s="3" t="s">
        <v>574</v>
      </c>
      <c r="B703" s="3">
        <v>43</v>
      </c>
      <c r="C703" s="3" t="s">
        <v>23</v>
      </c>
      <c r="D703" s="5">
        <v>45199</v>
      </c>
      <c r="F703" s="3">
        <f ca="1">TODAY() - Table1[[#This Row],[SubscriptionStart]]</f>
        <v>782</v>
      </c>
      <c r="G703" s="4">
        <v>27</v>
      </c>
      <c r="H703" s="3" t="s">
        <v>29</v>
      </c>
      <c r="I703" s="3" t="s">
        <v>30</v>
      </c>
      <c r="J703" s="7" cm="1">
        <f t="array" ref="J703">_xlfn.IFS(Table1[[#This Row],[Tier]]="Basic",10,Table1[[#This Row],[Tier]]="Standard",18,Table1[[#This Row],[Tier]]="Premium",25)</f>
        <v>10</v>
      </c>
      <c r="K703" s="7" cm="1">
        <f t="array" ref="K70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703" s="7" cm="1">
        <f t="array" ref="L70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249</v>
      </c>
      <c r="M703" s="3" t="str" cm="1">
        <f t="array" ref="M70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03" s="3" t="s">
        <v>31</v>
      </c>
      <c r="O703" s="3" t="s">
        <v>43</v>
      </c>
      <c r="Q703" s="3" t="str" cm="1">
        <f t="array" ref="Q703">_xlfn.IFS(Table1[[#This Row],[TotalRevenue]]&lt;100,"Low",Table1[[#This Row],[TotalRevenue]]&lt;300,"Medium",Table1[[#This Row],[TotalRevenue]]&lt;600,"High",TRUE,"Very High")</f>
        <v>Medium</v>
      </c>
      <c r="R703" s="3" t="str" cm="1">
        <f t="array" ref="R70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03" s="3" t="str">
        <f>IF(Table1[[#This Row],[NextBillingDate]]="","Cancelled",IF(Table1[[#This Row],[CancellationDate]]&lt;&gt;"","Cancelled","Active"))</f>
        <v>Active</v>
      </c>
      <c r="T703" s="7" cm="1">
        <f t="array" ref="T70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259</v>
      </c>
      <c r="V703" s="5">
        <v>46009</v>
      </c>
      <c r="W703" s="5">
        <v>46009</v>
      </c>
      <c r="X703" s="3">
        <v>26</v>
      </c>
      <c r="Y703" s="5">
        <f ca="1">IF(Table1[[#This Row],[ChurnStatus]]="Cancelled",Table1[[#This Row],[CancellationDate]],TODAY())</f>
        <v>45981</v>
      </c>
      <c r="Z703" s="46">
        <f ca="1">IF(AND(Table1[[#This Row],[SubscriptionStart]] &lt;= TODAY(), Table1[[#This Row],[EffectiveEndDate]] &gt;= TODAY()),1,0)</f>
        <v>1</v>
      </c>
      <c r="AA703" s="46">
        <f ca="1">IF(AND(Table1[[#This Row],[SubscriptionStart]]&lt;=Settings!$A$2,Table1[[#This Row],[EffectiveEndDate]]&gt;=Settings!$A$2),1,0)</f>
        <v>0</v>
      </c>
      <c r="AB703" s="46">
        <f ca="1">IF(AND(Table1[[#This Row],[SubscriptionStart]]&lt;=Settings!$B$2,Table1[[#This Row],[EffectiveEndDate]]&gt;=Settings!$B$2),1,0)</f>
        <v>0</v>
      </c>
      <c r="AC703" s="46">
        <f ca="1">IF(AND(Table1[[#This Row],[SubscriptionStart]]&lt;=Settings!$C$2,Table1[[#This Row],[EffectiveEndDate]]&gt;=Settings!$C$2),1,0)</f>
        <v>0</v>
      </c>
      <c r="AD703" s="46">
        <f ca="1">IF(AND(Table1[[#This Row],[SubscriptionStart]]&lt;=Settings!$D$2,Table1[[#This Row],[EffectiveEndDate]]&gt;=Settings!$D$2),1,0)</f>
        <v>0</v>
      </c>
      <c r="AE703" s="46">
        <f ca="1">IF(AND(Table1[[#This Row],[SubscriptionStart]]&lt;=Settings!$E$2,Table1[[#This Row],[EffectiveEndDate]]&gt;=Settings!$E$2),1,0)</f>
        <v>1</v>
      </c>
      <c r="AF703"/>
      <c r="AG703"/>
      <c r="AH703"/>
      <c r="AI703"/>
      <c r="AJ703"/>
      <c r="AK703"/>
    </row>
    <row r="704" spans="1:37">
      <c r="A704" s="3" t="s">
        <v>271</v>
      </c>
      <c r="B704" s="3">
        <v>31</v>
      </c>
      <c r="C704" s="3" t="s">
        <v>37</v>
      </c>
      <c r="D704" s="5">
        <v>45200</v>
      </c>
      <c r="E704" s="5">
        <v>45380</v>
      </c>
      <c r="F704" s="3">
        <f ca="1">TODAY() - Table1[[#This Row],[SubscriptionStart]]</f>
        <v>781</v>
      </c>
      <c r="G704" s="4">
        <v>6</v>
      </c>
      <c r="H704" s="3" t="s">
        <v>38</v>
      </c>
      <c r="I704" s="3" t="s">
        <v>30</v>
      </c>
      <c r="J704" s="7" cm="1">
        <f t="array" ref="J704">_xlfn.IFS(Table1[[#This Row],[Tier]]="Basic",10,Table1[[#This Row],[Tier]]="Standard",18,Table1[[#This Row],[Tier]]="Premium",25)</f>
        <v>10</v>
      </c>
      <c r="K704" s="7" cm="1">
        <f t="array" ref="K70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704" s="7" cm="1">
        <f t="array" ref="L70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704" s="3" t="str" cm="1">
        <f t="array" ref="M70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04" s="3" t="s">
        <v>34</v>
      </c>
      <c r="O704" s="3" t="s">
        <v>27</v>
      </c>
      <c r="P704" s="3" t="s">
        <v>44</v>
      </c>
      <c r="Q704" s="3" t="str" cm="1">
        <f t="array" ref="Q704">_xlfn.IFS(Table1[[#This Row],[TotalRevenue]]&lt;100,"Low",Table1[[#This Row],[TotalRevenue]]&lt;300,"Medium",Table1[[#This Row],[TotalRevenue]]&lt;600,"High",TRUE,"Very High")</f>
        <v>Low</v>
      </c>
      <c r="R704" s="3" t="str" cm="1">
        <f t="array" ref="R70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04" s="3" t="str">
        <f>IF(Table1[[#This Row],[NextBillingDate]]="","Cancelled",IF(Table1[[#This Row],[CancellationDate]]&lt;&gt;"","Cancelled","Active"))</f>
        <v>Cancelled</v>
      </c>
      <c r="T704" s="7" cm="1">
        <f t="array" ref="T70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704" s="5">
        <v>45380</v>
      </c>
      <c r="W704" s="5">
        <v>45380</v>
      </c>
      <c r="X704" s="3">
        <v>0</v>
      </c>
      <c r="Y704" s="5">
        <f ca="1">IF(Table1[[#This Row],[ChurnStatus]]="Cancelled",Table1[[#This Row],[CancellationDate]],TODAY())</f>
        <v>45380</v>
      </c>
      <c r="Z704" s="46">
        <f ca="1">IF(AND(Table1[[#This Row],[SubscriptionStart]] &lt;= TODAY(), Table1[[#This Row],[EffectiveEndDate]] &gt;= TODAY()),1,0)</f>
        <v>0</v>
      </c>
      <c r="AA704" s="46">
        <f ca="1">IF(AND(Table1[[#This Row],[SubscriptionStart]]&lt;=Settings!$A$2,Table1[[#This Row],[EffectiveEndDate]]&gt;=Settings!$A$2),1,0)</f>
        <v>0</v>
      </c>
      <c r="AB704" s="46">
        <f ca="1">IF(AND(Table1[[#This Row],[SubscriptionStart]]&lt;=Settings!$B$2,Table1[[#This Row],[EffectiveEndDate]]&gt;=Settings!$B$2),1,0)</f>
        <v>0</v>
      </c>
      <c r="AC704" s="46">
        <f ca="1">IF(AND(Table1[[#This Row],[SubscriptionStart]]&lt;=Settings!$C$2,Table1[[#This Row],[EffectiveEndDate]]&gt;=Settings!$C$2),1,0)</f>
        <v>0</v>
      </c>
      <c r="AD704" s="46">
        <f ca="1">IF(AND(Table1[[#This Row],[SubscriptionStart]]&lt;=Settings!$D$2,Table1[[#This Row],[EffectiveEndDate]]&gt;=Settings!$D$2),1,0)</f>
        <v>0</v>
      </c>
      <c r="AE704" s="46">
        <f ca="1">IF(AND(Table1[[#This Row],[SubscriptionStart]]&lt;=Settings!$E$2,Table1[[#This Row],[EffectiveEndDate]]&gt;=Settings!$E$2),1,0)</f>
        <v>0</v>
      </c>
      <c r="AF704"/>
      <c r="AG704"/>
      <c r="AH704"/>
      <c r="AI704"/>
      <c r="AJ704"/>
      <c r="AK704"/>
    </row>
    <row r="705" spans="1:37">
      <c r="A705" s="3" t="s">
        <v>435</v>
      </c>
      <c r="B705" s="3">
        <v>20</v>
      </c>
      <c r="C705" s="3" t="s">
        <v>23</v>
      </c>
      <c r="D705" s="5">
        <v>45201</v>
      </c>
      <c r="E705" s="5">
        <v>45561</v>
      </c>
      <c r="F705" s="3">
        <f ca="1">TODAY() - Table1[[#This Row],[SubscriptionStart]]</f>
        <v>780</v>
      </c>
      <c r="G705" s="4">
        <v>12</v>
      </c>
      <c r="H705" s="3" t="s">
        <v>24</v>
      </c>
      <c r="I705" s="3" t="s">
        <v>25</v>
      </c>
      <c r="J705" s="7" cm="1">
        <f t="array" ref="J705">_xlfn.IFS(Table1[[#This Row],[Tier]]="Basic",10,Table1[[#This Row],[Tier]]="Standard",18,Table1[[#This Row],[Tier]]="Premium",25)</f>
        <v>25</v>
      </c>
      <c r="K705" s="7" cm="1">
        <f t="array" ref="K70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05" s="7" cm="1">
        <f t="array" ref="L70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05" s="3" t="str" cm="1">
        <f t="array" ref="M705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705" s="3" t="s">
        <v>26</v>
      </c>
      <c r="O705" s="3" t="s">
        <v>32</v>
      </c>
      <c r="P705" s="3" t="s">
        <v>47</v>
      </c>
      <c r="Q705" s="3" t="str" cm="1">
        <f t="array" ref="Q705">_xlfn.IFS(Table1[[#This Row],[TotalRevenue]]&lt;100,"Low",Table1[[#This Row],[TotalRevenue]]&lt;300,"Medium",Table1[[#This Row],[TotalRevenue]]&lt;600,"High",TRUE,"Very High")</f>
        <v>Medium</v>
      </c>
      <c r="R705" s="3" t="str" cm="1">
        <f t="array" ref="R705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705" s="3" t="str">
        <f>IF(Table1[[#This Row],[NextBillingDate]]="","Cancelled",IF(Table1[[#This Row],[CancellationDate]]&lt;&gt;"","Cancelled","Active"))</f>
        <v>Cancelled</v>
      </c>
      <c r="T705" s="7" cm="1">
        <f t="array" ref="T70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05" s="5">
        <v>45561</v>
      </c>
      <c r="W705" s="5">
        <v>45561</v>
      </c>
      <c r="X705" s="3">
        <v>0</v>
      </c>
      <c r="Y705" s="5">
        <f ca="1">IF(Table1[[#This Row],[ChurnStatus]]="Cancelled",Table1[[#This Row],[CancellationDate]],TODAY())</f>
        <v>45561</v>
      </c>
      <c r="Z705" s="46">
        <f ca="1">IF(AND(Table1[[#This Row],[SubscriptionStart]] &lt;= TODAY(), Table1[[#This Row],[EffectiveEndDate]] &gt;= TODAY()),1,0)</f>
        <v>0</v>
      </c>
      <c r="AA705" s="46">
        <f ca="1">IF(AND(Table1[[#This Row],[SubscriptionStart]]&lt;=Settings!$A$2,Table1[[#This Row],[EffectiveEndDate]]&gt;=Settings!$A$2),1,0)</f>
        <v>0</v>
      </c>
      <c r="AB705" s="46">
        <f ca="1">IF(AND(Table1[[#This Row],[SubscriptionStart]]&lt;=Settings!$B$2,Table1[[#This Row],[EffectiveEndDate]]&gt;=Settings!$B$2),1,0)</f>
        <v>0</v>
      </c>
      <c r="AC705" s="46">
        <f ca="1">IF(AND(Table1[[#This Row],[SubscriptionStart]]&lt;=Settings!$C$2,Table1[[#This Row],[EffectiveEndDate]]&gt;=Settings!$C$2),1,0)</f>
        <v>0</v>
      </c>
      <c r="AD705" s="46">
        <f ca="1">IF(AND(Table1[[#This Row],[SubscriptionStart]]&lt;=Settings!$D$2,Table1[[#This Row],[EffectiveEndDate]]&gt;=Settings!$D$2),1,0)</f>
        <v>0</v>
      </c>
      <c r="AE705" s="46">
        <f ca="1">IF(AND(Table1[[#This Row],[SubscriptionStart]]&lt;=Settings!$E$2,Table1[[#This Row],[EffectiveEndDate]]&gt;=Settings!$E$2),1,0)</f>
        <v>0</v>
      </c>
      <c r="AF705"/>
      <c r="AG705"/>
      <c r="AH705"/>
      <c r="AI705"/>
      <c r="AJ705"/>
      <c r="AK705"/>
    </row>
    <row r="706" spans="1:37">
      <c r="A706" s="3" t="s">
        <v>782</v>
      </c>
      <c r="B706" s="3">
        <v>44</v>
      </c>
      <c r="C706" s="3" t="s">
        <v>37</v>
      </c>
      <c r="D706" s="5">
        <v>45201</v>
      </c>
      <c r="F706" s="3">
        <f ca="1">TODAY() - Table1[[#This Row],[SubscriptionStart]]</f>
        <v>780</v>
      </c>
      <c r="G706" s="4">
        <v>26</v>
      </c>
      <c r="H706" s="3" t="s">
        <v>29</v>
      </c>
      <c r="I706" s="3" t="s">
        <v>25</v>
      </c>
      <c r="J706" s="7" cm="1">
        <f t="array" ref="J706">_xlfn.IFS(Table1[[#This Row],[Tier]]="Basic",10,Table1[[#This Row],[Tier]]="Standard",18,Table1[[#This Row],[Tier]]="Premium",25)</f>
        <v>25</v>
      </c>
      <c r="K706" s="7" cm="1">
        <f t="array" ref="K70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25</v>
      </c>
      <c r="L706" s="7" cm="1">
        <f t="array" ref="L70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597.5</v>
      </c>
      <c r="M706" s="3" t="str" cm="1">
        <f t="array" ref="M70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06" s="3" t="s">
        <v>26</v>
      </c>
      <c r="O706" s="3" t="s">
        <v>27</v>
      </c>
      <c r="Q706" s="3" t="str" cm="1">
        <f t="array" ref="Q706">_xlfn.IFS(Table1[[#This Row],[TotalRevenue]]&lt;100,"Low",Table1[[#This Row],[TotalRevenue]]&lt;300,"Medium",Table1[[#This Row],[TotalRevenue]]&lt;600,"High",TRUE,"Very High")</f>
        <v>High</v>
      </c>
      <c r="R706" s="3" t="str" cm="1">
        <f t="array" ref="R70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06" s="3" t="str">
        <f>IF(Table1[[#This Row],[NextBillingDate]]="","Cancelled",IF(Table1[[#This Row],[CancellationDate]]&lt;&gt;"","Cancelled","Active"))</f>
        <v>Active</v>
      </c>
      <c r="T706" s="7" cm="1">
        <f t="array" ref="T70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622.5</v>
      </c>
      <c r="V706" s="5">
        <v>45981</v>
      </c>
      <c r="W706" s="5">
        <v>45981</v>
      </c>
      <c r="X706" s="3">
        <v>25</v>
      </c>
      <c r="Y706" s="5">
        <f ca="1">IF(Table1[[#This Row],[ChurnStatus]]="Cancelled",Table1[[#This Row],[CancellationDate]],TODAY())</f>
        <v>45981</v>
      </c>
      <c r="Z706" s="46">
        <f ca="1">IF(AND(Table1[[#This Row],[SubscriptionStart]] &lt;= TODAY(), Table1[[#This Row],[EffectiveEndDate]] &gt;= TODAY()),1,0)</f>
        <v>1</v>
      </c>
      <c r="AA706" s="46">
        <f ca="1">IF(AND(Table1[[#This Row],[SubscriptionStart]]&lt;=Settings!$A$2,Table1[[#This Row],[EffectiveEndDate]]&gt;=Settings!$A$2),1,0)</f>
        <v>0</v>
      </c>
      <c r="AB706" s="46">
        <f ca="1">IF(AND(Table1[[#This Row],[SubscriptionStart]]&lt;=Settings!$B$2,Table1[[#This Row],[EffectiveEndDate]]&gt;=Settings!$B$2),1,0)</f>
        <v>0</v>
      </c>
      <c r="AC706" s="46">
        <f ca="1">IF(AND(Table1[[#This Row],[SubscriptionStart]]&lt;=Settings!$C$2,Table1[[#This Row],[EffectiveEndDate]]&gt;=Settings!$C$2),1,0)</f>
        <v>0</v>
      </c>
      <c r="AD706" s="46">
        <f ca="1">IF(AND(Table1[[#This Row],[SubscriptionStart]]&lt;=Settings!$D$2,Table1[[#This Row],[EffectiveEndDate]]&gt;=Settings!$D$2),1,0)</f>
        <v>0</v>
      </c>
      <c r="AE706" s="46">
        <f ca="1">IF(AND(Table1[[#This Row],[SubscriptionStart]]&lt;=Settings!$E$2,Table1[[#This Row],[EffectiveEndDate]]&gt;=Settings!$E$2),1,0)</f>
        <v>1</v>
      </c>
      <c r="AF706"/>
      <c r="AG706"/>
      <c r="AH706"/>
      <c r="AI706"/>
      <c r="AJ706"/>
      <c r="AK706"/>
    </row>
    <row r="707" spans="1:37">
      <c r="A707" s="3" t="s">
        <v>292</v>
      </c>
      <c r="B707" s="3">
        <v>66</v>
      </c>
      <c r="C707" s="3" t="s">
        <v>23</v>
      </c>
      <c r="D707" s="5">
        <v>45203</v>
      </c>
      <c r="E707" s="5">
        <v>45233</v>
      </c>
      <c r="F707" s="3">
        <f ca="1">TODAY() - Table1[[#This Row],[SubscriptionStart]]</f>
        <v>778</v>
      </c>
      <c r="G707" s="4">
        <v>1</v>
      </c>
      <c r="H707" s="3" t="s">
        <v>29</v>
      </c>
      <c r="I707" s="3" t="s">
        <v>25</v>
      </c>
      <c r="J707" s="7" cm="1">
        <f t="array" ref="J707">_xlfn.IFS(Table1[[#This Row],[Tier]]="Basic",10,Table1[[#This Row],[Tier]]="Standard",18,Table1[[#This Row],[Tier]]="Premium",25)</f>
        <v>25</v>
      </c>
      <c r="K707" s="7" cm="1">
        <f t="array" ref="K70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707" s="7" cm="1">
        <f t="array" ref="L70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07" s="3" t="str" cm="1">
        <f t="array" ref="M707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07" s="3" t="s">
        <v>26</v>
      </c>
      <c r="O707" s="3" t="s">
        <v>43</v>
      </c>
      <c r="P707" s="3" t="s">
        <v>35</v>
      </c>
      <c r="Q707" s="3" t="str" cm="1">
        <f t="array" ref="Q707">_xlfn.IFS(Table1[[#This Row],[TotalRevenue]]&lt;100,"Low",Table1[[#This Row],[TotalRevenue]]&lt;300,"Medium",Table1[[#This Row],[TotalRevenue]]&lt;600,"High",TRUE,"Very High")</f>
        <v>Low</v>
      </c>
      <c r="R707" s="3" t="str" cm="1">
        <f t="array" ref="R707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07" s="3" t="str">
        <f>IF(Table1[[#This Row],[NextBillingDate]]="","Cancelled",IF(Table1[[#This Row],[CancellationDate]]&lt;&gt;"","Cancelled","Active"))</f>
        <v>Cancelled</v>
      </c>
      <c r="T707" s="7" cm="1">
        <f t="array" ref="T70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07" s="5">
        <v>45233</v>
      </c>
      <c r="W707" s="5">
        <v>45233</v>
      </c>
      <c r="X707" s="3">
        <v>0</v>
      </c>
      <c r="Y707" s="5">
        <f ca="1">IF(Table1[[#This Row],[ChurnStatus]]="Cancelled",Table1[[#This Row],[CancellationDate]],TODAY())</f>
        <v>45233</v>
      </c>
      <c r="Z707" s="46">
        <f ca="1">IF(AND(Table1[[#This Row],[SubscriptionStart]] &lt;= TODAY(), Table1[[#This Row],[EffectiveEndDate]] &gt;= TODAY()),1,0)</f>
        <v>0</v>
      </c>
      <c r="AA707" s="46">
        <f ca="1">IF(AND(Table1[[#This Row],[SubscriptionStart]]&lt;=Settings!$A$2,Table1[[#This Row],[EffectiveEndDate]]&gt;=Settings!$A$2),1,0)</f>
        <v>0</v>
      </c>
      <c r="AB707" s="46">
        <f ca="1">IF(AND(Table1[[#This Row],[SubscriptionStart]]&lt;=Settings!$B$2,Table1[[#This Row],[EffectiveEndDate]]&gt;=Settings!$B$2),1,0)</f>
        <v>0</v>
      </c>
      <c r="AC707" s="46">
        <f ca="1">IF(AND(Table1[[#This Row],[SubscriptionStart]]&lt;=Settings!$C$2,Table1[[#This Row],[EffectiveEndDate]]&gt;=Settings!$C$2),1,0)</f>
        <v>0</v>
      </c>
      <c r="AD707" s="46">
        <f ca="1">IF(AND(Table1[[#This Row],[SubscriptionStart]]&lt;=Settings!$D$2,Table1[[#This Row],[EffectiveEndDate]]&gt;=Settings!$D$2),1,0)</f>
        <v>0</v>
      </c>
      <c r="AE707" s="46">
        <f ca="1">IF(AND(Table1[[#This Row],[SubscriptionStart]]&lt;=Settings!$E$2,Table1[[#This Row],[EffectiveEndDate]]&gt;=Settings!$E$2),1,0)</f>
        <v>0</v>
      </c>
      <c r="AF707"/>
      <c r="AG707"/>
      <c r="AH707"/>
      <c r="AI707"/>
      <c r="AJ707"/>
      <c r="AK707"/>
    </row>
    <row r="708" spans="1:37">
      <c r="A708" s="3" t="s">
        <v>274</v>
      </c>
      <c r="B708" s="3">
        <v>68</v>
      </c>
      <c r="C708" s="3" t="s">
        <v>23</v>
      </c>
      <c r="D708" s="5">
        <v>45204</v>
      </c>
      <c r="E708" s="5">
        <v>45564</v>
      </c>
      <c r="F708" s="3">
        <f ca="1">TODAY() - Table1[[#This Row],[SubscriptionStart]]</f>
        <v>777</v>
      </c>
      <c r="G708" s="4">
        <v>12</v>
      </c>
      <c r="H708" s="3" t="s">
        <v>24</v>
      </c>
      <c r="I708" s="3" t="s">
        <v>30</v>
      </c>
      <c r="J708" s="7" cm="1">
        <f t="array" ref="J708">_xlfn.IFS(Table1[[#This Row],[Tier]]="Basic",10,Table1[[#This Row],[Tier]]="Standard",18,Table1[[#This Row],[Tier]]="Premium",25)</f>
        <v>10</v>
      </c>
      <c r="K708" s="7" cm="1">
        <f t="array" ref="K70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08" s="7" cm="1">
        <f t="array" ref="L70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08" s="3" t="str" cm="1">
        <f t="array" ref="M708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08" s="3" t="s">
        <v>52</v>
      </c>
      <c r="O708" s="3" t="s">
        <v>49</v>
      </c>
      <c r="P708" s="3" t="s">
        <v>47</v>
      </c>
      <c r="Q708" s="3" t="str" cm="1">
        <f t="array" ref="Q708">_xlfn.IFS(Table1[[#This Row],[TotalRevenue]]&lt;100,"Low",Table1[[#This Row],[TotalRevenue]]&lt;300,"Medium",Table1[[#This Row],[TotalRevenue]]&lt;600,"High",TRUE,"Very High")</f>
        <v>Low</v>
      </c>
      <c r="R708" s="3" t="str" cm="1">
        <f t="array" ref="R708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08" s="3" t="str">
        <f>IF(Table1[[#This Row],[NextBillingDate]]="","Cancelled",IF(Table1[[#This Row],[CancellationDate]]&lt;&gt;"","Cancelled","Active"))</f>
        <v>Cancelled</v>
      </c>
      <c r="T708" s="7" cm="1">
        <f t="array" ref="T70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08" s="5">
        <v>45564</v>
      </c>
      <c r="W708" s="5">
        <v>45564</v>
      </c>
      <c r="X708" s="3">
        <v>0</v>
      </c>
      <c r="Y708" s="5">
        <f ca="1">IF(Table1[[#This Row],[ChurnStatus]]="Cancelled",Table1[[#This Row],[CancellationDate]],TODAY())</f>
        <v>45564</v>
      </c>
      <c r="Z708" s="46">
        <f ca="1">IF(AND(Table1[[#This Row],[SubscriptionStart]] &lt;= TODAY(), Table1[[#This Row],[EffectiveEndDate]] &gt;= TODAY()),1,0)</f>
        <v>0</v>
      </c>
      <c r="AA708" s="46">
        <f ca="1">IF(AND(Table1[[#This Row],[SubscriptionStart]]&lt;=Settings!$A$2,Table1[[#This Row],[EffectiveEndDate]]&gt;=Settings!$A$2),1,0)</f>
        <v>0</v>
      </c>
      <c r="AB708" s="46">
        <f ca="1">IF(AND(Table1[[#This Row],[SubscriptionStart]]&lt;=Settings!$B$2,Table1[[#This Row],[EffectiveEndDate]]&gt;=Settings!$B$2),1,0)</f>
        <v>0</v>
      </c>
      <c r="AC708" s="46">
        <f ca="1">IF(AND(Table1[[#This Row],[SubscriptionStart]]&lt;=Settings!$C$2,Table1[[#This Row],[EffectiveEndDate]]&gt;=Settings!$C$2),1,0)</f>
        <v>0</v>
      </c>
      <c r="AD708" s="46">
        <f ca="1">IF(AND(Table1[[#This Row],[SubscriptionStart]]&lt;=Settings!$D$2,Table1[[#This Row],[EffectiveEndDate]]&gt;=Settings!$D$2),1,0)</f>
        <v>0</v>
      </c>
      <c r="AE708" s="46">
        <f ca="1">IF(AND(Table1[[#This Row],[SubscriptionStart]]&lt;=Settings!$E$2,Table1[[#This Row],[EffectiveEndDate]]&gt;=Settings!$E$2),1,0)</f>
        <v>0</v>
      </c>
      <c r="AF708"/>
      <c r="AG708"/>
      <c r="AH708"/>
      <c r="AI708"/>
      <c r="AJ708"/>
      <c r="AK708"/>
    </row>
    <row r="709" spans="1:37">
      <c r="A709" s="3" t="s">
        <v>752</v>
      </c>
      <c r="B709" s="3">
        <v>48</v>
      </c>
      <c r="C709" s="3" t="s">
        <v>37</v>
      </c>
      <c r="D709" s="5">
        <v>45204</v>
      </c>
      <c r="E709" s="5">
        <v>45564</v>
      </c>
      <c r="F709" s="3">
        <f ca="1">TODAY() - Table1[[#This Row],[SubscriptionStart]]</f>
        <v>777</v>
      </c>
      <c r="G709" s="4">
        <v>12</v>
      </c>
      <c r="H709" s="3" t="s">
        <v>24</v>
      </c>
      <c r="I709" s="3" t="s">
        <v>30</v>
      </c>
      <c r="J709" s="7" cm="1">
        <f t="array" ref="J709">_xlfn.IFS(Table1[[#This Row],[Tier]]="Basic",10,Table1[[#This Row],[Tier]]="Standard",18,Table1[[#This Row],[Tier]]="Premium",25)</f>
        <v>10</v>
      </c>
      <c r="K709" s="7" cm="1">
        <f t="array" ref="K70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09" s="7" cm="1">
        <f t="array" ref="L70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09" s="3" t="str" cm="1">
        <f t="array" ref="M70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09" s="3" t="s">
        <v>34</v>
      </c>
      <c r="O709" s="3" t="s">
        <v>27</v>
      </c>
      <c r="P709" s="3" t="s">
        <v>35</v>
      </c>
      <c r="Q709" s="3" t="str" cm="1">
        <f t="array" ref="Q709">_xlfn.IFS(Table1[[#This Row],[TotalRevenue]]&lt;100,"Low",Table1[[#This Row],[TotalRevenue]]&lt;300,"Medium",Table1[[#This Row],[TotalRevenue]]&lt;600,"High",TRUE,"Very High")</f>
        <v>Low</v>
      </c>
      <c r="R709" s="3" t="str" cm="1">
        <f t="array" ref="R70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09" s="3" t="str">
        <f>IF(Table1[[#This Row],[NextBillingDate]]="","Cancelled",IF(Table1[[#This Row],[CancellationDate]]&lt;&gt;"","Cancelled","Active"))</f>
        <v>Cancelled</v>
      </c>
      <c r="T709" s="7" cm="1">
        <f t="array" ref="T70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09" s="5">
        <v>45564</v>
      </c>
      <c r="W709" s="5">
        <v>45564</v>
      </c>
      <c r="X709" s="3">
        <v>0</v>
      </c>
      <c r="Y709" s="5">
        <f ca="1">IF(Table1[[#This Row],[ChurnStatus]]="Cancelled",Table1[[#This Row],[CancellationDate]],TODAY())</f>
        <v>45564</v>
      </c>
      <c r="Z709" s="46">
        <f ca="1">IF(AND(Table1[[#This Row],[SubscriptionStart]] &lt;= TODAY(), Table1[[#This Row],[EffectiveEndDate]] &gt;= TODAY()),1,0)</f>
        <v>0</v>
      </c>
      <c r="AA709" s="46">
        <f ca="1">IF(AND(Table1[[#This Row],[SubscriptionStart]]&lt;=Settings!$A$2,Table1[[#This Row],[EffectiveEndDate]]&gt;=Settings!$A$2),1,0)</f>
        <v>0</v>
      </c>
      <c r="AB709" s="46">
        <f ca="1">IF(AND(Table1[[#This Row],[SubscriptionStart]]&lt;=Settings!$B$2,Table1[[#This Row],[EffectiveEndDate]]&gt;=Settings!$B$2),1,0)</f>
        <v>0</v>
      </c>
      <c r="AC709" s="46">
        <f ca="1">IF(AND(Table1[[#This Row],[SubscriptionStart]]&lt;=Settings!$C$2,Table1[[#This Row],[EffectiveEndDate]]&gt;=Settings!$C$2),1,0)</f>
        <v>0</v>
      </c>
      <c r="AD709" s="46">
        <f ca="1">IF(AND(Table1[[#This Row],[SubscriptionStart]]&lt;=Settings!$D$2,Table1[[#This Row],[EffectiveEndDate]]&gt;=Settings!$D$2),1,0)</f>
        <v>0</v>
      </c>
      <c r="AE709" s="46">
        <f ca="1">IF(AND(Table1[[#This Row],[SubscriptionStart]]&lt;=Settings!$E$2,Table1[[#This Row],[EffectiveEndDate]]&gt;=Settings!$E$2),1,0)</f>
        <v>0</v>
      </c>
      <c r="AF709"/>
      <c r="AG709"/>
      <c r="AH709"/>
      <c r="AI709"/>
      <c r="AJ709"/>
      <c r="AK709"/>
    </row>
    <row r="710" spans="1:37">
      <c r="A710" s="3" t="s">
        <v>697</v>
      </c>
      <c r="B710" s="3">
        <v>49</v>
      </c>
      <c r="C710" s="3" t="s">
        <v>23</v>
      </c>
      <c r="D710" s="5">
        <v>45205</v>
      </c>
      <c r="E710" s="5">
        <v>45565</v>
      </c>
      <c r="F710" s="3">
        <f ca="1">TODAY() - Table1[[#This Row],[SubscriptionStart]]</f>
        <v>776</v>
      </c>
      <c r="G710" s="4">
        <v>12</v>
      </c>
      <c r="H710" s="3" t="s">
        <v>24</v>
      </c>
      <c r="I710" s="3" t="s">
        <v>30</v>
      </c>
      <c r="J710" s="7" cm="1">
        <f t="array" ref="J710">_xlfn.IFS(Table1[[#This Row],[Tier]]="Basic",10,Table1[[#This Row],[Tier]]="Standard",18,Table1[[#This Row],[Tier]]="Premium",25)</f>
        <v>10</v>
      </c>
      <c r="K710" s="7" cm="1">
        <f t="array" ref="K71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10" s="7" cm="1">
        <f t="array" ref="L71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10" s="3" t="str" cm="1">
        <f t="array" ref="M71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10" s="3" t="s">
        <v>52</v>
      </c>
      <c r="O710" s="3" t="s">
        <v>27</v>
      </c>
      <c r="P710" s="3" t="s">
        <v>50</v>
      </c>
      <c r="Q710" s="3" t="str" cm="1">
        <f t="array" ref="Q710">_xlfn.IFS(Table1[[#This Row],[TotalRevenue]]&lt;100,"Low",Table1[[#This Row],[TotalRevenue]]&lt;300,"Medium",Table1[[#This Row],[TotalRevenue]]&lt;600,"High",TRUE,"Very High")</f>
        <v>Low</v>
      </c>
      <c r="R710" s="3" t="str" cm="1">
        <f t="array" ref="R71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10" s="3" t="str">
        <f>IF(Table1[[#This Row],[NextBillingDate]]="","Cancelled",IF(Table1[[#This Row],[CancellationDate]]&lt;&gt;"","Cancelled","Active"))</f>
        <v>Cancelled</v>
      </c>
      <c r="T710" s="7" cm="1">
        <f t="array" ref="T71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10" s="5">
        <v>45565</v>
      </c>
      <c r="W710" s="5">
        <v>45565</v>
      </c>
      <c r="X710" s="3">
        <v>0</v>
      </c>
      <c r="Y710" s="5">
        <f ca="1">IF(Table1[[#This Row],[ChurnStatus]]="Cancelled",Table1[[#This Row],[CancellationDate]],TODAY())</f>
        <v>45565</v>
      </c>
      <c r="Z710" s="46">
        <f ca="1">IF(AND(Table1[[#This Row],[SubscriptionStart]] &lt;= TODAY(), Table1[[#This Row],[EffectiveEndDate]] &gt;= TODAY()),1,0)</f>
        <v>0</v>
      </c>
      <c r="AA710" s="46">
        <f ca="1">IF(AND(Table1[[#This Row],[SubscriptionStart]]&lt;=Settings!$A$2,Table1[[#This Row],[EffectiveEndDate]]&gt;=Settings!$A$2),1,0)</f>
        <v>0</v>
      </c>
      <c r="AB710" s="46">
        <f ca="1">IF(AND(Table1[[#This Row],[SubscriptionStart]]&lt;=Settings!$B$2,Table1[[#This Row],[EffectiveEndDate]]&gt;=Settings!$B$2),1,0)</f>
        <v>0</v>
      </c>
      <c r="AC710" s="46">
        <f ca="1">IF(AND(Table1[[#This Row],[SubscriptionStart]]&lt;=Settings!$C$2,Table1[[#This Row],[EffectiveEndDate]]&gt;=Settings!$C$2),1,0)</f>
        <v>0</v>
      </c>
      <c r="AD710" s="46">
        <f ca="1">IF(AND(Table1[[#This Row],[SubscriptionStart]]&lt;=Settings!$D$2,Table1[[#This Row],[EffectiveEndDate]]&gt;=Settings!$D$2),1,0)</f>
        <v>0</v>
      </c>
      <c r="AE710" s="46">
        <f ca="1">IF(AND(Table1[[#This Row],[SubscriptionStart]]&lt;=Settings!$E$2,Table1[[#This Row],[EffectiveEndDate]]&gt;=Settings!$E$2),1,0)</f>
        <v>0</v>
      </c>
      <c r="AF710"/>
      <c r="AG710"/>
      <c r="AH710"/>
      <c r="AI710"/>
      <c r="AJ710"/>
      <c r="AK710"/>
    </row>
    <row r="711" spans="1:37">
      <c r="A711" s="3" t="s">
        <v>595</v>
      </c>
      <c r="B711" s="3">
        <v>61</v>
      </c>
      <c r="C711" s="3" t="s">
        <v>23</v>
      </c>
      <c r="D711" s="5">
        <v>45205</v>
      </c>
      <c r="F711" s="3">
        <f ca="1">TODAY() - Table1[[#This Row],[SubscriptionStart]]</f>
        <v>776</v>
      </c>
      <c r="G711" s="4">
        <v>26</v>
      </c>
      <c r="H711" s="3" t="s">
        <v>29</v>
      </c>
      <c r="I711" s="3" t="s">
        <v>39</v>
      </c>
      <c r="J711" s="7" cm="1">
        <f t="array" ref="J711">_xlfn.IFS(Table1[[#This Row],[Tier]]="Basic",10,Table1[[#This Row],[Tier]]="Standard",18,Table1[[#This Row],[Tier]]="Premium",25)</f>
        <v>18</v>
      </c>
      <c r="K711" s="7" cm="1">
        <f t="array" ref="K71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711" s="7" cm="1">
        <f t="array" ref="L71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430.2</v>
      </c>
      <c r="M711" s="3" t="str" cm="1">
        <f t="array" ref="M711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11" s="3" t="s">
        <v>26</v>
      </c>
      <c r="O711" s="3" t="s">
        <v>32</v>
      </c>
      <c r="Q711" s="3" t="str" cm="1">
        <f t="array" ref="Q711">_xlfn.IFS(Table1[[#This Row],[TotalRevenue]]&lt;100,"Low",Table1[[#This Row],[TotalRevenue]]&lt;300,"Medium",Table1[[#This Row],[TotalRevenue]]&lt;600,"High",TRUE,"Very High")</f>
        <v>High</v>
      </c>
      <c r="R711" s="3" t="str" cm="1">
        <f t="array" ref="R711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11" s="3" t="str">
        <f>IF(Table1[[#This Row],[NextBillingDate]]="","Cancelled",IF(Table1[[#This Row],[CancellationDate]]&lt;&gt;"","Cancelled","Active"))</f>
        <v>Active</v>
      </c>
      <c r="T711" s="7" cm="1">
        <f t="array" ref="T71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448.2</v>
      </c>
      <c r="V711" s="5">
        <v>45985</v>
      </c>
      <c r="W711" s="5">
        <v>45985</v>
      </c>
      <c r="X711" s="3">
        <v>25</v>
      </c>
      <c r="Y711" s="5">
        <f ca="1">IF(Table1[[#This Row],[ChurnStatus]]="Cancelled",Table1[[#This Row],[CancellationDate]],TODAY())</f>
        <v>45981</v>
      </c>
      <c r="Z711" s="46">
        <f ca="1">IF(AND(Table1[[#This Row],[SubscriptionStart]] &lt;= TODAY(), Table1[[#This Row],[EffectiveEndDate]] &gt;= TODAY()),1,0)</f>
        <v>1</v>
      </c>
      <c r="AA711" s="46">
        <f ca="1">IF(AND(Table1[[#This Row],[SubscriptionStart]]&lt;=Settings!$A$2,Table1[[#This Row],[EffectiveEndDate]]&gt;=Settings!$A$2),1,0)</f>
        <v>0</v>
      </c>
      <c r="AB711" s="46">
        <f ca="1">IF(AND(Table1[[#This Row],[SubscriptionStart]]&lt;=Settings!$B$2,Table1[[#This Row],[EffectiveEndDate]]&gt;=Settings!$B$2),1,0)</f>
        <v>0</v>
      </c>
      <c r="AC711" s="46">
        <f ca="1">IF(AND(Table1[[#This Row],[SubscriptionStart]]&lt;=Settings!$C$2,Table1[[#This Row],[EffectiveEndDate]]&gt;=Settings!$C$2),1,0)</f>
        <v>0</v>
      </c>
      <c r="AD711" s="46">
        <f ca="1">IF(AND(Table1[[#This Row],[SubscriptionStart]]&lt;=Settings!$D$2,Table1[[#This Row],[EffectiveEndDate]]&gt;=Settings!$D$2),1,0)</f>
        <v>0</v>
      </c>
      <c r="AE711" s="46">
        <f ca="1">IF(AND(Table1[[#This Row],[SubscriptionStart]]&lt;=Settings!$E$2,Table1[[#This Row],[EffectiveEndDate]]&gt;=Settings!$E$2),1,0)</f>
        <v>1</v>
      </c>
      <c r="AF711"/>
      <c r="AG711"/>
      <c r="AH711"/>
      <c r="AI711"/>
      <c r="AJ711"/>
      <c r="AK711"/>
    </row>
    <row r="712" spans="1:37">
      <c r="A712" s="3" t="s">
        <v>160</v>
      </c>
      <c r="B712" s="3">
        <v>70</v>
      </c>
      <c r="C712" s="3" t="s">
        <v>37</v>
      </c>
      <c r="D712" s="5">
        <v>45208</v>
      </c>
      <c r="E712" s="5">
        <v>45238</v>
      </c>
      <c r="F712" s="3">
        <f ca="1">TODAY() - Table1[[#This Row],[SubscriptionStart]]</f>
        <v>773</v>
      </c>
      <c r="G712" s="4">
        <v>1</v>
      </c>
      <c r="H712" s="3" t="s">
        <v>29</v>
      </c>
      <c r="I712" s="3" t="s">
        <v>30</v>
      </c>
      <c r="J712" s="7" cm="1">
        <f t="array" ref="J712">_xlfn.IFS(Table1[[#This Row],[Tier]]="Basic",10,Table1[[#This Row],[Tier]]="Standard",18,Table1[[#This Row],[Tier]]="Premium",25)</f>
        <v>10</v>
      </c>
      <c r="K712" s="7" cm="1">
        <f t="array" ref="K71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712" s="7" cm="1">
        <f t="array" ref="L71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12" s="3" t="str" cm="1">
        <f t="array" ref="M712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12" s="3" t="s">
        <v>52</v>
      </c>
      <c r="O712" s="3" t="s">
        <v>27</v>
      </c>
      <c r="P712" s="3" t="s">
        <v>44</v>
      </c>
      <c r="Q712" s="3" t="str" cm="1">
        <f t="array" ref="Q712">_xlfn.IFS(Table1[[#This Row],[TotalRevenue]]&lt;100,"Low",Table1[[#This Row],[TotalRevenue]]&lt;300,"Medium",Table1[[#This Row],[TotalRevenue]]&lt;600,"High",TRUE,"Very High")</f>
        <v>Low</v>
      </c>
      <c r="R712" s="3" t="str" cm="1">
        <f t="array" ref="R712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712" s="3" t="str">
        <f>IF(Table1[[#This Row],[NextBillingDate]]="","Cancelled",IF(Table1[[#This Row],[CancellationDate]]&lt;&gt;"","Cancelled","Active"))</f>
        <v>Cancelled</v>
      </c>
      <c r="T712" s="7" cm="1">
        <f t="array" ref="T71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12" s="5">
        <v>45238</v>
      </c>
      <c r="W712" s="5">
        <v>45238</v>
      </c>
      <c r="X712" s="3">
        <v>0</v>
      </c>
      <c r="Y712" s="5">
        <f ca="1">IF(Table1[[#This Row],[ChurnStatus]]="Cancelled",Table1[[#This Row],[CancellationDate]],TODAY())</f>
        <v>45238</v>
      </c>
      <c r="Z712" s="46">
        <f ca="1">IF(AND(Table1[[#This Row],[SubscriptionStart]] &lt;= TODAY(), Table1[[#This Row],[EffectiveEndDate]] &gt;= TODAY()),1,0)</f>
        <v>0</v>
      </c>
      <c r="AA712" s="46">
        <f ca="1">IF(AND(Table1[[#This Row],[SubscriptionStart]]&lt;=Settings!$A$2,Table1[[#This Row],[EffectiveEndDate]]&gt;=Settings!$A$2),1,0)</f>
        <v>0</v>
      </c>
      <c r="AB712" s="46">
        <f ca="1">IF(AND(Table1[[#This Row],[SubscriptionStart]]&lt;=Settings!$B$2,Table1[[#This Row],[EffectiveEndDate]]&gt;=Settings!$B$2),1,0)</f>
        <v>0</v>
      </c>
      <c r="AC712" s="46">
        <f ca="1">IF(AND(Table1[[#This Row],[SubscriptionStart]]&lt;=Settings!$C$2,Table1[[#This Row],[EffectiveEndDate]]&gt;=Settings!$C$2),1,0)</f>
        <v>0</v>
      </c>
      <c r="AD712" s="46">
        <f ca="1">IF(AND(Table1[[#This Row],[SubscriptionStart]]&lt;=Settings!$D$2,Table1[[#This Row],[EffectiveEndDate]]&gt;=Settings!$D$2),1,0)</f>
        <v>0</v>
      </c>
      <c r="AE712" s="46">
        <f ca="1">IF(AND(Table1[[#This Row],[SubscriptionStart]]&lt;=Settings!$E$2,Table1[[#This Row],[EffectiveEndDate]]&gt;=Settings!$E$2),1,0)</f>
        <v>0</v>
      </c>
      <c r="AF712"/>
      <c r="AG712"/>
      <c r="AH712"/>
      <c r="AI712"/>
      <c r="AJ712"/>
      <c r="AK712"/>
    </row>
    <row r="713" spans="1:37">
      <c r="A713" s="3" t="s">
        <v>672</v>
      </c>
      <c r="B713" s="3">
        <v>27</v>
      </c>
      <c r="C713" s="3" t="s">
        <v>37</v>
      </c>
      <c r="D713" s="5">
        <v>45209</v>
      </c>
      <c r="E713" s="5">
        <v>45569</v>
      </c>
      <c r="F713" s="3">
        <f ca="1">TODAY() - Table1[[#This Row],[SubscriptionStart]]</f>
        <v>772</v>
      </c>
      <c r="G713" s="4">
        <v>12</v>
      </c>
      <c r="H713" s="3" t="s">
        <v>24</v>
      </c>
      <c r="I713" s="3" t="s">
        <v>30</v>
      </c>
      <c r="J713" s="7" cm="1">
        <f t="array" ref="J713">_xlfn.IFS(Table1[[#This Row],[Tier]]="Basic",10,Table1[[#This Row],[Tier]]="Standard",18,Table1[[#This Row],[Tier]]="Premium",25)</f>
        <v>10</v>
      </c>
      <c r="K713" s="7" cm="1">
        <f t="array" ref="K71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13" s="7" cm="1">
        <f t="array" ref="L71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13" s="3" t="str" cm="1">
        <f t="array" ref="M71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13" s="3" t="s">
        <v>26</v>
      </c>
      <c r="O713" s="3" t="s">
        <v>27</v>
      </c>
      <c r="P713" s="3" t="s">
        <v>47</v>
      </c>
      <c r="Q713" s="3" t="str" cm="1">
        <f t="array" ref="Q713">_xlfn.IFS(Table1[[#This Row],[TotalRevenue]]&lt;100,"Low",Table1[[#This Row],[TotalRevenue]]&lt;300,"Medium",Table1[[#This Row],[TotalRevenue]]&lt;600,"High",TRUE,"Very High")</f>
        <v>Low</v>
      </c>
      <c r="R713" s="3" t="str" cm="1">
        <f t="array" ref="R71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13" s="3" t="str">
        <f>IF(Table1[[#This Row],[NextBillingDate]]="","Cancelled",IF(Table1[[#This Row],[CancellationDate]]&lt;&gt;"","Cancelled","Active"))</f>
        <v>Cancelled</v>
      </c>
      <c r="T713" s="7" cm="1">
        <f t="array" ref="T71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13" s="5">
        <v>45569</v>
      </c>
      <c r="W713" s="5">
        <v>45569</v>
      </c>
      <c r="X713" s="3">
        <v>0</v>
      </c>
      <c r="Y713" s="5">
        <f ca="1">IF(Table1[[#This Row],[ChurnStatus]]="Cancelled",Table1[[#This Row],[CancellationDate]],TODAY())</f>
        <v>45569</v>
      </c>
      <c r="Z713" s="46">
        <f ca="1">IF(AND(Table1[[#This Row],[SubscriptionStart]] &lt;= TODAY(), Table1[[#This Row],[EffectiveEndDate]] &gt;= TODAY()),1,0)</f>
        <v>0</v>
      </c>
      <c r="AA713" s="46">
        <f ca="1">IF(AND(Table1[[#This Row],[SubscriptionStart]]&lt;=Settings!$A$2,Table1[[#This Row],[EffectiveEndDate]]&gt;=Settings!$A$2),1,0)</f>
        <v>0</v>
      </c>
      <c r="AB713" s="46">
        <f ca="1">IF(AND(Table1[[#This Row],[SubscriptionStart]]&lt;=Settings!$B$2,Table1[[#This Row],[EffectiveEndDate]]&gt;=Settings!$B$2),1,0)</f>
        <v>0</v>
      </c>
      <c r="AC713" s="46">
        <f ca="1">IF(AND(Table1[[#This Row],[SubscriptionStart]]&lt;=Settings!$C$2,Table1[[#This Row],[EffectiveEndDate]]&gt;=Settings!$C$2),1,0)</f>
        <v>0</v>
      </c>
      <c r="AD713" s="46">
        <f ca="1">IF(AND(Table1[[#This Row],[SubscriptionStart]]&lt;=Settings!$D$2,Table1[[#This Row],[EffectiveEndDate]]&gt;=Settings!$D$2),1,0)</f>
        <v>0</v>
      </c>
      <c r="AE713" s="46">
        <f ca="1">IF(AND(Table1[[#This Row],[SubscriptionStart]]&lt;=Settings!$E$2,Table1[[#This Row],[EffectiveEndDate]]&gt;=Settings!$E$2),1,0)</f>
        <v>1</v>
      </c>
      <c r="AF713"/>
      <c r="AG713"/>
      <c r="AH713"/>
      <c r="AI713"/>
      <c r="AJ713"/>
      <c r="AK713"/>
    </row>
    <row r="714" spans="1:37">
      <c r="A714" s="3" t="s">
        <v>560</v>
      </c>
      <c r="B714" s="3">
        <v>75</v>
      </c>
      <c r="C714" s="3" t="s">
        <v>37</v>
      </c>
      <c r="D714" s="5">
        <v>45210</v>
      </c>
      <c r="F714" s="3">
        <f ca="1">TODAY() - Table1[[#This Row],[SubscriptionStart]]</f>
        <v>771</v>
      </c>
      <c r="G714" s="4">
        <v>36</v>
      </c>
      <c r="H714" s="3" t="s">
        <v>24</v>
      </c>
      <c r="I714" s="3" t="s">
        <v>39</v>
      </c>
      <c r="J714" s="7" cm="1">
        <f t="array" ref="J714">_xlfn.IFS(Table1[[#This Row],[Tier]]="Basic",10,Table1[[#This Row],[Tier]]="Standard",18,Table1[[#This Row],[Tier]]="Premium",25)</f>
        <v>18</v>
      </c>
      <c r="K714" s="7" cm="1">
        <f t="array" ref="K71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714" s="7" cm="1">
        <f t="array" ref="L71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417.6</v>
      </c>
      <c r="M714" s="3" t="str" cm="1">
        <f t="array" ref="M714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714" s="3" t="s">
        <v>34</v>
      </c>
      <c r="O714" s="3" t="s">
        <v>32</v>
      </c>
      <c r="Q714" s="3" t="str" cm="1">
        <f t="array" ref="Q714">_xlfn.IFS(Table1[[#This Row],[TotalRevenue]]&lt;100,"Low",Table1[[#This Row],[TotalRevenue]]&lt;300,"Medium",Table1[[#This Row],[TotalRevenue]]&lt;600,"High",TRUE,"Very High")</f>
        <v>High</v>
      </c>
      <c r="R714" s="3" t="str" cm="1">
        <f t="array" ref="R714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714" s="3" t="str">
        <f>IF(Table1[[#This Row],[NextBillingDate]]="","Cancelled",IF(Table1[[#This Row],[CancellationDate]]&lt;&gt;"","Cancelled","Active"))</f>
        <v>Active</v>
      </c>
      <c r="T714" s="7" cm="1">
        <f t="array" ref="T71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561.6</v>
      </c>
      <c r="V714" s="5">
        <v>46290</v>
      </c>
      <c r="W714" s="5">
        <v>46290</v>
      </c>
      <c r="X714" s="3">
        <v>2</v>
      </c>
      <c r="Y714" s="5">
        <f ca="1">IF(Table1[[#This Row],[ChurnStatus]]="Cancelled",Table1[[#This Row],[CancellationDate]],TODAY())</f>
        <v>45981</v>
      </c>
      <c r="Z714" s="46">
        <f ca="1">IF(AND(Table1[[#This Row],[SubscriptionStart]] &lt;= TODAY(), Table1[[#This Row],[EffectiveEndDate]] &gt;= TODAY()),1,0)</f>
        <v>1</v>
      </c>
      <c r="AA714" s="46">
        <f ca="1">IF(AND(Table1[[#This Row],[SubscriptionStart]]&lt;=Settings!$A$2,Table1[[#This Row],[EffectiveEndDate]]&gt;=Settings!$A$2),1,0)</f>
        <v>0</v>
      </c>
      <c r="AB714" s="46">
        <f ca="1">IF(AND(Table1[[#This Row],[SubscriptionStart]]&lt;=Settings!$B$2,Table1[[#This Row],[EffectiveEndDate]]&gt;=Settings!$B$2),1,0)</f>
        <v>0</v>
      </c>
      <c r="AC714" s="46">
        <f ca="1">IF(AND(Table1[[#This Row],[SubscriptionStart]]&lt;=Settings!$C$2,Table1[[#This Row],[EffectiveEndDate]]&gt;=Settings!$C$2),1,0)</f>
        <v>0</v>
      </c>
      <c r="AD714" s="46">
        <f ca="1">IF(AND(Table1[[#This Row],[SubscriptionStart]]&lt;=Settings!$D$2,Table1[[#This Row],[EffectiveEndDate]]&gt;=Settings!$D$2),1,0)</f>
        <v>0</v>
      </c>
      <c r="AE714" s="46">
        <f ca="1">IF(AND(Table1[[#This Row],[SubscriptionStart]]&lt;=Settings!$E$2,Table1[[#This Row],[EffectiveEndDate]]&gt;=Settings!$E$2),1,0)</f>
        <v>1</v>
      </c>
      <c r="AF714"/>
      <c r="AG714"/>
      <c r="AH714"/>
      <c r="AI714"/>
      <c r="AJ714"/>
      <c r="AK714"/>
    </row>
    <row r="715" spans="1:37">
      <c r="A715" s="3" t="s">
        <v>580</v>
      </c>
      <c r="B715" s="3">
        <v>64</v>
      </c>
      <c r="C715" s="3" t="s">
        <v>37</v>
      </c>
      <c r="D715" s="5">
        <v>45211</v>
      </c>
      <c r="E715" s="5">
        <v>45571</v>
      </c>
      <c r="F715" s="3">
        <f ca="1">TODAY() - Table1[[#This Row],[SubscriptionStart]]</f>
        <v>770</v>
      </c>
      <c r="G715" s="4">
        <v>12</v>
      </c>
      <c r="H715" s="3" t="s">
        <v>24</v>
      </c>
      <c r="I715" s="3" t="s">
        <v>39</v>
      </c>
      <c r="J715" s="7" cm="1">
        <f t="array" ref="J715">_xlfn.IFS(Table1[[#This Row],[Tier]]="Basic",10,Table1[[#This Row],[Tier]]="Standard",18,Table1[[#This Row],[Tier]]="Premium",25)</f>
        <v>18</v>
      </c>
      <c r="K715" s="7" cm="1">
        <f t="array" ref="K71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715" s="7" cm="1">
        <f t="array" ref="L71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715" s="3" t="str" cm="1">
        <f t="array" ref="M715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15" s="3" t="s">
        <v>52</v>
      </c>
      <c r="O715" s="3" t="s">
        <v>49</v>
      </c>
      <c r="P715" s="3" t="s">
        <v>35</v>
      </c>
      <c r="Q715" s="3" t="str" cm="1">
        <f t="array" ref="Q715">_xlfn.IFS(Table1[[#This Row],[TotalRevenue]]&lt;100,"Low",Table1[[#This Row],[TotalRevenue]]&lt;300,"Medium",Table1[[#This Row],[TotalRevenue]]&lt;600,"High",TRUE,"Very High")</f>
        <v>Medium</v>
      </c>
      <c r="R715" s="3" t="str" cm="1">
        <f t="array" ref="R715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15" s="3" t="str">
        <f>IF(Table1[[#This Row],[NextBillingDate]]="","Cancelled",IF(Table1[[#This Row],[CancellationDate]]&lt;&gt;"","Cancelled","Active"))</f>
        <v>Cancelled</v>
      </c>
      <c r="T715" s="7" cm="1">
        <f t="array" ref="T71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715" s="5">
        <v>45571</v>
      </c>
      <c r="W715" s="5">
        <v>45571</v>
      </c>
      <c r="X715" s="3">
        <v>0</v>
      </c>
      <c r="Y715" s="5">
        <f ca="1">IF(Table1[[#This Row],[ChurnStatus]]="Cancelled",Table1[[#This Row],[CancellationDate]],TODAY())</f>
        <v>45571</v>
      </c>
      <c r="Z715" s="46">
        <f ca="1">IF(AND(Table1[[#This Row],[SubscriptionStart]] &lt;= TODAY(), Table1[[#This Row],[EffectiveEndDate]] &gt;= TODAY()),1,0)</f>
        <v>0</v>
      </c>
      <c r="AA715" s="46">
        <f ca="1">IF(AND(Table1[[#This Row],[SubscriptionStart]]&lt;=Settings!$A$2,Table1[[#This Row],[EffectiveEndDate]]&gt;=Settings!$A$2),1,0)</f>
        <v>0</v>
      </c>
      <c r="AB715" s="46">
        <f ca="1">IF(AND(Table1[[#This Row],[SubscriptionStart]]&lt;=Settings!$B$2,Table1[[#This Row],[EffectiveEndDate]]&gt;=Settings!$B$2),1,0)</f>
        <v>0</v>
      </c>
      <c r="AC715" s="46">
        <f ca="1">IF(AND(Table1[[#This Row],[SubscriptionStart]]&lt;=Settings!$C$2,Table1[[#This Row],[EffectiveEndDate]]&gt;=Settings!$C$2),1,0)</f>
        <v>0</v>
      </c>
      <c r="AD715" s="46">
        <f ca="1">IF(AND(Table1[[#This Row],[SubscriptionStart]]&lt;=Settings!$D$2,Table1[[#This Row],[EffectiveEndDate]]&gt;=Settings!$D$2),1,0)</f>
        <v>0</v>
      </c>
      <c r="AE715" s="46">
        <f ca="1">IF(AND(Table1[[#This Row],[SubscriptionStart]]&lt;=Settings!$E$2,Table1[[#This Row],[EffectiveEndDate]]&gt;=Settings!$E$2),1,0)</f>
        <v>1</v>
      </c>
      <c r="AF715"/>
      <c r="AG715"/>
      <c r="AH715"/>
      <c r="AI715"/>
      <c r="AJ715"/>
      <c r="AK715"/>
    </row>
    <row r="716" spans="1:37">
      <c r="A716" s="3" t="s">
        <v>79</v>
      </c>
      <c r="B716" s="3">
        <v>62</v>
      </c>
      <c r="C716" s="3" t="s">
        <v>23</v>
      </c>
      <c r="D716" s="5">
        <v>45213</v>
      </c>
      <c r="E716" s="5">
        <v>45573</v>
      </c>
      <c r="F716" s="3">
        <f ca="1">TODAY() - Table1[[#This Row],[SubscriptionStart]]</f>
        <v>768</v>
      </c>
      <c r="G716" s="4">
        <v>12</v>
      </c>
      <c r="H716" s="3" t="s">
        <v>24</v>
      </c>
      <c r="I716" s="3" t="s">
        <v>30</v>
      </c>
      <c r="J716" s="7" cm="1">
        <f t="array" ref="J716">_xlfn.IFS(Table1[[#This Row],[Tier]]="Basic",10,Table1[[#This Row],[Tier]]="Standard",18,Table1[[#This Row],[Tier]]="Premium",25)</f>
        <v>10</v>
      </c>
      <c r="K716" s="7" cm="1">
        <f t="array" ref="K71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16" s="7" cm="1">
        <f t="array" ref="L71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16" s="3" t="str" cm="1">
        <f t="array" ref="M716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16" s="3" t="s">
        <v>52</v>
      </c>
      <c r="O716" s="3" t="s">
        <v>43</v>
      </c>
      <c r="P716" s="3" t="s">
        <v>50</v>
      </c>
      <c r="Q716" s="3" t="str" cm="1">
        <f t="array" ref="Q716">_xlfn.IFS(Table1[[#This Row],[TotalRevenue]]&lt;100,"Low",Table1[[#This Row],[TotalRevenue]]&lt;300,"Medium",Table1[[#This Row],[TotalRevenue]]&lt;600,"High",TRUE,"Very High")</f>
        <v>Low</v>
      </c>
      <c r="R716" s="3" t="str" cm="1">
        <f t="array" ref="R716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16" s="3" t="str">
        <f>IF(Table1[[#This Row],[NextBillingDate]]="","Cancelled",IF(Table1[[#This Row],[CancellationDate]]&lt;&gt;"","Cancelled","Active"))</f>
        <v>Cancelled</v>
      </c>
      <c r="T716" s="7" cm="1">
        <f t="array" ref="T71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16" s="5">
        <v>45573</v>
      </c>
      <c r="W716" s="5">
        <v>45573</v>
      </c>
      <c r="X716" s="3">
        <v>0</v>
      </c>
      <c r="Y716" s="5">
        <f ca="1">IF(Table1[[#This Row],[ChurnStatus]]="Cancelled",Table1[[#This Row],[CancellationDate]],TODAY())</f>
        <v>45573</v>
      </c>
      <c r="Z716" s="46">
        <f ca="1">IF(AND(Table1[[#This Row],[SubscriptionStart]] &lt;= TODAY(), Table1[[#This Row],[EffectiveEndDate]] &gt;= TODAY()),1,0)</f>
        <v>0</v>
      </c>
      <c r="AA716" s="46">
        <f ca="1">IF(AND(Table1[[#This Row],[SubscriptionStart]]&lt;=Settings!$A$2,Table1[[#This Row],[EffectiveEndDate]]&gt;=Settings!$A$2),1,0)</f>
        <v>0</v>
      </c>
      <c r="AB716" s="46">
        <f ca="1">IF(AND(Table1[[#This Row],[SubscriptionStart]]&lt;=Settings!$B$2,Table1[[#This Row],[EffectiveEndDate]]&gt;=Settings!$B$2),1,0)</f>
        <v>0</v>
      </c>
      <c r="AC716" s="46">
        <f ca="1">IF(AND(Table1[[#This Row],[SubscriptionStart]]&lt;=Settings!$C$2,Table1[[#This Row],[EffectiveEndDate]]&gt;=Settings!$C$2),1,0)</f>
        <v>0</v>
      </c>
      <c r="AD716" s="46">
        <f ca="1">IF(AND(Table1[[#This Row],[SubscriptionStart]]&lt;=Settings!$D$2,Table1[[#This Row],[EffectiveEndDate]]&gt;=Settings!$D$2),1,0)</f>
        <v>0</v>
      </c>
      <c r="AE716" s="46">
        <f ca="1">IF(AND(Table1[[#This Row],[SubscriptionStart]]&lt;=Settings!$E$2,Table1[[#This Row],[EffectiveEndDate]]&gt;=Settings!$E$2),1,0)</f>
        <v>1</v>
      </c>
      <c r="AF716"/>
      <c r="AG716"/>
      <c r="AH716"/>
      <c r="AI716"/>
      <c r="AJ716"/>
      <c r="AK716"/>
    </row>
    <row r="717" spans="1:37">
      <c r="A717" s="3" t="s">
        <v>224</v>
      </c>
      <c r="B717" s="3">
        <v>67</v>
      </c>
      <c r="C717" s="3" t="s">
        <v>37</v>
      </c>
      <c r="D717" s="5">
        <v>45214</v>
      </c>
      <c r="F717" s="3">
        <f ca="1">TODAY() - Table1[[#This Row],[SubscriptionStart]]</f>
        <v>767</v>
      </c>
      <c r="G717" s="4">
        <v>26</v>
      </c>
      <c r="H717" s="3" t="s">
        <v>29</v>
      </c>
      <c r="I717" s="3" t="s">
        <v>30</v>
      </c>
      <c r="J717" s="7" cm="1">
        <f t="array" ref="J717">_xlfn.IFS(Table1[[#This Row],[Tier]]="Basic",10,Table1[[#This Row],[Tier]]="Standard",18,Table1[[#This Row],[Tier]]="Premium",25)</f>
        <v>10</v>
      </c>
      <c r="K717" s="7" cm="1">
        <f t="array" ref="K71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717" s="7" cm="1">
        <f t="array" ref="L71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239</v>
      </c>
      <c r="M717" s="3" t="str" cm="1">
        <f t="array" ref="M717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17" s="3" t="s">
        <v>52</v>
      </c>
      <c r="O717" s="3" t="s">
        <v>49</v>
      </c>
      <c r="Q717" s="3" t="str" cm="1">
        <f t="array" ref="Q717">_xlfn.IFS(Table1[[#This Row],[TotalRevenue]]&lt;100,"Low",Table1[[#This Row],[TotalRevenue]]&lt;300,"Medium",Table1[[#This Row],[TotalRevenue]]&lt;600,"High",TRUE,"Very High")</f>
        <v>Medium</v>
      </c>
      <c r="R717" s="3" t="str" cm="1">
        <f t="array" ref="R717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17" s="3" t="str">
        <f>IF(Table1[[#This Row],[NextBillingDate]]="","Cancelled",IF(Table1[[#This Row],[CancellationDate]]&lt;&gt;"","Cancelled","Active"))</f>
        <v>Active</v>
      </c>
      <c r="T717" s="7" cm="1">
        <f t="array" ref="T71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249</v>
      </c>
      <c r="V717" s="5">
        <v>45994</v>
      </c>
      <c r="W717" s="5">
        <v>45994</v>
      </c>
      <c r="X717" s="3">
        <v>25</v>
      </c>
      <c r="Y717" s="5">
        <f ca="1">IF(Table1[[#This Row],[ChurnStatus]]="Cancelled",Table1[[#This Row],[CancellationDate]],TODAY())</f>
        <v>45981</v>
      </c>
      <c r="Z717" s="46">
        <f ca="1">IF(AND(Table1[[#This Row],[SubscriptionStart]] &lt;= TODAY(), Table1[[#This Row],[EffectiveEndDate]] &gt;= TODAY()),1,0)</f>
        <v>1</v>
      </c>
      <c r="AA717" s="46">
        <f ca="1">IF(AND(Table1[[#This Row],[SubscriptionStart]]&lt;=Settings!$A$2,Table1[[#This Row],[EffectiveEndDate]]&gt;=Settings!$A$2),1,0)</f>
        <v>0</v>
      </c>
      <c r="AB717" s="46">
        <f ca="1">IF(AND(Table1[[#This Row],[SubscriptionStart]]&lt;=Settings!$B$2,Table1[[#This Row],[EffectiveEndDate]]&gt;=Settings!$B$2),1,0)</f>
        <v>0</v>
      </c>
      <c r="AC717" s="46">
        <f ca="1">IF(AND(Table1[[#This Row],[SubscriptionStart]]&lt;=Settings!$C$2,Table1[[#This Row],[EffectiveEndDate]]&gt;=Settings!$C$2),1,0)</f>
        <v>0</v>
      </c>
      <c r="AD717" s="46">
        <f ca="1">IF(AND(Table1[[#This Row],[SubscriptionStart]]&lt;=Settings!$D$2,Table1[[#This Row],[EffectiveEndDate]]&gt;=Settings!$D$2),1,0)</f>
        <v>0</v>
      </c>
      <c r="AE717" s="46">
        <f ca="1">IF(AND(Table1[[#This Row],[SubscriptionStart]]&lt;=Settings!$E$2,Table1[[#This Row],[EffectiveEndDate]]&gt;=Settings!$E$2),1,0)</f>
        <v>1</v>
      </c>
      <c r="AF717"/>
      <c r="AG717"/>
      <c r="AH717"/>
      <c r="AI717"/>
      <c r="AJ717"/>
      <c r="AK717"/>
    </row>
    <row r="718" spans="1:37">
      <c r="A718" s="3" t="s">
        <v>475</v>
      </c>
      <c r="B718" s="3">
        <v>19</v>
      </c>
      <c r="C718" s="3" t="s">
        <v>23</v>
      </c>
      <c r="D718" s="5">
        <v>45215</v>
      </c>
      <c r="E718" s="5">
        <v>45575</v>
      </c>
      <c r="F718" s="3">
        <f ca="1">TODAY() - Table1[[#This Row],[SubscriptionStart]]</f>
        <v>766</v>
      </c>
      <c r="G718" s="4">
        <v>12</v>
      </c>
      <c r="H718" s="3" t="s">
        <v>24</v>
      </c>
      <c r="I718" s="3" t="s">
        <v>25</v>
      </c>
      <c r="J718" s="7" cm="1">
        <f t="array" ref="J718">_xlfn.IFS(Table1[[#This Row],[Tier]]="Basic",10,Table1[[#This Row],[Tier]]="Standard",18,Table1[[#This Row],[Tier]]="Premium",25)</f>
        <v>25</v>
      </c>
      <c r="K718" s="7" cm="1">
        <f t="array" ref="K71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18" s="7" cm="1">
        <f t="array" ref="L71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18" s="3" t="str" cm="1">
        <f t="array" ref="M718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718" s="3" t="s">
        <v>26</v>
      </c>
      <c r="O718" s="3" t="s">
        <v>40</v>
      </c>
      <c r="P718" s="3" t="s">
        <v>50</v>
      </c>
      <c r="Q718" s="3" t="str" cm="1">
        <f t="array" ref="Q718">_xlfn.IFS(Table1[[#This Row],[TotalRevenue]]&lt;100,"Low",Table1[[#This Row],[TotalRevenue]]&lt;300,"Medium",Table1[[#This Row],[TotalRevenue]]&lt;600,"High",TRUE,"Very High")</f>
        <v>Medium</v>
      </c>
      <c r="R718" s="3" t="str" cm="1">
        <f t="array" ref="R718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718" s="3" t="str">
        <f>IF(Table1[[#This Row],[NextBillingDate]]="","Cancelled",IF(Table1[[#This Row],[CancellationDate]]&lt;&gt;"","Cancelled","Active"))</f>
        <v>Cancelled</v>
      </c>
      <c r="T718" s="7" cm="1">
        <f t="array" ref="T71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18" s="5">
        <v>45575</v>
      </c>
      <c r="W718" s="5">
        <v>45575</v>
      </c>
      <c r="X718" s="3">
        <v>0</v>
      </c>
      <c r="Y718" s="5">
        <f ca="1">IF(Table1[[#This Row],[ChurnStatus]]="Cancelled",Table1[[#This Row],[CancellationDate]],TODAY())</f>
        <v>45575</v>
      </c>
      <c r="Z718" s="46">
        <f ca="1">IF(AND(Table1[[#This Row],[SubscriptionStart]] &lt;= TODAY(), Table1[[#This Row],[EffectiveEndDate]] &gt;= TODAY()),1,0)</f>
        <v>0</v>
      </c>
      <c r="AA718" s="46">
        <f ca="1">IF(AND(Table1[[#This Row],[SubscriptionStart]]&lt;=Settings!$A$2,Table1[[#This Row],[EffectiveEndDate]]&gt;=Settings!$A$2),1,0)</f>
        <v>0</v>
      </c>
      <c r="AB718" s="46">
        <f ca="1">IF(AND(Table1[[#This Row],[SubscriptionStart]]&lt;=Settings!$B$2,Table1[[#This Row],[EffectiveEndDate]]&gt;=Settings!$B$2),1,0)</f>
        <v>0</v>
      </c>
      <c r="AC718" s="46">
        <f ca="1">IF(AND(Table1[[#This Row],[SubscriptionStart]]&lt;=Settings!$C$2,Table1[[#This Row],[EffectiveEndDate]]&gt;=Settings!$C$2),1,0)</f>
        <v>0</v>
      </c>
      <c r="AD718" s="46">
        <f ca="1">IF(AND(Table1[[#This Row],[SubscriptionStart]]&lt;=Settings!$D$2,Table1[[#This Row],[EffectiveEndDate]]&gt;=Settings!$D$2),1,0)</f>
        <v>0</v>
      </c>
      <c r="AE718" s="46">
        <f ca="1">IF(AND(Table1[[#This Row],[SubscriptionStart]]&lt;=Settings!$E$2,Table1[[#This Row],[EffectiveEndDate]]&gt;=Settings!$E$2),1,0)</f>
        <v>1</v>
      </c>
      <c r="AF718"/>
      <c r="AG718"/>
      <c r="AH718"/>
      <c r="AI718"/>
      <c r="AJ718"/>
      <c r="AK718"/>
    </row>
    <row r="719" spans="1:37">
      <c r="A719" s="3" t="s">
        <v>130</v>
      </c>
      <c r="B719" s="3">
        <v>63</v>
      </c>
      <c r="C719" s="3" t="s">
        <v>23</v>
      </c>
      <c r="D719" s="5">
        <v>45215</v>
      </c>
      <c r="F719" s="3">
        <f ca="1">TODAY() - Table1[[#This Row],[SubscriptionStart]]</f>
        <v>766</v>
      </c>
      <c r="G719" s="4">
        <v>26</v>
      </c>
      <c r="H719" s="3" t="s">
        <v>29</v>
      </c>
      <c r="I719" s="3" t="s">
        <v>30</v>
      </c>
      <c r="J719" s="7" cm="1">
        <f t="array" ref="J719">_xlfn.IFS(Table1[[#This Row],[Tier]]="Basic",10,Table1[[#This Row],[Tier]]="Standard",18,Table1[[#This Row],[Tier]]="Premium",25)</f>
        <v>10</v>
      </c>
      <c r="K719" s="7" cm="1">
        <f t="array" ref="K71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719" s="7" cm="1">
        <f t="array" ref="L71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239</v>
      </c>
      <c r="M719" s="3" t="str" cm="1">
        <f t="array" ref="M71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19" s="3" t="s">
        <v>26</v>
      </c>
      <c r="O719" s="3" t="s">
        <v>32</v>
      </c>
      <c r="Q719" s="3" t="str" cm="1">
        <f t="array" ref="Q719">_xlfn.IFS(Table1[[#This Row],[TotalRevenue]]&lt;100,"Low",Table1[[#This Row],[TotalRevenue]]&lt;300,"Medium",Table1[[#This Row],[TotalRevenue]]&lt;600,"High",TRUE,"Very High")</f>
        <v>Medium</v>
      </c>
      <c r="R719" s="3" t="str" cm="1">
        <f t="array" ref="R71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19" s="3" t="str">
        <f>IF(Table1[[#This Row],[NextBillingDate]]="","Cancelled",IF(Table1[[#This Row],[CancellationDate]]&lt;&gt;"","Cancelled","Active"))</f>
        <v>Active</v>
      </c>
      <c r="T719" s="7" cm="1">
        <f t="array" ref="T71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249</v>
      </c>
      <c r="V719" s="5">
        <v>45995</v>
      </c>
      <c r="W719" s="5">
        <v>45995</v>
      </c>
      <c r="X719" s="3">
        <v>25</v>
      </c>
      <c r="Y719" s="5">
        <f ca="1">IF(Table1[[#This Row],[ChurnStatus]]="Cancelled",Table1[[#This Row],[CancellationDate]],TODAY())</f>
        <v>45981</v>
      </c>
      <c r="Z719" s="46">
        <f ca="1">IF(AND(Table1[[#This Row],[SubscriptionStart]] &lt;= TODAY(), Table1[[#This Row],[EffectiveEndDate]] &gt;= TODAY()),1,0)</f>
        <v>1</v>
      </c>
      <c r="AA719" s="46">
        <f ca="1">IF(AND(Table1[[#This Row],[SubscriptionStart]]&lt;=Settings!$A$2,Table1[[#This Row],[EffectiveEndDate]]&gt;=Settings!$A$2),1,0)</f>
        <v>0</v>
      </c>
      <c r="AB719" s="46">
        <f ca="1">IF(AND(Table1[[#This Row],[SubscriptionStart]]&lt;=Settings!$B$2,Table1[[#This Row],[EffectiveEndDate]]&gt;=Settings!$B$2),1,0)</f>
        <v>0</v>
      </c>
      <c r="AC719" s="46">
        <f ca="1">IF(AND(Table1[[#This Row],[SubscriptionStart]]&lt;=Settings!$C$2,Table1[[#This Row],[EffectiveEndDate]]&gt;=Settings!$C$2),1,0)</f>
        <v>0</v>
      </c>
      <c r="AD719" s="46">
        <f ca="1">IF(AND(Table1[[#This Row],[SubscriptionStart]]&lt;=Settings!$D$2,Table1[[#This Row],[EffectiveEndDate]]&gt;=Settings!$D$2),1,0)</f>
        <v>0</v>
      </c>
      <c r="AE719" s="46">
        <f ca="1">IF(AND(Table1[[#This Row],[SubscriptionStart]]&lt;=Settings!$E$2,Table1[[#This Row],[EffectiveEndDate]]&gt;=Settings!$E$2),1,0)</f>
        <v>1</v>
      </c>
      <c r="AF719"/>
      <c r="AG719"/>
      <c r="AH719"/>
      <c r="AI719"/>
      <c r="AJ719"/>
      <c r="AK719"/>
    </row>
    <row r="720" spans="1:37">
      <c r="A720" s="3" t="s">
        <v>362</v>
      </c>
      <c r="B720" s="3">
        <v>49</v>
      </c>
      <c r="C720" s="3" t="s">
        <v>37</v>
      </c>
      <c r="D720" s="5">
        <v>45216</v>
      </c>
      <c r="E720" s="5">
        <v>45246</v>
      </c>
      <c r="F720" s="3">
        <f ca="1">TODAY() - Table1[[#This Row],[SubscriptionStart]]</f>
        <v>765</v>
      </c>
      <c r="G720" s="4">
        <v>1</v>
      </c>
      <c r="H720" s="3" t="s">
        <v>29</v>
      </c>
      <c r="I720" s="3" t="s">
        <v>30</v>
      </c>
      <c r="J720" s="7" cm="1">
        <f t="array" ref="J720">_xlfn.IFS(Table1[[#This Row],[Tier]]="Basic",10,Table1[[#This Row],[Tier]]="Standard",18,Table1[[#This Row],[Tier]]="Premium",25)</f>
        <v>10</v>
      </c>
      <c r="K720" s="7" cm="1">
        <f t="array" ref="K72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720" s="7" cm="1">
        <f t="array" ref="L72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20" s="3" t="str" cm="1">
        <f t="array" ref="M72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20" s="3" t="s">
        <v>26</v>
      </c>
      <c r="O720" s="3" t="s">
        <v>27</v>
      </c>
      <c r="P720" s="3" t="s">
        <v>41</v>
      </c>
      <c r="Q720" s="3" t="str" cm="1">
        <f t="array" ref="Q720">_xlfn.IFS(Table1[[#This Row],[TotalRevenue]]&lt;100,"Low",Table1[[#This Row],[TotalRevenue]]&lt;300,"Medium",Table1[[#This Row],[TotalRevenue]]&lt;600,"High",TRUE,"Very High")</f>
        <v>Low</v>
      </c>
      <c r="R720" s="3" t="str" cm="1">
        <f t="array" ref="R72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20" s="3" t="str">
        <f>IF(Table1[[#This Row],[NextBillingDate]]="","Cancelled",IF(Table1[[#This Row],[CancellationDate]]&lt;&gt;"","Cancelled","Active"))</f>
        <v>Cancelled</v>
      </c>
      <c r="T720" s="7" cm="1">
        <f t="array" ref="T72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20" s="5">
        <v>45246</v>
      </c>
      <c r="W720" s="5">
        <v>45246</v>
      </c>
      <c r="X720" s="3">
        <v>0</v>
      </c>
      <c r="Y720" s="5">
        <f ca="1">IF(Table1[[#This Row],[ChurnStatus]]="Cancelled",Table1[[#This Row],[CancellationDate]],TODAY())</f>
        <v>45246</v>
      </c>
      <c r="Z720" s="46">
        <f ca="1">IF(AND(Table1[[#This Row],[SubscriptionStart]] &lt;= TODAY(), Table1[[#This Row],[EffectiveEndDate]] &gt;= TODAY()),1,0)</f>
        <v>0</v>
      </c>
      <c r="AA720" s="46">
        <f ca="1">IF(AND(Table1[[#This Row],[SubscriptionStart]]&lt;=Settings!$A$2,Table1[[#This Row],[EffectiveEndDate]]&gt;=Settings!$A$2),1,0)</f>
        <v>0</v>
      </c>
      <c r="AB720" s="46">
        <f ca="1">IF(AND(Table1[[#This Row],[SubscriptionStart]]&lt;=Settings!$B$2,Table1[[#This Row],[EffectiveEndDate]]&gt;=Settings!$B$2),1,0)</f>
        <v>0</v>
      </c>
      <c r="AC720" s="46">
        <f ca="1">IF(AND(Table1[[#This Row],[SubscriptionStart]]&lt;=Settings!$C$2,Table1[[#This Row],[EffectiveEndDate]]&gt;=Settings!$C$2),1,0)</f>
        <v>0</v>
      </c>
      <c r="AD720" s="46">
        <f ca="1">IF(AND(Table1[[#This Row],[SubscriptionStart]]&lt;=Settings!$D$2,Table1[[#This Row],[EffectiveEndDate]]&gt;=Settings!$D$2),1,0)</f>
        <v>0</v>
      </c>
      <c r="AE720" s="46">
        <f ca="1">IF(AND(Table1[[#This Row],[SubscriptionStart]]&lt;=Settings!$E$2,Table1[[#This Row],[EffectiveEndDate]]&gt;=Settings!$E$2),1,0)</f>
        <v>0</v>
      </c>
      <c r="AF720"/>
      <c r="AG720"/>
      <c r="AH720"/>
      <c r="AI720"/>
      <c r="AJ720"/>
      <c r="AK720"/>
    </row>
    <row r="721" spans="1:37">
      <c r="A721" s="3" t="s">
        <v>225</v>
      </c>
      <c r="B721" s="3">
        <v>45</v>
      </c>
      <c r="C721" s="3" t="s">
        <v>37</v>
      </c>
      <c r="D721" s="5">
        <v>45216</v>
      </c>
      <c r="E721" s="5">
        <v>45396</v>
      </c>
      <c r="F721" s="3">
        <f ca="1">TODAY() - Table1[[#This Row],[SubscriptionStart]]</f>
        <v>765</v>
      </c>
      <c r="G721" s="4">
        <v>6</v>
      </c>
      <c r="H721" s="3" t="s">
        <v>38</v>
      </c>
      <c r="I721" s="3" t="s">
        <v>25</v>
      </c>
      <c r="J721" s="7" cm="1">
        <f t="array" ref="J721">_xlfn.IFS(Table1[[#This Row],[Tier]]="Basic",10,Table1[[#This Row],[Tier]]="Standard",18,Table1[[#This Row],[Tier]]="Premium",25)</f>
        <v>25</v>
      </c>
      <c r="K721" s="7" cm="1">
        <f t="array" ref="K72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721" s="7" cm="1">
        <f t="array" ref="L72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721" s="3" t="str" cm="1">
        <f t="array" ref="M72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21" s="3" t="s">
        <v>34</v>
      </c>
      <c r="O721" s="3" t="s">
        <v>27</v>
      </c>
      <c r="P721" s="3" t="s">
        <v>41</v>
      </c>
      <c r="Q721" s="3" t="str" cm="1">
        <f t="array" ref="Q721">_xlfn.IFS(Table1[[#This Row],[TotalRevenue]]&lt;100,"Low",Table1[[#This Row],[TotalRevenue]]&lt;300,"Medium",Table1[[#This Row],[TotalRevenue]]&lt;600,"High",TRUE,"Very High")</f>
        <v>Medium</v>
      </c>
      <c r="R721" s="3" t="str" cm="1">
        <f t="array" ref="R72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21" s="3" t="str">
        <f>IF(Table1[[#This Row],[NextBillingDate]]="","Cancelled",IF(Table1[[#This Row],[CancellationDate]]&lt;&gt;"","Cancelled","Active"))</f>
        <v>Cancelled</v>
      </c>
      <c r="T721" s="7" cm="1">
        <f t="array" ref="T72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721" s="5">
        <v>45396</v>
      </c>
      <c r="W721" s="5">
        <v>45396</v>
      </c>
      <c r="X721" s="3">
        <v>0</v>
      </c>
      <c r="Y721" s="5">
        <f ca="1">IF(Table1[[#This Row],[ChurnStatus]]="Cancelled",Table1[[#This Row],[CancellationDate]],TODAY())</f>
        <v>45396</v>
      </c>
      <c r="Z721" s="46">
        <f ca="1">IF(AND(Table1[[#This Row],[SubscriptionStart]] &lt;= TODAY(), Table1[[#This Row],[EffectiveEndDate]] &gt;= TODAY()),1,0)</f>
        <v>0</v>
      </c>
      <c r="AA721" s="46">
        <f ca="1">IF(AND(Table1[[#This Row],[SubscriptionStart]]&lt;=Settings!$A$2,Table1[[#This Row],[EffectiveEndDate]]&gt;=Settings!$A$2),1,0)</f>
        <v>0</v>
      </c>
      <c r="AB721" s="46">
        <f ca="1">IF(AND(Table1[[#This Row],[SubscriptionStart]]&lt;=Settings!$B$2,Table1[[#This Row],[EffectiveEndDate]]&gt;=Settings!$B$2),1,0)</f>
        <v>0</v>
      </c>
      <c r="AC721" s="46">
        <f ca="1">IF(AND(Table1[[#This Row],[SubscriptionStart]]&lt;=Settings!$C$2,Table1[[#This Row],[EffectiveEndDate]]&gt;=Settings!$C$2),1,0)</f>
        <v>0</v>
      </c>
      <c r="AD721" s="46">
        <f ca="1">IF(AND(Table1[[#This Row],[SubscriptionStart]]&lt;=Settings!$D$2,Table1[[#This Row],[EffectiveEndDate]]&gt;=Settings!$D$2),1,0)</f>
        <v>0</v>
      </c>
      <c r="AE721" s="46">
        <f ca="1">IF(AND(Table1[[#This Row],[SubscriptionStart]]&lt;=Settings!$E$2,Table1[[#This Row],[EffectiveEndDate]]&gt;=Settings!$E$2),1,0)</f>
        <v>0</v>
      </c>
      <c r="AF721"/>
      <c r="AG721"/>
      <c r="AH721"/>
      <c r="AI721"/>
      <c r="AJ721"/>
      <c r="AK721"/>
    </row>
    <row r="722" spans="1:37">
      <c r="A722" s="3" t="s">
        <v>45</v>
      </c>
      <c r="B722" s="3">
        <v>67</v>
      </c>
      <c r="C722" s="3" t="s">
        <v>23</v>
      </c>
      <c r="D722" s="5">
        <v>45217</v>
      </c>
      <c r="E722" s="5">
        <v>45247</v>
      </c>
      <c r="F722" s="3">
        <f ca="1">TODAY() - Table1[[#This Row],[SubscriptionStart]]</f>
        <v>764</v>
      </c>
      <c r="G722" s="4">
        <v>1</v>
      </c>
      <c r="H722" s="3" t="s">
        <v>29</v>
      </c>
      <c r="I722" s="3" t="s">
        <v>30</v>
      </c>
      <c r="J722" s="7" cm="1">
        <f t="array" ref="J722">_xlfn.IFS(Table1[[#This Row],[Tier]]="Basic",10,Table1[[#This Row],[Tier]]="Standard",18,Table1[[#This Row],[Tier]]="Premium",25)</f>
        <v>10</v>
      </c>
      <c r="K722" s="7" cm="1">
        <f t="array" ref="K72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722" s="7" cm="1">
        <f t="array" ref="L72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22" s="3" t="str" cm="1">
        <f t="array" ref="M722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22" s="3" t="s">
        <v>31</v>
      </c>
      <c r="O722" s="3" t="s">
        <v>43</v>
      </c>
      <c r="P722" s="3" t="s">
        <v>44</v>
      </c>
      <c r="Q722" s="3" t="str" cm="1">
        <f t="array" ref="Q722">_xlfn.IFS(Table1[[#This Row],[TotalRevenue]]&lt;100,"Low",Table1[[#This Row],[TotalRevenue]]&lt;300,"Medium",Table1[[#This Row],[TotalRevenue]]&lt;600,"High",TRUE,"Very High")</f>
        <v>Low</v>
      </c>
      <c r="R722" s="3" t="str" cm="1">
        <f t="array" ref="R722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22" s="3" t="str">
        <f>IF(Table1[[#This Row],[NextBillingDate]]="","Cancelled",IF(Table1[[#This Row],[CancellationDate]]&lt;&gt;"","Cancelled","Active"))</f>
        <v>Cancelled</v>
      </c>
      <c r="T722" s="7" cm="1">
        <f t="array" ref="T72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22" s="5">
        <v>45247</v>
      </c>
      <c r="W722" s="5">
        <v>45247</v>
      </c>
      <c r="X722" s="3">
        <v>0</v>
      </c>
      <c r="Y722" s="5">
        <f ca="1">IF(Table1[[#This Row],[ChurnStatus]]="Cancelled",Table1[[#This Row],[CancellationDate]],TODAY())</f>
        <v>45247</v>
      </c>
      <c r="Z722" s="46">
        <f ca="1">IF(AND(Table1[[#This Row],[SubscriptionStart]] &lt;= TODAY(), Table1[[#This Row],[EffectiveEndDate]] &gt;= TODAY()),1,0)</f>
        <v>0</v>
      </c>
      <c r="AA722" s="46">
        <f ca="1">IF(AND(Table1[[#This Row],[SubscriptionStart]]&lt;=Settings!$A$2,Table1[[#This Row],[EffectiveEndDate]]&gt;=Settings!$A$2),1,0)</f>
        <v>0</v>
      </c>
      <c r="AB722" s="46">
        <f ca="1">IF(AND(Table1[[#This Row],[SubscriptionStart]]&lt;=Settings!$B$2,Table1[[#This Row],[EffectiveEndDate]]&gt;=Settings!$B$2),1,0)</f>
        <v>0</v>
      </c>
      <c r="AC722" s="46">
        <f ca="1">IF(AND(Table1[[#This Row],[SubscriptionStart]]&lt;=Settings!$C$2,Table1[[#This Row],[EffectiveEndDate]]&gt;=Settings!$C$2),1,0)</f>
        <v>0</v>
      </c>
      <c r="AD722" s="46">
        <f ca="1">IF(AND(Table1[[#This Row],[SubscriptionStart]]&lt;=Settings!$D$2,Table1[[#This Row],[EffectiveEndDate]]&gt;=Settings!$D$2),1,0)</f>
        <v>0</v>
      </c>
      <c r="AE722" s="46">
        <f ca="1">IF(AND(Table1[[#This Row],[SubscriptionStart]]&lt;=Settings!$E$2,Table1[[#This Row],[EffectiveEndDate]]&gt;=Settings!$E$2),1,0)</f>
        <v>0</v>
      </c>
      <c r="AF722"/>
      <c r="AG722"/>
      <c r="AH722"/>
      <c r="AI722"/>
      <c r="AJ722"/>
      <c r="AK722"/>
    </row>
    <row r="723" spans="1:37">
      <c r="A723" s="3" t="s">
        <v>77</v>
      </c>
      <c r="B723" s="3">
        <v>53</v>
      </c>
      <c r="C723" s="3" t="s">
        <v>23</v>
      </c>
      <c r="D723" s="5">
        <v>45218</v>
      </c>
      <c r="E723" s="5">
        <v>45578</v>
      </c>
      <c r="F723" s="3">
        <f ca="1">TODAY() - Table1[[#This Row],[SubscriptionStart]]</f>
        <v>763</v>
      </c>
      <c r="G723" s="4">
        <v>12</v>
      </c>
      <c r="H723" s="3" t="s">
        <v>24</v>
      </c>
      <c r="I723" s="3" t="s">
        <v>25</v>
      </c>
      <c r="J723" s="7" cm="1">
        <f t="array" ref="J723">_xlfn.IFS(Table1[[#This Row],[Tier]]="Basic",10,Table1[[#This Row],[Tier]]="Standard",18,Table1[[#This Row],[Tier]]="Premium",25)</f>
        <v>25</v>
      </c>
      <c r="K723" s="7" cm="1">
        <f t="array" ref="K72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23" s="7" cm="1">
        <f t="array" ref="L72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23" s="3" t="str" cm="1">
        <f t="array" ref="M72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23" s="3" t="s">
        <v>34</v>
      </c>
      <c r="O723" s="3" t="s">
        <v>27</v>
      </c>
      <c r="P723" s="3" t="s">
        <v>41</v>
      </c>
      <c r="Q723" s="3" t="str" cm="1">
        <f t="array" ref="Q723">_xlfn.IFS(Table1[[#This Row],[TotalRevenue]]&lt;100,"Low",Table1[[#This Row],[TotalRevenue]]&lt;300,"Medium",Table1[[#This Row],[TotalRevenue]]&lt;600,"High",TRUE,"Very High")</f>
        <v>Medium</v>
      </c>
      <c r="R723" s="3" t="str" cm="1">
        <f t="array" ref="R72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23" s="3" t="str">
        <f>IF(Table1[[#This Row],[NextBillingDate]]="","Cancelled",IF(Table1[[#This Row],[CancellationDate]]&lt;&gt;"","Cancelled","Active"))</f>
        <v>Cancelled</v>
      </c>
      <c r="T723" s="7" cm="1">
        <f t="array" ref="T72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23" s="5">
        <v>45578</v>
      </c>
      <c r="W723" s="5">
        <v>45578</v>
      </c>
      <c r="X723" s="3">
        <v>0</v>
      </c>
      <c r="Y723" s="5">
        <f ca="1">IF(Table1[[#This Row],[ChurnStatus]]="Cancelled",Table1[[#This Row],[CancellationDate]],TODAY())</f>
        <v>45578</v>
      </c>
      <c r="Z723" s="46">
        <f ca="1">IF(AND(Table1[[#This Row],[SubscriptionStart]] &lt;= TODAY(), Table1[[#This Row],[EffectiveEndDate]] &gt;= TODAY()),1,0)</f>
        <v>0</v>
      </c>
      <c r="AA723" s="46">
        <f ca="1">IF(AND(Table1[[#This Row],[SubscriptionStart]]&lt;=Settings!$A$2,Table1[[#This Row],[EffectiveEndDate]]&gt;=Settings!$A$2),1,0)</f>
        <v>0</v>
      </c>
      <c r="AB723" s="46">
        <f ca="1">IF(AND(Table1[[#This Row],[SubscriptionStart]]&lt;=Settings!$B$2,Table1[[#This Row],[EffectiveEndDate]]&gt;=Settings!$B$2),1,0)</f>
        <v>0</v>
      </c>
      <c r="AC723" s="46">
        <f ca="1">IF(AND(Table1[[#This Row],[SubscriptionStart]]&lt;=Settings!$C$2,Table1[[#This Row],[EffectiveEndDate]]&gt;=Settings!$C$2),1,0)</f>
        <v>0</v>
      </c>
      <c r="AD723" s="46">
        <f ca="1">IF(AND(Table1[[#This Row],[SubscriptionStart]]&lt;=Settings!$D$2,Table1[[#This Row],[EffectiveEndDate]]&gt;=Settings!$D$2),1,0)</f>
        <v>0</v>
      </c>
      <c r="AE723" s="46">
        <f ca="1">IF(AND(Table1[[#This Row],[SubscriptionStart]]&lt;=Settings!$E$2,Table1[[#This Row],[EffectiveEndDate]]&gt;=Settings!$E$2),1,0)</f>
        <v>1</v>
      </c>
      <c r="AF723"/>
      <c r="AG723"/>
      <c r="AH723"/>
      <c r="AI723"/>
      <c r="AJ723"/>
      <c r="AK723"/>
    </row>
    <row r="724" spans="1:37">
      <c r="A724" s="3" t="s">
        <v>471</v>
      </c>
      <c r="B724" s="3">
        <v>62</v>
      </c>
      <c r="C724" s="3" t="s">
        <v>23</v>
      </c>
      <c r="D724" s="5">
        <v>45219</v>
      </c>
      <c r="E724" s="5">
        <v>45579</v>
      </c>
      <c r="F724" s="3">
        <f ca="1">TODAY() - Table1[[#This Row],[SubscriptionStart]]</f>
        <v>762</v>
      </c>
      <c r="G724" s="4">
        <v>12</v>
      </c>
      <c r="H724" s="3" t="s">
        <v>24</v>
      </c>
      <c r="I724" s="3" t="s">
        <v>30</v>
      </c>
      <c r="J724" s="7" cm="1">
        <f t="array" ref="J724">_xlfn.IFS(Table1[[#This Row],[Tier]]="Basic",10,Table1[[#This Row],[Tier]]="Standard",18,Table1[[#This Row],[Tier]]="Premium",25)</f>
        <v>10</v>
      </c>
      <c r="K724" s="7" cm="1">
        <f t="array" ref="K72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24" s="7" cm="1">
        <f t="array" ref="L72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24" s="3" t="str" cm="1">
        <f t="array" ref="M72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24" s="3" t="s">
        <v>52</v>
      </c>
      <c r="O724" s="3" t="s">
        <v>43</v>
      </c>
      <c r="P724" s="3" t="s">
        <v>44</v>
      </c>
      <c r="Q724" s="3" t="str" cm="1">
        <f t="array" ref="Q724">_xlfn.IFS(Table1[[#This Row],[TotalRevenue]]&lt;100,"Low",Table1[[#This Row],[TotalRevenue]]&lt;300,"Medium",Table1[[#This Row],[TotalRevenue]]&lt;600,"High",TRUE,"Very High")</f>
        <v>Low</v>
      </c>
      <c r="R724" s="3" t="str" cm="1">
        <f t="array" ref="R72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24" s="3" t="str">
        <f>IF(Table1[[#This Row],[NextBillingDate]]="","Cancelled",IF(Table1[[#This Row],[CancellationDate]]&lt;&gt;"","Cancelled","Active"))</f>
        <v>Cancelled</v>
      </c>
      <c r="T724" s="7" cm="1">
        <f t="array" ref="T72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24" s="5">
        <v>45579</v>
      </c>
      <c r="W724" s="5">
        <v>45579</v>
      </c>
      <c r="X724" s="3">
        <v>0</v>
      </c>
      <c r="Y724" s="5">
        <f ca="1">IF(Table1[[#This Row],[ChurnStatus]]="Cancelled",Table1[[#This Row],[CancellationDate]],TODAY())</f>
        <v>45579</v>
      </c>
      <c r="Z724" s="46">
        <f ca="1">IF(AND(Table1[[#This Row],[SubscriptionStart]] &lt;= TODAY(), Table1[[#This Row],[EffectiveEndDate]] &gt;= TODAY()),1,0)</f>
        <v>0</v>
      </c>
      <c r="AA724" s="46">
        <f ca="1">IF(AND(Table1[[#This Row],[SubscriptionStart]]&lt;=Settings!$A$2,Table1[[#This Row],[EffectiveEndDate]]&gt;=Settings!$A$2),1,0)</f>
        <v>0</v>
      </c>
      <c r="AB724" s="46">
        <f ca="1">IF(AND(Table1[[#This Row],[SubscriptionStart]]&lt;=Settings!$B$2,Table1[[#This Row],[EffectiveEndDate]]&gt;=Settings!$B$2),1,0)</f>
        <v>0</v>
      </c>
      <c r="AC724" s="46">
        <f ca="1">IF(AND(Table1[[#This Row],[SubscriptionStart]]&lt;=Settings!$C$2,Table1[[#This Row],[EffectiveEndDate]]&gt;=Settings!$C$2),1,0)</f>
        <v>0</v>
      </c>
      <c r="AD724" s="46">
        <f ca="1">IF(AND(Table1[[#This Row],[SubscriptionStart]]&lt;=Settings!$D$2,Table1[[#This Row],[EffectiveEndDate]]&gt;=Settings!$D$2),1,0)</f>
        <v>0</v>
      </c>
      <c r="AE724" s="46">
        <f ca="1">IF(AND(Table1[[#This Row],[SubscriptionStart]]&lt;=Settings!$E$2,Table1[[#This Row],[EffectiveEndDate]]&gt;=Settings!$E$2),1,0)</f>
        <v>1</v>
      </c>
      <c r="AF724"/>
      <c r="AG724"/>
      <c r="AH724"/>
      <c r="AI724"/>
      <c r="AJ724"/>
      <c r="AK724"/>
    </row>
    <row r="725" spans="1:37">
      <c r="A725" s="3" t="s">
        <v>477</v>
      </c>
      <c r="B725" s="3">
        <v>75</v>
      </c>
      <c r="C725" s="3" t="s">
        <v>23</v>
      </c>
      <c r="D725" s="5">
        <v>45220</v>
      </c>
      <c r="E725" s="5">
        <v>45580</v>
      </c>
      <c r="F725" s="3">
        <f ca="1">TODAY() - Table1[[#This Row],[SubscriptionStart]]</f>
        <v>761</v>
      </c>
      <c r="G725" s="4">
        <v>12</v>
      </c>
      <c r="H725" s="3" t="s">
        <v>24</v>
      </c>
      <c r="I725" s="3" t="s">
        <v>25</v>
      </c>
      <c r="J725" s="7" cm="1">
        <f t="array" ref="J725">_xlfn.IFS(Table1[[#This Row],[Tier]]="Basic",10,Table1[[#This Row],[Tier]]="Standard",18,Table1[[#This Row],[Tier]]="Premium",25)</f>
        <v>25</v>
      </c>
      <c r="K725" s="7" cm="1">
        <f t="array" ref="K72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25" s="7" cm="1">
        <f t="array" ref="L72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25" s="3" t="str" cm="1">
        <f t="array" ref="M725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725" s="3" t="s">
        <v>26</v>
      </c>
      <c r="O725" s="3" t="s">
        <v>40</v>
      </c>
      <c r="P725" s="3" t="s">
        <v>50</v>
      </c>
      <c r="Q725" s="3" t="str" cm="1">
        <f t="array" ref="Q725">_xlfn.IFS(Table1[[#This Row],[TotalRevenue]]&lt;100,"Low",Table1[[#This Row],[TotalRevenue]]&lt;300,"Medium",Table1[[#This Row],[TotalRevenue]]&lt;600,"High",TRUE,"Very High")</f>
        <v>Medium</v>
      </c>
      <c r="R725" s="3" t="str" cm="1">
        <f t="array" ref="R725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725" s="3" t="str">
        <f>IF(Table1[[#This Row],[NextBillingDate]]="","Cancelled",IF(Table1[[#This Row],[CancellationDate]]&lt;&gt;"","Cancelled","Active"))</f>
        <v>Cancelled</v>
      </c>
      <c r="T725" s="7" cm="1">
        <f t="array" ref="T72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25" s="5">
        <v>45580</v>
      </c>
      <c r="W725" s="5">
        <v>45580</v>
      </c>
      <c r="X725" s="3">
        <v>0</v>
      </c>
      <c r="Y725" s="5">
        <f ca="1">IF(Table1[[#This Row],[ChurnStatus]]="Cancelled",Table1[[#This Row],[CancellationDate]],TODAY())</f>
        <v>45580</v>
      </c>
      <c r="Z725" s="46">
        <f ca="1">IF(AND(Table1[[#This Row],[SubscriptionStart]] &lt;= TODAY(), Table1[[#This Row],[EffectiveEndDate]] &gt;= TODAY()),1,0)</f>
        <v>0</v>
      </c>
      <c r="AA725" s="46">
        <f ca="1">IF(AND(Table1[[#This Row],[SubscriptionStart]]&lt;=Settings!$A$2,Table1[[#This Row],[EffectiveEndDate]]&gt;=Settings!$A$2),1,0)</f>
        <v>0</v>
      </c>
      <c r="AB725" s="46">
        <f ca="1">IF(AND(Table1[[#This Row],[SubscriptionStart]]&lt;=Settings!$B$2,Table1[[#This Row],[EffectiveEndDate]]&gt;=Settings!$B$2),1,0)</f>
        <v>0</v>
      </c>
      <c r="AC725" s="46">
        <f ca="1">IF(AND(Table1[[#This Row],[SubscriptionStart]]&lt;=Settings!$C$2,Table1[[#This Row],[EffectiveEndDate]]&gt;=Settings!$C$2),1,0)</f>
        <v>0</v>
      </c>
      <c r="AD725" s="46">
        <f ca="1">IF(AND(Table1[[#This Row],[SubscriptionStart]]&lt;=Settings!$D$2,Table1[[#This Row],[EffectiveEndDate]]&gt;=Settings!$D$2),1,0)</f>
        <v>0</v>
      </c>
      <c r="AE725" s="46">
        <f ca="1">IF(AND(Table1[[#This Row],[SubscriptionStart]]&lt;=Settings!$E$2,Table1[[#This Row],[EffectiveEndDate]]&gt;=Settings!$E$2),1,0)</f>
        <v>1</v>
      </c>
      <c r="AF725"/>
      <c r="AG725"/>
      <c r="AH725"/>
      <c r="AI725"/>
      <c r="AJ725"/>
      <c r="AK725"/>
    </row>
    <row r="726" spans="1:37">
      <c r="A726" s="3" t="s">
        <v>510</v>
      </c>
      <c r="B726" s="3">
        <v>63</v>
      </c>
      <c r="C726" s="3" t="s">
        <v>37</v>
      </c>
      <c r="D726" s="5">
        <v>45221</v>
      </c>
      <c r="E726" s="5">
        <v>45251</v>
      </c>
      <c r="F726" s="3">
        <f ca="1">TODAY() - Table1[[#This Row],[SubscriptionStart]]</f>
        <v>760</v>
      </c>
      <c r="G726" s="4">
        <v>1</v>
      </c>
      <c r="H726" s="3" t="s">
        <v>29</v>
      </c>
      <c r="I726" s="3" t="s">
        <v>39</v>
      </c>
      <c r="J726" s="7" cm="1">
        <f t="array" ref="J726">_xlfn.IFS(Table1[[#This Row],[Tier]]="Basic",10,Table1[[#This Row],[Tier]]="Standard",18,Table1[[#This Row],[Tier]]="Premium",25)</f>
        <v>18</v>
      </c>
      <c r="K726" s="7" cm="1">
        <f t="array" ref="K72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726" s="7" cm="1">
        <f t="array" ref="L72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26" s="3" t="str" cm="1">
        <f t="array" ref="M726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26" s="3" t="s">
        <v>52</v>
      </c>
      <c r="O726" s="3" t="s">
        <v>49</v>
      </c>
      <c r="P726" s="3" t="s">
        <v>41</v>
      </c>
      <c r="Q726" s="3" t="str" cm="1">
        <f t="array" ref="Q726">_xlfn.IFS(Table1[[#This Row],[TotalRevenue]]&lt;100,"Low",Table1[[#This Row],[TotalRevenue]]&lt;300,"Medium",Table1[[#This Row],[TotalRevenue]]&lt;600,"High",TRUE,"Very High")</f>
        <v>Low</v>
      </c>
      <c r="R726" s="3" t="str" cm="1">
        <f t="array" ref="R726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26" s="3" t="str">
        <f>IF(Table1[[#This Row],[NextBillingDate]]="","Cancelled",IF(Table1[[#This Row],[CancellationDate]]&lt;&gt;"","Cancelled","Active"))</f>
        <v>Cancelled</v>
      </c>
      <c r="T726" s="7" cm="1">
        <f t="array" ref="T72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26" s="5">
        <v>45251</v>
      </c>
      <c r="W726" s="5">
        <v>45251</v>
      </c>
      <c r="X726" s="3">
        <v>0</v>
      </c>
      <c r="Y726" s="5">
        <f ca="1">IF(Table1[[#This Row],[ChurnStatus]]="Cancelled",Table1[[#This Row],[CancellationDate]],TODAY())</f>
        <v>45251</v>
      </c>
      <c r="Z726" s="46">
        <f ca="1">IF(AND(Table1[[#This Row],[SubscriptionStart]] &lt;= TODAY(), Table1[[#This Row],[EffectiveEndDate]] &gt;= TODAY()),1,0)</f>
        <v>0</v>
      </c>
      <c r="AA726" s="46">
        <f ca="1">IF(AND(Table1[[#This Row],[SubscriptionStart]]&lt;=Settings!$A$2,Table1[[#This Row],[EffectiveEndDate]]&gt;=Settings!$A$2),1,0)</f>
        <v>0</v>
      </c>
      <c r="AB726" s="46">
        <f ca="1">IF(AND(Table1[[#This Row],[SubscriptionStart]]&lt;=Settings!$B$2,Table1[[#This Row],[EffectiveEndDate]]&gt;=Settings!$B$2),1,0)</f>
        <v>0</v>
      </c>
      <c r="AC726" s="46">
        <f ca="1">IF(AND(Table1[[#This Row],[SubscriptionStart]]&lt;=Settings!$C$2,Table1[[#This Row],[EffectiveEndDate]]&gt;=Settings!$C$2),1,0)</f>
        <v>0</v>
      </c>
      <c r="AD726" s="46">
        <f ca="1">IF(AND(Table1[[#This Row],[SubscriptionStart]]&lt;=Settings!$D$2,Table1[[#This Row],[EffectiveEndDate]]&gt;=Settings!$D$2),1,0)</f>
        <v>0</v>
      </c>
      <c r="AE726" s="46">
        <f ca="1">IF(AND(Table1[[#This Row],[SubscriptionStart]]&lt;=Settings!$E$2,Table1[[#This Row],[EffectiveEndDate]]&gt;=Settings!$E$2),1,0)</f>
        <v>0</v>
      </c>
      <c r="AF726"/>
      <c r="AG726"/>
      <c r="AH726"/>
      <c r="AI726"/>
      <c r="AJ726"/>
      <c r="AK726"/>
    </row>
    <row r="727" spans="1:37">
      <c r="A727" s="3" t="s">
        <v>197</v>
      </c>
      <c r="B727" s="3">
        <v>38</v>
      </c>
      <c r="C727" s="3" t="s">
        <v>37</v>
      </c>
      <c r="D727" s="5">
        <v>45221</v>
      </c>
      <c r="E727" s="5">
        <v>45581</v>
      </c>
      <c r="F727" s="3">
        <f ca="1">TODAY() - Table1[[#This Row],[SubscriptionStart]]</f>
        <v>760</v>
      </c>
      <c r="G727" s="4">
        <v>12</v>
      </c>
      <c r="H727" s="3" t="s">
        <v>24</v>
      </c>
      <c r="I727" s="3" t="s">
        <v>25</v>
      </c>
      <c r="J727" s="7" cm="1">
        <f t="array" ref="J727">_xlfn.IFS(Table1[[#This Row],[Tier]]="Basic",10,Table1[[#This Row],[Tier]]="Standard",18,Table1[[#This Row],[Tier]]="Premium",25)</f>
        <v>25</v>
      </c>
      <c r="K727" s="7" cm="1">
        <f t="array" ref="K72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27" s="7" cm="1">
        <f t="array" ref="L72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27" s="3" t="str" cm="1">
        <f t="array" ref="M72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27" s="3" t="s">
        <v>26</v>
      </c>
      <c r="O727" s="3" t="s">
        <v>32</v>
      </c>
      <c r="P727" s="3" t="s">
        <v>47</v>
      </c>
      <c r="Q727" s="3" t="str" cm="1">
        <f t="array" ref="Q727">_xlfn.IFS(Table1[[#This Row],[TotalRevenue]]&lt;100,"Low",Table1[[#This Row],[TotalRevenue]]&lt;300,"Medium",Table1[[#This Row],[TotalRevenue]]&lt;600,"High",TRUE,"Very High")</f>
        <v>Medium</v>
      </c>
      <c r="R727" s="3" t="str" cm="1">
        <f t="array" ref="R72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27" s="3" t="str">
        <f>IF(Table1[[#This Row],[NextBillingDate]]="","Cancelled",IF(Table1[[#This Row],[CancellationDate]]&lt;&gt;"","Cancelled","Active"))</f>
        <v>Cancelled</v>
      </c>
      <c r="T727" s="7" cm="1">
        <f t="array" ref="T72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27" s="5">
        <v>45581</v>
      </c>
      <c r="W727" s="5">
        <v>45581</v>
      </c>
      <c r="X727" s="3">
        <v>0</v>
      </c>
      <c r="Y727" s="5">
        <f ca="1">IF(Table1[[#This Row],[ChurnStatus]]="Cancelled",Table1[[#This Row],[CancellationDate]],TODAY())</f>
        <v>45581</v>
      </c>
      <c r="Z727" s="46">
        <f ca="1">IF(AND(Table1[[#This Row],[SubscriptionStart]] &lt;= TODAY(), Table1[[#This Row],[EffectiveEndDate]] &gt;= TODAY()),1,0)</f>
        <v>0</v>
      </c>
      <c r="AA727" s="46">
        <f ca="1">IF(AND(Table1[[#This Row],[SubscriptionStart]]&lt;=Settings!$A$2,Table1[[#This Row],[EffectiveEndDate]]&gt;=Settings!$A$2),1,0)</f>
        <v>0</v>
      </c>
      <c r="AB727" s="46">
        <f ca="1">IF(AND(Table1[[#This Row],[SubscriptionStart]]&lt;=Settings!$B$2,Table1[[#This Row],[EffectiveEndDate]]&gt;=Settings!$B$2),1,0)</f>
        <v>0</v>
      </c>
      <c r="AC727" s="46">
        <f ca="1">IF(AND(Table1[[#This Row],[SubscriptionStart]]&lt;=Settings!$C$2,Table1[[#This Row],[EffectiveEndDate]]&gt;=Settings!$C$2),1,0)</f>
        <v>0</v>
      </c>
      <c r="AD727" s="46">
        <f ca="1">IF(AND(Table1[[#This Row],[SubscriptionStart]]&lt;=Settings!$D$2,Table1[[#This Row],[EffectiveEndDate]]&gt;=Settings!$D$2),1,0)</f>
        <v>0</v>
      </c>
      <c r="AE727" s="46">
        <f ca="1">IF(AND(Table1[[#This Row],[SubscriptionStart]]&lt;=Settings!$E$2,Table1[[#This Row],[EffectiveEndDate]]&gt;=Settings!$E$2),1,0)</f>
        <v>1</v>
      </c>
      <c r="AF727"/>
      <c r="AG727"/>
      <c r="AH727"/>
      <c r="AI727"/>
      <c r="AJ727"/>
      <c r="AK727"/>
    </row>
    <row r="728" spans="1:37">
      <c r="A728" s="3" t="s">
        <v>116</v>
      </c>
      <c r="B728" s="3">
        <v>64</v>
      </c>
      <c r="C728" s="3" t="s">
        <v>23</v>
      </c>
      <c r="D728" s="5">
        <v>45222</v>
      </c>
      <c r="E728" s="5">
        <v>45252</v>
      </c>
      <c r="F728" s="3">
        <f ca="1">TODAY() - Table1[[#This Row],[SubscriptionStart]]</f>
        <v>759</v>
      </c>
      <c r="G728" s="4">
        <v>1</v>
      </c>
      <c r="H728" s="3" t="s">
        <v>29</v>
      </c>
      <c r="I728" s="3" t="s">
        <v>25</v>
      </c>
      <c r="J728" s="7" cm="1">
        <f t="array" ref="J728">_xlfn.IFS(Table1[[#This Row],[Tier]]="Basic",10,Table1[[#This Row],[Tier]]="Standard",18,Table1[[#This Row],[Tier]]="Premium",25)</f>
        <v>25</v>
      </c>
      <c r="K728" s="7" cm="1">
        <f t="array" ref="K72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728" s="7" cm="1">
        <f t="array" ref="L72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28" s="3" t="str" cm="1">
        <f t="array" ref="M728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28" s="3" t="s">
        <v>31</v>
      </c>
      <c r="O728" s="3" t="s">
        <v>49</v>
      </c>
      <c r="P728" s="3" t="s">
        <v>50</v>
      </c>
      <c r="Q728" s="3" t="str" cm="1">
        <f t="array" ref="Q728">_xlfn.IFS(Table1[[#This Row],[TotalRevenue]]&lt;100,"Low",Table1[[#This Row],[TotalRevenue]]&lt;300,"Medium",Table1[[#This Row],[TotalRevenue]]&lt;600,"High",TRUE,"Very High")</f>
        <v>Low</v>
      </c>
      <c r="R728" s="3" t="str" cm="1">
        <f t="array" ref="R728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28" s="3" t="str">
        <f>IF(Table1[[#This Row],[NextBillingDate]]="","Cancelled",IF(Table1[[#This Row],[CancellationDate]]&lt;&gt;"","Cancelled","Active"))</f>
        <v>Cancelled</v>
      </c>
      <c r="T728" s="7" cm="1">
        <f t="array" ref="T72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28" s="5">
        <v>45252</v>
      </c>
      <c r="W728" s="5">
        <v>45252</v>
      </c>
      <c r="X728" s="3">
        <v>0</v>
      </c>
      <c r="Y728" s="5">
        <f ca="1">IF(Table1[[#This Row],[ChurnStatus]]="Cancelled",Table1[[#This Row],[CancellationDate]],TODAY())</f>
        <v>45252</v>
      </c>
      <c r="Z728" s="46">
        <f ca="1">IF(AND(Table1[[#This Row],[SubscriptionStart]] &lt;= TODAY(), Table1[[#This Row],[EffectiveEndDate]] &gt;= TODAY()),1,0)</f>
        <v>0</v>
      </c>
      <c r="AA728" s="46">
        <f ca="1">IF(AND(Table1[[#This Row],[SubscriptionStart]]&lt;=Settings!$A$2,Table1[[#This Row],[EffectiveEndDate]]&gt;=Settings!$A$2),1,0)</f>
        <v>0</v>
      </c>
      <c r="AB728" s="46">
        <f ca="1">IF(AND(Table1[[#This Row],[SubscriptionStart]]&lt;=Settings!$B$2,Table1[[#This Row],[EffectiveEndDate]]&gt;=Settings!$B$2),1,0)</f>
        <v>0</v>
      </c>
      <c r="AC728" s="46">
        <f ca="1">IF(AND(Table1[[#This Row],[SubscriptionStart]]&lt;=Settings!$C$2,Table1[[#This Row],[EffectiveEndDate]]&gt;=Settings!$C$2),1,0)</f>
        <v>0</v>
      </c>
      <c r="AD728" s="46">
        <f ca="1">IF(AND(Table1[[#This Row],[SubscriptionStart]]&lt;=Settings!$D$2,Table1[[#This Row],[EffectiveEndDate]]&gt;=Settings!$D$2),1,0)</f>
        <v>0</v>
      </c>
      <c r="AE728" s="46">
        <f ca="1">IF(AND(Table1[[#This Row],[SubscriptionStart]]&lt;=Settings!$E$2,Table1[[#This Row],[EffectiveEndDate]]&gt;=Settings!$E$2),1,0)</f>
        <v>0</v>
      </c>
      <c r="AF728"/>
      <c r="AG728"/>
      <c r="AH728"/>
      <c r="AI728"/>
      <c r="AJ728"/>
      <c r="AK728"/>
    </row>
    <row r="729" spans="1:37">
      <c r="A729" s="3" t="s">
        <v>73</v>
      </c>
      <c r="B729" s="3">
        <v>35</v>
      </c>
      <c r="C729" s="3" t="s">
        <v>23</v>
      </c>
      <c r="D729" s="5">
        <v>45222</v>
      </c>
      <c r="E729" s="5">
        <v>45582</v>
      </c>
      <c r="F729" s="3">
        <f ca="1">TODAY() - Table1[[#This Row],[SubscriptionStart]]</f>
        <v>759</v>
      </c>
      <c r="G729" s="4">
        <v>12</v>
      </c>
      <c r="H729" s="3" t="s">
        <v>24</v>
      </c>
      <c r="I729" s="3" t="s">
        <v>39</v>
      </c>
      <c r="J729" s="7" cm="1">
        <f t="array" ref="J729">_xlfn.IFS(Table1[[#This Row],[Tier]]="Basic",10,Table1[[#This Row],[Tier]]="Standard",18,Table1[[#This Row],[Tier]]="Premium",25)</f>
        <v>18</v>
      </c>
      <c r="K729" s="7" cm="1">
        <f t="array" ref="K72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729" s="7" cm="1">
        <f t="array" ref="L72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729" s="3" t="str" cm="1">
        <f t="array" ref="M72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29" s="3" t="s">
        <v>26</v>
      </c>
      <c r="O729" s="3" t="s">
        <v>40</v>
      </c>
      <c r="P729" s="3" t="s">
        <v>41</v>
      </c>
      <c r="Q729" s="3" t="str" cm="1">
        <f t="array" ref="Q729">_xlfn.IFS(Table1[[#This Row],[TotalRevenue]]&lt;100,"Low",Table1[[#This Row],[TotalRevenue]]&lt;300,"Medium",Table1[[#This Row],[TotalRevenue]]&lt;600,"High",TRUE,"Very High")</f>
        <v>Medium</v>
      </c>
      <c r="R729" s="3" t="str" cm="1">
        <f t="array" ref="R72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29" s="3" t="str">
        <f>IF(Table1[[#This Row],[NextBillingDate]]="","Cancelled",IF(Table1[[#This Row],[CancellationDate]]&lt;&gt;"","Cancelled","Active"))</f>
        <v>Cancelled</v>
      </c>
      <c r="T729" s="7" cm="1">
        <f t="array" ref="T72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729" s="5">
        <v>45582</v>
      </c>
      <c r="W729" s="5">
        <v>45582</v>
      </c>
      <c r="X729" s="3">
        <v>0</v>
      </c>
      <c r="Y729" s="5">
        <f ca="1">IF(Table1[[#This Row],[ChurnStatus]]="Cancelled",Table1[[#This Row],[CancellationDate]],TODAY())</f>
        <v>45582</v>
      </c>
      <c r="Z729" s="46">
        <f ca="1">IF(AND(Table1[[#This Row],[SubscriptionStart]] &lt;= TODAY(), Table1[[#This Row],[EffectiveEndDate]] &gt;= TODAY()),1,0)</f>
        <v>0</v>
      </c>
      <c r="AA729" s="46">
        <f ca="1">IF(AND(Table1[[#This Row],[SubscriptionStart]]&lt;=Settings!$A$2,Table1[[#This Row],[EffectiveEndDate]]&gt;=Settings!$A$2),1,0)</f>
        <v>0</v>
      </c>
      <c r="AB729" s="46">
        <f ca="1">IF(AND(Table1[[#This Row],[SubscriptionStart]]&lt;=Settings!$B$2,Table1[[#This Row],[EffectiveEndDate]]&gt;=Settings!$B$2),1,0)</f>
        <v>0</v>
      </c>
      <c r="AC729" s="46">
        <f ca="1">IF(AND(Table1[[#This Row],[SubscriptionStart]]&lt;=Settings!$C$2,Table1[[#This Row],[EffectiveEndDate]]&gt;=Settings!$C$2),1,0)</f>
        <v>0</v>
      </c>
      <c r="AD729" s="46">
        <f ca="1">IF(AND(Table1[[#This Row],[SubscriptionStart]]&lt;=Settings!$D$2,Table1[[#This Row],[EffectiveEndDate]]&gt;=Settings!$D$2),1,0)</f>
        <v>0</v>
      </c>
      <c r="AE729" s="46">
        <f ca="1">IF(AND(Table1[[#This Row],[SubscriptionStart]]&lt;=Settings!$E$2,Table1[[#This Row],[EffectiveEndDate]]&gt;=Settings!$E$2),1,0)</f>
        <v>1</v>
      </c>
      <c r="AF729"/>
      <c r="AG729"/>
      <c r="AH729"/>
      <c r="AI729"/>
      <c r="AJ729"/>
      <c r="AK729"/>
    </row>
    <row r="730" spans="1:37">
      <c r="A730" s="3" t="s">
        <v>92</v>
      </c>
      <c r="B730" s="3">
        <v>68</v>
      </c>
      <c r="C730" s="3" t="s">
        <v>23</v>
      </c>
      <c r="D730" s="5">
        <v>45222</v>
      </c>
      <c r="E730" s="5">
        <v>45582</v>
      </c>
      <c r="F730" s="3">
        <f ca="1">TODAY() - Table1[[#This Row],[SubscriptionStart]]</f>
        <v>759</v>
      </c>
      <c r="G730" s="4">
        <v>12</v>
      </c>
      <c r="H730" s="3" t="s">
        <v>24</v>
      </c>
      <c r="I730" s="3" t="s">
        <v>30</v>
      </c>
      <c r="J730" s="7" cm="1">
        <f t="array" ref="J730">_xlfn.IFS(Table1[[#This Row],[Tier]]="Basic",10,Table1[[#This Row],[Tier]]="Standard",18,Table1[[#This Row],[Tier]]="Premium",25)</f>
        <v>10</v>
      </c>
      <c r="K730" s="7" cm="1">
        <f t="array" ref="K73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30" s="7" cm="1">
        <f t="array" ref="L73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30" s="3" t="str" cm="1">
        <f t="array" ref="M730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30" s="3" t="s">
        <v>31</v>
      </c>
      <c r="O730" s="3" t="s">
        <v>49</v>
      </c>
      <c r="P730" s="3" t="s">
        <v>47</v>
      </c>
      <c r="Q730" s="3" t="str" cm="1">
        <f t="array" ref="Q730">_xlfn.IFS(Table1[[#This Row],[TotalRevenue]]&lt;100,"Low",Table1[[#This Row],[TotalRevenue]]&lt;300,"Medium",Table1[[#This Row],[TotalRevenue]]&lt;600,"High",TRUE,"Very High")</f>
        <v>Low</v>
      </c>
      <c r="R730" s="3" t="str" cm="1">
        <f t="array" ref="R730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30" s="3" t="str">
        <f>IF(Table1[[#This Row],[NextBillingDate]]="","Cancelled",IF(Table1[[#This Row],[CancellationDate]]&lt;&gt;"","Cancelled","Active"))</f>
        <v>Cancelled</v>
      </c>
      <c r="T730" s="7" cm="1">
        <f t="array" ref="T73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30" s="5">
        <v>45582</v>
      </c>
      <c r="W730" s="5">
        <v>45582</v>
      </c>
      <c r="X730" s="3">
        <v>0</v>
      </c>
      <c r="Y730" s="5">
        <f ca="1">IF(Table1[[#This Row],[ChurnStatus]]="Cancelled",Table1[[#This Row],[CancellationDate]],TODAY())</f>
        <v>45582</v>
      </c>
      <c r="Z730" s="46">
        <f ca="1">IF(AND(Table1[[#This Row],[SubscriptionStart]] &lt;= TODAY(), Table1[[#This Row],[EffectiveEndDate]] &gt;= TODAY()),1,0)</f>
        <v>0</v>
      </c>
      <c r="AA730" s="46">
        <f ca="1">IF(AND(Table1[[#This Row],[SubscriptionStart]]&lt;=Settings!$A$2,Table1[[#This Row],[EffectiveEndDate]]&gt;=Settings!$A$2),1,0)</f>
        <v>0</v>
      </c>
      <c r="AB730" s="46">
        <f ca="1">IF(AND(Table1[[#This Row],[SubscriptionStart]]&lt;=Settings!$B$2,Table1[[#This Row],[EffectiveEndDate]]&gt;=Settings!$B$2),1,0)</f>
        <v>0</v>
      </c>
      <c r="AC730" s="46">
        <f ca="1">IF(AND(Table1[[#This Row],[SubscriptionStart]]&lt;=Settings!$C$2,Table1[[#This Row],[EffectiveEndDate]]&gt;=Settings!$C$2),1,0)</f>
        <v>0</v>
      </c>
      <c r="AD730" s="46">
        <f ca="1">IF(AND(Table1[[#This Row],[SubscriptionStart]]&lt;=Settings!$D$2,Table1[[#This Row],[EffectiveEndDate]]&gt;=Settings!$D$2),1,0)</f>
        <v>0</v>
      </c>
      <c r="AE730" s="46">
        <f ca="1">IF(AND(Table1[[#This Row],[SubscriptionStart]]&lt;=Settings!$E$2,Table1[[#This Row],[EffectiveEndDate]]&gt;=Settings!$E$2),1,0)</f>
        <v>1</v>
      </c>
      <c r="AF730"/>
      <c r="AG730"/>
      <c r="AH730"/>
      <c r="AI730"/>
      <c r="AJ730"/>
      <c r="AK730"/>
    </row>
    <row r="731" spans="1:37">
      <c r="A731" s="3" t="s">
        <v>318</v>
      </c>
      <c r="B731" s="3">
        <v>31</v>
      </c>
      <c r="C731" s="3" t="s">
        <v>23</v>
      </c>
      <c r="D731" s="5">
        <v>45225</v>
      </c>
      <c r="E731" s="5">
        <v>45405</v>
      </c>
      <c r="F731" s="3">
        <f ca="1">TODAY() - Table1[[#This Row],[SubscriptionStart]]</f>
        <v>756</v>
      </c>
      <c r="G731" s="4">
        <v>6</v>
      </c>
      <c r="H731" s="3" t="s">
        <v>38</v>
      </c>
      <c r="I731" s="3" t="s">
        <v>39</v>
      </c>
      <c r="J731" s="7" cm="1">
        <f t="array" ref="J731">_xlfn.IFS(Table1[[#This Row],[Tier]]="Basic",10,Table1[[#This Row],[Tier]]="Standard",18,Table1[[#This Row],[Tier]]="Premium",25)</f>
        <v>18</v>
      </c>
      <c r="K731" s="7" cm="1">
        <f t="array" ref="K73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731" s="7" cm="1">
        <f t="array" ref="L73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731" s="3" t="str" cm="1">
        <f t="array" ref="M73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31" s="3" t="s">
        <v>26</v>
      </c>
      <c r="O731" s="3" t="s">
        <v>49</v>
      </c>
      <c r="P731" s="3" t="s">
        <v>44</v>
      </c>
      <c r="Q731" s="3" t="str" cm="1">
        <f t="array" ref="Q731">_xlfn.IFS(Table1[[#This Row],[TotalRevenue]]&lt;100,"Low",Table1[[#This Row],[TotalRevenue]]&lt;300,"Medium",Table1[[#This Row],[TotalRevenue]]&lt;600,"High",TRUE,"Very High")</f>
        <v>Low</v>
      </c>
      <c r="R731" s="3" t="str" cm="1">
        <f t="array" ref="R73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31" s="3" t="str">
        <f>IF(Table1[[#This Row],[NextBillingDate]]="","Cancelled",IF(Table1[[#This Row],[CancellationDate]]&lt;&gt;"","Cancelled","Active"))</f>
        <v>Cancelled</v>
      </c>
      <c r="T731" s="7" cm="1">
        <f t="array" ref="T73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731" s="5">
        <v>45405</v>
      </c>
      <c r="W731" s="5">
        <v>45405</v>
      </c>
      <c r="X731" s="3">
        <v>0</v>
      </c>
      <c r="Y731" s="5">
        <f ca="1">IF(Table1[[#This Row],[ChurnStatus]]="Cancelled",Table1[[#This Row],[CancellationDate]],TODAY())</f>
        <v>45405</v>
      </c>
      <c r="Z731" s="46">
        <f ca="1">IF(AND(Table1[[#This Row],[SubscriptionStart]] &lt;= TODAY(), Table1[[#This Row],[EffectiveEndDate]] &gt;= TODAY()),1,0)</f>
        <v>0</v>
      </c>
      <c r="AA731" s="46">
        <f ca="1">IF(AND(Table1[[#This Row],[SubscriptionStart]]&lt;=Settings!$A$2,Table1[[#This Row],[EffectiveEndDate]]&gt;=Settings!$A$2),1,0)</f>
        <v>0</v>
      </c>
      <c r="AB731" s="46">
        <f ca="1">IF(AND(Table1[[#This Row],[SubscriptionStart]]&lt;=Settings!$B$2,Table1[[#This Row],[EffectiveEndDate]]&gt;=Settings!$B$2),1,0)</f>
        <v>0</v>
      </c>
      <c r="AC731" s="46">
        <f ca="1">IF(AND(Table1[[#This Row],[SubscriptionStart]]&lt;=Settings!$C$2,Table1[[#This Row],[EffectiveEndDate]]&gt;=Settings!$C$2),1,0)</f>
        <v>0</v>
      </c>
      <c r="AD731" s="46">
        <f ca="1">IF(AND(Table1[[#This Row],[SubscriptionStart]]&lt;=Settings!$D$2,Table1[[#This Row],[EffectiveEndDate]]&gt;=Settings!$D$2),1,0)</f>
        <v>0</v>
      </c>
      <c r="AE731" s="46">
        <f ca="1">IF(AND(Table1[[#This Row],[SubscriptionStart]]&lt;=Settings!$E$2,Table1[[#This Row],[EffectiveEndDate]]&gt;=Settings!$E$2),1,0)</f>
        <v>0</v>
      </c>
      <c r="AF731"/>
      <c r="AG731"/>
      <c r="AH731"/>
      <c r="AI731"/>
      <c r="AJ731"/>
      <c r="AK731"/>
    </row>
    <row r="732" spans="1:37">
      <c r="A732" s="3" t="s">
        <v>317</v>
      </c>
      <c r="B732" s="3">
        <v>39</v>
      </c>
      <c r="C732" s="3" t="s">
        <v>37</v>
      </c>
      <c r="D732" s="5">
        <v>45226</v>
      </c>
      <c r="E732" s="5">
        <v>45586</v>
      </c>
      <c r="F732" s="3">
        <f ca="1">TODAY() - Table1[[#This Row],[SubscriptionStart]]</f>
        <v>755</v>
      </c>
      <c r="G732" s="4">
        <v>12</v>
      </c>
      <c r="H732" s="3" t="s">
        <v>24</v>
      </c>
      <c r="I732" s="3" t="s">
        <v>39</v>
      </c>
      <c r="J732" s="7" cm="1">
        <f t="array" ref="J732">_xlfn.IFS(Table1[[#This Row],[Tier]]="Basic",10,Table1[[#This Row],[Tier]]="Standard",18,Table1[[#This Row],[Tier]]="Premium",25)</f>
        <v>18</v>
      </c>
      <c r="K732" s="7" cm="1">
        <f t="array" ref="K73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732" s="7" cm="1">
        <f t="array" ref="L73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732" s="3" t="str" cm="1">
        <f t="array" ref="M73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32" s="3" t="s">
        <v>52</v>
      </c>
      <c r="O732" s="3" t="s">
        <v>40</v>
      </c>
      <c r="P732" s="3" t="s">
        <v>35</v>
      </c>
      <c r="Q732" s="3" t="str" cm="1">
        <f t="array" ref="Q732">_xlfn.IFS(Table1[[#This Row],[TotalRevenue]]&lt;100,"Low",Table1[[#This Row],[TotalRevenue]]&lt;300,"Medium",Table1[[#This Row],[TotalRevenue]]&lt;600,"High",TRUE,"Very High")</f>
        <v>Medium</v>
      </c>
      <c r="R732" s="3" t="str" cm="1">
        <f t="array" ref="R73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32" s="3" t="str">
        <f>IF(Table1[[#This Row],[NextBillingDate]]="","Cancelled",IF(Table1[[#This Row],[CancellationDate]]&lt;&gt;"","Cancelled","Active"))</f>
        <v>Cancelled</v>
      </c>
      <c r="T732" s="7" cm="1">
        <f t="array" ref="T73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732" s="5">
        <v>45586</v>
      </c>
      <c r="W732" s="5">
        <v>45586</v>
      </c>
      <c r="X732" s="3">
        <v>0</v>
      </c>
      <c r="Y732" s="5">
        <f ca="1">IF(Table1[[#This Row],[ChurnStatus]]="Cancelled",Table1[[#This Row],[CancellationDate]],TODAY())</f>
        <v>45586</v>
      </c>
      <c r="Z732" s="46">
        <f ca="1">IF(AND(Table1[[#This Row],[SubscriptionStart]] &lt;= TODAY(), Table1[[#This Row],[EffectiveEndDate]] &gt;= TODAY()),1,0)</f>
        <v>0</v>
      </c>
      <c r="AA732" s="46">
        <f ca="1">IF(AND(Table1[[#This Row],[SubscriptionStart]]&lt;=Settings!$A$2,Table1[[#This Row],[EffectiveEndDate]]&gt;=Settings!$A$2),1,0)</f>
        <v>0</v>
      </c>
      <c r="AB732" s="46">
        <f ca="1">IF(AND(Table1[[#This Row],[SubscriptionStart]]&lt;=Settings!$B$2,Table1[[#This Row],[EffectiveEndDate]]&gt;=Settings!$B$2),1,0)</f>
        <v>0</v>
      </c>
      <c r="AC732" s="46">
        <f ca="1">IF(AND(Table1[[#This Row],[SubscriptionStart]]&lt;=Settings!$C$2,Table1[[#This Row],[EffectiveEndDate]]&gt;=Settings!$C$2),1,0)</f>
        <v>0</v>
      </c>
      <c r="AD732" s="46">
        <f ca="1">IF(AND(Table1[[#This Row],[SubscriptionStart]]&lt;=Settings!$D$2,Table1[[#This Row],[EffectiveEndDate]]&gt;=Settings!$D$2),1,0)</f>
        <v>0</v>
      </c>
      <c r="AE732" s="46">
        <f ca="1">IF(AND(Table1[[#This Row],[SubscriptionStart]]&lt;=Settings!$E$2,Table1[[#This Row],[EffectiveEndDate]]&gt;=Settings!$E$2),1,0)</f>
        <v>1</v>
      </c>
      <c r="AF732"/>
      <c r="AG732"/>
      <c r="AH732"/>
      <c r="AI732"/>
      <c r="AJ732"/>
      <c r="AK732"/>
    </row>
    <row r="733" spans="1:37">
      <c r="A733" s="3" t="s">
        <v>793</v>
      </c>
      <c r="B733" s="3">
        <v>70</v>
      </c>
      <c r="C733" s="3" t="s">
        <v>37</v>
      </c>
      <c r="D733" s="5">
        <v>45226</v>
      </c>
      <c r="E733" s="5">
        <v>45586</v>
      </c>
      <c r="F733" s="3">
        <f ca="1">TODAY() - Table1[[#This Row],[SubscriptionStart]]</f>
        <v>755</v>
      </c>
      <c r="G733" s="4">
        <v>12</v>
      </c>
      <c r="H733" s="3" t="s">
        <v>24</v>
      </c>
      <c r="I733" s="3" t="s">
        <v>39</v>
      </c>
      <c r="J733" s="7" cm="1">
        <f t="array" ref="J733">_xlfn.IFS(Table1[[#This Row],[Tier]]="Basic",10,Table1[[#This Row],[Tier]]="Standard",18,Table1[[#This Row],[Tier]]="Premium",25)</f>
        <v>18</v>
      </c>
      <c r="K733" s="7" cm="1">
        <f t="array" ref="K73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733" s="7" cm="1">
        <f t="array" ref="L73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733" s="3" t="str" cm="1">
        <f t="array" ref="M733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33" s="3" t="s">
        <v>31</v>
      </c>
      <c r="O733" s="3" t="s">
        <v>32</v>
      </c>
      <c r="P733" s="3" t="s">
        <v>44</v>
      </c>
      <c r="Q733" s="3" t="str" cm="1">
        <f t="array" ref="Q733">_xlfn.IFS(Table1[[#This Row],[TotalRevenue]]&lt;100,"Low",Table1[[#This Row],[TotalRevenue]]&lt;300,"Medium",Table1[[#This Row],[TotalRevenue]]&lt;600,"High",TRUE,"Very High")</f>
        <v>Medium</v>
      </c>
      <c r="R733" s="3" t="str" cm="1">
        <f t="array" ref="R733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733" s="3" t="str">
        <f>IF(Table1[[#This Row],[NextBillingDate]]="","Cancelled",IF(Table1[[#This Row],[CancellationDate]]&lt;&gt;"","Cancelled","Active"))</f>
        <v>Cancelled</v>
      </c>
      <c r="T733" s="7" cm="1">
        <f t="array" ref="T73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733" s="5">
        <v>45586</v>
      </c>
      <c r="W733" s="5">
        <v>45586</v>
      </c>
      <c r="X733" s="3">
        <v>0</v>
      </c>
      <c r="Y733" s="5">
        <f ca="1">IF(Table1[[#This Row],[ChurnStatus]]="Cancelled",Table1[[#This Row],[CancellationDate]],TODAY())</f>
        <v>45586</v>
      </c>
      <c r="Z733" s="46">
        <f ca="1">IF(AND(Table1[[#This Row],[SubscriptionStart]] &lt;= TODAY(), Table1[[#This Row],[EffectiveEndDate]] &gt;= TODAY()),1,0)</f>
        <v>0</v>
      </c>
      <c r="AA733" s="46">
        <f ca="1">IF(AND(Table1[[#This Row],[SubscriptionStart]]&lt;=Settings!$A$2,Table1[[#This Row],[EffectiveEndDate]]&gt;=Settings!$A$2),1,0)</f>
        <v>0</v>
      </c>
      <c r="AB733" s="46">
        <f ca="1">IF(AND(Table1[[#This Row],[SubscriptionStart]]&lt;=Settings!$B$2,Table1[[#This Row],[EffectiveEndDate]]&gt;=Settings!$B$2),1,0)</f>
        <v>0</v>
      </c>
      <c r="AC733" s="46">
        <f ca="1">IF(AND(Table1[[#This Row],[SubscriptionStart]]&lt;=Settings!$C$2,Table1[[#This Row],[EffectiveEndDate]]&gt;=Settings!$C$2),1,0)</f>
        <v>0</v>
      </c>
      <c r="AD733" s="46">
        <f ca="1">IF(AND(Table1[[#This Row],[SubscriptionStart]]&lt;=Settings!$D$2,Table1[[#This Row],[EffectiveEndDate]]&gt;=Settings!$D$2),1,0)</f>
        <v>0</v>
      </c>
      <c r="AE733" s="46">
        <f ca="1">IF(AND(Table1[[#This Row],[SubscriptionStart]]&lt;=Settings!$E$2,Table1[[#This Row],[EffectiveEndDate]]&gt;=Settings!$E$2),1,0)</f>
        <v>1</v>
      </c>
      <c r="AF733"/>
      <c r="AG733"/>
      <c r="AH733"/>
      <c r="AI733"/>
      <c r="AJ733"/>
      <c r="AK733"/>
    </row>
    <row r="734" spans="1:37">
      <c r="A734" s="3" t="s">
        <v>643</v>
      </c>
      <c r="B734" s="3">
        <v>35</v>
      </c>
      <c r="C734" s="3" t="s">
        <v>37</v>
      </c>
      <c r="D734" s="5">
        <v>45226</v>
      </c>
      <c r="F734" s="3">
        <f ca="1">TODAY() - Table1[[#This Row],[SubscriptionStart]]</f>
        <v>755</v>
      </c>
      <c r="G734" s="4">
        <v>30</v>
      </c>
      <c r="H734" s="3" t="s">
        <v>38</v>
      </c>
      <c r="I734" s="3" t="s">
        <v>30</v>
      </c>
      <c r="J734" s="7" cm="1">
        <f t="array" ref="J734">_xlfn.IFS(Table1[[#This Row],[Tier]]="Basic",10,Table1[[#This Row],[Tier]]="Standard",18,Table1[[#This Row],[Tier]]="Premium",25)</f>
        <v>10</v>
      </c>
      <c r="K734" s="7" cm="1">
        <f t="array" ref="K73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734" s="7" cm="1">
        <f t="array" ref="L73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216</v>
      </c>
      <c r="M734" s="3" t="str" cm="1">
        <f t="array" ref="M73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34" s="3" t="s">
        <v>26</v>
      </c>
      <c r="O734" s="3" t="s">
        <v>49</v>
      </c>
      <c r="Q734" s="3" t="str" cm="1">
        <f t="array" ref="Q734">_xlfn.IFS(Table1[[#This Row],[TotalRevenue]]&lt;100,"Low",Table1[[#This Row],[TotalRevenue]]&lt;300,"Medium",Table1[[#This Row],[TotalRevenue]]&lt;600,"High",TRUE,"Very High")</f>
        <v>Medium</v>
      </c>
      <c r="R734" s="3" t="str" cm="1">
        <f t="array" ref="R73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34" s="3" t="str">
        <f>IF(Table1[[#This Row],[NextBillingDate]]="","Cancelled",IF(Table1[[#This Row],[CancellationDate]]&lt;&gt;"","Cancelled","Active"))</f>
        <v>Active</v>
      </c>
      <c r="T734" s="7" cm="1">
        <f t="array" ref="T73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261</v>
      </c>
      <c r="V734" s="5">
        <v>46126</v>
      </c>
      <c r="W734" s="5">
        <v>46126</v>
      </c>
      <c r="X734" s="3">
        <v>4</v>
      </c>
      <c r="Y734" s="5">
        <f ca="1">IF(Table1[[#This Row],[ChurnStatus]]="Cancelled",Table1[[#This Row],[CancellationDate]],TODAY())</f>
        <v>45981</v>
      </c>
      <c r="Z734" s="46">
        <f ca="1">IF(AND(Table1[[#This Row],[SubscriptionStart]] &lt;= TODAY(), Table1[[#This Row],[EffectiveEndDate]] &gt;= TODAY()),1,0)</f>
        <v>1</v>
      </c>
      <c r="AA734" s="46">
        <f ca="1">IF(AND(Table1[[#This Row],[SubscriptionStart]]&lt;=Settings!$A$2,Table1[[#This Row],[EffectiveEndDate]]&gt;=Settings!$A$2),1,0)</f>
        <v>0</v>
      </c>
      <c r="AB734" s="46">
        <f ca="1">IF(AND(Table1[[#This Row],[SubscriptionStart]]&lt;=Settings!$B$2,Table1[[#This Row],[EffectiveEndDate]]&gt;=Settings!$B$2),1,0)</f>
        <v>0</v>
      </c>
      <c r="AC734" s="46">
        <f ca="1">IF(AND(Table1[[#This Row],[SubscriptionStart]]&lt;=Settings!$C$2,Table1[[#This Row],[EffectiveEndDate]]&gt;=Settings!$C$2),1,0)</f>
        <v>0</v>
      </c>
      <c r="AD734" s="46">
        <f ca="1">IF(AND(Table1[[#This Row],[SubscriptionStart]]&lt;=Settings!$D$2,Table1[[#This Row],[EffectiveEndDate]]&gt;=Settings!$D$2),1,0)</f>
        <v>0</v>
      </c>
      <c r="AE734" s="46">
        <f ca="1">IF(AND(Table1[[#This Row],[SubscriptionStart]]&lt;=Settings!$E$2,Table1[[#This Row],[EffectiveEndDate]]&gt;=Settings!$E$2),1,0)</f>
        <v>1</v>
      </c>
      <c r="AF734"/>
      <c r="AG734"/>
      <c r="AH734"/>
      <c r="AI734"/>
      <c r="AJ734"/>
      <c r="AK734"/>
    </row>
    <row r="735" spans="1:37">
      <c r="A735" s="3" t="s">
        <v>304</v>
      </c>
      <c r="B735" s="3">
        <v>67</v>
      </c>
      <c r="C735" s="3" t="s">
        <v>37</v>
      </c>
      <c r="D735" s="5">
        <v>45227</v>
      </c>
      <c r="E735" s="5">
        <v>45257</v>
      </c>
      <c r="F735" s="3">
        <f ca="1">TODAY() - Table1[[#This Row],[SubscriptionStart]]</f>
        <v>754</v>
      </c>
      <c r="G735" s="4">
        <v>1</v>
      </c>
      <c r="H735" s="3" t="s">
        <v>29</v>
      </c>
      <c r="I735" s="3" t="s">
        <v>25</v>
      </c>
      <c r="J735" s="7" cm="1">
        <f t="array" ref="J735">_xlfn.IFS(Table1[[#This Row],[Tier]]="Basic",10,Table1[[#This Row],[Tier]]="Standard",18,Table1[[#This Row],[Tier]]="Premium",25)</f>
        <v>25</v>
      </c>
      <c r="K735" s="7" cm="1">
        <f t="array" ref="K73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735" s="7" cm="1">
        <f t="array" ref="L73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35" s="3" t="str" cm="1">
        <f t="array" ref="M735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35" s="3" t="s">
        <v>34</v>
      </c>
      <c r="O735" s="3" t="s">
        <v>43</v>
      </c>
      <c r="P735" s="3" t="s">
        <v>35</v>
      </c>
      <c r="Q735" s="3" t="str" cm="1">
        <f t="array" ref="Q735">_xlfn.IFS(Table1[[#This Row],[TotalRevenue]]&lt;100,"Low",Table1[[#This Row],[TotalRevenue]]&lt;300,"Medium",Table1[[#This Row],[TotalRevenue]]&lt;600,"High",TRUE,"Very High")</f>
        <v>Low</v>
      </c>
      <c r="R735" s="3" t="str" cm="1">
        <f t="array" ref="R735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35" s="3" t="str">
        <f>IF(Table1[[#This Row],[NextBillingDate]]="","Cancelled",IF(Table1[[#This Row],[CancellationDate]]&lt;&gt;"","Cancelled","Active"))</f>
        <v>Cancelled</v>
      </c>
      <c r="T735" s="7" cm="1">
        <f t="array" ref="T73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35" s="5">
        <v>45257</v>
      </c>
      <c r="W735" s="5">
        <v>45257</v>
      </c>
      <c r="X735" s="3">
        <v>0</v>
      </c>
      <c r="Y735" s="5">
        <f ca="1">IF(Table1[[#This Row],[ChurnStatus]]="Cancelled",Table1[[#This Row],[CancellationDate]],TODAY())</f>
        <v>45257</v>
      </c>
      <c r="Z735" s="46">
        <f ca="1">IF(AND(Table1[[#This Row],[SubscriptionStart]] &lt;= TODAY(), Table1[[#This Row],[EffectiveEndDate]] &gt;= TODAY()),1,0)</f>
        <v>0</v>
      </c>
      <c r="AA735" s="46">
        <f ca="1">IF(AND(Table1[[#This Row],[SubscriptionStart]]&lt;=Settings!$A$2,Table1[[#This Row],[EffectiveEndDate]]&gt;=Settings!$A$2),1,0)</f>
        <v>0</v>
      </c>
      <c r="AB735" s="46">
        <f ca="1">IF(AND(Table1[[#This Row],[SubscriptionStart]]&lt;=Settings!$B$2,Table1[[#This Row],[EffectiveEndDate]]&gt;=Settings!$B$2),1,0)</f>
        <v>0</v>
      </c>
      <c r="AC735" s="46">
        <f ca="1">IF(AND(Table1[[#This Row],[SubscriptionStart]]&lt;=Settings!$C$2,Table1[[#This Row],[EffectiveEndDate]]&gt;=Settings!$C$2),1,0)</f>
        <v>0</v>
      </c>
      <c r="AD735" s="46">
        <f ca="1">IF(AND(Table1[[#This Row],[SubscriptionStart]]&lt;=Settings!$D$2,Table1[[#This Row],[EffectiveEndDate]]&gt;=Settings!$D$2),1,0)</f>
        <v>0</v>
      </c>
      <c r="AE735" s="46">
        <f ca="1">IF(AND(Table1[[#This Row],[SubscriptionStart]]&lt;=Settings!$E$2,Table1[[#This Row],[EffectiveEndDate]]&gt;=Settings!$E$2),1,0)</f>
        <v>0</v>
      </c>
      <c r="AF735"/>
      <c r="AG735"/>
      <c r="AH735"/>
      <c r="AI735"/>
      <c r="AJ735"/>
      <c r="AK735"/>
    </row>
    <row r="736" spans="1:37">
      <c r="A736" s="3" t="s">
        <v>591</v>
      </c>
      <c r="B736" s="3">
        <v>74</v>
      </c>
      <c r="C736" s="3" t="s">
        <v>37</v>
      </c>
      <c r="D736" s="5">
        <v>45228</v>
      </c>
      <c r="E736" s="5">
        <v>45588</v>
      </c>
      <c r="F736" s="3">
        <f ca="1">TODAY() - Table1[[#This Row],[SubscriptionStart]]</f>
        <v>753</v>
      </c>
      <c r="G736" s="4">
        <v>12</v>
      </c>
      <c r="H736" s="3" t="s">
        <v>24</v>
      </c>
      <c r="I736" s="3" t="s">
        <v>25</v>
      </c>
      <c r="J736" s="7" cm="1">
        <f t="array" ref="J736">_xlfn.IFS(Table1[[#This Row],[Tier]]="Basic",10,Table1[[#This Row],[Tier]]="Standard",18,Table1[[#This Row],[Tier]]="Premium",25)</f>
        <v>25</v>
      </c>
      <c r="K736" s="7" cm="1">
        <f t="array" ref="K73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36" s="7" cm="1">
        <f t="array" ref="L73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36" s="3" t="str" cm="1">
        <f t="array" ref="M736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736" s="3" t="s">
        <v>34</v>
      </c>
      <c r="O736" s="3" t="s">
        <v>49</v>
      </c>
      <c r="P736" s="3" t="s">
        <v>44</v>
      </c>
      <c r="Q736" s="3" t="str" cm="1">
        <f t="array" ref="Q736">_xlfn.IFS(Table1[[#This Row],[TotalRevenue]]&lt;100,"Low",Table1[[#This Row],[TotalRevenue]]&lt;300,"Medium",Table1[[#This Row],[TotalRevenue]]&lt;600,"High",TRUE,"Very High")</f>
        <v>Medium</v>
      </c>
      <c r="R736" s="3" t="str" cm="1">
        <f t="array" ref="R736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736" s="3" t="str">
        <f>IF(Table1[[#This Row],[NextBillingDate]]="","Cancelled",IF(Table1[[#This Row],[CancellationDate]]&lt;&gt;"","Cancelled","Active"))</f>
        <v>Cancelled</v>
      </c>
      <c r="T736" s="7" cm="1">
        <f t="array" ref="T73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36" s="5">
        <v>45588</v>
      </c>
      <c r="W736" s="5">
        <v>45588</v>
      </c>
      <c r="X736" s="3">
        <v>0</v>
      </c>
      <c r="Y736" s="5">
        <f ca="1">IF(Table1[[#This Row],[ChurnStatus]]="Cancelled",Table1[[#This Row],[CancellationDate]],TODAY())</f>
        <v>45588</v>
      </c>
      <c r="Z736" s="46">
        <f ca="1">IF(AND(Table1[[#This Row],[SubscriptionStart]] &lt;= TODAY(), Table1[[#This Row],[EffectiveEndDate]] &gt;= TODAY()),1,0)</f>
        <v>0</v>
      </c>
      <c r="AA736" s="46">
        <f ca="1">IF(AND(Table1[[#This Row],[SubscriptionStart]]&lt;=Settings!$A$2,Table1[[#This Row],[EffectiveEndDate]]&gt;=Settings!$A$2),1,0)</f>
        <v>0</v>
      </c>
      <c r="AB736" s="46">
        <f ca="1">IF(AND(Table1[[#This Row],[SubscriptionStart]]&lt;=Settings!$B$2,Table1[[#This Row],[EffectiveEndDate]]&gt;=Settings!$B$2),1,0)</f>
        <v>0</v>
      </c>
      <c r="AC736" s="46">
        <f ca="1">IF(AND(Table1[[#This Row],[SubscriptionStart]]&lt;=Settings!$C$2,Table1[[#This Row],[EffectiveEndDate]]&gt;=Settings!$C$2),1,0)</f>
        <v>0</v>
      </c>
      <c r="AD736" s="46">
        <f ca="1">IF(AND(Table1[[#This Row],[SubscriptionStart]]&lt;=Settings!$D$2,Table1[[#This Row],[EffectiveEndDate]]&gt;=Settings!$D$2),1,0)</f>
        <v>0</v>
      </c>
      <c r="AE736" s="46">
        <f ca="1">IF(AND(Table1[[#This Row],[SubscriptionStart]]&lt;=Settings!$E$2,Table1[[#This Row],[EffectiveEndDate]]&gt;=Settings!$E$2),1,0)</f>
        <v>1</v>
      </c>
      <c r="AF736"/>
      <c r="AG736"/>
      <c r="AH736"/>
      <c r="AI736"/>
      <c r="AJ736"/>
      <c r="AK736"/>
    </row>
    <row r="737" spans="1:37">
      <c r="A737" s="3" t="s">
        <v>227</v>
      </c>
      <c r="B737" s="3">
        <v>73</v>
      </c>
      <c r="C737" s="3" t="s">
        <v>23</v>
      </c>
      <c r="D737" s="5">
        <v>45228</v>
      </c>
      <c r="F737" s="3">
        <f ca="1">TODAY() - Table1[[#This Row],[SubscriptionStart]]</f>
        <v>753</v>
      </c>
      <c r="G737" s="4">
        <v>36</v>
      </c>
      <c r="H737" s="3" t="s">
        <v>24</v>
      </c>
      <c r="I737" s="3" t="s">
        <v>25</v>
      </c>
      <c r="J737" s="7" cm="1">
        <f t="array" ref="J737">_xlfn.IFS(Table1[[#This Row],[Tier]]="Basic",10,Table1[[#This Row],[Tier]]="Standard",18,Table1[[#This Row],[Tier]]="Premium",25)</f>
        <v>25</v>
      </c>
      <c r="K737" s="7" cm="1">
        <f t="array" ref="K73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16.666666666666664</v>
      </c>
      <c r="L737" s="7" cm="1">
        <f t="array" ref="L73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580</v>
      </c>
      <c r="M737" s="3" t="str" cm="1">
        <f t="array" ref="M737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737" s="3" t="s">
        <v>52</v>
      </c>
      <c r="O737" s="3" t="s">
        <v>43</v>
      </c>
      <c r="Q737" s="3" t="str" cm="1">
        <f t="array" ref="Q737">_xlfn.IFS(Table1[[#This Row],[TotalRevenue]]&lt;100,"Low",Table1[[#This Row],[TotalRevenue]]&lt;300,"Medium",Table1[[#This Row],[TotalRevenue]]&lt;600,"High",TRUE,"Very High")</f>
        <v>High</v>
      </c>
      <c r="R737" s="3" t="str" cm="1">
        <f t="array" ref="R737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737" s="3" t="str">
        <f>IF(Table1[[#This Row],[NextBillingDate]]="","Cancelled",IF(Table1[[#This Row],[CancellationDate]]&lt;&gt;"","Cancelled","Active"))</f>
        <v>Active</v>
      </c>
      <c r="T737" s="7" cm="1">
        <f t="array" ref="T73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780</v>
      </c>
      <c r="V737" s="5">
        <v>46308</v>
      </c>
      <c r="W737" s="5">
        <v>46308</v>
      </c>
      <c r="X737" s="3">
        <v>2</v>
      </c>
      <c r="Y737" s="5">
        <f ca="1">IF(Table1[[#This Row],[ChurnStatus]]="Cancelled",Table1[[#This Row],[CancellationDate]],TODAY())</f>
        <v>45981</v>
      </c>
      <c r="Z737" s="46">
        <f ca="1">IF(AND(Table1[[#This Row],[SubscriptionStart]] &lt;= TODAY(), Table1[[#This Row],[EffectiveEndDate]] &gt;= TODAY()),1,0)</f>
        <v>1</v>
      </c>
      <c r="AA737" s="46">
        <f ca="1">IF(AND(Table1[[#This Row],[SubscriptionStart]]&lt;=Settings!$A$2,Table1[[#This Row],[EffectiveEndDate]]&gt;=Settings!$A$2),1,0)</f>
        <v>0</v>
      </c>
      <c r="AB737" s="46">
        <f ca="1">IF(AND(Table1[[#This Row],[SubscriptionStart]]&lt;=Settings!$B$2,Table1[[#This Row],[EffectiveEndDate]]&gt;=Settings!$B$2),1,0)</f>
        <v>0</v>
      </c>
      <c r="AC737" s="46">
        <f ca="1">IF(AND(Table1[[#This Row],[SubscriptionStart]]&lt;=Settings!$C$2,Table1[[#This Row],[EffectiveEndDate]]&gt;=Settings!$C$2),1,0)</f>
        <v>0</v>
      </c>
      <c r="AD737" s="46">
        <f ca="1">IF(AND(Table1[[#This Row],[SubscriptionStart]]&lt;=Settings!$D$2,Table1[[#This Row],[EffectiveEndDate]]&gt;=Settings!$D$2),1,0)</f>
        <v>0</v>
      </c>
      <c r="AE737" s="46">
        <f ca="1">IF(AND(Table1[[#This Row],[SubscriptionStart]]&lt;=Settings!$E$2,Table1[[#This Row],[EffectiveEndDate]]&gt;=Settings!$E$2),1,0)</f>
        <v>1</v>
      </c>
      <c r="AF737"/>
      <c r="AG737"/>
      <c r="AH737"/>
      <c r="AI737"/>
      <c r="AJ737"/>
      <c r="AK737"/>
    </row>
    <row r="738" spans="1:37">
      <c r="A738" s="3" t="s">
        <v>679</v>
      </c>
      <c r="B738" s="3">
        <v>36</v>
      </c>
      <c r="C738" s="3" t="s">
        <v>37</v>
      </c>
      <c r="D738" s="5">
        <v>45229</v>
      </c>
      <c r="E738" s="5">
        <v>45409</v>
      </c>
      <c r="F738" s="3">
        <f ca="1">TODAY() - Table1[[#This Row],[SubscriptionStart]]</f>
        <v>752</v>
      </c>
      <c r="G738" s="4">
        <v>6</v>
      </c>
      <c r="H738" s="3" t="s">
        <v>38</v>
      </c>
      <c r="I738" s="3" t="s">
        <v>30</v>
      </c>
      <c r="J738" s="7" cm="1">
        <f t="array" ref="J738">_xlfn.IFS(Table1[[#This Row],[Tier]]="Basic",10,Table1[[#This Row],[Tier]]="Standard",18,Table1[[#This Row],[Tier]]="Premium",25)</f>
        <v>10</v>
      </c>
      <c r="K738" s="7" cm="1">
        <f t="array" ref="K73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738" s="7" cm="1">
        <f t="array" ref="L73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738" s="3" t="str" cm="1">
        <f t="array" ref="M73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38" s="3" t="s">
        <v>31</v>
      </c>
      <c r="O738" s="3" t="s">
        <v>32</v>
      </c>
      <c r="P738" s="3" t="s">
        <v>44</v>
      </c>
      <c r="Q738" s="3" t="str" cm="1">
        <f t="array" ref="Q738">_xlfn.IFS(Table1[[#This Row],[TotalRevenue]]&lt;100,"Low",Table1[[#This Row],[TotalRevenue]]&lt;300,"Medium",Table1[[#This Row],[TotalRevenue]]&lt;600,"High",TRUE,"Very High")</f>
        <v>Low</v>
      </c>
      <c r="R738" s="3" t="str" cm="1">
        <f t="array" ref="R73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38" s="3" t="str">
        <f>IF(Table1[[#This Row],[NextBillingDate]]="","Cancelled",IF(Table1[[#This Row],[CancellationDate]]&lt;&gt;"","Cancelled","Active"))</f>
        <v>Cancelled</v>
      </c>
      <c r="T738" s="7" cm="1">
        <f t="array" ref="T73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738" s="5">
        <v>45409</v>
      </c>
      <c r="W738" s="5">
        <v>45409</v>
      </c>
      <c r="X738" s="3">
        <v>0</v>
      </c>
      <c r="Y738" s="5">
        <f ca="1">IF(Table1[[#This Row],[ChurnStatus]]="Cancelled",Table1[[#This Row],[CancellationDate]],TODAY())</f>
        <v>45409</v>
      </c>
      <c r="Z738" s="46">
        <f ca="1">IF(AND(Table1[[#This Row],[SubscriptionStart]] &lt;= TODAY(), Table1[[#This Row],[EffectiveEndDate]] &gt;= TODAY()),1,0)</f>
        <v>0</v>
      </c>
      <c r="AA738" s="46">
        <f ca="1">IF(AND(Table1[[#This Row],[SubscriptionStart]]&lt;=Settings!$A$2,Table1[[#This Row],[EffectiveEndDate]]&gt;=Settings!$A$2),1,0)</f>
        <v>0</v>
      </c>
      <c r="AB738" s="46">
        <f ca="1">IF(AND(Table1[[#This Row],[SubscriptionStart]]&lt;=Settings!$B$2,Table1[[#This Row],[EffectiveEndDate]]&gt;=Settings!$B$2),1,0)</f>
        <v>0</v>
      </c>
      <c r="AC738" s="46">
        <f ca="1">IF(AND(Table1[[#This Row],[SubscriptionStart]]&lt;=Settings!$C$2,Table1[[#This Row],[EffectiveEndDate]]&gt;=Settings!$C$2),1,0)</f>
        <v>0</v>
      </c>
      <c r="AD738" s="46">
        <f ca="1">IF(AND(Table1[[#This Row],[SubscriptionStart]]&lt;=Settings!$D$2,Table1[[#This Row],[EffectiveEndDate]]&gt;=Settings!$D$2),1,0)</f>
        <v>0</v>
      </c>
      <c r="AE738" s="46">
        <f ca="1">IF(AND(Table1[[#This Row],[SubscriptionStart]]&lt;=Settings!$E$2,Table1[[#This Row],[EffectiveEndDate]]&gt;=Settings!$E$2),1,0)</f>
        <v>0</v>
      </c>
      <c r="AF738"/>
      <c r="AG738"/>
      <c r="AH738"/>
      <c r="AI738"/>
      <c r="AJ738"/>
      <c r="AK738"/>
    </row>
    <row r="739" spans="1:37">
      <c r="A739" s="3" t="s">
        <v>298</v>
      </c>
      <c r="B739" s="3">
        <v>66</v>
      </c>
      <c r="C739" s="3" t="s">
        <v>37</v>
      </c>
      <c r="D739" s="5">
        <v>45229</v>
      </c>
      <c r="E739" s="5">
        <v>45589</v>
      </c>
      <c r="F739" s="3">
        <f ca="1">TODAY() - Table1[[#This Row],[SubscriptionStart]]</f>
        <v>752</v>
      </c>
      <c r="G739" s="4">
        <v>12</v>
      </c>
      <c r="H739" s="3" t="s">
        <v>24</v>
      </c>
      <c r="I739" s="3" t="s">
        <v>30</v>
      </c>
      <c r="J739" s="7" cm="1">
        <f t="array" ref="J739">_xlfn.IFS(Table1[[#This Row],[Tier]]="Basic",10,Table1[[#This Row],[Tier]]="Standard",18,Table1[[#This Row],[Tier]]="Premium",25)</f>
        <v>10</v>
      </c>
      <c r="K739" s="7" cm="1">
        <f t="array" ref="K73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39" s="7" cm="1">
        <f t="array" ref="L73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39" s="3" t="str" cm="1">
        <f t="array" ref="M73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39" s="3" t="s">
        <v>34</v>
      </c>
      <c r="O739" s="3" t="s">
        <v>43</v>
      </c>
      <c r="P739" s="3" t="s">
        <v>35</v>
      </c>
      <c r="Q739" s="3" t="str" cm="1">
        <f t="array" ref="Q739">_xlfn.IFS(Table1[[#This Row],[TotalRevenue]]&lt;100,"Low",Table1[[#This Row],[TotalRevenue]]&lt;300,"Medium",Table1[[#This Row],[TotalRevenue]]&lt;600,"High",TRUE,"Very High")</f>
        <v>Low</v>
      </c>
      <c r="R739" s="3" t="str" cm="1">
        <f t="array" ref="R73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39" s="3" t="str">
        <f>IF(Table1[[#This Row],[NextBillingDate]]="","Cancelled",IF(Table1[[#This Row],[CancellationDate]]&lt;&gt;"","Cancelled","Active"))</f>
        <v>Cancelled</v>
      </c>
      <c r="T739" s="7" cm="1">
        <f t="array" ref="T73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39" s="5">
        <v>45589</v>
      </c>
      <c r="W739" s="5">
        <v>45589</v>
      </c>
      <c r="X739" s="3">
        <v>0</v>
      </c>
      <c r="Y739" s="5">
        <f ca="1">IF(Table1[[#This Row],[ChurnStatus]]="Cancelled",Table1[[#This Row],[CancellationDate]],TODAY())</f>
        <v>45589</v>
      </c>
      <c r="Z739" s="46">
        <f ca="1">IF(AND(Table1[[#This Row],[SubscriptionStart]] &lt;= TODAY(), Table1[[#This Row],[EffectiveEndDate]] &gt;= TODAY()),1,0)</f>
        <v>0</v>
      </c>
      <c r="AA739" s="46">
        <f ca="1">IF(AND(Table1[[#This Row],[SubscriptionStart]]&lt;=Settings!$A$2,Table1[[#This Row],[EffectiveEndDate]]&gt;=Settings!$A$2),1,0)</f>
        <v>0</v>
      </c>
      <c r="AB739" s="46">
        <f ca="1">IF(AND(Table1[[#This Row],[SubscriptionStart]]&lt;=Settings!$B$2,Table1[[#This Row],[EffectiveEndDate]]&gt;=Settings!$B$2),1,0)</f>
        <v>0</v>
      </c>
      <c r="AC739" s="46">
        <f ca="1">IF(AND(Table1[[#This Row],[SubscriptionStart]]&lt;=Settings!$C$2,Table1[[#This Row],[EffectiveEndDate]]&gt;=Settings!$C$2),1,0)</f>
        <v>0</v>
      </c>
      <c r="AD739" s="46">
        <f ca="1">IF(AND(Table1[[#This Row],[SubscriptionStart]]&lt;=Settings!$D$2,Table1[[#This Row],[EffectiveEndDate]]&gt;=Settings!$D$2),1,0)</f>
        <v>0</v>
      </c>
      <c r="AE739" s="46">
        <f ca="1">IF(AND(Table1[[#This Row],[SubscriptionStart]]&lt;=Settings!$E$2,Table1[[#This Row],[EffectiveEndDate]]&gt;=Settings!$E$2),1,0)</f>
        <v>1</v>
      </c>
      <c r="AF739"/>
      <c r="AG739"/>
      <c r="AH739"/>
      <c r="AI739"/>
      <c r="AJ739"/>
      <c r="AK739"/>
    </row>
    <row r="740" spans="1:37">
      <c r="A740" s="3" t="s">
        <v>806</v>
      </c>
      <c r="B740" s="3">
        <v>54</v>
      </c>
      <c r="C740" s="3" t="s">
        <v>37</v>
      </c>
      <c r="D740" s="5">
        <v>45229</v>
      </c>
      <c r="F740" s="3">
        <f ca="1">TODAY() - Table1[[#This Row],[SubscriptionStart]]</f>
        <v>752</v>
      </c>
      <c r="G740" s="4">
        <v>36</v>
      </c>
      <c r="H740" s="3" t="s">
        <v>24</v>
      </c>
      <c r="I740" s="3" t="s">
        <v>30</v>
      </c>
      <c r="J740" s="7" cm="1">
        <f t="array" ref="J740">_xlfn.IFS(Table1[[#This Row],[Tier]]="Basic",10,Table1[[#This Row],[Tier]]="Standard",18,Table1[[#This Row],[Tier]]="Premium",25)</f>
        <v>10</v>
      </c>
      <c r="K740" s="7" cm="1">
        <f t="array" ref="K74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740" s="7" cm="1">
        <f t="array" ref="L74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232</v>
      </c>
      <c r="M740" s="3" t="str" cm="1">
        <f t="array" ref="M740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40" s="3" t="s">
        <v>31</v>
      </c>
      <c r="O740" s="3" t="s">
        <v>43</v>
      </c>
      <c r="Q740" s="3" t="str" cm="1">
        <f t="array" ref="Q740">_xlfn.IFS(Table1[[#This Row],[TotalRevenue]]&lt;100,"Low",Table1[[#This Row],[TotalRevenue]]&lt;300,"Medium",Table1[[#This Row],[TotalRevenue]]&lt;600,"High",TRUE,"Very High")</f>
        <v>Medium</v>
      </c>
      <c r="R740" s="3" t="str" cm="1">
        <f t="array" ref="R74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40" s="3" t="str">
        <f>IF(Table1[[#This Row],[NextBillingDate]]="","Cancelled",IF(Table1[[#This Row],[CancellationDate]]&lt;&gt;"","Cancelled","Active"))</f>
        <v>Active</v>
      </c>
      <c r="T740" s="7" cm="1">
        <f t="array" ref="T74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312</v>
      </c>
      <c r="V740" s="5">
        <v>46309</v>
      </c>
      <c r="W740" s="5">
        <v>46309</v>
      </c>
      <c r="X740" s="3">
        <v>2</v>
      </c>
      <c r="Y740" s="5">
        <f ca="1">IF(Table1[[#This Row],[ChurnStatus]]="Cancelled",Table1[[#This Row],[CancellationDate]],TODAY())</f>
        <v>45981</v>
      </c>
      <c r="Z740" s="46">
        <f ca="1">IF(AND(Table1[[#This Row],[SubscriptionStart]] &lt;= TODAY(), Table1[[#This Row],[EffectiveEndDate]] &gt;= TODAY()),1,0)</f>
        <v>1</v>
      </c>
      <c r="AA740" s="46">
        <f ca="1">IF(AND(Table1[[#This Row],[SubscriptionStart]]&lt;=Settings!$A$2,Table1[[#This Row],[EffectiveEndDate]]&gt;=Settings!$A$2),1,0)</f>
        <v>0</v>
      </c>
      <c r="AB740" s="46">
        <f ca="1">IF(AND(Table1[[#This Row],[SubscriptionStart]]&lt;=Settings!$B$2,Table1[[#This Row],[EffectiveEndDate]]&gt;=Settings!$B$2),1,0)</f>
        <v>0</v>
      </c>
      <c r="AC740" s="46">
        <f ca="1">IF(AND(Table1[[#This Row],[SubscriptionStart]]&lt;=Settings!$C$2,Table1[[#This Row],[EffectiveEndDate]]&gt;=Settings!$C$2),1,0)</f>
        <v>0</v>
      </c>
      <c r="AD740" s="46">
        <f ca="1">IF(AND(Table1[[#This Row],[SubscriptionStart]]&lt;=Settings!$D$2,Table1[[#This Row],[EffectiveEndDate]]&gt;=Settings!$D$2),1,0)</f>
        <v>0</v>
      </c>
      <c r="AE740" s="46">
        <f ca="1">IF(AND(Table1[[#This Row],[SubscriptionStart]]&lt;=Settings!$E$2,Table1[[#This Row],[EffectiveEndDate]]&gt;=Settings!$E$2),1,0)</f>
        <v>1</v>
      </c>
      <c r="AF740"/>
      <c r="AG740"/>
      <c r="AH740"/>
      <c r="AI740"/>
      <c r="AJ740"/>
      <c r="AK740"/>
    </row>
    <row r="741" spans="1:37">
      <c r="A741" s="3" t="s">
        <v>378</v>
      </c>
      <c r="B741" s="3">
        <v>21</v>
      </c>
      <c r="C741" s="3" t="s">
        <v>23</v>
      </c>
      <c r="D741" s="5">
        <v>45230</v>
      </c>
      <c r="E741" s="5">
        <v>45260</v>
      </c>
      <c r="F741" s="3">
        <f ca="1">TODAY() - Table1[[#This Row],[SubscriptionStart]]</f>
        <v>751</v>
      </c>
      <c r="G741" s="4">
        <v>1</v>
      </c>
      <c r="H741" s="3" t="s">
        <v>29</v>
      </c>
      <c r="I741" s="3" t="s">
        <v>30</v>
      </c>
      <c r="J741" s="7" cm="1">
        <f t="array" ref="J741">_xlfn.IFS(Table1[[#This Row],[Tier]]="Basic",10,Table1[[#This Row],[Tier]]="Standard",18,Table1[[#This Row],[Tier]]="Premium",25)</f>
        <v>10</v>
      </c>
      <c r="K741" s="7" cm="1">
        <f t="array" ref="K74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741" s="7" cm="1">
        <f t="array" ref="L74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41" s="3" t="str" cm="1">
        <f t="array" ref="M741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741" s="3" t="s">
        <v>31</v>
      </c>
      <c r="O741" s="3" t="s">
        <v>27</v>
      </c>
      <c r="P741" s="3" t="s">
        <v>41</v>
      </c>
      <c r="Q741" s="3" t="str" cm="1">
        <f t="array" ref="Q741">_xlfn.IFS(Table1[[#This Row],[TotalRevenue]]&lt;100,"Low",Table1[[#This Row],[TotalRevenue]]&lt;300,"Medium",Table1[[#This Row],[TotalRevenue]]&lt;600,"High",TRUE,"Very High")</f>
        <v>Low</v>
      </c>
      <c r="R741" s="3" t="str" cm="1">
        <f t="array" ref="R741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741" s="3" t="str">
        <f>IF(Table1[[#This Row],[NextBillingDate]]="","Cancelled",IF(Table1[[#This Row],[CancellationDate]]&lt;&gt;"","Cancelled","Active"))</f>
        <v>Cancelled</v>
      </c>
      <c r="T741" s="7" cm="1">
        <f t="array" ref="T74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41" s="5">
        <v>45260</v>
      </c>
      <c r="W741" s="5">
        <v>45260</v>
      </c>
      <c r="X741" s="3">
        <v>0</v>
      </c>
      <c r="Y741" s="5">
        <f ca="1">IF(Table1[[#This Row],[ChurnStatus]]="Cancelled",Table1[[#This Row],[CancellationDate]],TODAY())</f>
        <v>45260</v>
      </c>
      <c r="Z741" s="46">
        <f ca="1">IF(AND(Table1[[#This Row],[SubscriptionStart]] &lt;= TODAY(), Table1[[#This Row],[EffectiveEndDate]] &gt;= TODAY()),1,0)</f>
        <v>0</v>
      </c>
      <c r="AA741" s="46">
        <f ca="1">IF(AND(Table1[[#This Row],[SubscriptionStart]]&lt;=Settings!$A$2,Table1[[#This Row],[EffectiveEndDate]]&gt;=Settings!$A$2),1,0)</f>
        <v>0</v>
      </c>
      <c r="AB741" s="46">
        <f ca="1">IF(AND(Table1[[#This Row],[SubscriptionStart]]&lt;=Settings!$B$2,Table1[[#This Row],[EffectiveEndDate]]&gt;=Settings!$B$2),1,0)</f>
        <v>0</v>
      </c>
      <c r="AC741" s="46">
        <f ca="1">IF(AND(Table1[[#This Row],[SubscriptionStart]]&lt;=Settings!$C$2,Table1[[#This Row],[EffectiveEndDate]]&gt;=Settings!$C$2),1,0)</f>
        <v>0</v>
      </c>
      <c r="AD741" s="46">
        <f ca="1">IF(AND(Table1[[#This Row],[SubscriptionStart]]&lt;=Settings!$D$2,Table1[[#This Row],[EffectiveEndDate]]&gt;=Settings!$D$2),1,0)</f>
        <v>0</v>
      </c>
      <c r="AE741" s="46">
        <f ca="1">IF(AND(Table1[[#This Row],[SubscriptionStart]]&lt;=Settings!$E$2,Table1[[#This Row],[EffectiveEndDate]]&gt;=Settings!$E$2),1,0)</f>
        <v>0</v>
      </c>
      <c r="AF741"/>
      <c r="AG741"/>
      <c r="AH741"/>
      <c r="AI741"/>
      <c r="AJ741"/>
      <c r="AK741"/>
    </row>
    <row r="742" spans="1:37">
      <c r="A742" s="3" t="s">
        <v>165</v>
      </c>
      <c r="B742" s="3">
        <v>64</v>
      </c>
      <c r="C742" s="3" t="s">
        <v>23</v>
      </c>
      <c r="D742" s="5">
        <v>45230</v>
      </c>
      <c r="E742" s="5">
        <v>45590</v>
      </c>
      <c r="F742" s="3">
        <f ca="1">TODAY() - Table1[[#This Row],[SubscriptionStart]]</f>
        <v>751</v>
      </c>
      <c r="G742" s="4">
        <v>12</v>
      </c>
      <c r="H742" s="3" t="s">
        <v>24</v>
      </c>
      <c r="I742" s="3" t="s">
        <v>39</v>
      </c>
      <c r="J742" s="7" cm="1">
        <f t="array" ref="J742">_xlfn.IFS(Table1[[#This Row],[Tier]]="Basic",10,Table1[[#This Row],[Tier]]="Standard",18,Table1[[#This Row],[Tier]]="Premium",25)</f>
        <v>18</v>
      </c>
      <c r="K742" s="7" cm="1">
        <f t="array" ref="K74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742" s="7" cm="1">
        <f t="array" ref="L74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742" s="3" t="str" cm="1">
        <f t="array" ref="M742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42" s="3" t="s">
        <v>52</v>
      </c>
      <c r="O742" s="3" t="s">
        <v>32</v>
      </c>
      <c r="P742" s="3" t="s">
        <v>41</v>
      </c>
      <c r="Q742" s="3" t="str" cm="1">
        <f t="array" ref="Q742">_xlfn.IFS(Table1[[#This Row],[TotalRevenue]]&lt;100,"Low",Table1[[#This Row],[TotalRevenue]]&lt;300,"Medium",Table1[[#This Row],[TotalRevenue]]&lt;600,"High",TRUE,"Very High")</f>
        <v>Medium</v>
      </c>
      <c r="R742" s="3" t="str" cm="1">
        <f t="array" ref="R742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42" s="3" t="str">
        <f>IF(Table1[[#This Row],[NextBillingDate]]="","Cancelled",IF(Table1[[#This Row],[CancellationDate]]&lt;&gt;"","Cancelled","Active"))</f>
        <v>Cancelled</v>
      </c>
      <c r="T742" s="7" cm="1">
        <f t="array" ref="T74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742" s="5">
        <v>45590</v>
      </c>
      <c r="W742" s="5">
        <v>45590</v>
      </c>
      <c r="X742" s="3">
        <v>0</v>
      </c>
      <c r="Y742" s="5">
        <f ca="1">IF(Table1[[#This Row],[ChurnStatus]]="Cancelled",Table1[[#This Row],[CancellationDate]],TODAY())</f>
        <v>45590</v>
      </c>
      <c r="Z742" s="46">
        <f ca="1">IF(AND(Table1[[#This Row],[SubscriptionStart]] &lt;= TODAY(), Table1[[#This Row],[EffectiveEndDate]] &gt;= TODAY()),1,0)</f>
        <v>0</v>
      </c>
      <c r="AA742" s="46">
        <f ca="1">IF(AND(Table1[[#This Row],[SubscriptionStart]]&lt;=Settings!$A$2,Table1[[#This Row],[EffectiveEndDate]]&gt;=Settings!$A$2),1,0)</f>
        <v>0</v>
      </c>
      <c r="AB742" s="46">
        <f ca="1">IF(AND(Table1[[#This Row],[SubscriptionStart]]&lt;=Settings!$B$2,Table1[[#This Row],[EffectiveEndDate]]&gt;=Settings!$B$2),1,0)</f>
        <v>0</v>
      </c>
      <c r="AC742" s="46">
        <f ca="1">IF(AND(Table1[[#This Row],[SubscriptionStart]]&lt;=Settings!$C$2,Table1[[#This Row],[EffectiveEndDate]]&gt;=Settings!$C$2),1,0)</f>
        <v>0</v>
      </c>
      <c r="AD742" s="46">
        <f ca="1">IF(AND(Table1[[#This Row],[SubscriptionStart]]&lt;=Settings!$D$2,Table1[[#This Row],[EffectiveEndDate]]&gt;=Settings!$D$2),1,0)</f>
        <v>0</v>
      </c>
      <c r="AE742" s="46">
        <f ca="1">IF(AND(Table1[[#This Row],[SubscriptionStart]]&lt;=Settings!$E$2,Table1[[#This Row],[EffectiveEndDate]]&gt;=Settings!$E$2),1,0)</f>
        <v>1</v>
      </c>
      <c r="AF742"/>
      <c r="AG742"/>
      <c r="AH742"/>
      <c r="AI742"/>
      <c r="AJ742"/>
      <c r="AK742"/>
    </row>
    <row r="743" spans="1:37">
      <c r="A743" s="3" t="s">
        <v>290</v>
      </c>
      <c r="B743" s="3">
        <v>72</v>
      </c>
      <c r="C743" s="3" t="s">
        <v>37</v>
      </c>
      <c r="D743" s="5">
        <v>45231</v>
      </c>
      <c r="E743" s="5">
        <v>45261</v>
      </c>
      <c r="F743" s="3">
        <f ca="1">TODAY() - Table1[[#This Row],[SubscriptionStart]]</f>
        <v>750</v>
      </c>
      <c r="G743" s="4">
        <v>1</v>
      </c>
      <c r="H743" s="3" t="s">
        <v>29</v>
      </c>
      <c r="I743" s="3" t="s">
        <v>25</v>
      </c>
      <c r="J743" s="7" cm="1">
        <f t="array" ref="J743">_xlfn.IFS(Table1[[#This Row],[Tier]]="Basic",10,Table1[[#This Row],[Tier]]="Standard",18,Table1[[#This Row],[Tier]]="Premium",25)</f>
        <v>25</v>
      </c>
      <c r="K743" s="7" cm="1">
        <f t="array" ref="K74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743" s="7" cm="1">
        <f t="array" ref="L74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43" s="3" t="str" cm="1">
        <f t="array" ref="M743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743" s="3" t="s">
        <v>26</v>
      </c>
      <c r="O743" s="3" t="s">
        <v>43</v>
      </c>
      <c r="P743" s="3" t="s">
        <v>50</v>
      </c>
      <c r="Q743" s="3" t="str" cm="1">
        <f t="array" ref="Q743">_xlfn.IFS(Table1[[#This Row],[TotalRevenue]]&lt;100,"Low",Table1[[#This Row],[TotalRevenue]]&lt;300,"Medium",Table1[[#This Row],[TotalRevenue]]&lt;600,"High",TRUE,"Very High")</f>
        <v>Low</v>
      </c>
      <c r="R743" s="3" t="str" cm="1">
        <f t="array" ref="R743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743" s="3" t="str">
        <f>IF(Table1[[#This Row],[NextBillingDate]]="","Cancelled",IF(Table1[[#This Row],[CancellationDate]]&lt;&gt;"","Cancelled","Active"))</f>
        <v>Cancelled</v>
      </c>
      <c r="T743" s="7" cm="1">
        <f t="array" ref="T74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43" s="5">
        <v>45261</v>
      </c>
      <c r="W743" s="5">
        <v>45261</v>
      </c>
      <c r="X743" s="3">
        <v>0</v>
      </c>
      <c r="Y743" s="5">
        <f ca="1">IF(Table1[[#This Row],[ChurnStatus]]="Cancelled",Table1[[#This Row],[CancellationDate]],TODAY())</f>
        <v>45261</v>
      </c>
      <c r="Z743" s="46">
        <f ca="1">IF(AND(Table1[[#This Row],[SubscriptionStart]] &lt;= TODAY(), Table1[[#This Row],[EffectiveEndDate]] &gt;= TODAY()),1,0)</f>
        <v>0</v>
      </c>
      <c r="AA743" s="46">
        <f ca="1">IF(AND(Table1[[#This Row],[SubscriptionStart]]&lt;=Settings!$A$2,Table1[[#This Row],[EffectiveEndDate]]&gt;=Settings!$A$2),1,0)</f>
        <v>0</v>
      </c>
      <c r="AB743" s="46">
        <f ca="1">IF(AND(Table1[[#This Row],[SubscriptionStart]]&lt;=Settings!$B$2,Table1[[#This Row],[EffectiveEndDate]]&gt;=Settings!$B$2),1,0)</f>
        <v>0</v>
      </c>
      <c r="AC743" s="46">
        <f ca="1">IF(AND(Table1[[#This Row],[SubscriptionStart]]&lt;=Settings!$C$2,Table1[[#This Row],[EffectiveEndDate]]&gt;=Settings!$C$2),1,0)</f>
        <v>0</v>
      </c>
      <c r="AD743" s="46">
        <f ca="1">IF(AND(Table1[[#This Row],[SubscriptionStart]]&lt;=Settings!$D$2,Table1[[#This Row],[EffectiveEndDate]]&gt;=Settings!$D$2),1,0)</f>
        <v>0</v>
      </c>
      <c r="AE743" s="46">
        <f ca="1">IF(AND(Table1[[#This Row],[SubscriptionStart]]&lt;=Settings!$E$2,Table1[[#This Row],[EffectiveEndDate]]&gt;=Settings!$E$2),1,0)</f>
        <v>0</v>
      </c>
      <c r="AF743"/>
      <c r="AG743"/>
      <c r="AH743"/>
      <c r="AI743"/>
      <c r="AJ743"/>
      <c r="AK743"/>
    </row>
    <row r="744" spans="1:37">
      <c r="A744" s="3" t="s">
        <v>307</v>
      </c>
      <c r="B744" s="3">
        <v>25</v>
      </c>
      <c r="C744" s="3" t="s">
        <v>23</v>
      </c>
      <c r="D744" s="5">
        <v>45234</v>
      </c>
      <c r="F744" s="3">
        <f ca="1">TODAY() - Table1[[#This Row],[SubscriptionStart]]</f>
        <v>747</v>
      </c>
      <c r="G744" s="4">
        <v>25</v>
      </c>
      <c r="H744" s="3" t="s">
        <v>29</v>
      </c>
      <c r="I744" s="3" t="s">
        <v>30</v>
      </c>
      <c r="J744" s="7" cm="1">
        <f t="array" ref="J744">_xlfn.IFS(Table1[[#This Row],[Tier]]="Basic",10,Table1[[#This Row],[Tier]]="Standard",18,Table1[[#This Row],[Tier]]="Premium",25)</f>
        <v>10</v>
      </c>
      <c r="K744" s="7" cm="1">
        <f t="array" ref="K74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744" s="7" cm="1">
        <f t="array" ref="L74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229</v>
      </c>
      <c r="M744" s="3" t="str" cm="1">
        <f t="array" ref="M744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744" s="3" t="s">
        <v>26</v>
      </c>
      <c r="O744" s="3" t="s">
        <v>43</v>
      </c>
      <c r="Q744" s="3" t="str" cm="1">
        <f t="array" ref="Q744">_xlfn.IFS(Table1[[#This Row],[TotalRevenue]]&lt;100,"Low",Table1[[#This Row],[TotalRevenue]]&lt;300,"Medium",Table1[[#This Row],[TotalRevenue]]&lt;600,"High",TRUE,"Very High")</f>
        <v>Medium</v>
      </c>
      <c r="R744" s="3" t="str" cm="1">
        <f t="array" ref="R744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744" s="3" t="str">
        <f>IF(Table1[[#This Row],[NextBillingDate]]="","Cancelled",IF(Table1[[#This Row],[CancellationDate]]&lt;&gt;"","Cancelled","Active"))</f>
        <v>Active</v>
      </c>
      <c r="T744" s="7" cm="1">
        <f t="array" ref="T74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239</v>
      </c>
      <c r="V744" s="5">
        <v>45984</v>
      </c>
      <c r="W744" s="5">
        <v>45984</v>
      </c>
      <c r="X744" s="3">
        <v>24</v>
      </c>
      <c r="Y744" s="5">
        <f ca="1">IF(Table1[[#This Row],[ChurnStatus]]="Cancelled",Table1[[#This Row],[CancellationDate]],TODAY())</f>
        <v>45981</v>
      </c>
      <c r="Z744" s="46">
        <f ca="1">IF(AND(Table1[[#This Row],[SubscriptionStart]] &lt;= TODAY(), Table1[[#This Row],[EffectiveEndDate]] &gt;= TODAY()),1,0)</f>
        <v>1</v>
      </c>
      <c r="AA744" s="46">
        <f ca="1">IF(AND(Table1[[#This Row],[SubscriptionStart]]&lt;=Settings!$A$2,Table1[[#This Row],[EffectiveEndDate]]&gt;=Settings!$A$2),1,0)</f>
        <v>0</v>
      </c>
      <c r="AB744" s="46">
        <f ca="1">IF(AND(Table1[[#This Row],[SubscriptionStart]]&lt;=Settings!$B$2,Table1[[#This Row],[EffectiveEndDate]]&gt;=Settings!$B$2),1,0)</f>
        <v>0</v>
      </c>
      <c r="AC744" s="46">
        <f ca="1">IF(AND(Table1[[#This Row],[SubscriptionStart]]&lt;=Settings!$C$2,Table1[[#This Row],[EffectiveEndDate]]&gt;=Settings!$C$2),1,0)</f>
        <v>0</v>
      </c>
      <c r="AD744" s="46">
        <f ca="1">IF(AND(Table1[[#This Row],[SubscriptionStart]]&lt;=Settings!$D$2,Table1[[#This Row],[EffectiveEndDate]]&gt;=Settings!$D$2),1,0)</f>
        <v>0</v>
      </c>
      <c r="AE744" s="46">
        <f ca="1">IF(AND(Table1[[#This Row],[SubscriptionStart]]&lt;=Settings!$E$2,Table1[[#This Row],[EffectiveEndDate]]&gt;=Settings!$E$2),1,0)</f>
        <v>1</v>
      </c>
      <c r="AF744"/>
      <c r="AG744"/>
      <c r="AH744"/>
      <c r="AI744"/>
      <c r="AJ744"/>
      <c r="AK744"/>
    </row>
    <row r="745" spans="1:37">
      <c r="A745" s="3" t="s">
        <v>558</v>
      </c>
      <c r="B745" s="3">
        <v>44</v>
      </c>
      <c r="C745" s="3" t="s">
        <v>37</v>
      </c>
      <c r="D745" s="5">
        <v>45234</v>
      </c>
      <c r="F745" s="3">
        <f ca="1">TODAY() - Table1[[#This Row],[SubscriptionStart]]</f>
        <v>747</v>
      </c>
      <c r="G745" s="4">
        <v>25</v>
      </c>
      <c r="H745" s="3" t="s">
        <v>29</v>
      </c>
      <c r="I745" s="3" t="s">
        <v>30</v>
      </c>
      <c r="J745" s="7" cm="1">
        <f t="array" ref="J745">_xlfn.IFS(Table1[[#This Row],[Tier]]="Basic",10,Table1[[#This Row],[Tier]]="Standard",18,Table1[[#This Row],[Tier]]="Premium",25)</f>
        <v>10</v>
      </c>
      <c r="K745" s="7" cm="1">
        <f t="array" ref="K74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745" s="7" cm="1">
        <f t="array" ref="L74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229</v>
      </c>
      <c r="M745" s="3" t="str" cm="1">
        <f t="array" ref="M74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45" s="3" t="s">
        <v>52</v>
      </c>
      <c r="O745" s="3" t="s">
        <v>27</v>
      </c>
      <c r="Q745" s="3" t="str" cm="1">
        <f t="array" ref="Q745">_xlfn.IFS(Table1[[#This Row],[TotalRevenue]]&lt;100,"Low",Table1[[#This Row],[TotalRevenue]]&lt;300,"Medium",Table1[[#This Row],[TotalRevenue]]&lt;600,"High",TRUE,"Very High")</f>
        <v>Medium</v>
      </c>
      <c r="R745" s="3" t="str" cm="1">
        <f t="array" ref="R74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45" s="3" t="str">
        <f>IF(Table1[[#This Row],[NextBillingDate]]="","Cancelled",IF(Table1[[#This Row],[CancellationDate]]&lt;&gt;"","Cancelled","Active"))</f>
        <v>Active</v>
      </c>
      <c r="T745" s="7" cm="1">
        <f t="array" ref="T74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239</v>
      </c>
      <c r="V745" s="5">
        <v>45984</v>
      </c>
      <c r="W745" s="5">
        <v>45984</v>
      </c>
      <c r="X745" s="3">
        <v>24</v>
      </c>
      <c r="Y745" s="5">
        <f ca="1">IF(Table1[[#This Row],[ChurnStatus]]="Cancelled",Table1[[#This Row],[CancellationDate]],TODAY())</f>
        <v>45981</v>
      </c>
      <c r="Z745" s="46">
        <f ca="1">IF(AND(Table1[[#This Row],[SubscriptionStart]] &lt;= TODAY(), Table1[[#This Row],[EffectiveEndDate]] &gt;= TODAY()),1,0)</f>
        <v>1</v>
      </c>
      <c r="AA745" s="46">
        <f ca="1">IF(AND(Table1[[#This Row],[SubscriptionStart]]&lt;=Settings!$A$2,Table1[[#This Row],[EffectiveEndDate]]&gt;=Settings!$A$2),1,0)</f>
        <v>0</v>
      </c>
      <c r="AB745" s="46">
        <f ca="1">IF(AND(Table1[[#This Row],[SubscriptionStart]]&lt;=Settings!$B$2,Table1[[#This Row],[EffectiveEndDate]]&gt;=Settings!$B$2),1,0)</f>
        <v>0</v>
      </c>
      <c r="AC745" s="46">
        <f ca="1">IF(AND(Table1[[#This Row],[SubscriptionStart]]&lt;=Settings!$C$2,Table1[[#This Row],[EffectiveEndDate]]&gt;=Settings!$C$2),1,0)</f>
        <v>0</v>
      </c>
      <c r="AD745" s="46">
        <f ca="1">IF(AND(Table1[[#This Row],[SubscriptionStart]]&lt;=Settings!$D$2,Table1[[#This Row],[EffectiveEndDate]]&gt;=Settings!$D$2),1,0)</f>
        <v>0</v>
      </c>
      <c r="AE745" s="46">
        <f ca="1">IF(AND(Table1[[#This Row],[SubscriptionStart]]&lt;=Settings!$E$2,Table1[[#This Row],[EffectiveEndDate]]&gt;=Settings!$E$2),1,0)</f>
        <v>1</v>
      </c>
      <c r="AF745"/>
      <c r="AG745"/>
      <c r="AH745"/>
      <c r="AI745"/>
      <c r="AJ745"/>
      <c r="AK745"/>
    </row>
    <row r="746" spans="1:37">
      <c r="A746" s="3" t="s">
        <v>635</v>
      </c>
      <c r="B746" s="3">
        <v>27</v>
      </c>
      <c r="C746" s="3" t="s">
        <v>37</v>
      </c>
      <c r="D746" s="5">
        <v>45236</v>
      </c>
      <c r="E746" s="5">
        <v>45266</v>
      </c>
      <c r="F746" s="3">
        <f ca="1">TODAY() - Table1[[#This Row],[SubscriptionStart]]</f>
        <v>745</v>
      </c>
      <c r="G746" s="4">
        <v>1</v>
      </c>
      <c r="H746" s="3" t="s">
        <v>29</v>
      </c>
      <c r="I746" s="3" t="s">
        <v>25</v>
      </c>
      <c r="J746" s="7" cm="1">
        <f t="array" ref="J746">_xlfn.IFS(Table1[[#This Row],[Tier]]="Basic",10,Table1[[#This Row],[Tier]]="Standard",18,Table1[[#This Row],[Tier]]="Premium",25)</f>
        <v>25</v>
      </c>
      <c r="K746" s="7" cm="1">
        <f t="array" ref="K74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746" s="7" cm="1">
        <f t="array" ref="L74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46" s="3" t="str" cm="1">
        <f t="array" ref="M74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46" s="3" t="s">
        <v>31</v>
      </c>
      <c r="O746" s="3" t="s">
        <v>40</v>
      </c>
      <c r="P746" s="3" t="s">
        <v>47</v>
      </c>
      <c r="Q746" s="3" t="str" cm="1">
        <f t="array" ref="Q746">_xlfn.IFS(Table1[[#This Row],[TotalRevenue]]&lt;100,"Low",Table1[[#This Row],[TotalRevenue]]&lt;300,"Medium",Table1[[#This Row],[TotalRevenue]]&lt;600,"High",TRUE,"Very High")</f>
        <v>Low</v>
      </c>
      <c r="R746" s="3" t="str" cm="1">
        <f t="array" ref="R74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46" s="3" t="str">
        <f>IF(Table1[[#This Row],[NextBillingDate]]="","Cancelled",IF(Table1[[#This Row],[CancellationDate]]&lt;&gt;"","Cancelled","Active"))</f>
        <v>Cancelled</v>
      </c>
      <c r="T746" s="7" cm="1">
        <f t="array" ref="T74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46" s="5">
        <v>45266</v>
      </c>
      <c r="W746" s="5">
        <v>45266</v>
      </c>
      <c r="X746" s="3">
        <v>0</v>
      </c>
      <c r="Y746" s="5">
        <f ca="1">IF(Table1[[#This Row],[ChurnStatus]]="Cancelled",Table1[[#This Row],[CancellationDate]],TODAY())</f>
        <v>45266</v>
      </c>
      <c r="Z746" s="46">
        <f ca="1">IF(AND(Table1[[#This Row],[SubscriptionStart]] &lt;= TODAY(), Table1[[#This Row],[EffectiveEndDate]] &gt;= TODAY()),1,0)</f>
        <v>0</v>
      </c>
      <c r="AA746" s="46">
        <f ca="1">IF(AND(Table1[[#This Row],[SubscriptionStart]]&lt;=Settings!$A$2,Table1[[#This Row],[EffectiveEndDate]]&gt;=Settings!$A$2),1,0)</f>
        <v>0</v>
      </c>
      <c r="AB746" s="46">
        <f ca="1">IF(AND(Table1[[#This Row],[SubscriptionStart]]&lt;=Settings!$B$2,Table1[[#This Row],[EffectiveEndDate]]&gt;=Settings!$B$2),1,0)</f>
        <v>0</v>
      </c>
      <c r="AC746" s="46">
        <f ca="1">IF(AND(Table1[[#This Row],[SubscriptionStart]]&lt;=Settings!$C$2,Table1[[#This Row],[EffectiveEndDate]]&gt;=Settings!$C$2),1,0)</f>
        <v>0</v>
      </c>
      <c r="AD746" s="46">
        <f ca="1">IF(AND(Table1[[#This Row],[SubscriptionStart]]&lt;=Settings!$D$2,Table1[[#This Row],[EffectiveEndDate]]&gt;=Settings!$D$2),1,0)</f>
        <v>0</v>
      </c>
      <c r="AE746" s="46">
        <f ca="1">IF(AND(Table1[[#This Row],[SubscriptionStart]]&lt;=Settings!$E$2,Table1[[#This Row],[EffectiveEndDate]]&gt;=Settings!$E$2),1,0)</f>
        <v>0</v>
      </c>
      <c r="AF746"/>
      <c r="AG746"/>
      <c r="AH746"/>
      <c r="AI746"/>
      <c r="AJ746"/>
      <c r="AK746"/>
    </row>
    <row r="747" spans="1:37">
      <c r="A747" s="3" t="s">
        <v>198</v>
      </c>
      <c r="B747" s="3">
        <v>66</v>
      </c>
      <c r="C747" s="3" t="s">
        <v>23</v>
      </c>
      <c r="D747" s="5">
        <v>45236</v>
      </c>
      <c r="E747" s="5">
        <v>45596</v>
      </c>
      <c r="F747" s="3">
        <f ca="1">TODAY() - Table1[[#This Row],[SubscriptionStart]]</f>
        <v>745</v>
      </c>
      <c r="G747" s="4">
        <v>12</v>
      </c>
      <c r="H747" s="3" t="s">
        <v>24</v>
      </c>
      <c r="I747" s="3" t="s">
        <v>39</v>
      </c>
      <c r="J747" s="7" cm="1">
        <f t="array" ref="J747">_xlfn.IFS(Table1[[#This Row],[Tier]]="Basic",10,Table1[[#This Row],[Tier]]="Standard",18,Table1[[#This Row],[Tier]]="Premium",25)</f>
        <v>18</v>
      </c>
      <c r="K747" s="7" cm="1">
        <f t="array" ref="K74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747" s="7" cm="1">
        <f t="array" ref="L74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747" s="3" t="str" cm="1">
        <f t="array" ref="M747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47" s="3" t="s">
        <v>26</v>
      </c>
      <c r="O747" s="3" t="s">
        <v>49</v>
      </c>
      <c r="P747" s="3" t="s">
        <v>44</v>
      </c>
      <c r="Q747" s="3" t="str" cm="1">
        <f t="array" ref="Q747">_xlfn.IFS(Table1[[#This Row],[TotalRevenue]]&lt;100,"Low",Table1[[#This Row],[TotalRevenue]]&lt;300,"Medium",Table1[[#This Row],[TotalRevenue]]&lt;600,"High",TRUE,"Very High")</f>
        <v>Medium</v>
      </c>
      <c r="R747" s="3" t="str" cm="1">
        <f t="array" ref="R747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47" s="3" t="str">
        <f>IF(Table1[[#This Row],[NextBillingDate]]="","Cancelled",IF(Table1[[#This Row],[CancellationDate]]&lt;&gt;"","Cancelled","Active"))</f>
        <v>Cancelled</v>
      </c>
      <c r="T747" s="7" cm="1">
        <f t="array" ref="T74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747" s="5">
        <v>45596</v>
      </c>
      <c r="W747" s="5">
        <v>45596</v>
      </c>
      <c r="X747" s="3">
        <v>0</v>
      </c>
      <c r="Y747" s="5">
        <f ca="1">IF(Table1[[#This Row],[ChurnStatus]]="Cancelled",Table1[[#This Row],[CancellationDate]],TODAY())</f>
        <v>45596</v>
      </c>
      <c r="Z747" s="46">
        <f ca="1">IF(AND(Table1[[#This Row],[SubscriptionStart]] &lt;= TODAY(), Table1[[#This Row],[EffectiveEndDate]] &gt;= TODAY()),1,0)</f>
        <v>0</v>
      </c>
      <c r="AA747" s="46">
        <f ca="1">IF(AND(Table1[[#This Row],[SubscriptionStart]]&lt;=Settings!$A$2,Table1[[#This Row],[EffectiveEndDate]]&gt;=Settings!$A$2),1,0)</f>
        <v>0</v>
      </c>
      <c r="AB747" s="46">
        <f ca="1">IF(AND(Table1[[#This Row],[SubscriptionStart]]&lt;=Settings!$B$2,Table1[[#This Row],[EffectiveEndDate]]&gt;=Settings!$B$2),1,0)</f>
        <v>0</v>
      </c>
      <c r="AC747" s="46">
        <f ca="1">IF(AND(Table1[[#This Row],[SubscriptionStart]]&lt;=Settings!$C$2,Table1[[#This Row],[EffectiveEndDate]]&gt;=Settings!$C$2),1,0)</f>
        <v>0</v>
      </c>
      <c r="AD747" s="46">
        <f ca="1">IF(AND(Table1[[#This Row],[SubscriptionStart]]&lt;=Settings!$D$2,Table1[[#This Row],[EffectiveEndDate]]&gt;=Settings!$D$2),1,0)</f>
        <v>0</v>
      </c>
      <c r="AE747" s="46">
        <f ca="1">IF(AND(Table1[[#This Row],[SubscriptionStart]]&lt;=Settings!$E$2,Table1[[#This Row],[EffectiveEndDate]]&gt;=Settings!$E$2),1,0)</f>
        <v>1</v>
      </c>
      <c r="AF747"/>
      <c r="AG747"/>
      <c r="AH747"/>
      <c r="AI747"/>
      <c r="AJ747"/>
      <c r="AK747"/>
    </row>
    <row r="748" spans="1:37">
      <c r="A748" s="3" t="s">
        <v>240</v>
      </c>
      <c r="B748" s="3">
        <v>35</v>
      </c>
      <c r="C748" s="3" t="s">
        <v>37</v>
      </c>
      <c r="D748" s="5">
        <v>45236</v>
      </c>
      <c r="E748" s="5">
        <v>45596</v>
      </c>
      <c r="F748" s="3">
        <f ca="1">TODAY() - Table1[[#This Row],[SubscriptionStart]]</f>
        <v>745</v>
      </c>
      <c r="G748" s="4">
        <v>12</v>
      </c>
      <c r="H748" s="3" t="s">
        <v>24</v>
      </c>
      <c r="I748" s="3" t="s">
        <v>39</v>
      </c>
      <c r="J748" s="7" cm="1">
        <f t="array" ref="J748">_xlfn.IFS(Table1[[#This Row],[Tier]]="Basic",10,Table1[[#This Row],[Tier]]="Standard",18,Table1[[#This Row],[Tier]]="Premium",25)</f>
        <v>18</v>
      </c>
      <c r="K748" s="7" cm="1">
        <f t="array" ref="K74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748" s="7" cm="1">
        <f t="array" ref="L74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748" s="3" t="str" cm="1">
        <f t="array" ref="M74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48" s="3" t="s">
        <v>31</v>
      </c>
      <c r="O748" s="3" t="s">
        <v>43</v>
      </c>
      <c r="P748" s="3" t="s">
        <v>35</v>
      </c>
      <c r="Q748" s="3" t="str" cm="1">
        <f t="array" ref="Q748">_xlfn.IFS(Table1[[#This Row],[TotalRevenue]]&lt;100,"Low",Table1[[#This Row],[TotalRevenue]]&lt;300,"Medium",Table1[[#This Row],[TotalRevenue]]&lt;600,"High",TRUE,"Very High")</f>
        <v>Medium</v>
      </c>
      <c r="R748" s="3" t="str" cm="1">
        <f t="array" ref="R74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48" s="3" t="str">
        <f>IF(Table1[[#This Row],[NextBillingDate]]="","Cancelled",IF(Table1[[#This Row],[CancellationDate]]&lt;&gt;"","Cancelled","Active"))</f>
        <v>Cancelled</v>
      </c>
      <c r="T748" s="7" cm="1">
        <f t="array" ref="T74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748" s="5">
        <v>45596</v>
      </c>
      <c r="W748" s="5">
        <v>45596</v>
      </c>
      <c r="X748" s="3">
        <v>0</v>
      </c>
      <c r="Y748" s="5">
        <f ca="1">IF(Table1[[#This Row],[ChurnStatus]]="Cancelled",Table1[[#This Row],[CancellationDate]],TODAY())</f>
        <v>45596</v>
      </c>
      <c r="Z748" s="46">
        <f ca="1">IF(AND(Table1[[#This Row],[SubscriptionStart]] &lt;= TODAY(), Table1[[#This Row],[EffectiveEndDate]] &gt;= TODAY()),1,0)</f>
        <v>0</v>
      </c>
      <c r="AA748" s="46">
        <f ca="1">IF(AND(Table1[[#This Row],[SubscriptionStart]]&lt;=Settings!$A$2,Table1[[#This Row],[EffectiveEndDate]]&gt;=Settings!$A$2),1,0)</f>
        <v>0</v>
      </c>
      <c r="AB748" s="46">
        <f ca="1">IF(AND(Table1[[#This Row],[SubscriptionStart]]&lt;=Settings!$B$2,Table1[[#This Row],[EffectiveEndDate]]&gt;=Settings!$B$2),1,0)</f>
        <v>0</v>
      </c>
      <c r="AC748" s="46">
        <f ca="1">IF(AND(Table1[[#This Row],[SubscriptionStart]]&lt;=Settings!$C$2,Table1[[#This Row],[EffectiveEndDate]]&gt;=Settings!$C$2),1,0)</f>
        <v>0</v>
      </c>
      <c r="AD748" s="46">
        <f ca="1">IF(AND(Table1[[#This Row],[SubscriptionStart]]&lt;=Settings!$D$2,Table1[[#This Row],[EffectiveEndDate]]&gt;=Settings!$D$2),1,0)</f>
        <v>0</v>
      </c>
      <c r="AE748" s="46">
        <f ca="1">IF(AND(Table1[[#This Row],[SubscriptionStart]]&lt;=Settings!$E$2,Table1[[#This Row],[EffectiveEndDate]]&gt;=Settings!$E$2),1,0)</f>
        <v>1</v>
      </c>
      <c r="AF748"/>
      <c r="AG748"/>
      <c r="AH748"/>
      <c r="AI748"/>
      <c r="AJ748"/>
      <c r="AK748"/>
    </row>
    <row r="749" spans="1:37">
      <c r="A749" s="3" t="s">
        <v>396</v>
      </c>
      <c r="B749" s="3">
        <v>60</v>
      </c>
      <c r="C749" s="3" t="s">
        <v>37</v>
      </c>
      <c r="D749" s="5">
        <v>45237</v>
      </c>
      <c r="E749" s="5">
        <v>45267</v>
      </c>
      <c r="F749" s="3">
        <f ca="1">TODAY() - Table1[[#This Row],[SubscriptionStart]]</f>
        <v>744</v>
      </c>
      <c r="G749" s="4">
        <v>1</v>
      </c>
      <c r="H749" s="3" t="s">
        <v>29</v>
      </c>
      <c r="I749" s="3" t="s">
        <v>39</v>
      </c>
      <c r="J749" s="7" cm="1">
        <f t="array" ref="J749">_xlfn.IFS(Table1[[#This Row],[Tier]]="Basic",10,Table1[[#This Row],[Tier]]="Standard",18,Table1[[#This Row],[Tier]]="Premium",25)</f>
        <v>18</v>
      </c>
      <c r="K749" s="7" cm="1">
        <f t="array" ref="K74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749" s="7" cm="1">
        <f t="array" ref="L74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49" s="3" t="str" cm="1">
        <f t="array" ref="M74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49" s="3" t="s">
        <v>34</v>
      </c>
      <c r="O749" s="3" t="s">
        <v>49</v>
      </c>
      <c r="P749" s="3" t="s">
        <v>50</v>
      </c>
      <c r="Q749" s="3" t="str" cm="1">
        <f t="array" ref="Q749">_xlfn.IFS(Table1[[#This Row],[TotalRevenue]]&lt;100,"Low",Table1[[#This Row],[TotalRevenue]]&lt;300,"Medium",Table1[[#This Row],[TotalRevenue]]&lt;600,"High",TRUE,"Very High")</f>
        <v>Low</v>
      </c>
      <c r="R749" s="3" t="str" cm="1">
        <f t="array" ref="R74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49" s="3" t="str">
        <f>IF(Table1[[#This Row],[NextBillingDate]]="","Cancelled",IF(Table1[[#This Row],[CancellationDate]]&lt;&gt;"","Cancelled","Active"))</f>
        <v>Cancelled</v>
      </c>
      <c r="T749" s="7" cm="1">
        <f t="array" ref="T74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49" s="5">
        <v>45267</v>
      </c>
      <c r="W749" s="5">
        <v>45267</v>
      </c>
      <c r="X749" s="3">
        <v>0</v>
      </c>
      <c r="Y749" s="5">
        <f ca="1">IF(Table1[[#This Row],[ChurnStatus]]="Cancelled",Table1[[#This Row],[CancellationDate]],TODAY())</f>
        <v>45267</v>
      </c>
      <c r="Z749" s="46">
        <f ca="1">IF(AND(Table1[[#This Row],[SubscriptionStart]] &lt;= TODAY(), Table1[[#This Row],[EffectiveEndDate]] &gt;= TODAY()),1,0)</f>
        <v>0</v>
      </c>
      <c r="AA749" s="46">
        <f ca="1">IF(AND(Table1[[#This Row],[SubscriptionStart]]&lt;=Settings!$A$2,Table1[[#This Row],[EffectiveEndDate]]&gt;=Settings!$A$2),1,0)</f>
        <v>0</v>
      </c>
      <c r="AB749" s="46">
        <f ca="1">IF(AND(Table1[[#This Row],[SubscriptionStart]]&lt;=Settings!$B$2,Table1[[#This Row],[EffectiveEndDate]]&gt;=Settings!$B$2),1,0)</f>
        <v>0</v>
      </c>
      <c r="AC749" s="46">
        <f ca="1">IF(AND(Table1[[#This Row],[SubscriptionStart]]&lt;=Settings!$C$2,Table1[[#This Row],[EffectiveEndDate]]&gt;=Settings!$C$2),1,0)</f>
        <v>0</v>
      </c>
      <c r="AD749" s="46">
        <f ca="1">IF(AND(Table1[[#This Row],[SubscriptionStart]]&lt;=Settings!$D$2,Table1[[#This Row],[EffectiveEndDate]]&gt;=Settings!$D$2),1,0)</f>
        <v>0</v>
      </c>
      <c r="AE749" s="46">
        <f ca="1">IF(AND(Table1[[#This Row],[SubscriptionStart]]&lt;=Settings!$E$2,Table1[[#This Row],[EffectiveEndDate]]&gt;=Settings!$E$2),1,0)</f>
        <v>0</v>
      </c>
      <c r="AF749"/>
      <c r="AG749"/>
      <c r="AH749"/>
      <c r="AI749"/>
      <c r="AJ749"/>
      <c r="AK749"/>
    </row>
    <row r="750" spans="1:37">
      <c r="A750" s="3" t="s">
        <v>515</v>
      </c>
      <c r="B750" s="3">
        <v>31</v>
      </c>
      <c r="C750" s="3" t="s">
        <v>23</v>
      </c>
      <c r="D750" s="5">
        <v>45237</v>
      </c>
      <c r="E750" s="5">
        <v>45597</v>
      </c>
      <c r="F750" s="3">
        <f ca="1">TODAY() - Table1[[#This Row],[SubscriptionStart]]</f>
        <v>744</v>
      </c>
      <c r="G750" s="4">
        <v>12</v>
      </c>
      <c r="H750" s="3" t="s">
        <v>24</v>
      </c>
      <c r="I750" s="3" t="s">
        <v>39</v>
      </c>
      <c r="J750" s="7" cm="1">
        <f t="array" ref="J750">_xlfn.IFS(Table1[[#This Row],[Tier]]="Basic",10,Table1[[#This Row],[Tier]]="Standard",18,Table1[[#This Row],[Tier]]="Premium",25)</f>
        <v>18</v>
      </c>
      <c r="K750" s="7" cm="1">
        <f t="array" ref="K75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750" s="7" cm="1">
        <f t="array" ref="L75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750" s="3" t="str" cm="1">
        <f t="array" ref="M75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50" s="3" t="s">
        <v>52</v>
      </c>
      <c r="O750" s="3" t="s">
        <v>43</v>
      </c>
      <c r="P750" s="3" t="s">
        <v>50</v>
      </c>
      <c r="Q750" s="3" t="str" cm="1">
        <f t="array" ref="Q750">_xlfn.IFS(Table1[[#This Row],[TotalRevenue]]&lt;100,"Low",Table1[[#This Row],[TotalRevenue]]&lt;300,"Medium",Table1[[#This Row],[TotalRevenue]]&lt;600,"High",TRUE,"Very High")</f>
        <v>Medium</v>
      </c>
      <c r="R750" s="3" t="str" cm="1">
        <f t="array" ref="R75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50" s="3" t="str">
        <f>IF(Table1[[#This Row],[NextBillingDate]]="","Cancelled",IF(Table1[[#This Row],[CancellationDate]]&lt;&gt;"","Cancelled","Active"))</f>
        <v>Cancelled</v>
      </c>
      <c r="T750" s="7" cm="1">
        <f t="array" ref="T75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750" s="5">
        <v>45597</v>
      </c>
      <c r="W750" s="5">
        <v>45597</v>
      </c>
      <c r="X750" s="3">
        <v>0</v>
      </c>
      <c r="Y750" s="5">
        <f ca="1">IF(Table1[[#This Row],[ChurnStatus]]="Cancelled",Table1[[#This Row],[CancellationDate]],TODAY())</f>
        <v>45597</v>
      </c>
      <c r="Z750" s="46">
        <f ca="1">IF(AND(Table1[[#This Row],[SubscriptionStart]] &lt;= TODAY(), Table1[[#This Row],[EffectiveEndDate]] &gt;= TODAY()),1,0)</f>
        <v>0</v>
      </c>
      <c r="AA750" s="46">
        <f ca="1">IF(AND(Table1[[#This Row],[SubscriptionStart]]&lt;=Settings!$A$2,Table1[[#This Row],[EffectiveEndDate]]&gt;=Settings!$A$2),1,0)</f>
        <v>0</v>
      </c>
      <c r="AB750" s="46">
        <f ca="1">IF(AND(Table1[[#This Row],[SubscriptionStart]]&lt;=Settings!$B$2,Table1[[#This Row],[EffectiveEndDate]]&gt;=Settings!$B$2),1,0)</f>
        <v>0</v>
      </c>
      <c r="AC750" s="46">
        <f ca="1">IF(AND(Table1[[#This Row],[SubscriptionStart]]&lt;=Settings!$C$2,Table1[[#This Row],[EffectiveEndDate]]&gt;=Settings!$C$2),1,0)</f>
        <v>0</v>
      </c>
      <c r="AD750" s="46">
        <f ca="1">IF(AND(Table1[[#This Row],[SubscriptionStart]]&lt;=Settings!$D$2,Table1[[#This Row],[EffectiveEndDate]]&gt;=Settings!$D$2),1,0)</f>
        <v>0</v>
      </c>
      <c r="AE750" s="46">
        <f ca="1">IF(AND(Table1[[#This Row],[SubscriptionStart]]&lt;=Settings!$E$2,Table1[[#This Row],[EffectiveEndDate]]&gt;=Settings!$E$2),1,0)</f>
        <v>1</v>
      </c>
      <c r="AF750"/>
      <c r="AG750"/>
      <c r="AH750"/>
      <c r="AI750"/>
      <c r="AJ750"/>
      <c r="AK750"/>
    </row>
    <row r="751" spans="1:37">
      <c r="A751" s="3" t="s">
        <v>147</v>
      </c>
      <c r="B751" s="3">
        <v>68</v>
      </c>
      <c r="C751" s="3" t="s">
        <v>37</v>
      </c>
      <c r="D751" s="5">
        <v>45240</v>
      </c>
      <c r="E751" s="5">
        <v>45420</v>
      </c>
      <c r="F751" s="3">
        <f ca="1">TODAY() - Table1[[#This Row],[SubscriptionStart]]</f>
        <v>741</v>
      </c>
      <c r="G751" s="4">
        <v>6</v>
      </c>
      <c r="H751" s="3" t="s">
        <v>38</v>
      </c>
      <c r="I751" s="3" t="s">
        <v>25</v>
      </c>
      <c r="J751" s="7" cm="1">
        <f t="array" ref="J751">_xlfn.IFS(Table1[[#This Row],[Tier]]="Basic",10,Table1[[#This Row],[Tier]]="Standard",18,Table1[[#This Row],[Tier]]="Premium",25)</f>
        <v>25</v>
      </c>
      <c r="K751" s="7" cm="1">
        <f t="array" ref="K75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751" s="7" cm="1">
        <f t="array" ref="L75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751" s="3" t="str" cm="1">
        <f t="array" ref="M751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51" s="3" t="s">
        <v>26</v>
      </c>
      <c r="O751" s="3" t="s">
        <v>49</v>
      </c>
      <c r="P751" s="3" t="s">
        <v>47</v>
      </c>
      <c r="Q751" s="3" t="str" cm="1">
        <f t="array" ref="Q751">_xlfn.IFS(Table1[[#This Row],[TotalRevenue]]&lt;100,"Low",Table1[[#This Row],[TotalRevenue]]&lt;300,"Medium",Table1[[#This Row],[TotalRevenue]]&lt;600,"High",TRUE,"Very High")</f>
        <v>Medium</v>
      </c>
      <c r="R751" s="3" t="str" cm="1">
        <f t="array" ref="R751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51" s="3" t="str">
        <f>IF(Table1[[#This Row],[NextBillingDate]]="","Cancelled",IF(Table1[[#This Row],[CancellationDate]]&lt;&gt;"","Cancelled","Active"))</f>
        <v>Cancelled</v>
      </c>
      <c r="T751" s="7" cm="1">
        <f t="array" ref="T75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751" s="5">
        <v>45420</v>
      </c>
      <c r="W751" s="5">
        <v>45420</v>
      </c>
      <c r="X751" s="3">
        <v>0</v>
      </c>
      <c r="Y751" s="5">
        <f ca="1">IF(Table1[[#This Row],[ChurnStatus]]="Cancelled",Table1[[#This Row],[CancellationDate]],TODAY())</f>
        <v>45420</v>
      </c>
      <c r="Z751" s="46">
        <f ca="1">IF(AND(Table1[[#This Row],[SubscriptionStart]] &lt;= TODAY(), Table1[[#This Row],[EffectiveEndDate]] &gt;= TODAY()),1,0)</f>
        <v>0</v>
      </c>
      <c r="AA751" s="46">
        <f ca="1">IF(AND(Table1[[#This Row],[SubscriptionStart]]&lt;=Settings!$A$2,Table1[[#This Row],[EffectiveEndDate]]&gt;=Settings!$A$2),1,0)</f>
        <v>0</v>
      </c>
      <c r="AB751" s="46">
        <f ca="1">IF(AND(Table1[[#This Row],[SubscriptionStart]]&lt;=Settings!$B$2,Table1[[#This Row],[EffectiveEndDate]]&gt;=Settings!$B$2),1,0)</f>
        <v>0</v>
      </c>
      <c r="AC751" s="46">
        <f ca="1">IF(AND(Table1[[#This Row],[SubscriptionStart]]&lt;=Settings!$C$2,Table1[[#This Row],[EffectiveEndDate]]&gt;=Settings!$C$2),1,0)</f>
        <v>0</v>
      </c>
      <c r="AD751" s="46">
        <f ca="1">IF(AND(Table1[[#This Row],[SubscriptionStart]]&lt;=Settings!$D$2,Table1[[#This Row],[EffectiveEndDate]]&gt;=Settings!$D$2),1,0)</f>
        <v>0</v>
      </c>
      <c r="AE751" s="46">
        <f ca="1">IF(AND(Table1[[#This Row],[SubscriptionStart]]&lt;=Settings!$E$2,Table1[[#This Row],[EffectiveEndDate]]&gt;=Settings!$E$2),1,0)</f>
        <v>0</v>
      </c>
      <c r="AF751"/>
      <c r="AG751"/>
      <c r="AH751"/>
      <c r="AI751"/>
      <c r="AJ751"/>
      <c r="AK751"/>
    </row>
    <row r="752" spans="1:37">
      <c r="A752" s="3" t="s">
        <v>22</v>
      </c>
      <c r="B752" s="3">
        <v>31</v>
      </c>
      <c r="C752" s="3" t="s">
        <v>23</v>
      </c>
      <c r="D752" s="5">
        <v>45240</v>
      </c>
      <c r="F752" s="3">
        <f ca="1">TODAY() - Table1[[#This Row],[SubscriptionStart]]</f>
        <v>741</v>
      </c>
      <c r="G752" s="4">
        <v>36</v>
      </c>
      <c r="H752" s="3" t="s">
        <v>24</v>
      </c>
      <c r="I752" s="3" t="s">
        <v>25</v>
      </c>
      <c r="J752" s="7" cm="1">
        <f t="array" ref="J752">_xlfn.IFS(Table1[[#This Row],[Tier]]="Basic",10,Table1[[#This Row],[Tier]]="Standard",18,Table1[[#This Row],[Tier]]="Premium",25)</f>
        <v>25</v>
      </c>
      <c r="K752" s="7" cm="1">
        <f t="array" ref="K75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16.666666666666664</v>
      </c>
      <c r="L752" s="7" cm="1">
        <f t="array" ref="L75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580</v>
      </c>
      <c r="M752" s="3" t="str" cm="1">
        <f t="array" ref="M75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52" s="3" t="s">
        <v>26</v>
      </c>
      <c r="O752" s="3" t="s">
        <v>27</v>
      </c>
      <c r="Q752" s="3" t="str" cm="1">
        <f t="array" ref="Q752">_xlfn.IFS(Table1[[#This Row],[TotalRevenue]]&lt;100,"Low",Table1[[#This Row],[TotalRevenue]]&lt;300,"Medium",Table1[[#This Row],[TotalRevenue]]&lt;600,"High",TRUE,"Very High")</f>
        <v>High</v>
      </c>
      <c r="R752" s="3" t="str" cm="1">
        <f t="array" ref="R75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52" s="3" t="str">
        <f>IF(Table1[[#This Row],[NextBillingDate]]="","Cancelled",IF(Table1[[#This Row],[CancellationDate]]&lt;&gt;"","Cancelled","Active"))</f>
        <v>Active</v>
      </c>
      <c r="T752" s="7" cm="1">
        <f t="array" ref="T75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780</v>
      </c>
      <c r="V752" s="5">
        <v>46320</v>
      </c>
      <c r="W752" s="5">
        <v>46320</v>
      </c>
      <c r="X752" s="3">
        <v>2</v>
      </c>
      <c r="Y752" s="5">
        <f ca="1">IF(Table1[[#This Row],[ChurnStatus]]="Cancelled",Table1[[#This Row],[CancellationDate]],TODAY())</f>
        <v>45981</v>
      </c>
      <c r="Z752" s="46">
        <f ca="1">IF(AND(Table1[[#This Row],[SubscriptionStart]] &lt;= TODAY(), Table1[[#This Row],[EffectiveEndDate]] &gt;= TODAY()),1,0)</f>
        <v>1</v>
      </c>
      <c r="AA752" s="46">
        <f ca="1">IF(AND(Table1[[#This Row],[SubscriptionStart]]&lt;=Settings!$A$2,Table1[[#This Row],[EffectiveEndDate]]&gt;=Settings!$A$2),1,0)</f>
        <v>0</v>
      </c>
      <c r="AB752" s="46">
        <f ca="1">IF(AND(Table1[[#This Row],[SubscriptionStart]]&lt;=Settings!$B$2,Table1[[#This Row],[EffectiveEndDate]]&gt;=Settings!$B$2),1,0)</f>
        <v>0</v>
      </c>
      <c r="AC752" s="46">
        <f ca="1">IF(AND(Table1[[#This Row],[SubscriptionStart]]&lt;=Settings!$C$2,Table1[[#This Row],[EffectiveEndDate]]&gt;=Settings!$C$2),1,0)</f>
        <v>0</v>
      </c>
      <c r="AD752" s="46">
        <f ca="1">IF(AND(Table1[[#This Row],[SubscriptionStart]]&lt;=Settings!$D$2,Table1[[#This Row],[EffectiveEndDate]]&gt;=Settings!$D$2),1,0)</f>
        <v>0</v>
      </c>
      <c r="AE752" s="46">
        <f ca="1">IF(AND(Table1[[#This Row],[SubscriptionStart]]&lt;=Settings!$E$2,Table1[[#This Row],[EffectiveEndDate]]&gt;=Settings!$E$2),1,0)</f>
        <v>1</v>
      </c>
      <c r="AF752"/>
      <c r="AG752"/>
      <c r="AH752"/>
      <c r="AI752"/>
      <c r="AJ752"/>
      <c r="AK752"/>
    </row>
    <row r="753" spans="1:37">
      <c r="A753" s="3" t="s">
        <v>406</v>
      </c>
      <c r="B753" s="3">
        <v>54</v>
      </c>
      <c r="C753" s="3" t="s">
        <v>23</v>
      </c>
      <c r="D753" s="5">
        <v>45242</v>
      </c>
      <c r="E753" s="5">
        <v>45602</v>
      </c>
      <c r="F753" s="3">
        <f ca="1">TODAY() - Table1[[#This Row],[SubscriptionStart]]</f>
        <v>739</v>
      </c>
      <c r="G753" s="4">
        <v>12</v>
      </c>
      <c r="H753" s="3" t="s">
        <v>24</v>
      </c>
      <c r="I753" s="3" t="s">
        <v>30</v>
      </c>
      <c r="J753" s="7" cm="1">
        <f t="array" ref="J753">_xlfn.IFS(Table1[[#This Row],[Tier]]="Basic",10,Table1[[#This Row],[Tier]]="Standard",18,Table1[[#This Row],[Tier]]="Premium",25)</f>
        <v>10</v>
      </c>
      <c r="K753" s="7" cm="1">
        <f t="array" ref="K75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53" s="7" cm="1">
        <f t="array" ref="L75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53" s="3" t="str" cm="1">
        <f t="array" ref="M753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53" s="3" t="s">
        <v>31</v>
      </c>
      <c r="O753" s="3" t="s">
        <v>43</v>
      </c>
      <c r="P753" s="3" t="s">
        <v>44</v>
      </c>
      <c r="Q753" s="3" t="str" cm="1">
        <f t="array" ref="Q753">_xlfn.IFS(Table1[[#This Row],[TotalRevenue]]&lt;100,"Low",Table1[[#This Row],[TotalRevenue]]&lt;300,"Medium",Table1[[#This Row],[TotalRevenue]]&lt;600,"High",TRUE,"Very High")</f>
        <v>Low</v>
      </c>
      <c r="R753" s="3" t="str" cm="1">
        <f t="array" ref="R75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53" s="3" t="str">
        <f>IF(Table1[[#This Row],[NextBillingDate]]="","Cancelled",IF(Table1[[#This Row],[CancellationDate]]&lt;&gt;"","Cancelled","Active"))</f>
        <v>Cancelled</v>
      </c>
      <c r="T753" s="7" cm="1">
        <f t="array" ref="T75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53" s="5">
        <v>45602</v>
      </c>
      <c r="W753" s="5">
        <v>45602</v>
      </c>
      <c r="X753" s="3">
        <v>0</v>
      </c>
      <c r="Y753" s="5">
        <f ca="1">IF(Table1[[#This Row],[ChurnStatus]]="Cancelled",Table1[[#This Row],[CancellationDate]],TODAY())</f>
        <v>45602</v>
      </c>
      <c r="Z753" s="46">
        <f ca="1">IF(AND(Table1[[#This Row],[SubscriptionStart]] &lt;= TODAY(), Table1[[#This Row],[EffectiveEndDate]] &gt;= TODAY()),1,0)</f>
        <v>0</v>
      </c>
      <c r="AA753" s="46">
        <f ca="1">IF(AND(Table1[[#This Row],[SubscriptionStart]]&lt;=Settings!$A$2,Table1[[#This Row],[EffectiveEndDate]]&gt;=Settings!$A$2),1,0)</f>
        <v>0</v>
      </c>
      <c r="AB753" s="46">
        <f ca="1">IF(AND(Table1[[#This Row],[SubscriptionStart]]&lt;=Settings!$B$2,Table1[[#This Row],[EffectiveEndDate]]&gt;=Settings!$B$2),1,0)</f>
        <v>0</v>
      </c>
      <c r="AC753" s="46">
        <f ca="1">IF(AND(Table1[[#This Row],[SubscriptionStart]]&lt;=Settings!$C$2,Table1[[#This Row],[EffectiveEndDate]]&gt;=Settings!$C$2),1,0)</f>
        <v>0</v>
      </c>
      <c r="AD753" s="46">
        <f ca="1">IF(AND(Table1[[#This Row],[SubscriptionStart]]&lt;=Settings!$D$2,Table1[[#This Row],[EffectiveEndDate]]&gt;=Settings!$D$2),1,0)</f>
        <v>0</v>
      </c>
      <c r="AE753" s="46">
        <f ca="1">IF(AND(Table1[[#This Row],[SubscriptionStart]]&lt;=Settings!$E$2,Table1[[#This Row],[EffectiveEndDate]]&gt;=Settings!$E$2),1,0)</f>
        <v>1</v>
      </c>
      <c r="AF753"/>
      <c r="AG753"/>
      <c r="AH753"/>
      <c r="AI753"/>
      <c r="AJ753"/>
      <c r="AK753"/>
    </row>
    <row r="754" spans="1:37">
      <c r="A754" s="3" t="s">
        <v>461</v>
      </c>
      <c r="B754" s="3">
        <v>29</v>
      </c>
      <c r="C754" s="3" t="s">
        <v>37</v>
      </c>
      <c r="D754" s="5">
        <v>45244</v>
      </c>
      <c r="E754" s="5">
        <v>45604</v>
      </c>
      <c r="F754" s="3">
        <f ca="1">TODAY() - Table1[[#This Row],[SubscriptionStart]]</f>
        <v>737</v>
      </c>
      <c r="G754" s="4">
        <v>12</v>
      </c>
      <c r="H754" s="3" t="s">
        <v>24</v>
      </c>
      <c r="I754" s="3" t="s">
        <v>39</v>
      </c>
      <c r="J754" s="7" cm="1">
        <f t="array" ref="J754">_xlfn.IFS(Table1[[#This Row],[Tier]]="Basic",10,Table1[[#This Row],[Tier]]="Standard",18,Table1[[#This Row],[Tier]]="Premium",25)</f>
        <v>18</v>
      </c>
      <c r="K754" s="7" cm="1">
        <f t="array" ref="K75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754" s="7" cm="1">
        <f t="array" ref="L75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754" s="3" t="str" cm="1">
        <f t="array" ref="M754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54" s="3" t="s">
        <v>34</v>
      </c>
      <c r="O754" s="3" t="s">
        <v>27</v>
      </c>
      <c r="P754" s="3" t="s">
        <v>47</v>
      </c>
      <c r="Q754" s="3" t="str" cm="1">
        <f t="array" ref="Q754">_xlfn.IFS(Table1[[#This Row],[TotalRevenue]]&lt;100,"Low",Table1[[#This Row],[TotalRevenue]]&lt;300,"Medium",Table1[[#This Row],[TotalRevenue]]&lt;600,"High",TRUE,"Very High")</f>
        <v>Medium</v>
      </c>
      <c r="R754" s="3" t="str" cm="1">
        <f t="array" ref="R75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54" s="3" t="str">
        <f>IF(Table1[[#This Row],[NextBillingDate]]="","Cancelled",IF(Table1[[#This Row],[CancellationDate]]&lt;&gt;"","Cancelled","Active"))</f>
        <v>Cancelled</v>
      </c>
      <c r="T754" s="7" cm="1">
        <f t="array" ref="T75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754" s="5">
        <v>45604</v>
      </c>
      <c r="W754" s="5">
        <v>45604</v>
      </c>
      <c r="X754" s="3">
        <v>0</v>
      </c>
      <c r="Y754" s="5">
        <f ca="1">IF(Table1[[#This Row],[ChurnStatus]]="Cancelled",Table1[[#This Row],[CancellationDate]],TODAY())</f>
        <v>45604</v>
      </c>
      <c r="Z754" s="46">
        <f ca="1">IF(AND(Table1[[#This Row],[SubscriptionStart]] &lt;= TODAY(), Table1[[#This Row],[EffectiveEndDate]] &gt;= TODAY()),1,0)</f>
        <v>0</v>
      </c>
      <c r="AA754" s="46">
        <f ca="1">IF(AND(Table1[[#This Row],[SubscriptionStart]]&lt;=Settings!$A$2,Table1[[#This Row],[EffectiveEndDate]]&gt;=Settings!$A$2),1,0)</f>
        <v>0</v>
      </c>
      <c r="AB754" s="46">
        <f ca="1">IF(AND(Table1[[#This Row],[SubscriptionStart]]&lt;=Settings!$B$2,Table1[[#This Row],[EffectiveEndDate]]&gt;=Settings!$B$2),1,0)</f>
        <v>0</v>
      </c>
      <c r="AC754" s="46">
        <f ca="1">IF(AND(Table1[[#This Row],[SubscriptionStart]]&lt;=Settings!$C$2,Table1[[#This Row],[EffectiveEndDate]]&gt;=Settings!$C$2),1,0)</f>
        <v>0</v>
      </c>
      <c r="AD754" s="46">
        <f ca="1">IF(AND(Table1[[#This Row],[SubscriptionStart]]&lt;=Settings!$D$2,Table1[[#This Row],[EffectiveEndDate]]&gt;=Settings!$D$2),1,0)</f>
        <v>0</v>
      </c>
      <c r="AE754" s="46">
        <f ca="1">IF(AND(Table1[[#This Row],[SubscriptionStart]]&lt;=Settings!$E$2,Table1[[#This Row],[EffectiveEndDate]]&gt;=Settings!$E$2),1,0)</f>
        <v>1</v>
      </c>
      <c r="AF754"/>
      <c r="AG754"/>
      <c r="AH754"/>
      <c r="AI754"/>
      <c r="AJ754"/>
      <c r="AK754"/>
    </row>
    <row r="755" spans="1:37">
      <c r="A755" s="3" t="s">
        <v>521</v>
      </c>
      <c r="B755" s="3">
        <v>35</v>
      </c>
      <c r="C755" s="3" t="s">
        <v>37</v>
      </c>
      <c r="D755" s="5">
        <v>45247</v>
      </c>
      <c r="E755" s="5">
        <v>45607</v>
      </c>
      <c r="F755" s="3">
        <f ca="1">TODAY() - Table1[[#This Row],[SubscriptionStart]]</f>
        <v>734</v>
      </c>
      <c r="G755" s="4">
        <v>12</v>
      </c>
      <c r="H755" s="3" t="s">
        <v>24</v>
      </c>
      <c r="I755" s="3" t="s">
        <v>30</v>
      </c>
      <c r="J755" s="7" cm="1">
        <f t="array" ref="J755">_xlfn.IFS(Table1[[#This Row],[Tier]]="Basic",10,Table1[[#This Row],[Tier]]="Standard",18,Table1[[#This Row],[Tier]]="Premium",25)</f>
        <v>10</v>
      </c>
      <c r="K755" s="7" cm="1">
        <f t="array" ref="K75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55" s="7" cm="1">
        <f t="array" ref="L75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55" s="3" t="str" cm="1">
        <f t="array" ref="M75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55" s="3" t="s">
        <v>52</v>
      </c>
      <c r="O755" s="3" t="s">
        <v>43</v>
      </c>
      <c r="P755" s="3" t="s">
        <v>44</v>
      </c>
      <c r="Q755" s="3" t="str" cm="1">
        <f t="array" ref="Q755">_xlfn.IFS(Table1[[#This Row],[TotalRevenue]]&lt;100,"Low",Table1[[#This Row],[TotalRevenue]]&lt;300,"Medium",Table1[[#This Row],[TotalRevenue]]&lt;600,"High",TRUE,"Very High")</f>
        <v>Low</v>
      </c>
      <c r="R755" s="3" t="str" cm="1">
        <f t="array" ref="R75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55" s="3" t="str">
        <f>IF(Table1[[#This Row],[NextBillingDate]]="","Cancelled",IF(Table1[[#This Row],[CancellationDate]]&lt;&gt;"","Cancelled","Active"))</f>
        <v>Cancelled</v>
      </c>
      <c r="T755" s="7" cm="1">
        <f t="array" ref="T75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55" s="5">
        <v>45607</v>
      </c>
      <c r="W755" s="5">
        <v>45607</v>
      </c>
      <c r="X755" s="3">
        <v>0</v>
      </c>
      <c r="Y755" s="5">
        <f ca="1">IF(Table1[[#This Row],[ChurnStatus]]="Cancelled",Table1[[#This Row],[CancellationDate]],TODAY())</f>
        <v>45607</v>
      </c>
      <c r="Z755" s="46">
        <f ca="1">IF(AND(Table1[[#This Row],[SubscriptionStart]] &lt;= TODAY(), Table1[[#This Row],[EffectiveEndDate]] &gt;= TODAY()),1,0)</f>
        <v>0</v>
      </c>
      <c r="AA755" s="46">
        <f ca="1">IF(AND(Table1[[#This Row],[SubscriptionStart]]&lt;=Settings!$A$2,Table1[[#This Row],[EffectiveEndDate]]&gt;=Settings!$A$2),1,0)</f>
        <v>0</v>
      </c>
      <c r="AB755" s="46">
        <f ca="1">IF(AND(Table1[[#This Row],[SubscriptionStart]]&lt;=Settings!$B$2,Table1[[#This Row],[EffectiveEndDate]]&gt;=Settings!$B$2),1,0)</f>
        <v>0</v>
      </c>
      <c r="AC755" s="46">
        <f ca="1">IF(AND(Table1[[#This Row],[SubscriptionStart]]&lt;=Settings!$C$2,Table1[[#This Row],[EffectiveEndDate]]&gt;=Settings!$C$2),1,0)</f>
        <v>0</v>
      </c>
      <c r="AD755" s="46">
        <f ca="1">IF(AND(Table1[[#This Row],[SubscriptionStart]]&lt;=Settings!$D$2,Table1[[#This Row],[EffectiveEndDate]]&gt;=Settings!$D$2),1,0)</f>
        <v>0</v>
      </c>
      <c r="AE755" s="46">
        <f ca="1">IF(AND(Table1[[#This Row],[SubscriptionStart]]&lt;=Settings!$E$2,Table1[[#This Row],[EffectiveEndDate]]&gt;=Settings!$E$2),1,0)</f>
        <v>1</v>
      </c>
      <c r="AF755"/>
      <c r="AG755"/>
      <c r="AH755"/>
      <c r="AI755"/>
      <c r="AJ755"/>
      <c r="AK755"/>
    </row>
    <row r="756" spans="1:37">
      <c r="A756" s="3" t="s">
        <v>366</v>
      </c>
      <c r="B756" s="3">
        <v>42</v>
      </c>
      <c r="C756" s="3" t="s">
        <v>23</v>
      </c>
      <c r="D756" s="5">
        <v>45248</v>
      </c>
      <c r="F756" s="3">
        <f ca="1">TODAY() - Table1[[#This Row],[SubscriptionStart]]</f>
        <v>733</v>
      </c>
      <c r="G756" s="4">
        <v>36</v>
      </c>
      <c r="H756" s="3" t="s">
        <v>24</v>
      </c>
      <c r="I756" s="3" t="s">
        <v>39</v>
      </c>
      <c r="J756" s="7" cm="1">
        <f t="array" ref="J756">_xlfn.IFS(Table1[[#This Row],[Tier]]="Basic",10,Table1[[#This Row],[Tier]]="Standard",18,Table1[[#This Row],[Tier]]="Premium",25)</f>
        <v>18</v>
      </c>
      <c r="K756" s="7" cm="1">
        <f t="array" ref="K75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756" s="7" cm="1">
        <f t="array" ref="L75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417.6</v>
      </c>
      <c r="M756" s="3" t="str" cm="1">
        <f t="array" ref="M75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56" s="3" t="s">
        <v>26</v>
      </c>
      <c r="O756" s="3" t="s">
        <v>40</v>
      </c>
      <c r="Q756" s="3" t="str" cm="1">
        <f t="array" ref="Q756">_xlfn.IFS(Table1[[#This Row],[TotalRevenue]]&lt;100,"Low",Table1[[#This Row],[TotalRevenue]]&lt;300,"Medium",Table1[[#This Row],[TotalRevenue]]&lt;600,"High",TRUE,"Very High")</f>
        <v>High</v>
      </c>
      <c r="R756" s="3" t="str" cm="1">
        <f t="array" ref="R75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56" s="3" t="str">
        <f>IF(Table1[[#This Row],[NextBillingDate]]="","Cancelled",IF(Table1[[#This Row],[CancellationDate]]&lt;&gt;"","Cancelled","Active"))</f>
        <v>Active</v>
      </c>
      <c r="T756" s="7" cm="1">
        <f t="array" ref="T75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561.6</v>
      </c>
      <c r="V756" s="5">
        <v>46328</v>
      </c>
      <c r="W756" s="5">
        <v>46328</v>
      </c>
      <c r="X756" s="3">
        <v>2</v>
      </c>
      <c r="Y756" s="5">
        <f ca="1">IF(Table1[[#This Row],[ChurnStatus]]="Cancelled",Table1[[#This Row],[CancellationDate]],TODAY())</f>
        <v>45981</v>
      </c>
      <c r="Z756" s="46">
        <f ca="1">IF(AND(Table1[[#This Row],[SubscriptionStart]] &lt;= TODAY(), Table1[[#This Row],[EffectiveEndDate]] &gt;= TODAY()),1,0)</f>
        <v>1</v>
      </c>
      <c r="AA756" s="46">
        <f ca="1">IF(AND(Table1[[#This Row],[SubscriptionStart]]&lt;=Settings!$A$2,Table1[[#This Row],[EffectiveEndDate]]&gt;=Settings!$A$2),1,0)</f>
        <v>0</v>
      </c>
      <c r="AB756" s="46">
        <f ca="1">IF(AND(Table1[[#This Row],[SubscriptionStart]]&lt;=Settings!$B$2,Table1[[#This Row],[EffectiveEndDate]]&gt;=Settings!$B$2),1,0)</f>
        <v>0</v>
      </c>
      <c r="AC756" s="46">
        <f ca="1">IF(AND(Table1[[#This Row],[SubscriptionStart]]&lt;=Settings!$C$2,Table1[[#This Row],[EffectiveEndDate]]&gt;=Settings!$C$2),1,0)</f>
        <v>0</v>
      </c>
      <c r="AD756" s="46">
        <f ca="1">IF(AND(Table1[[#This Row],[SubscriptionStart]]&lt;=Settings!$D$2,Table1[[#This Row],[EffectiveEndDate]]&gt;=Settings!$D$2),1,0)</f>
        <v>0</v>
      </c>
      <c r="AE756" s="46">
        <f ca="1">IF(AND(Table1[[#This Row],[SubscriptionStart]]&lt;=Settings!$E$2,Table1[[#This Row],[EffectiveEndDate]]&gt;=Settings!$E$2),1,0)</f>
        <v>1</v>
      </c>
      <c r="AF756"/>
      <c r="AG756"/>
      <c r="AH756"/>
      <c r="AI756"/>
      <c r="AJ756"/>
      <c r="AK756"/>
    </row>
    <row r="757" spans="1:37">
      <c r="A757" s="3" t="s">
        <v>536</v>
      </c>
      <c r="B757" s="3">
        <v>56</v>
      </c>
      <c r="C757" s="3" t="s">
        <v>37</v>
      </c>
      <c r="D757" s="5">
        <v>45249</v>
      </c>
      <c r="E757" s="5">
        <v>45429</v>
      </c>
      <c r="F757" s="3">
        <f ca="1">TODAY() - Table1[[#This Row],[SubscriptionStart]]</f>
        <v>732</v>
      </c>
      <c r="G757" s="4">
        <v>6</v>
      </c>
      <c r="H757" s="3" t="s">
        <v>38</v>
      </c>
      <c r="I757" s="3" t="s">
        <v>39</v>
      </c>
      <c r="J757" s="7" cm="1">
        <f t="array" ref="J757">_xlfn.IFS(Table1[[#This Row],[Tier]]="Basic",10,Table1[[#This Row],[Tier]]="Standard",18,Table1[[#This Row],[Tier]]="Premium",25)</f>
        <v>18</v>
      </c>
      <c r="K757" s="7" cm="1">
        <f t="array" ref="K75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757" s="7" cm="1">
        <f t="array" ref="L75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757" s="3" t="str" cm="1">
        <f t="array" ref="M75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57" s="3" t="s">
        <v>31</v>
      </c>
      <c r="O757" s="3" t="s">
        <v>32</v>
      </c>
      <c r="P757" s="3" t="s">
        <v>41</v>
      </c>
      <c r="Q757" s="3" t="str" cm="1">
        <f t="array" ref="Q757">_xlfn.IFS(Table1[[#This Row],[TotalRevenue]]&lt;100,"Low",Table1[[#This Row],[TotalRevenue]]&lt;300,"Medium",Table1[[#This Row],[TotalRevenue]]&lt;600,"High",TRUE,"Very High")</f>
        <v>Low</v>
      </c>
      <c r="R757" s="3" t="str" cm="1">
        <f t="array" ref="R75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57" s="3" t="str">
        <f>IF(Table1[[#This Row],[NextBillingDate]]="","Cancelled",IF(Table1[[#This Row],[CancellationDate]]&lt;&gt;"","Cancelled","Active"))</f>
        <v>Cancelled</v>
      </c>
      <c r="T757" s="7" cm="1">
        <f t="array" ref="T75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757" s="5">
        <v>45429</v>
      </c>
      <c r="W757" s="5">
        <v>45429</v>
      </c>
      <c r="X757" s="3">
        <v>0</v>
      </c>
      <c r="Y757" s="5">
        <f ca="1">IF(Table1[[#This Row],[ChurnStatus]]="Cancelled",Table1[[#This Row],[CancellationDate]],TODAY())</f>
        <v>45429</v>
      </c>
      <c r="Z757" s="46">
        <f ca="1">IF(AND(Table1[[#This Row],[SubscriptionStart]] &lt;= TODAY(), Table1[[#This Row],[EffectiveEndDate]] &gt;= TODAY()),1,0)</f>
        <v>0</v>
      </c>
      <c r="AA757" s="46">
        <f ca="1">IF(AND(Table1[[#This Row],[SubscriptionStart]]&lt;=Settings!$A$2,Table1[[#This Row],[EffectiveEndDate]]&gt;=Settings!$A$2),1,0)</f>
        <v>0</v>
      </c>
      <c r="AB757" s="46">
        <f ca="1">IF(AND(Table1[[#This Row],[SubscriptionStart]]&lt;=Settings!$B$2,Table1[[#This Row],[EffectiveEndDate]]&gt;=Settings!$B$2),1,0)</f>
        <v>0</v>
      </c>
      <c r="AC757" s="46">
        <f ca="1">IF(AND(Table1[[#This Row],[SubscriptionStart]]&lt;=Settings!$C$2,Table1[[#This Row],[EffectiveEndDate]]&gt;=Settings!$C$2),1,0)</f>
        <v>0</v>
      </c>
      <c r="AD757" s="46">
        <f ca="1">IF(AND(Table1[[#This Row],[SubscriptionStart]]&lt;=Settings!$D$2,Table1[[#This Row],[EffectiveEndDate]]&gt;=Settings!$D$2),1,0)</f>
        <v>0</v>
      </c>
      <c r="AE757" s="46">
        <f ca="1">IF(AND(Table1[[#This Row],[SubscriptionStart]]&lt;=Settings!$E$2,Table1[[#This Row],[EffectiveEndDate]]&gt;=Settings!$E$2),1,0)</f>
        <v>0</v>
      </c>
      <c r="AF757"/>
      <c r="AG757"/>
      <c r="AH757"/>
      <c r="AI757"/>
      <c r="AJ757"/>
      <c r="AK757"/>
    </row>
    <row r="758" spans="1:37">
      <c r="A758" s="3" t="s">
        <v>751</v>
      </c>
      <c r="B758" s="3">
        <v>68</v>
      </c>
      <c r="C758" s="3" t="s">
        <v>37</v>
      </c>
      <c r="D758" s="5">
        <v>45249</v>
      </c>
      <c r="E758" s="5">
        <v>45609</v>
      </c>
      <c r="F758" s="3">
        <f ca="1">TODAY() - Table1[[#This Row],[SubscriptionStart]]</f>
        <v>732</v>
      </c>
      <c r="G758" s="4">
        <v>12</v>
      </c>
      <c r="H758" s="3" t="s">
        <v>24</v>
      </c>
      <c r="I758" s="3" t="s">
        <v>25</v>
      </c>
      <c r="J758" s="7" cm="1">
        <f t="array" ref="J758">_xlfn.IFS(Table1[[#This Row],[Tier]]="Basic",10,Table1[[#This Row],[Tier]]="Standard",18,Table1[[#This Row],[Tier]]="Premium",25)</f>
        <v>25</v>
      </c>
      <c r="K758" s="7" cm="1">
        <f t="array" ref="K75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58" s="7" cm="1">
        <f t="array" ref="L75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58" s="3" t="str" cm="1">
        <f t="array" ref="M758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58" s="3" t="s">
        <v>52</v>
      </c>
      <c r="O758" s="3" t="s">
        <v>40</v>
      </c>
      <c r="P758" s="3" t="s">
        <v>41</v>
      </c>
      <c r="Q758" s="3" t="str" cm="1">
        <f t="array" ref="Q758">_xlfn.IFS(Table1[[#This Row],[TotalRevenue]]&lt;100,"Low",Table1[[#This Row],[TotalRevenue]]&lt;300,"Medium",Table1[[#This Row],[TotalRevenue]]&lt;600,"High",TRUE,"Very High")</f>
        <v>Medium</v>
      </c>
      <c r="R758" s="3" t="str" cm="1">
        <f t="array" ref="R758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58" s="3" t="str">
        <f>IF(Table1[[#This Row],[NextBillingDate]]="","Cancelled",IF(Table1[[#This Row],[CancellationDate]]&lt;&gt;"","Cancelled","Active"))</f>
        <v>Cancelled</v>
      </c>
      <c r="T758" s="7" cm="1">
        <f t="array" ref="T75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58" s="5">
        <v>45609</v>
      </c>
      <c r="W758" s="5">
        <v>45609</v>
      </c>
      <c r="X758" s="3">
        <v>0</v>
      </c>
      <c r="Y758" s="5">
        <f ca="1">IF(Table1[[#This Row],[ChurnStatus]]="Cancelled",Table1[[#This Row],[CancellationDate]],TODAY())</f>
        <v>45609</v>
      </c>
      <c r="Z758" s="46">
        <f ca="1">IF(AND(Table1[[#This Row],[SubscriptionStart]] &lt;= TODAY(), Table1[[#This Row],[EffectiveEndDate]] &gt;= TODAY()),1,0)</f>
        <v>0</v>
      </c>
      <c r="AA758" s="46">
        <f ca="1">IF(AND(Table1[[#This Row],[SubscriptionStart]]&lt;=Settings!$A$2,Table1[[#This Row],[EffectiveEndDate]]&gt;=Settings!$A$2),1,0)</f>
        <v>0</v>
      </c>
      <c r="AB758" s="46">
        <f ca="1">IF(AND(Table1[[#This Row],[SubscriptionStart]]&lt;=Settings!$B$2,Table1[[#This Row],[EffectiveEndDate]]&gt;=Settings!$B$2),1,0)</f>
        <v>0</v>
      </c>
      <c r="AC758" s="46">
        <f ca="1">IF(AND(Table1[[#This Row],[SubscriptionStart]]&lt;=Settings!$C$2,Table1[[#This Row],[EffectiveEndDate]]&gt;=Settings!$C$2),1,0)</f>
        <v>0</v>
      </c>
      <c r="AD758" s="46">
        <f ca="1">IF(AND(Table1[[#This Row],[SubscriptionStart]]&lt;=Settings!$D$2,Table1[[#This Row],[EffectiveEndDate]]&gt;=Settings!$D$2),1,0)</f>
        <v>0</v>
      </c>
      <c r="AE758" s="46">
        <f ca="1">IF(AND(Table1[[#This Row],[SubscriptionStart]]&lt;=Settings!$E$2,Table1[[#This Row],[EffectiveEndDate]]&gt;=Settings!$E$2),1,0)</f>
        <v>1</v>
      </c>
      <c r="AF758"/>
      <c r="AG758"/>
      <c r="AH758"/>
      <c r="AI758"/>
      <c r="AJ758"/>
      <c r="AK758"/>
    </row>
    <row r="759" spans="1:37">
      <c r="A759" s="3" t="s">
        <v>539</v>
      </c>
      <c r="B759" s="3">
        <v>54</v>
      </c>
      <c r="C759" s="3" t="s">
        <v>23</v>
      </c>
      <c r="D759" s="5">
        <v>45249</v>
      </c>
      <c r="F759" s="3">
        <f ca="1">TODAY() - Table1[[#This Row],[SubscriptionStart]]</f>
        <v>732</v>
      </c>
      <c r="G759" s="4">
        <v>30</v>
      </c>
      <c r="H759" s="3" t="s">
        <v>38</v>
      </c>
      <c r="I759" s="3" t="s">
        <v>25</v>
      </c>
      <c r="J759" s="7" cm="1">
        <f t="array" ref="J759">_xlfn.IFS(Table1[[#This Row],[Tier]]="Basic",10,Table1[[#This Row],[Tier]]="Standard",18,Table1[[#This Row],[Tier]]="Premium",25)</f>
        <v>25</v>
      </c>
      <c r="K759" s="7" cm="1">
        <f t="array" ref="K75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18.75</v>
      </c>
      <c r="L759" s="7" cm="1">
        <f t="array" ref="L75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540</v>
      </c>
      <c r="M759" s="3" t="str" cm="1">
        <f t="array" ref="M759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59" s="3" t="s">
        <v>31</v>
      </c>
      <c r="O759" s="3" t="s">
        <v>43</v>
      </c>
      <c r="Q759" s="3" t="str" cm="1">
        <f t="array" ref="Q759">_xlfn.IFS(Table1[[#This Row],[TotalRevenue]]&lt;100,"Low",Table1[[#This Row],[TotalRevenue]]&lt;300,"Medium",Table1[[#This Row],[TotalRevenue]]&lt;600,"High",TRUE,"Very High")</f>
        <v>High</v>
      </c>
      <c r="R759" s="3" t="str" cm="1">
        <f t="array" ref="R75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59" s="3" t="str">
        <f>IF(Table1[[#This Row],[NextBillingDate]]="","Cancelled",IF(Table1[[#This Row],[CancellationDate]]&lt;&gt;"","Cancelled","Active"))</f>
        <v>Active</v>
      </c>
      <c r="T759" s="7" cm="1">
        <f t="array" ref="T75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652.5</v>
      </c>
      <c r="V759" s="5">
        <v>46149</v>
      </c>
      <c r="W759" s="5">
        <v>46149</v>
      </c>
      <c r="X759" s="3">
        <v>4</v>
      </c>
      <c r="Y759" s="5">
        <f ca="1">IF(Table1[[#This Row],[ChurnStatus]]="Cancelled",Table1[[#This Row],[CancellationDate]],TODAY())</f>
        <v>45981</v>
      </c>
      <c r="Z759" s="46">
        <f ca="1">IF(AND(Table1[[#This Row],[SubscriptionStart]] &lt;= TODAY(), Table1[[#This Row],[EffectiveEndDate]] &gt;= TODAY()),1,0)</f>
        <v>1</v>
      </c>
      <c r="AA759" s="46">
        <f ca="1">IF(AND(Table1[[#This Row],[SubscriptionStart]]&lt;=Settings!$A$2,Table1[[#This Row],[EffectiveEndDate]]&gt;=Settings!$A$2),1,0)</f>
        <v>0</v>
      </c>
      <c r="AB759" s="46">
        <f ca="1">IF(AND(Table1[[#This Row],[SubscriptionStart]]&lt;=Settings!$B$2,Table1[[#This Row],[EffectiveEndDate]]&gt;=Settings!$B$2),1,0)</f>
        <v>0</v>
      </c>
      <c r="AC759" s="46">
        <f ca="1">IF(AND(Table1[[#This Row],[SubscriptionStart]]&lt;=Settings!$C$2,Table1[[#This Row],[EffectiveEndDate]]&gt;=Settings!$C$2),1,0)</f>
        <v>0</v>
      </c>
      <c r="AD759" s="46">
        <f ca="1">IF(AND(Table1[[#This Row],[SubscriptionStart]]&lt;=Settings!$D$2,Table1[[#This Row],[EffectiveEndDate]]&gt;=Settings!$D$2),1,0)</f>
        <v>0</v>
      </c>
      <c r="AE759" s="46">
        <f ca="1">IF(AND(Table1[[#This Row],[SubscriptionStart]]&lt;=Settings!$E$2,Table1[[#This Row],[EffectiveEndDate]]&gt;=Settings!$E$2),1,0)</f>
        <v>1</v>
      </c>
      <c r="AF759"/>
      <c r="AG759"/>
      <c r="AH759"/>
      <c r="AI759"/>
      <c r="AJ759"/>
      <c r="AK759"/>
    </row>
    <row r="760" spans="1:37">
      <c r="A760" s="3" t="s">
        <v>507</v>
      </c>
      <c r="B760" s="3">
        <v>47</v>
      </c>
      <c r="C760" s="3" t="s">
        <v>37</v>
      </c>
      <c r="D760" s="5">
        <v>45251</v>
      </c>
      <c r="E760" s="5">
        <v>45431</v>
      </c>
      <c r="F760" s="3">
        <f ca="1">TODAY() - Table1[[#This Row],[SubscriptionStart]]</f>
        <v>730</v>
      </c>
      <c r="G760" s="4">
        <v>6</v>
      </c>
      <c r="H760" s="3" t="s">
        <v>38</v>
      </c>
      <c r="I760" s="3" t="s">
        <v>25</v>
      </c>
      <c r="J760" s="7" cm="1">
        <f t="array" ref="J760">_xlfn.IFS(Table1[[#This Row],[Tier]]="Basic",10,Table1[[#This Row],[Tier]]="Standard",18,Table1[[#This Row],[Tier]]="Premium",25)</f>
        <v>25</v>
      </c>
      <c r="K760" s="7" cm="1">
        <f t="array" ref="K76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760" s="7" cm="1">
        <f t="array" ref="L76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760" s="3" t="str" cm="1">
        <f t="array" ref="M76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60" s="3" t="s">
        <v>52</v>
      </c>
      <c r="O760" s="3" t="s">
        <v>27</v>
      </c>
      <c r="P760" s="3" t="s">
        <v>50</v>
      </c>
      <c r="Q760" s="3" t="str" cm="1">
        <f t="array" ref="Q760">_xlfn.IFS(Table1[[#This Row],[TotalRevenue]]&lt;100,"Low",Table1[[#This Row],[TotalRevenue]]&lt;300,"Medium",Table1[[#This Row],[TotalRevenue]]&lt;600,"High",TRUE,"Very High")</f>
        <v>Medium</v>
      </c>
      <c r="R760" s="3" t="str" cm="1">
        <f t="array" ref="R76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60" s="3" t="str">
        <f>IF(Table1[[#This Row],[NextBillingDate]]="","Cancelled",IF(Table1[[#This Row],[CancellationDate]]&lt;&gt;"","Cancelled","Active"))</f>
        <v>Cancelled</v>
      </c>
      <c r="T760" s="7" cm="1">
        <f t="array" ref="T76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760" s="5">
        <v>45431</v>
      </c>
      <c r="W760" s="5">
        <v>45431</v>
      </c>
      <c r="X760" s="3">
        <v>0</v>
      </c>
      <c r="Y760" s="5">
        <f ca="1">IF(Table1[[#This Row],[ChurnStatus]]="Cancelled",Table1[[#This Row],[CancellationDate]],TODAY())</f>
        <v>45431</v>
      </c>
      <c r="Z760" s="46">
        <f ca="1">IF(AND(Table1[[#This Row],[SubscriptionStart]] &lt;= TODAY(), Table1[[#This Row],[EffectiveEndDate]] &gt;= TODAY()),1,0)</f>
        <v>0</v>
      </c>
      <c r="AA760" s="46">
        <f ca="1">IF(AND(Table1[[#This Row],[SubscriptionStart]]&lt;=Settings!$A$2,Table1[[#This Row],[EffectiveEndDate]]&gt;=Settings!$A$2),1,0)</f>
        <v>0</v>
      </c>
      <c r="AB760" s="46">
        <f ca="1">IF(AND(Table1[[#This Row],[SubscriptionStart]]&lt;=Settings!$B$2,Table1[[#This Row],[EffectiveEndDate]]&gt;=Settings!$B$2),1,0)</f>
        <v>0</v>
      </c>
      <c r="AC760" s="46">
        <f ca="1">IF(AND(Table1[[#This Row],[SubscriptionStart]]&lt;=Settings!$C$2,Table1[[#This Row],[EffectiveEndDate]]&gt;=Settings!$C$2),1,0)</f>
        <v>0</v>
      </c>
      <c r="AD760" s="46">
        <f ca="1">IF(AND(Table1[[#This Row],[SubscriptionStart]]&lt;=Settings!$D$2,Table1[[#This Row],[EffectiveEndDate]]&gt;=Settings!$D$2),1,0)</f>
        <v>0</v>
      </c>
      <c r="AE760" s="46">
        <f ca="1">IF(AND(Table1[[#This Row],[SubscriptionStart]]&lt;=Settings!$E$2,Table1[[#This Row],[EffectiveEndDate]]&gt;=Settings!$E$2),1,0)</f>
        <v>0</v>
      </c>
      <c r="AF760"/>
      <c r="AG760"/>
      <c r="AH760"/>
      <c r="AI760"/>
      <c r="AJ760"/>
      <c r="AK760"/>
    </row>
    <row r="761" spans="1:37">
      <c r="A761" s="3" t="s">
        <v>815</v>
      </c>
      <c r="B761" s="3">
        <v>62</v>
      </c>
      <c r="C761" s="3" t="s">
        <v>23</v>
      </c>
      <c r="D761" s="5">
        <v>45252</v>
      </c>
      <c r="F761" s="3">
        <f ca="1">TODAY() - Table1[[#This Row],[SubscriptionStart]]</f>
        <v>729</v>
      </c>
      <c r="G761" s="4">
        <v>36</v>
      </c>
      <c r="H761" s="3" t="s">
        <v>24</v>
      </c>
      <c r="I761" s="3" t="s">
        <v>39</v>
      </c>
      <c r="J761" s="7" cm="1">
        <f t="array" ref="J761">_xlfn.IFS(Table1[[#This Row],[Tier]]="Basic",10,Table1[[#This Row],[Tier]]="Standard",18,Table1[[#This Row],[Tier]]="Premium",25)</f>
        <v>18</v>
      </c>
      <c r="K761" s="7" cm="1">
        <f t="array" ref="K76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761" s="7" cm="1">
        <f t="array" ref="L76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417.6</v>
      </c>
      <c r="M761" s="3" t="str" cm="1">
        <f t="array" ref="M761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61" s="3" t="s">
        <v>26</v>
      </c>
      <c r="O761" s="3" t="s">
        <v>27</v>
      </c>
      <c r="Q761" s="3" t="str" cm="1">
        <f t="array" ref="Q761">_xlfn.IFS(Table1[[#This Row],[TotalRevenue]]&lt;100,"Low",Table1[[#This Row],[TotalRevenue]]&lt;300,"Medium",Table1[[#This Row],[TotalRevenue]]&lt;600,"High",TRUE,"Very High")</f>
        <v>High</v>
      </c>
      <c r="R761" s="3" t="str" cm="1">
        <f t="array" ref="R761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61" s="3" t="str">
        <f>IF(Table1[[#This Row],[NextBillingDate]]="","Cancelled",IF(Table1[[#This Row],[CancellationDate]]&lt;&gt;"","Cancelled","Active"))</f>
        <v>Active</v>
      </c>
      <c r="T761" s="7" cm="1">
        <f t="array" ref="T76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561.6</v>
      </c>
      <c r="V761" s="5">
        <v>46332</v>
      </c>
      <c r="W761" s="5">
        <v>46332</v>
      </c>
      <c r="X761" s="3">
        <v>2</v>
      </c>
      <c r="Y761" s="5">
        <f ca="1">IF(Table1[[#This Row],[ChurnStatus]]="Cancelled",Table1[[#This Row],[CancellationDate]],TODAY())</f>
        <v>45981</v>
      </c>
      <c r="Z761" s="46">
        <f ca="1">IF(AND(Table1[[#This Row],[SubscriptionStart]] &lt;= TODAY(), Table1[[#This Row],[EffectiveEndDate]] &gt;= TODAY()),1,0)</f>
        <v>1</v>
      </c>
      <c r="AA761" s="46">
        <f ca="1">IF(AND(Table1[[#This Row],[SubscriptionStart]]&lt;=Settings!$A$2,Table1[[#This Row],[EffectiveEndDate]]&gt;=Settings!$A$2),1,0)</f>
        <v>0</v>
      </c>
      <c r="AB761" s="46">
        <f ca="1">IF(AND(Table1[[#This Row],[SubscriptionStart]]&lt;=Settings!$B$2,Table1[[#This Row],[EffectiveEndDate]]&gt;=Settings!$B$2),1,0)</f>
        <v>0</v>
      </c>
      <c r="AC761" s="46">
        <f ca="1">IF(AND(Table1[[#This Row],[SubscriptionStart]]&lt;=Settings!$C$2,Table1[[#This Row],[EffectiveEndDate]]&gt;=Settings!$C$2),1,0)</f>
        <v>0</v>
      </c>
      <c r="AD761" s="46">
        <f ca="1">IF(AND(Table1[[#This Row],[SubscriptionStart]]&lt;=Settings!$D$2,Table1[[#This Row],[EffectiveEndDate]]&gt;=Settings!$D$2),1,0)</f>
        <v>0</v>
      </c>
      <c r="AE761" s="46">
        <f ca="1">IF(AND(Table1[[#This Row],[SubscriptionStart]]&lt;=Settings!$E$2,Table1[[#This Row],[EffectiveEndDate]]&gt;=Settings!$E$2),1,0)</f>
        <v>1</v>
      </c>
      <c r="AF761"/>
      <c r="AG761"/>
      <c r="AH761"/>
      <c r="AI761"/>
      <c r="AJ761"/>
      <c r="AK761"/>
    </row>
    <row r="762" spans="1:37">
      <c r="A762" s="3" t="s">
        <v>570</v>
      </c>
      <c r="B762" s="3">
        <v>29</v>
      </c>
      <c r="C762" s="3" t="s">
        <v>23</v>
      </c>
      <c r="D762" s="5">
        <v>45253</v>
      </c>
      <c r="E762" s="5">
        <v>45613</v>
      </c>
      <c r="F762" s="3">
        <f ca="1">TODAY() - Table1[[#This Row],[SubscriptionStart]]</f>
        <v>728</v>
      </c>
      <c r="G762" s="4">
        <v>12</v>
      </c>
      <c r="H762" s="3" t="s">
        <v>24</v>
      </c>
      <c r="I762" s="3" t="s">
        <v>25</v>
      </c>
      <c r="J762" s="7" cm="1">
        <f t="array" ref="J762">_xlfn.IFS(Table1[[#This Row],[Tier]]="Basic",10,Table1[[#This Row],[Tier]]="Standard",18,Table1[[#This Row],[Tier]]="Premium",25)</f>
        <v>25</v>
      </c>
      <c r="K762" s="7" cm="1">
        <f t="array" ref="K76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62" s="7" cm="1">
        <f t="array" ref="L76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62" s="3" t="str" cm="1">
        <f t="array" ref="M76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62" s="3" t="s">
        <v>34</v>
      </c>
      <c r="O762" s="3" t="s">
        <v>27</v>
      </c>
      <c r="P762" s="3" t="s">
        <v>47</v>
      </c>
      <c r="Q762" s="3" t="str" cm="1">
        <f t="array" ref="Q762">_xlfn.IFS(Table1[[#This Row],[TotalRevenue]]&lt;100,"Low",Table1[[#This Row],[TotalRevenue]]&lt;300,"Medium",Table1[[#This Row],[TotalRevenue]]&lt;600,"High",TRUE,"Very High")</f>
        <v>Medium</v>
      </c>
      <c r="R762" s="3" t="str" cm="1">
        <f t="array" ref="R76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62" s="3" t="str">
        <f>IF(Table1[[#This Row],[NextBillingDate]]="","Cancelled",IF(Table1[[#This Row],[CancellationDate]]&lt;&gt;"","Cancelled","Active"))</f>
        <v>Cancelled</v>
      </c>
      <c r="T762" s="7" cm="1">
        <f t="array" ref="T76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62" s="5">
        <v>45613</v>
      </c>
      <c r="W762" s="5">
        <v>45613</v>
      </c>
      <c r="X762" s="3">
        <v>0</v>
      </c>
      <c r="Y762" s="5">
        <f ca="1">IF(Table1[[#This Row],[ChurnStatus]]="Cancelled",Table1[[#This Row],[CancellationDate]],TODAY())</f>
        <v>45613</v>
      </c>
      <c r="Z762" s="46">
        <f ca="1">IF(AND(Table1[[#This Row],[SubscriptionStart]] &lt;= TODAY(), Table1[[#This Row],[EffectiveEndDate]] &gt;= TODAY()),1,0)</f>
        <v>0</v>
      </c>
      <c r="AA762" s="46">
        <f ca="1">IF(AND(Table1[[#This Row],[SubscriptionStart]]&lt;=Settings!$A$2,Table1[[#This Row],[EffectiveEndDate]]&gt;=Settings!$A$2),1,0)</f>
        <v>0</v>
      </c>
      <c r="AB762" s="46">
        <f ca="1">IF(AND(Table1[[#This Row],[SubscriptionStart]]&lt;=Settings!$B$2,Table1[[#This Row],[EffectiveEndDate]]&gt;=Settings!$B$2),1,0)</f>
        <v>0</v>
      </c>
      <c r="AC762" s="46">
        <f ca="1">IF(AND(Table1[[#This Row],[SubscriptionStart]]&lt;=Settings!$C$2,Table1[[#This Row],[EffectiveEndDate]]&gt;=Settings!$C$2),1,0)</f>
        <v>0</v>
      </c>
      <c r="AD762" s="46">
        <f ca="1">IF(AND(Table1[[#This Row],[SubscriptionStart]]&lt;=Settings!$D$2,Table1[[#This Row],[EffectiveEndDate]]&gt;=Settings!$D$2),1,0)</f>
        <v>0</v>
      </c>
      <c r="AE762" s="46">
        <f ca="1">IF(AND(Table1[[#This Row],[SubscriptionStart]]&lt;=Settings!$E$2,Table1[[#This Row],[EffectiveEndDate]]&gt;=Settings!$E$2),1,0)</f>
        <v>1</v>
      </c>
      <c r="AF762"/>
      <c r="AG762"/>
      <c r="AH762"/>
      <c r="AI762"/>
      <c r="AJ762"/>
      <c r="AK762"/>
    </row>
    <row r="763" spans="1:37">
      <c r="A763" s="3" t="s">
        <v>368</v>
      </c>
      <c r="B763" s="3">
        <v>72</v>
      </c>
      <c r="C763" s="3" t="s">
        <v>37</v>
      </c>
      <c r="D763" s="5">
        <v>45254</v>
      </c>
      <c r="E763" s="5">
        <v>45614</v>
      </c>
      <c r="F763" s="3">
        <f ca="1">TODAY() - Table1[[#This Row],[SubscriptionStart]]</f>
        <v>727</v>
      </c>
      <c r="G763" s="4">
        <v>12</v>
      </c>
      <c r="H763" s="3" t="s">
        <v>24</v>
      </c>
      <c r="I763" s="3" t="s">
        <v>39</v>
      </c>
      <c r="J763" s="7" cm="1">
        <f t="array" ref="J763">_xlfn.IFS(Table1[[#This Row],[Tier]]="Basic",10,Table1[[#This Row],[Tier]]="Standard",18,Table1[[#This Row],[Tier]]="Premium",25)</f>
        <v>18</v>
      </c>
      <c r="K763" s="7" cm="1">
        <f t="array" ref="K76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763" s="7" cm="1">
        <f t="array" ref="L76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763" s="3" t="str" cm="1">
        <f t="array" ref="M763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763" s="3" t="s">
        <v>26</v>
      </c>
      <c r="O763" s="3" t="s">
        <v>49</v>
      </c>
      <c r="P763" s="3" t="s">
        <v>35</v>
      </c>
      <c r="Q763" s="3" t="str" cm="1">
        <f t="array" ref="Q763">_xlfn.IFS(Table1[[#This Row],[TotalRevenue]]&lt;100,"Low",Table1[[#This Row],[TotalRevenue]]&lt;300,"Medium",Table1[[#This Row],[TotalRevenue]]&lt;600,"High",TRUE,"Very High")</f>
        <v>Medium</v>
      </c>
      <c r="R763" s="3" t="str" cm="1">
        <f t="array" ref="R763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763" s="3" t="str">
        <f>IF(Table1[[#This Row],[NextBillingDate]]="","Cancelled",IF(Table1[[#This Row],[CancellationDate]]&lt;&gt;"","Cancelled","Active"))</f>
        <v>Cancelled</v>
      </c>
      <c r="T763" s="7" cm="1">
        <f t="array" ref="T76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763" s="5">
        <v>45614</v>
      </c>
      <c r="W763" s="5">
        <v>45614</v>
      </c>
      <c r="X763" s="3">
        <v>0</v>
      </c>
      <c r="Y763" s="5">
        <f ca="1">IF(Table1[[#This Row],[ChurnStatus]]="Cancelled",Table1[[#This Row],[CancellationDate]],TODAY())</f>
        <v>45614</v>
      </c>
      <c r="Z763" s="46">
        <f ca="1">IF(AND(Table1[[#This Row],[SubscriptionStart]] &lt;= TODAY(), Table1[[#This Row],[EffectiveEndDate]] &gt;= TODAY()),1,0)</f>
        <v>0</v>
      </c>
      <c r="AA763" s="46">
        <f ca="1">IF(AND(Table1[[#This Row],[SubscriptionStart]]&lt;=Settings!$A$2,Table1[[#This Row],[EffectiveEndDate]]&gt;=Settings!$A$2),1,0)</f>
        <v>0</v>
      </c>
      <c r="AB763" s="46">
        <f ca="1">IF(AND(Table1[[#This Row],[SubscriptionStart]]&lt;=Settings!$B$2,Table1[[#This Row],[EffectiveEndDate]]&gt;=Settings!$B$2),1,0)</f>
        <v>0</v>
      </c>
      <c r="AC763" s="46">
        <f ca="1">IF(AND(Table1[[#This Row],[SubscriptionStart]]&lt;=Settings!$C$2,Table1[[#This Row],[EffectiveEndDate]]&gt;=Settings!$C$2),1,0)</f>
        <v>0</v>
      </c>
      <c r="AD763" s="46">
        <f ca="1">IF(AND(Table1[[#This Row],[SubscriptionStart]]&lt;=Settings!$D$2,Table1[[#This Row],[EffectiveEndDate]]&gt;=Settings!$D$2),1,0)</f>
        <v>0</v>
      </c>
      <c r="AE763" s="46">
        <f ca="1">IF(AND(Table1[[#This Row],[SubscriptionStart]]&lt;=Settings!$E$2,Table1[[#This Row],[EffectiveEndDate]]&gt;=Settings!$E$2),1,0)</f>
        <v>1</v>
      </c>
      <c r="AF763"/>
      <c r="AG763"/>
      <c r="AH763"/>
      <c r="AI763"/>
      <c r="AJ763"/>
      <c r="AK763"/>
    </row>
    <row r="764" spans="1:37">
      <c r="A764" s="3" t="s">
        <v>642</v>
      </c>
      <c r="B764" s="3">
        <v>22</v>
      </c>
      <c r="C764" s="3" t="s">
        <v>37</v>
      </c>
      <c r="D764" s="5">
        <v>45254</v>
      </c>
      <c r="E764" s="5">
        <v>45614</v>
      </c>
      <c r="F764" s="3">
        <f ca="1">TODAY() - Table1[[#This Row],[SubscriptionStart]]</f>
        <v>727</v>
      </c>
      <c r="G764" s="4">
        <v>12</v>
      </c>
      <c r="H764" s="3" t="s">
        <v>24</v>
      </c>
      <c r="I764" s="3" t="s">
        <v>25</v>
      </c>
      <c r="J764" s="7" cm="1">
        <f t="array" ref="J764">_xlfn.IFS(Table1[[#This Row],[Tier]]="Basic",10,Table1[[#This Row],[Tier]]="Standard",18,Table1[[#This Row],[Tier]]="Premium",25)</f>
        <v>25</v>
      </c>
      <c r="K764" s="7" cm="1">
        <f t="array" ref="K76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64" s="7" cm="1">
        <f t="array" ref="L76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64" s="3" t="str" cm="1">
        <f t="array" ref="M764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764" s="3" t="s">
        <v>52</v>
      </c>
      <c r="O764" s="3" t="s">
        <v>43</v>
      </c>
      <c r="P764" s="3" t="s">
        <v>41</v>
      </c>
      <c r="Q764" s="3" t="str" cm="1">
        <f t="array" ref="Q764">_xlfn.IFS(Table1[[#This Row],[TotalRevenue]]&lt;100,"Low",Table1[[#This Row],[TotalRevenue]]&lt;300,"Medium",Table1[[#This Row],[TotalRevenue]]&lt;600,"High",TRUE,"Very High")</f>
        <v>Medium</v>
      </c>
      <c r="R764" s="3" t="str" cm="1">
        <f t="array" ref="R764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764" s="3" t="str">
        <f>IF(Table1[[#This Row],[NextBillingDate]]="","Cancelled",IF(Table1[[#This Row],[CancellationDate]]&lt;&gt;"","Cancelled","Active"))</f>
        <v>Cancelled</v>
      </c>
      <c r="T764" s="7" cm="1">
        <f t="array" ref="T76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64" s="5">
        <v>45614</v>
      </c>
      <c r="W764" s="5">
        <v>45614</v>
      </c>
      <c r="X764" s="3">
        <v>0</v>
      </c>
      <c r="Y764" s="5">
        <f ca="1">IF(Table1[[#This Row],[ChurnStatus]]="Cancelled",Table1[[#This Row],[CancellationDate]],TODAY())</f>
        <v>45614</v>
      </c>
      <c r="Z764" s="46">
        <f ca="1">IF(AND(Table1[[#This Row],[SubscriptionStart]] &lt;= TODAY(), Table1[[#This Row],[EffectiveEndDate]] &gt;= TODAY()),1,0)</f>
        <v>0</v>
      </c>
      <c r="AA764" s="46">
        <f ca="1">IF(AND(Table1[[#This Row],[SubscriptionStart]]&lt;=Settings!$A$2,Table1[[#This Row],[EffectiveEndDate]]&gt;=Settings!$A$2),1,0)</f>
        <v>0</v>
      </c>
      <c r="AB764" s="46">
        <f ca="1">IF(AND(Table1[[#This Row],[SubscriptionStart]]&lt;=Settings!$B$2,Table1[[#This Row],[EffectiveEndDate]]&gt;=Settings!$B$2),1,0)</f>
        <v>0</v>
      </c>
      <c r="AC764" s="46">
        <f ca="1">IF(AND(Table1[[#This Row],[SubscriptionStart]]&lt;=Settings!$C$2,Table1[[#This Row],[EffectiveEndDate]]&gt;=Settings!$C$2),1,0)</f>
        <v>0</v>
      </c>
      <c r="AD764" s="46">
        <f ca="1">IF(AND(Table1[[#This Row],[SubscriptionStart]]&lt;=Settings!$D$2,Table1[[#This Row],[EffectiveEndDate]]&gt;=Settings!$D$2),1,0)</f>
        <v>0</v>
      </c>
      <c r="AE764" s="46">
        <f ca="1">IF(AND(Table1[[#This Row],[SubscriptionStart]]&lt;=Settings!$E$2,Table1[[#This Row],[EffectiveEndDate]]&gt;=Settings!$E$2),1,0)</f>
        <v>1</v>
      </c>
      <c r="AF764"/>
      <c r="AG764"/>
      <c r="AH764"/>
      <c r="AI764"/>
      <c r="AJ764"/>
      <c r="AK764"/>
    </row>
    <row r="765" spans="1:37">
      <c r="A765" s="3" t="s">
        <v>717</v>
      </c>
      <c r="B765" s="3">
        <v>18</v>
      </c>
      <c r="C765" s="3" t="s">
        <v>37</v>
      </c>
      <c r="D765" s="5">
        <v>45254</v>
      </c>
      <c r="E765" s="5">
        <v>45614</v>
      </c>
      <c r="F765" s="3">
        <f ca="1">TODAY() - Table1[[#This Row],[SubscriptionStart]]</f>
        <v>727</v>
      </c>
      <c r="G765" s="4">
        <v>12</v>
      </c>
      <c r="H765" s="3" t="s">
        <v>24</v>
      </c>
      <c r="I765" s="3" t="s">
        <v>25</v>
      </c>
      <c r="J765" s="7" cm="1">
        <f t="array" ref="J765">_xlfn.IFS(Table1[[#This Row],[Tier]]="Basic",10,Table1[[#This Row],[Tier]]="Standard",18,Table1[[#This Row],[Tier]]="Premium",25)</f>
        <v>25</v>
      </c>
      <c r="K765" s="7" cm="1">
        <f t="array" ref="K76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65" s="7" cm="1">
        <f t="array" ref="L76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65" s="3" t="str" cm="1">
        <f t="array" ref="M765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765" s="3" t="s">
        <v>26</v>
      </c>
      <c r="O765" s="3" t="s">
        <v>32</v>
      </c>
      <c r="P765" s="3" t="s">
        <v>50</v>
      </c>
      <c r="Q765" s="3" t="str" cm="1">
        <f t="array" ref="Q765">_xlfn.IFS(Table1[[#This Row],[TotalRevenue]]&lt;100,"Low",Table1[[#This Row],[TotalRevenue]]&lt;300,"Medium",Table1[[#This Row],[TotalRevenue]]&lt;600,"High",TRUE,"Very High")</f>
        <v>Medium</v>
      </c>
      <c r="R765" s="3" t="str" cm="1">
        <f t="array" ref="R765">_xlfn.IFS(Table1[[#This Row],[Age]]&gt;69,"Elderly",Table1[[#This Row],[Age]]&gt;59,"Mature Adult",Table1[[#This Row],[Age]]&gt;25,"Adult",Table1[[#This Row],[Age]]&gt;18,"Young Adult",Table1[[#This Row],[Age]]&gt;=12,"Teenager")</f>
        <v>Teenager</v>
      </c>
      <c r="S765" s="3" t="str">
        <f>IF(Table1[[#This Row],[NextBillingDate]]="","Cancelled",IF(Table1[[#This Row],[CancellationDate]]&lt;&gt;"","Cancelled","Active"))</f>
        <v>Cancelled</v>
      </c>
      <c r="T765" s="7" cm="1">
        <f t="array" ref="T76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65" s="5">
        <v>45614</v>
      </c>
      <c r="W765" s="5">
        <v>45614</v>
      </c>
      <c r="X765" s="3">
        <v>0</v>
      </c>
      <c r="Y765" s="5">
        <f ca="1">IF(Table1[[#This Row],[ChurnStatus]]="Cancelled",Table1[[#This Row],[CancellationDate]],TODAY())</f>
        <v>45614</v>
      </c>
      <c r="Z765" s="46">
        <f ca="1">IF(AND(Table1[[#This Row],[SubscriptionStart]] &lt;= TODAY(), Table1[[#This Row],[EffectiveEndDate]] &gt;= TODAY()),1,0)</f>
        <v>0</v>
      </c>
      <c r="AA765" s="46">
        <f ca="1">IF(AND(Table1[[#This Row],[SubscriptionStart]]&lt;=Settings!$A$2,Table1[[#This Row],[EffectiveEndDate]]&gt;=Settings!$A$2),1,0)</f>
        <v>0</v>
      </c>
      <c r="AB765" s="46">
        <f ca="1">IF(AND(Table1[[#This Row],[SubscriptionStart]]&lt;=Settings!$B$2,Table1[[#This Row],[EffectiveEndDate]]&gt;=Settings!$B$2),1,0)</f>
        <v>0</v>
      </c>
      <c r="AC765" s="46">
        <f ca="1">IF(AND(Table1[[#This Row],[SubscriptionStart]]&lt;=Settings!$C$2,Table1[[#This Row],[EffectiveEndDate]]&gt;=Settings!$C$2),1,0)</f>
        <v>0</v>
      </c>
      <c r="AD765" s="46">
        <f ca="1">IF(AND(Table1[[#This Row],[SubscriptionStart]]&lt;=Settings!$D$2,Table1[[#This Row],[EffectiveEndDate]]&gt;=Settings!$D$2),1,0)</f>
        <v>0</v>
      </c>
      <c r="AE765" s="46">
        <f ca="1">IF(AND(Table1[[#This Row],[SubscriptionStart]]&lt;=Settings!$E$2,Table1[[#This Row],[EffectiveEndDate]]&gt;=Settings!$E$2),1,0)</f>
        <v>1</v>
      </c>
      <c r="AF765"/>
      <c r="AG765"/>
      <c r="AH765"/>
      <c r="AI765"/>
      <c r="AJ765"/>
      <c r="AK765"/>
    </row>
    <row r="766" spans="1:37">
      <c r="A766" s="3" t="s">
        <v>108</v>
      </c>
      <c r="B766" s="3">
        <v>47</v>
      </c>
      <c r="C766" s="3" t="s">
        <v>23</v>
      </c>
      <c r="D766" s="5">
        <v>45256</v>
      </c>
      <c r="E766" s="5">
        <v>45436</v>
      </c>
      <c r="F766" s="3">
        <f ca="1">TODAY() - Table1[[#This Row],[SubscriptionStart]]</f>
        <v>725</v>
      </c>
      <c r="G766" s="4">
        <v>6</v>
      </c>
      <c r="H766" s="3" t="s">
        <v>38</v>
      </c>
      <c r="I766" s="3" t="s">
        <v>39</v>
      </c>
      <c r="J766" s="7" cm="1">
        <f t="array" ref="J766">_xlfn.IFS(Table1[[#This Row],[Tier]]="Basic",10,Table1[[#This Row],[Tier]]="Standard",18,Table1[[#This Row],[Tier]]="Premium",25)</f>
        <v>18</v>
      </c>
      <c r="K766" s="7" cm="1">
        <f t="array" ref="K76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766" s="7" cm="1">
        <f t="array" ref="L76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766" s="3" t="str" cm="1">
        <f t="array" ref="M76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66" s="3" t="s">
        <v>52</v>
      </c>
      <c r="O766" s="3" t="s">
        <v>43</v>
      </c>
      <c r="P766" s="3" t="s">
        <v>47</v>
      </c>
      <c r="Q766" s="3" t="str" cm="1">
        <f t="array" ref="Q766">_xlfn.IFS(Table1[[#This Row],[TotalRevenue]]&lt;100,"Low",Table1[[#This Row],[TotalRevenue]]&lt;300,"Medium",Table1[[#This Row],[TotalRevenue]]&lt;600,"High",TRUE,"Very High")</f>
        <v>Low</v>
      </c>
      <c r="R766" s="3" t="str" cm="1">
        <f t="array" ref="R76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66" s="3" t="str">
        <f>IF(Table1[[#This Row],[NextBillingDate]]="","Cancelled",IF(Table1[[#This Row],[CancellationDate]]&lt;&gt;"","Cancelled","Active"))</f>
        <v>Cancelled</v>
      </c>
      <c r="T766" s="7" cm="1">
        <f t="array" ref="T76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766" s="5">
        <v>45436</v>
      </c>
      <c r="W766" s="5">
        <v>45436</v>
      </c>
      <c r="X766" s="3">
        <v>0</v>
      </c>
      <c r="Y766" s="5">
        <f ca="1">IF(Table1[[#This Row],[ChurnStatus]]="Cancelled",Table1[[#This Row],[CancellationDate]],TODAY())</f>
        <v>45436</v>
      </c>
      <c r="Z766" s="46">
        <f ca="1">IF(AND(Table1[[#This Row],[SubscriptionStart]] &lt;= TODAY(), Table1[[#This Row],[EffectiveEndDate]] &gt;= TODAY()),1,0)</f>
        <v>0</v>
      </c>
      <c r="AA766" s="46">
        <f ca="1">IF(AND(Table1[[#This Row],[SubscriptionStart]]&lt;=Settings!$A$2,Table1[[#This Row],[EffectiveEndDate]]&gt;=Settings!$A$2),1,0)</f>
        <v>0</v>
      </c>
      <c r="AB766" s="46">
        <f ca="1">IF(AND(Table1[[#This Row],[SubscriptionStart]]&lt;=Settings!$B$2,Table1[[#This Row],[EffectiveEndDate]]&gt;=Settings!$B$2),1,0)</f>
        <v>0</v>
      </c>
      <c r="AC766" s="46">
        <f ca="1">IF(AND(Table1[[#This Row],[SubscriptionStart]]&lt;=Settings!$C$2,Table1[[#This Row],[EffectiveEndDate]]&gt;=Settings!$C$2),1,0)</f>
        <v>0</v>
      </c>
      <c r="AD766" s="46">
        <f ca="1">IF(AND(Table1[[#This Row],[SubscriptionStart]]&lt;=Settings!$D$2,Table1[[#This Row],[EffectiveEndDate]]&gt;=Settings!$D$2),1,0)</f>
        <v>0</v>
      </c>
      <c r="AE766" s="46">
        <f ca="1">IF(AND(Table1[[#This Row],[SubscriptionStart]]&lt;=Settings!$E$2,Table1[[#This Row],[EffectiveEndDate]]&gt;=Settings!$E$2),1,0)</f>
        <v>0</v>
      </c>
      <c r="AF766"/>
      <c r="AG766"/>
      <c r="AH766"/>
      <c r="AI766"/>
      <c r="AJ766"/>
      <c r="AK766"/>
    </row>
    <row r="767" spans="1:37">
      <c r="A767" s="3" t="s">
        <v>310</v>
      </c>
      <c r="B767" s="3">
        <v>54</v>
      </c>
      <c r="C767" s="3" t="s">
        <v>23</v>
      </c>
      <c r="D767" s="5">
        <v>45258</v>
      </c>
      <c r="E767" s="5">
        <v>45438</v>
      </c>
      <c r="F767" s="3">
        <f ca="1">TODAY() - Table1[[#This Row],[SubscriptionStart]]</f>
        <v>723</v>
      </c>
      <c r="G767" s="4">
        <v>6</v>
      </c>
      <c r="H767" s="3" t="s">
        <v>38</v>
      </c>
      <c r="I767" s="3" t="s">
        <v>25</v>
      </c>
      <c r="J767" s="7" cm="1">
        <f t="array" ref="J767">_xlfn.IFS(Table1[[#This Row],[Tier]]="Basic",10,Table1[[#This Row],[Tier]]="Standard",18,Table1[[#This Row],[Tier]]="Premium",25)</f>
        <v>25</v>
      </c>
      <c r="K767" s="7" cm="1">
        <f t="array" ref="K76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16.875</v>
      </c>
      <c r="L767" s="7" cm="1">
        <f t="array" ref="L76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101.25</v>
      </c>
      <c r="M767" s="3" t="str" cm="1">
        <f t="array" ref="M76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67" s="3" t="s">
        <v>34</v>
      </c>
      <c r="O767" s="3" t="s">
        <v>27</v>
      </c>
      <c r="P767" s="3" t="s">
        <v>41</v>
      </c>
      <c r="Q767" s="3" t="str" cm="1">
        <f t="array" ref="Q767">_xlfn.IFS(Table1[[#This Row],[TotalRevenue]]&lt;100,"Low",Table1[[#This Row],[TotalRevenue]]&lt;300,"Medium",Table1[[#This Row],[TotalRevenue]]&lt;600,"High",TRUE,"Very High")</f>
        <v>Medium</v>
      </c>
      <c r="R767" s="3" t="str" cm="1">
        <f t="array" ref="R76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67" s="3" t="str">
        <f>IF(Table1[[#This Row],[NextBillingDate]]="","Cancelled",IF(Table1[[#This Row],[CancellationDate]]&lt;&gt;"","Cancelled","Active"))</f>
        <v>Cancelled</v>
      </c>
      <c r="T767" s="7" cm="1">
        <f t="array" ref="T76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101.25</v>
      </c>
      <c r="U767" s="5">
        <v>45438</v>
      </c>
      <c r="W767" s="5">
        <v>45438</v>
      </c>
      <c r="X767" s="3">
        <v>0</v>
      </c>
      <c r="Y767" s="5">
        <f ca="1">IF(Table1[[#This Row],[ChurnStatus]]="Cancelled",Table1[[#This Row],[CancellationDate]],TODAY())</f>
        <v>45438</v>
      </c>
      <c r="Z767" s="46">
        <f ca="1">IF(AND(Table1[[#This Row],[SubscriptionStart]] &lt;= TODAY(), Table1[[#This Row],[EffectiveEndDate]] &gt;= TODAY()),1,0)</f>
        <v>0</v>
      </c>
      <c r="AA767" s="46">
        <f ca="1">IF(AND(Table1[[#This Row],[SubscriptionStart]]&lt;=Settings!$A$2,Table1[[#This Row],[EffectiveEndDate]]&gt;=Settings!$A$2),1,0)</f>
        <v>0</v>
      </c>
      <c r="AB767" s="46">
        <f ca="1">IF(AND(Table1[[#This Row],[SubscriptionStart]]&lt;=Settings!$B$2,Table1[[#This Row],[EffectiveEndDate]]&gt;=Settings!$B$2),1,0)</f>
        <v>0</v>
      </c>
      <c r="AC767" s="46">
        <f ca="1">IF(AND(Table1[[#This Row],[SubscriptionStart]]&lt;=Settings!$C$2,Table1[[#This Row],[EffectiveEndDate]]&gt;=Settings!$C$2),1,0)</f>
        <v>0</v>
      </c>
      <c r="AD767" s="46">
        <f ca="1">IF(AND(Table1[[#This Row],[SubscriptionStart]]&lt;=Settings!$D$2,Table1[[#This Row],[EffectiveEndDate]]&gt;=Settings!$D$2),1,0)</f>
        <v>0</v>
      </c>
      <c r="AE767" s="46">
        <f ca="1">IF(AND(Table1[[#This Row],[SubscriptionStart]]&lt;=Settings!$E$2,Table1[[#This Row],[EffectiveEndDate]]&gt;=Settings!$E$2),1,0)</f>
        <v>0</v>
      </c>
      <c r="AF767"/>
      <c r="AG767"/>
      <c r="AH767"/>
      <c r="AI767"/>
      <c r="AJ767"/>
      <c r="AK767"/>
    </row>
    <row r="768" spans="1:37">
      <c r="A768" s="3" t="s">
        <v>90</v>
      </c>
      <c r="B768" s="3">
        <v>50</v>
      </c>
      <c r="C768" s="3" t="s">
        <v>37</v>
      </c>
      <c r="D768" s="5">
        <v>45259</v>
      </c>
      <c r="E768" s="5">
        <v>45289</v>
      </c>
      <c r="F768" s="3">
        <f ca="1">TODAY() - Table1[[#This Row],[SubscriptionStart]]</f>
        <v>722</v>
      </c>
      <c r="G768" s="4">
        <v>1</v>
      </c>
      <c r="H768" s="3" t="s">
        <v>29</v>
      </c>
      <c r="I768" s="3" t="s">
        <v>30</v>
      </c>
      <c r="J768" s="7" cm="1">
        <f t="array" ref="J768">_xlfn.IFS(Table1[[#This Row],[Tier]]="Basic",10,Table1[[#This Row],[Tier]]="Standard",18,Table1[[#This Row],[Tier]]="Premium",25)</f>
        <v>10</v>
      </c>
      <c r="K768" s="7" cm="1">
        <f t="array" ref="K76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768" s="7" cm="1">
        <f t="array" ref="L76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68" s="3" t="str" cm="1">
        <f t="array" ref="M76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68" s="3" t="s">
        <v>34</v>
      </c>
      <c r="O768" s="3" t="s">
        <v>43</v>
      </c>
      <c r="P768" s="3" t="s">
        <v>35</v>
      </c>
      <c r="Q768" s="3" t="str" cm="1">
        <f t="array" ref="Q768">_xlfn.IFS(Table1[[#This Row],[TotalRevenue]]&lt;100,"Low",Table1[[#This Row],[TotalRevenue]]&lt;300,"Medium",Table1[[#This Row],[TotalRevenue]]&lt;600,"High",TRUE,"Very High")</f>
        <v>Low</v>
      </c>
      <c r="R768" s="3" t="str" cm="1">
        <f t="array" ref="R76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68" s="3" t="str">
        <f>IF(Table1[[#This Row],[NextBillingDate]]="","Cancelled",IF(Table1[[#This Row],[CancellationDate]]&lt;&gt;"","Cancelled","Active"))</f>
        <v>Cancelled</v>
      </c>
      <c r="T768" s="7" cm="1">
        <f t="array" ref="T76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68" s="5">
        <v>45289</v>
      </c>
      <c r="W768" s="5">
        <v>45289</v>
      </c>
      <c r="X768" s="3">
        <v>0</v>
      </c>
      <c r="Y768" s="5">
        <f ca="1">IF(Table1[[#This Row],[ChurnStatus]]="Cancelled",Table1[[#This Row],[CancellationDate]],TODAY())</f>
        <v>45289</v>
      </c>
      <c r="Z768" s="46">
        <f ca="1">IF(AND(Table1[[#This Row],[SubscriptionStart]] &lt;= TODAY(), Table1[[#This Row],[EffectiveEndDate]] &gt;= TODAY()),1,0)</f>
        <v>0</v>
      </c>
      <c r="AA768" s="46">
        <f ca="1">IF(AND(Table1[[#This Row],[SubscriptionStart]]&lt;=Settings!$A$2,Table1[[#This Row],[EffectiveEndDate]]&gt;=Settings!$A$2),1,0)</f>
        <v>0</v>
      </c>
      <c r="AB768" s="46">
        <f ca="1">IF(AND(Table1[[#This Row],[SubscriptionStart]]&lt;=Settings!$B$2,Table1[[#This Row],[EffectiveEndDate]]&gt;=Settings!$B$2),1,0)</f>
        <v>0</v>
      </c>
      <c r="AC768" s="46">
        <f ca="1">IF(AND(Table1[[#This Row],[SubscriptionStart]]&lt;=Settings!$C$2,Table1[[#This Row],[EffectiveEndDate]]&gt;=Settings!$C$2),1,0)</f>
        <v>0</v>
      </c>
      <c r="AD768" s="46">
        <f ca="1">IF(AND(Table1[[#This Row],[SubscriptionStart]]&lt;=Settings!$D$2,Table1[[#This Row],[EffectiveEndDate]]&gt;=Settings!$D$2),1,0)</f>
        <v>0</v>
      </c>
      <c r="AE768" s="46">
        <f ca="1">IF(AND(Table1[[#This Row],[SubscriptionStart]]&lt;=Settings!$E$2,Table1[[#This Row],[EffectiveEndDate]]&gt;=Settings!$E$2),1,0)</f>
        <v>0</v>
      </c>
      <c r="AF768"/>
      <c r="AG768"/>
      <c r="AH768"/>
      <c r="AI768"/>
      <c r="AJ768"/>
      <c r="AK768"/>
    </row>
    <row r="769" spans="1:37">
      <c r="A769" s="3" t="s">
        <v>789</v>
      </c>
      <c r="B769" s="3">
        <v>65</v>
      </c>
      <c r="C769" s="3" t="s">
        <v>37</v>
      </c>
      <c r="D769" s="5">
        <v>45259</v>
      </c>
      <c r="E769" s="5">
        <v>45289</v>
      </c>
      <c r="F769" s="3">
        <f ca="1">TODAY() - Table1[[#This Row],[SubscriptionStart]]</f>
        <v>722</v>
      </c>
      <c r="G769" s="4">
        <v>1</v>
      </c>
      <c r="H769" s="3" t="s">
        <v>29</v>
      </c>
      <c r="I769" s="3" t="s">
        <v>30</v>
      </c>
      <c r="J769" s="7" cm="1">
        <f t="array" ref="J769">_xlfn.IFS(Table1[[#This Row],[Tier]]="Basic",10,Table1[[#This Row],[Tier]]="Standard",18,Table1[[#This Row],[Tier]]="Premium",25)</f>
        <v>10</v>
      </c>
      <c r="K769" s="7" cm="1">
        <f t="array" ref="K76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9</v>
      </c>
      <c r="L769" s="7" cm="1">
        <f t="array" ref="L76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69" s="3" t="str" cm="1">
        <f t="array" ref="M769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69" s="3" t="s">
        <v>52</v>
      </c>
      <c r="O769" s="3" t="s">
        <v>49</v>
      </c>
      <c r="P769" s="3" t="s">
        <v>50</v>
      </c>
      <c r="Q769" s="3" t="str" cm="1">
        <f t="array" ref="Q769">_xlfn.IFS(Table1[[#This Row],[TotalRevenue]]&lt;100,"Low",Table1[[#This Row],[TotalRevenue]]&lt;300,"Medium",Table1[[#This Row],[TotalRevenue]]&lt;600,"High",TRUE,"Very High")</f>
        <v>Low</v>
      </c>
      <c r="R769" s="3" t="str" cm="1">
        <f t="array" ref="R769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69" s="3" t="str">
        <f>IF(Table1[[#This Row],[NextBillingDate]]="","Cancelled",IF(Table1[[#This Row],[CancellationDate]]&lt;&gt;"","Cancelled","Active"))</f>
        <v>Cancelled</v>
      </c>
      <c r="T769" s="7" cm="1">
        <f t="array" ref="T76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69" s="5">
        <v>45289</v>
      </c>
      <c r="W769" s="5">
        <v>45289</v>
      </c>
      <c r="X769" s="3">
        <v>0</v>
      </c>
      <c r="Y769" s="5">
        <f ca="1">IF(Table1[[#This Row],[ChurnStatus]]="Cancelled",Table1[[#This Row],[CancellationDate]],TODAY())</f>
        <v>45289</v>
      </c>
      <c r="Z769" s="46">
        <f ca="1">IF(AND(Table1[[#This Row],[SubscriptionStart]] &lt;= TODAY(), Table1[[#This Row],[EffectiveEndDate]] &gt;= TODAY()),1,0)</f>
        <v>0</v>
      </c>
      <c r="AA769" s="46">
        <f ca="1">IF(AND(Table1[[#This Row],[SubscriptionStart]]&lt;=Settings!$A$2,Table1[[#This Row],[EffectiveEndDate]]&gt;=Settings!$A$2),1,0)</f>
        <v>0</v>
      </c>
      <c r="AB769" s="46">
        <f ca="1">IF(AND(Table1[[#This Row],[SubscriptionStart]]&lt;=Settings!$B$2,Table1[[#This Row],[EffectiveEndDate]]&gt;=Settings!$B$2),1,0)</f>
        <v>0</v>
      </c>
      <c r="AC769" s="46">
        <f ca="1">IF(AND(Table1[[#This Row],[SubscriptionStart]]&lt;=Settings!$C$2,Table1[[#This Row],[EffectiveEndDate]]&gt;=Settings!$C$2),1,0)</f>
        <v>0</v>
      </c>
      <c r="AD769" s="46">
        <f ca="1">IF(AND(Table1[[#This Row],[SubscriptionStart]]&lt;=Settings!$D$2,Table1[[#This Row],[EffectiveEndDate]]&gt;=Settings!$D$2),1,0)</f>
        <v>0</v>
      </c>
      <c r="AE769" s="46">
        <f ca="1">IF(AND(Table1[[#This Row],[SubscriptionStart]]&lt;=Settings!$E$2,Table1[[#This Row],[EffectiveEndDate]]&gt;=Settings!$E$2),1,0)</f>
        <v>0</v>
      </c>
      <c r="AF769"/>
      <c r="AG769"/>
      <c r="AH769"/>
      <c r="AI769"/>
      <c r="AJ769"/>
      <c r="AK769"/>
    </row>
    <row r="770" spans="1:37">
      <c r="A770" s="3" t="s">
        <v>630</v>
      </c>
      <c r="B770" s="3">
        <v>64</v>
      </c>
      <c r="C770" s="3" t="s">
        <v>37</v>
      </c>
      <c r="D770" s="5">
        <v>45259</v>
      </c>
      <c r="E770" s="5">
        <v>45619</v>
      </c>
      <c r="F770" s="3">
        <f ca="1">TODAY() - Table1[[#This Row],[SubscriptionStart]]</f>
        <v>722</v>
      </c>
      <c r="G770" s="4">
        <v>12</v>
      </c>
      <c r="H770" s="3" t="s">
        <v>24</v>
      </c>
      <c r="I770" s="3" t="s">
        <v>39</v>
      </c>
      <c r="J770" s="7" cm="1">
        <f t="array" ref="J770">_xlfn.IFS(Table1[[#This Row],[Tier]]="Basic",10,Table1[[#This Row],[Tier]]="Standard",18,Table1[[#This Row],[Tier]]="Premium",25)</f>
        <v>18</v>
      </c>
      <c r="K770" s="7" cm="1">
        <f t="array" ref="K77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770" s="7" cm="1">
        <f t="array" ref="L77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770" s="3" t="str" cm="1">
        <f t="array" ref="M770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70" s="3" t="s">
        <v>26</v>
      </c>
      <c r="O770" s="3" t="s">
        <v>32</v>
      </c>
      <c r="P770" s="3" t="s">
        <v>50</v>
      </c>
      <c r="Q770" s="3" t="str" cm="1">
        <f t="array" ref="Q770">_xlfn.IFS(Table1[[#This Row],[TotalRevenue]]&lt;100,"Low",Table1[[#This Row],[TotalRevenue]]&lt;300,"Medium",Table1[[#This Row],[TotalRevenue]]&lt;600,"High",TRUE,"Very High")</f>
        <v>Medium</v>
      </c>
      <c r="R770" s="3" t="str" cm="1">
        <f t="array" ref="R770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70" s="3" t="str">
        <f>IF(Table1[[#This Row],[NextBillingDate]]="","Cancelled",IF(Table1[[#This Row],[CancellationDate]]&lt;&gt;"","Cancelled","Active"))</f>
        <v>Cancelled</v>
      </c>
      <c r="T770" s="7" cm="1">
        <f t="array" ref="T77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770" s="5">
        <v>45619</v>
      </c>
      <c r="W770" s="5">
        <v>45619</v>
      </c>
      <c r="X770" s="3">
        <v>0</v>
      </c>
      <c r="Y770" s="5">
        <f ca="1">IF(Table1[[#This Row],[ChurnStatus]]="Cancelled",Table1[[#This Row],[CancellationDate]],TODAY())</f>
        <v>45619</v>
      </c>
      <c r="Z770" s="46">
        <f ca="1">IF(AND(Table1[[#This Row],[SubscriptionStart]] &lt;= TODAY(), Table1[[#This Row],[EffectiveEndDate]] &gt;= TODAY()),1,0)</f>
        <v>0</v>
      </c>
      <c r="AA770" s="46">
        <f ca="1">IF(AND(Table1[[#This Row],[SubscriptionStart]]&lt;=Settings!$A$2,Table1[[#This Row],[EffectiveEndDate]]&gt;=Settings!$A$2),1,0)</f>
        <v>0</v>
      </c>
      <c r="AB770" s="46">
        <f ca="1">IF(AND(Table1[[#This Row],[SubscriptionStart]]&lt;=Settings!$B$2,Table1[[#This Row],[EffectiveEndDate]]&gt;=Settings!$B$2),1,0)</f>
        <v>0</v>
      </c>
      <c r="AC770" s="46">
        <f ca="1">IF(AND(Table1[[#This Row],[SubscriptionStart]]&lt;=Settings!$C$2,Table1[[#This Row],[EffectiveEndDate]]&gt;=Settings!$C$2),1,0)</f>
        <v>0</v>
      </c>
      <c r="AD770" s="46">
        <f ca="1">IF(AND(Table1[[#This Row],[SubscriptionStart]]&lt;=Settings!$D$2,Table1[[#This Row],[EffectiveEndDate]]&gt;=Settings!$D$2),1,0)</f>
        <v>0</v>
      </c>
      <c r="AE770" s="46">
        <f ca="1">IF(AND(Table1[[#This Row],[SubscriptionStart]]&lt;=Settings!$E$2,Table1[[#This Row],[EffectiveEndDate]]&gt;=Settings!$E$2),1,0)</f>
        <v>1</v>
      </c>
      <c r="AF770"/>
      <c r="AG770"/>
      <c r="AH770"/>
      <c r="AI770"/>
      <c r="AJ770"/>
      <c r="AK770"/>
    </row>
    <row r="771" spans="1:37">
      <c r="A771" s="3" t="s">
        <v>640</v>
      </c>
      <c r="B771" s="3">
        <v>42</v>
      </c>
      <c r="C771" s="3" t="s">
        <v>37</v>
      </c>
      <c r="D771" s="5">
        <v>45259</v>
      </c>
      <c r="E771" s="5">
        <v>45619</v>
      </c>
      <c r="F771" s="3">
        <f ca="1">TODAY() - Table1[[#This Row],[SubscriptionStart]]</f>
        <v>722</v>
      </c>
      <c r="G771" s="4">
        <v>12</v>
      </c>
      <c r="H771" s="3" t="s">
        <v>24</v>
      </c>
      <c r="I771" s="3" t="s">
        <v>39</v>
      </c>
      <c r="J771" s="7" cm="1">
        <f t="array" ref="J771">_xlfn.IFS(Table1[[#This Row],[Tier]]="Basic",10,Table1[[#This Row],[Tier]]="Standard",18,Table1[[#This Row],[Tier]]="Premium",25)</f>
        <v>18</v>
      </c>
      <c r="K771" s="7" cm="1">
        <f t="array" ref="K77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771" s="7" cm="1">
        <f t="array" ref="L77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771" s="3" t="str" cm="1">
        <f t="array" ref="M77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71" s="3" t="s">
        <v>34</v>
      </c>
      <c r="O771" s="3" t="s">
        <v>43</v>
      </c>
      <c r="P771" s="3" t="s">
        <v>50</v>
      </c>
      <c r="Q771" s="3" t="str" cm="1">
        <f t="array" ref="Q771">_xlfn.IFS(Table1[[#This Row],[TotalRevenue]]&lt;100,"Low",Table1[[#This Row],[TotalRevenue]]&lt;300,"Medium",Table1[[#This Row],[TotalRevenue]]&lt;600,"High",TRUE,"Very High")</f>
        <v>Medium</v>
      </c>
      <c r="R771" s="3" t="str" cm="1">
        <f t="array" ref="R77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71" s="3" t="str">
        <f>IF(Table1[[#This Row],[NextBillingDate]]="","Cancelled",IF(Table1[[#This Row],[CancellationDate]]&lt;&gt;"","Cancelled","Active"))</f>
        <v>Cancelled</v>
      </c>
      <c r="T771" s="7" cm="1">
        <f t="array" ref="T77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771" s="5">
        <v>45619</v>
      </c>
      <c r="W771" s="5">
        <v>45619</v>
      </c>
      <c r="X771" s="3">
        <v>0</v>
      </c>
      <c r="Y771" s="5">
        <f ca="1">IF(Table1[[#This Row],[ChurnStatus]]="Cancelled",Table1[[#This Row],[CancellationDate]],TODAY())</f>
        <v>45619</v>
      </c>
      <c r="Z771" s="46">
        <f ca="1">IF(AND(Table1[[#This Row],[SubscriptionStart]] &lt;= TODAY(), Table1[[#This Row],[EffectiveEndDate]] &gt;= TODAY()),1,0)</f>
        <v>0</v>
      </c>
      <c r="AA771" s="46">
        <f ca="1">IF(AND(Table1[[#This Row],[SubscriptionStart]]&lt;=Settings!$A$2,Table1[[#This Row],[EffectiveEndDate]]&gt;=Settings!$A$2),1,0)</f>
        <v>0</v>
      </c>
      <c r="AB771" s="46">
        <f ca="1">IF(AND(Table1[[#This Row],[SubscriptionStart]]&lt;=Settings!$B$2,Table1[[#This Row],[EffectiveEndDate]]&gt;=Settings!$B$2),1,0)</f>
        <v>0</v>
      </c>
      <c r="AC771" s="46">
        <f ca="1">IF(AND(Table1[[#This Row],[SubscriptionStart]]&lt;=Settings!$C$2,Table1[[#This Row],[EffectiveEndDate]]&gt;=Settings!$C$2),1,0)</f>
        <v>0</v>
      </c>
      <c r="AD771" s="46">
        <f ca="1">IF(AND(Table1[[#This Row],[SubscriptionStart]]&lt;=Settings!$D$2,Table1[[#This Row],[EffectiveEndDate]]&gt;=Settings!$D$2),1,0)</f>
        <v>0</v>
      </c>
      <c r="AE771" s="46">
        <f ca="1">IF(AND(Table1[[#This Row],[SubscriptionStart]]&lt;=Settings!$E$2,Table1[[#This Row],[EffectiveEndDate]]&gt;=Settings!$E$2),1,0)</f>
        <v>1</v>
      </c>
      <c r="AF771"/>
      <c r="AG771"/>
      <c r="AH771"/>
      <c r="AI771"/>
      <c r="AJ771"/>
      <c r="AK771"/>
    </row>
    <row r="772" spans="1:37">
      <c r="A772" s="3" t="s">
        <v>663</v>
      </c>
      <c r="B772" s="3">
        <v>42</v>
      </c>
      <c r="C772" s="3" t="s">
        <v>37</v>
      </c>
      <c r="D772" s="5">
        <v>45261</v>
      </c>
      <c r="E772" s="5">
        <v>45441</v>
      </c>
      <c r="F772" s="3">
        <f ca="1">TODAY() - Table1[[#This Row],[SubscriptionStart]]</f>
        <v>720</v>
      </c>
      <c r="G772" s="4">
        <v>6</v>
      </c>
      <c r="H772" s="3" t="s">
        <v>38</v>
      </c>
      <c r="I772" s="3" t="s">
        <v>30</v>
      </c>
      <c r="J772" s="7" cm="1">
        <f t="array" ref="J772">_xlfn.IFS(Table1[[#This Row],[Tier]]="Basic",10,Table1[[#This Row],[Tier]]="Standard",18,Table1[[#This Row],[Tier]]="Premium",25)</f>
        <v>10</v>
      </c>
      <c r="K772" s="7" cm="1">
        <f t="array" ref="K77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6.75</v>
      </c>
      <c r="L772" s="7" cm="1">
        <f t="array" ref="L77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40.5</v>
      </c>
      <c r="M772" s="3" t="str" cm="1">
        <f t="array" ref="M77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72" s="3" t="s">
        <v>26</v>
      </c>
      <c r="O772" s="3" t="s">
        <v>49</v>
      </c>
      <c r="P772" s="3" t="s">
        <v>41</v>
      </c>
      <c r="Q772" s="3" t="str" cm="1">
        <f t="array" ref="Q772">_xlfn.IFS(Table1[[#This Row],[TotalRevenue]]&lt;100,"Low",Table1[[#This Row],[TotalRevenue]]&lt;300,"Medium",Table1[[#This Row],[TotalRevenue]]&lt;600,"High",TRUE,"Very High")</f>
        <v>Low</v>
      </c>
      <c r="R772" s="3" t="str" cm="1">
        <f t="array" ref="R77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72" s="3" t="str">
        <f>IF(Table1[[#This Row],[NextBillingDate]]="","Cancelled",IF(Table1[[#This Row],[CancellationDate]]&lt;&gt;"","Cancelled","Active"))</f>
        <v>Cancelled</v>
      </c>
      <c r="T772" s="7" cm="1">
        <f t="array" ref="T77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40.5</v>
      </c>
      <c r="U772" s="5">
        <v>45441</v>
      </c>
      <c r="W772" s="5">
        <v>45441</v>
      </c>
      <c r="X772" s="3">
        <v>0</v>
      </c>
      <c r="Y772" s="5">
        <f ca="1">IF(Table1[[#This Row],[ChurnStatus]]="Cancelled",Table1[[#This Row],[CancellationDate]],TODAY())</f>
        <v>45441</v>
      </c>
      <c r="Z772" s="46">
        <f ca="1">IF(AND(Table1[[#This Row],[SubscriptionStart]] &lt;= TODAY(), Table1[[#This Row],[EffectiveEndDate]] &gt;= TODAY()),1,0)</f>
        <v>0</v>
      </c>
      <c r="AA772" s="46">
        <f ca="1">IF(AND(Table1[[#This Row],[SubscriptionStart]]&lt;=Settings!$A$2,Table1[[#This Row],[EffectiveEndDate]]&gt;=Settings!$A$2),1,0)</f>
        <v>0</v>
      </c>
      <c r="AB772" s="46">
        <f ca="1">IF(AND(Table1[[#This Row],[SubscriptionStart]]&lt;=Settings!$B$2,Table1[[#This Row],[EffectiveEndDate]]&gt;=Settings!$B$2),1,0)</f>
        <v>0</v>
      </c>
      <c r="AC772" s="46">
        <f ca="1">IF(AND(Table1[[#This Row],[SubscriptionStart]]&lt;=Settings!$C$2,Table1[[#This Row],[EffectiveEndDate]]&gt;=Settings!$C$2),1,0)</f>
        <v>0</v>
      </c>
      <c r="AD772" s="46">
        <f ca="1">IF(AND(Table1[[#This Row],[SubscriptionStart]]&lt;=Settings!$D$2,Table1[[#This Row],[EffectiveEndDate]]&gt;=Settings!$D$2),1,0)</f>
        <v>0</v>
      </c>
      <c r="AE772" s="46">
        <f ca="1">IF(AND(Table1[[#This Row],[SubscriptionStart]]&lt;=Settings!$E$2,Table1[[#This Row],[EffectiveEndDate]]&gt;=Settings!$E$2),1,0)</f>
        <v>0</v>
      </c>
      <c r="AF772"/>
      <c r="AG772"/>
      <c r="AH772"/>
      <c r="AI772"/>
      <c r="AJ772"/>
      <c r="AK772"/>
    </row>
    <row r="773" spans="1:37">
      <c r="A773" s="3" t="s">
        <v>721</v>
      </c>
      <c r="B773" s="3">
        <v>75</v>
      </c>
      <c r="C773" s="3" t="s">
        <v>23</v>
      </c>
      <c r="D773" s="5">
        <v>45262</v>
      </c>
      <c r="E773" s="5">
        <v>45622</v>
      </c>
      <c r="F773" s="3">
        <f ca="1">TODAY() - Table1[[#This Row],[SubscriptionStart]]</f>
        <v>719</v>
      </c>
      <c r="G773" s="4">
        <v>12</v>
      </c>
      <c r="H773" s="3" t="s">
        <v>24</v>
      </c>
      <c r="I773" s="3" t="s">
        <v>25</v>
      </c>
      <c r="J773" s="7" cm="1">
        <f t="array" ref="J773">_xlfn.IFS(Table1[[#This Row],[Tier]]="Basic",10,Table1[[#This Row],[Tier]]="Standard",18,Table1[[#This Row],[Tier]]="Premium",25)</f>
        <v>25</v>
      </c>
      <c r="K773" s="7" cm="1">
        <f t="array" ref="K77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73" s="7" cm="1">
        <f t="array" ref="L77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73" s="3" t="str" cm="1">
        <f t="array" ref="M773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773" s="3" t="s">
        <v>34</v>
      </c>
      <c r="O773" s="3" t="s">
        <v>32</v>
      </c>
      <c r="P773" s="3" t="s">
        <v>50</v>
      </c>
      <c r="Q773" s="3" t="str" cm="1">
        <f t="array" ref="Q773">_xlfn.IFS(Table1[[#This Row],[TotalRevenue]]&lt;100,"Low",Table1[[#This Row],[TotalRevenue]]&lt;300,"Medium",Table1[[#This Row],[TotalRevenue]]&lt;600,"High",TRUE,"Very High")</f>
        <v>Medium</v>
      </c>
      <c r="R773" s="3" t="str" cm="1">
        <f t="array" ref="R773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773" s="3" t="str">
        <f>IF(Table1[[#This Row],[NextBillingDate]]="","Cancelled",IF(Table1[[#This Row],[CancellationDate]]&lt;&gt;"","Cancelled","Active"))</f>
        <v>Cancelled</v>
      </c>
      <c r="T773" s="7" cm="1">
        <f t="array" ref="T77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73" s="5">
        <v>45622</v>
      </c>
      <c r="W773" s="5">
        <v>45622</v>
      </c>
      <c r="X773" s="3">
        <v>0</v>
      </c>
      <c r="Y773" s="5">
        <f ca="1">IF(Table1[[#This Row],[ChurnStatus]]="Cancelled",Table1[[#This Row],[CancellationDate]],TODAY())</f>
        <v>45622</v>
      </c>
      <c r="Z773" s="46">
        <f ca="1">IF(AND(Table1[[#This Row],[SubscriptionStart]] &lt;= TODAY(), Table1[[#This Row],[EffectiveEndDate]] &gt;= TODAY()),1,0)</f>
        <v>0</v>
      </c>
      <c r="AA773" s="46">
        <f ca="1">IF(AND(Table1[[#This Row],[SubscriptionStart]]&lt;=Settings!$A$2,Table1[[#This Row],[EffectiveEndDate]]&gt;=Settings!$A$2),1,0)</f>
        <v>0</v>
      </c>
      <c r="AB773" s="46">
        <f ca="1">IF(AND(Table1[[#This Row],[SubscriptionStart]]&lt;=Settings!$B$2,Table1[[#This Row],[EffectiveEndDate]]&gt;=Settings!$B$2),1,0)</f>
        <v>0</v>
      </c>
      <c r="AC773" s="46">
        <f ca="1">IF(AND(Table1[[#This Row],[SubscriptionStart]]&lt;=Settings!$C$2,Table1[[#This Row],[EffectiveEndDate]]&gt;=Settings!$C$2),1,0)</f>
        <v>0</v>
      </c>
      <c r="AD773" s="46">
        <f ca="1">IF(AND(Table1[[#This Row],[SubscriptionStart]]&lt;=Settings!$D$2,Table1[[#This Row],[EffectiveEndDate]]&gt;=Settings!$D$2),1,0)</f>
        <v>0</v>
      </c>
      <c r="AE773" s="46">
        <f ca="1">IF(AND(Table1[[#This Row],[SubscriptionStart]]&lt;=Settings!$E$2,Table1[[#This Row],[EffectiveEndDate]]&gt;=Settings!$E$2),1,0)</f>
        <v>1</v>
      </c>
      <c r="AF773"/>
      <c r="AG773"/>
      <c r="AH773"/>
      <c r="AI773"/>
      <c r="AJ773"/>
      <c r="AK773"/>
    </row>
    <row r="774" spans="1:37">
      <c r="A774" s="3" t="s">
        <v>493</v>
      </c>
      <c r="B774" s="3">
        <v>57</v>
      </c>
      <c r="C774" s="3" t="s">
        <v>37</v>
      </c>
      <c r="D774" s="5">
        <v>45263</v>
      </c>
      <c r="E774" s="5">
        <v>45293</v>
      </c>
      <c r="F774" s="3">
        <f ca="1">TODAY() - Table1[[#This Row],[SubscriptionStart]]</f>
        <v>718</v>
      </c>
      <c r="G774" s="4">
        <v>1</v>
      </c>
      <c r="H774" s="3" t="s">
        <v>29</v>
      </c>
      <c r="I774" s="3" t="s">
        <v>25</v>
      </c>
      <c r="J774" s="7" cm="1">
        <f t="array" ref="J774">_xlfn.IFS(Table1[[#This Row],[Tier]]="Basic",10,Table1[[#This Row],[Tier]]="Standard",18,Table1[[#This Row],[Tier]]="Premium",25)</f>
        <v>25</v>
      </c>
      <c r="K774" s="7" cm="1">
        <f t="array" ref="K77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774" s="7" cm="1">
        <f t="array" ref="L77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74" s="3" t="str" cm="1">
        <f t="array" ref="M774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74" s="3" t="s">
        <v>52</v>
      </c>
      <c r="O774" s="3" t="s">
        <v>32</v>
      </c>
      <c r="P774" s="3" t="s">
        <v>41</v>
      </c>
      <c r="Q774" s="3" t="str" cm="1">
        <f t="array" ref="Q774">_xlfn.IFS(Table1[[#This Row],[TotalRevenue]]&lt;100,"Low",Table1[[#This Row],[TotalRevenue]]&lt;300,"Medium",Table1[[#This Row],[TotalRevenue]]&lt;600,"High",TRUE,"Very High")</f>
        <v>Low</v>
      </c>
      <c r="R774" s="3" t="str" cm="1">
        <f t="array" ref="R77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74" s="3" t="str">
        <f>IF(Table1[[#This Row],[NextBillingDate]]="","Cancelled",IF(Table1[[#This Row],[CancellationDate]]&lt;&gt;"","Cancelled","Active"))</f>
        <v>Cancelled</v>
      </c>
      <c r="T774" s="7" cm="1">
        <f t="array" ref="T77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74" s="5">
        <v>45293</v>
      </c>
      <c r="W774" s="5">
        <v>45293</v>
      </c>
      <c r="X774" s="3">
        <v>0</v>
      </c>
      <c r="Y774" s="5">
        <f ca="1">IF(Table1[[#This Row],[ChurnStatus]]="Cancelled",Table1[[#This Row],[CancellationDate]],TODAY())</f>
        <v>45293</v>
      </c>
      <c r="Z774" s="46">
        <f ca="1">IF(AND(Table1[[#This Row],[SubscriptionStart]] &lt;= TODAY(), Table1[[#This Row],[EffectiveEndDate]] &gt;= TODAY()),1,0)</f>
        <v>0</v>
      </c>
      <c r="AA774" s="46">
        <f ca="1">IF(AND(Table1[[#This Row],[SubscriptionStart]]&lt;=Settings!$A$2,Table1[[#This Row],[EffectiveEndDate]]&gt;=Settings!$A$2),1,0)</f>
        <v>0</v>
      </c>
      <c r="AB774" s="46">
        <f ca="1">IF(AND(Table1[[#This Row],[SubscriptionStart]]&lt;=Settings!$B$2,Table1[[#This Row],[EffectiveEndDate]]&gt;=Settings!$B$2),1,0)</f>
        <v>0</v>
      </c>
      <c r="AC774" s="46">
        <f ca="1">IF(AND(Table1[[#This Row],[SubscriptionStart]]&lt;=Settings!$C$2,Table1[[#This Row],[EffectiveEndDate]]&gt;=Settings!$C$2),1,0)</f>
        <v>0</v>
      </c>
      <c r="AD774" s="46">
        <f ca="1">IF(AND(Table1[[#This Row],[SubscriptionStart]]&lt;=Settings!$D$2,Table1[[#This Row],[EffectiveEndDate]]&gt;=Settings!$D$2),1,0)</f>
        <v>0</v>
      </c>
      <c r="AE774" s="46">
        <f ca="1">IF(AND(Table1[[#This Row],[SubscriptionStart]]&lt;=Settings!$E$2,Table1[[#This Row],[EffectiveEndDate]]&gt;=Settings!$E$2),1,0)</f>
        <v>0</v>
      </c>
      <c r="AF774"/>
      <c r="AG774"/>
      <c r="AH774"/>
      <c r="AI774"/>
      <c r="AJ774"/>
      <c r="AK774"/>
    </row>
    <row r="775" spans="1:37">
      <c r="A775" s="3" t="s">
        <v>206</v>
      </c>
      <c r="B775" s="3">
        <v>32</v>
      </c>
      <c r="C775" s="3" t="s">
        <v>37</v>
      </c>
      <c r="D775" s="5">
        <v>45263</v>
      </c>
      <c r="E775" s="5">
        <v>45623</v>
      </c>
      <c r="F775" s="3">
        <f ca="1">TODAY() - Table1[[#This Row],[SubscriptionStart]]</f>
        <v>718</v>
      </c>
      <c r="G775" s="4">
        <v>12</v>
      </c>
      <c r="H775" s="3" t="s">
        <v>24</v>
      </c>
      <c r="I775" s="3" t="s">
        <v>30</v>
      </c>
      <c r="J775" s="7" cm="1">
        <f t="array" ref="J775">_xlfn.IFS(Table1[[#This Row],[Tier]]="Basic",10,Table1[[#This Row],[Tier]]="Standard",18,Table1[[#This Row],[Tier]]="Premium",25)</f>
        <v>10</v>
      </c>
      <c r="K775" s="7" cm="1">
        <f t="array" ref="K77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75" s="7" cm="1">
        <f t="array" ref="L77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75" s="3" t="str" cm="1">
        <f t="array" ref="M77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75" s="3" t="s">
        <v>52</v>
      </c>
      <c r="O775" s="3" t="s">
        <v>40</v>
      </c>
      <c r="P775" s="3" t="s">
        <v>50</v>
      </c>
      <c r="Q775" s="3" t="str" cm="1">
        <f t="array" ref="Q775">_xlfn.IFS(Table1[[#This Row],[TotalRevenue]]&lt;100,"Low",Table1[[#This Row],[TotalRevenue]]&lt;300,"Medium",Table1[[#This Row],[TotalRevenue]]&lt;600,"High",TRUE,"Very High")</f>
        <v>Low</v>
      </c>
      <c r="R775" s="3" t="str" cm="1">
        <f t="array" ref="R77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75" s="3" t="str">
        <f>IF(Table1[[#This Row],[NextBillingDate]]="","Cancelled",IF(Table1[[#This Row],[CancellationDate]]&lt;&gt;"","Cancelled","Active"))</f>
        <v>Cancelled</v>
      </c>
      <c r="T775" s="7" cm="1">
        <f t="array" ref="T77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75" s="5">
        <v>45623</v>
      </c>
      <c r="W775" s="5">
        <v>45623</v>
      </c>
      <c r="X775" s="3">
        <v>0</v>
      </c>
      <c r="Y775" s="5">
        <f ca="1">IF(Table1[[#This Row],[ChurnStatus]]="Cancelled",Table1[[#This Row],[CancellationDate]],TODAY())</f>
        <v>45623</v>
      </c>
      <c r="Z775" s="46">
        <f ca="1">IF(AND(Table1[[#This Row],[SubscriptionStart]] &lt;= TODAY(), Table1[[#This Row],[EffectiveEndDate]] &gt;= TODAY()),1,0)</f>
        <v>0</v>
      </c>
      <c r="AA775" s="46">
        <f ca="1">IF(AND(Table1[[#This Row],[SubscriptionStart]]&lt;=Settings!$A$2,Table1[[#This Row],[EffectiveEndDate]]&gt;=Settings!$A$2),1,0)</f>
        <v>0</v>
      </c>
      <c r="AB775" s="46">
        <f ca="1">IF(AND(Table1[[#This Row],[SubscriptionStart]]&lt;=Settings!$B$2,Table1[[#This Row],[EffectiveEndDate]]&gt;=Settings!$B$2),1,0)</f>
        <v>0</v>
      </c>
      <c r="AC775" s="46">
        <f ca="1">IF(AND(Table1[[#This Row],[SubscriptionStart]]&lt;=Settings!$C$2,Table1[[#This Row],[EffectiveEndDate]]&gt;=Settings!$C$2),1,0)</f>
        <v>0</v>
      </c>
      <c r="AD775" s="46">
        <f ca="1">IF(AND(Table1[[#This Row],[SubscriptionStart]]&lt;=Settings!$D$2,Table1[[#This Row],[EffectiveEndDate]]&gt;=Settings!$D$2),1,0)</f>
        <v>0</v>
      </c>
      <c r="AE775" s="46">
        <f ca="1">IF(AND(Table1[[#This Row],[SubscriptionStart]]&lt;=Settings!$E$2,Table1[[#This Row],[EffectiveEndDate]]&gt;=Settings!$E$2),1,0)</f>
        <v>1</v>
      </c>
      <c r="AF775"/>
      <c r="AG775"/>
      <c r="AH775"/>
      <c r="AI775"/>
      <c r="AJ775"/>
      <c r="AK775"/>
    </row>
    <row r="776" spans="1:37">
      <c r="A776" s="3" t="s">
        <v>359</v>
      </c>
      <c r="B776" s="3">
        <v>21</v>
      </c>
      <c r="C776" s="3" t="s">
        <v>37</v>
      </c>
      <c r="D776" s="5">
        <v>45264</v>
      </c>
      <c r="E776" s="5">
        <v>45624</v>
      </c>
      <c r="F776" s="3">
        <f ca="1">TODAY() - Table1[[#This Row],[SubscriptionStart]]</f>
        <v>717</v>
      </c>
      <c r="G776" s="4">
        <v>12</v>
      </c>
      <c r="H776" s="3" t="s">
        <v>24</v>
      </c>
      <c r="I776" s="3" t="s">
        <v>39</v>
      </c>
      <c r="J776" s="7" cm="1">
        <f t="array" ref="J776">_xlfn.IFS(Table1[[#This Row],[Tier]]="Basic",10,Table1[[#This Row],[Tier]]="Standard",18,Table1[[#This Row],[Tier]]="Premium",25)</f>
        <v>18</v>
      </c>
      <c r="K776" s="7" cm="1">
        <f t="array" ref="K77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776" s="7" cm="1">
        <f t="array" ref="L77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776" s="3" t="str" cm="1">
        <f t="array" ref="M776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776" s="3" t="s">
        <v>34</v>
      </c>
      <c r="O776" s="3" t="s">
        <v>40</v>
      </c>
      <c r="P776" s="3" t="s">
        <v>50</v>
      </c>
      <c r="Q776" s="3" t="str" cm="1">
        <f t="array" ref="Q776">_xlfn.IFS(Table1[[#This Row],[TotalRevenue]]&lt;100,"Low",Table1[[#This Row],[TotalRevenue]]&lt;300,"Medium",Table1[[#This Row],[TotalRevenue]]&lt;600,"High",TRUE,"Very High")</f>
        <v>Medium</v>
      </c>
      <c r="R776" s="3" t="str" cm="1">
        <f t="array" ref="R776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776" s="3" t="str">
        <f>IF(Table1[[#This Row],[NextBillingDate]]="","Cancelled",IF(Table1[[#This Row],[CancellationDate]]&lt;&gt;"","Cancelled","Active"))</f>
        <v>Cancelled</v>
      </c>
      <c r="T776" s="7" cm="1">
        <f t="array" ref="T77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776" s="5">
        <v>45624</v>
      </c>
      <c r="W776" s="5">
        <v>45624</v>
      </c>
      <c r="X776" s="3">
        <v>0</v>
      </c>
      <c r="Y776" s="5">
        <f ca="1">IF(Table1[[#This Row],[ChurnStatus]]="Cancelled",Table1[[#This Row],[CancellationDate]],TODAY())</f>
        <v>45624</v>
      </c>
      <c r="Z776" s="46">
        <f ca="1">IF(AND(Table1[[#This Row],[SubscriptionStart]] &lt;= TODAY(), Table1[[#This Row],[EffectiveEndDate]] &gt;= TODAY()),1,0)</f>
        <v>0</v>
      </c>
      <c r="AA776" s="46">
        <f ca="1">IF(AND(Table1[[#This Row],[SubscriptionStart]]&lt;=Settings!$A$2,Table1[[#This Row],[EffectiveEndDate]]&gt;=Settings!$A$2),1,0)</f>
        <v>0</v>
      </c>
      <c r="AB776" s="46">
        <f ca="1">IF(AND(Table1[[#This Row],[SubscriptionStart]]&lt;=Settings!$B$2,Table1[[#This Row],[EffectiveEndDate]]&gt;=Settings!$B$2),1,0)</f>
        <v>0</v>
      </c>
      <c r="AC776" s="46">
        <f ca="1">IF(AND(Table1[[#This Row],[SubscriptionStart]]&lt;=Settings!$C$2,Table1[[#This Row],[EffectiveEndDate]]&gt;=Settings!$C$2),1,0)</f>
        <v>0</v>
      </c>
      <c r="AD776" s="46">
        <f ca="1">IF(AND(Table1[[#This Row],[SubscriptionStart]]&lt;=Settings!$D$2,Table1[[#This Row],[EffectiveEndDate]]&gt;=Settings!$D$2),1,0)</f>
        <v>0</v>
      </c>
      <c r="AE776" s="46">
        <f ca="1">IF(AND(Table1[[#This Row],[SubscriptionStart]]&lt;=Settings!$E$2,Table1[[#This Row],[EffectiveEndDate]]&gt;=Settings!$E$2),1,0)</f>
        <v>1</v>
      </c>
      <c r="AF776"/>
      <c r="AG776"/>
      <c r="AH776"/>
      <c r="AI776"/>
      <c r="AJ776"/>
      <c r="AK776"/>
    </row>
    <row r="777" spans="1:37">
      <c r="A777" s="3" t="s">
        <v>391</v>
      </c>
      <c r="B777" s="3">
        <v>51</v>
      </c>
      <c r="C777" s="3" t="s">
        <v>37</v>
      </c>
      <c r="D777" s="5">
        <v>45264</v>
      </c>
      <c r="F777" s="3">
        <f ca="1">TODAY() - Table1[[#This Row],[SubscriptionStart]]</f>
        <v>717</v>
      </c>
      <c r="G777" s="4">
        <v>24</v>
      </c>
      <c r="H777" s="3" t="s">
        <v>24</v>
      </c>
      <c r="I777" s="3" t="s">
        <v>30</v>
      </c>
      <c r="J777" s="7" cm="1">
        <f t="array" ref="J777">_xlfn.IFS(Table1[[#This Row],[Tier]]="Basic",10,Table1[[#This Row],[Tier]]="Standard",18,Table1[[#This Row],[Tier]]="Premium",25)</f>
        <v>10</v>
      </c>
      <c r="K777" s="7" cm="1">
        <f t="array" ref="K77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777" s="7" cm="1">
        <f t="array" ref="L77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152</v>
      </c>
      <c r="M777" s="3" t="str" cm="1">
        <f t="array" ref="M777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77" s="3" t="s">
        <v>26</v>
      </c>
      <c r="O777" s="3" t="s">
        <v>43</v>
      </c>
      <c r="Q777" s="3" t="str" cm="1">
        <f t="array" ref="Q777">_xlfn.IFS(Table1[[#This Row],[TotalRevenue]]&lt;100,"Low",Table1[[#This Row],[TotalRevenue]]&lt;300,"Medium",Table1[[#This Row],[TotalRevenue]]&lt;600,"High",TRUE,"Very High")</f>
        <v>Medium</v>
      </c>
      <c r="R777" s="3" t="str" cm="1">
        <f t="array" ref="R77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77" s="3" t="str">
        <f>IF(Table1[[#This Row],[NextBillingDate]]="","Cancelled",IF(Table1[[#This Row],[CancellationDate]]&lt;&gt;"","Cancelled","Active"))</f>
        <v>Active</v>
      </c>
      <c r="T777" s="7" cm="1">
        <f t="array" ref="T77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232</v>
      </c>
      <c r="V777" s="5">
        <v>45984</v>
      </c>
      <c r="W777" s="5">
        <v>45984</v>
      </c>
      <c r="X777" s="3">
        <v>1</v>
      </c>
      <c r="Y777" s="5">
        <f ca="1">IF(Table1[[#This Row],[ChurnStatus]]="Cancelled",Table1[[#This Row],[CancellationDate]],TODAY())</f>
        <v>45981</v>
      </c>
      <c r="Z777" s="46">
        <f ca="1">IF(AND(Table1[[#This Row],[SubscriptionStart]] &lt;= TODAY(), Table1[[#This Row],[EffectiveEndDate]] &gt;= TODAY()),1,0)</f>
        <v>1</v>
      </c>
      <c r="AA777" s="46">
        <f ca="1">IF(AND(Table1[[#This Row],[SubscriptionStart]]&lt;=Settings!$A$2,Table1[[#This Row],[EffectiveEndDate]]&gt;=Settings!$A$2),1,0)</f>
        <v>0</v>
      </c>
      <c r="AB777" s="46">
        <f ca="1">IF(AND(Table1[[#This Row],[SubscriptionStart]]&lt;=Settings!$B$2,Table1[[#This Row],[EffectiveEndDate]]&gt;=Settings!$B$2),1,0)</f>
        <v>0</v>
      </c>
      <c r="AC777" s="46">
        <f ca="1">IF(AND(Table1[[#This Row],[SubscriptionStart]]&lt;=Settings!$C$2,Table1[[#This Row],[EffectiveEndDate]]&gt;=Settings!$C$2),1,0)</f>
        <v>0</v>
      </c>
      <c r="AD777" s="46">
        <f ca="1">IF(AND(Table1[[#This Row],[SubscriptionStart]]&lt;=Settings!$D$2,Table1[[#This Row],[EffectiveEndDate]]&gt;=Settings!$D$2),1,0)</f>
        <v>0</v>
      </c>
      <c r="AE777" s="46">
        <f ca="1">IF(AND(Table1[[#This Row],[SubscriptionStart]]&lt;=Settings!$E$2,Table1[[#This Row],[EffectiveEndDate]]&gt;=Settings!$E$2),1,0)</f>
        <v>1</v>
      </c>
      <c r="AF777"/>
      <c r="AG777"/>
      <c r="AH777"/>
      <c r="AI777"/>
      <c r="AJ777"/>
      <c r="AK777"/>
    </row>
    <row r="778" spans="1:37">
      <c r="A778" s="3" t="s">
        <v>109</v>
      </c>
      <c r="B778" s="3">
        <v>50</v>
      </c>
      <c r="C778" s="3" t="s">
        <v>23</v>
      </c>
      <c r="D778" s="5">
        <v>45265</v>
      </c>
      <c r="F778" s="3">
        <f ca="1">TODAY() - Table1[[#This Row],[SubscriptionStart]]</f>
        <v>716</v>
      </c>
      <c r="G778" s="4">
        <v>24</v>
      </c>
      <c r="H778" s="3" t="s">
        <v>38</v>
      </c>
      <c r="I778" s="3" t="s">
        <v>30</v>
      </c>
      <c r="J778" s="7" cm="1">
        <f t="array" ref="J778">_xlfn.IFS(Table1[[#This Row],[Tier]]="Basic",10,Table1[[#This Row],[Tier]]="Standard",18,Table1[[#This Row],[Tier]]="Premium",25)</f>
        <v>10</v>
      </c>
      <c r="K778" s="7" cm="1">
        <f t="array" ref="K77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778" s="7" cm="1">
        <f t="array" ref="L77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171</v>
      </c>
      <c r="M778" s="3" t="str" cm="1">
        <f t="array" ref="M778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78" s="3" t="s">
        <v>26</v>
      </c>
      <c r="O778" s="3" t="s">
        <v>40</v>
      </c>
      <c r="Q778" s="3" t="str" cm="1">
        <f t="array" ref="Q778">_xlfn.IFS(Table1[[#This Row],[TotalRevenue]]&lt;100,"Low",Table1[[#This Row],[TotalRevenue]]&lt;300,"Medium",Table1[[#This Row],[TotalRevenue]]&lt;600,"High",TRUE,"Very High")</f>
        <v>Medium</v>
      </c>
      <c r="R778" s="3" t="str" cm="1">
        <f t="array" ref="R77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78" s="3" t="str">
        <f>IF(Table1[[#This Row],[NextBillingDate]]="","Cancelled",IF(Table1[[#This Row],[CancellationDate]]&lt;&gt;"","Cancelled","Active"))</f>
        <v>Active</v>
      </c>
      <c r="T778" s="7" cm="1">
        <f t="array" ref="T77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216</v>
      </c>
      <c r="V778" s="5">
        <v>45985</v>
      </c>
      <c r="W778" s="5">
        <v>45985</v>
      </c>
      <c r="X778" s="3">
        <v>3</v>
      </c>
      <c r="Y778" s="5">
        <f ca="1">IF(Table1[[#This Row],[ChurnStatus]]="Cancelled",Table1[[#This Row],[CancellationDate]],TODAY())</f>
        <v>45981</v>
      </c>
      <c r="Z778" s="46">
        <f ca="1">IF(AND(Table1[[#This Row],[SubscriptionStart]] &lt;= TODAY(), Table1[[#This Row],[EffectiveEndDate]] &gt;= TODAY()),1,0)</f>
        <v>1</v>
      </c>
      <c r="AA778" s="46">
        <f ca="1">IF(AND(Table1[[#This Row],[SubscriptionStart]]&lt;=Settings!$A$2,Table1[[#This Row],[EffectiveEndDate]]&gt;=Settings!$A$2),1,0)</f>
        <v>0</v>
      </c>
      <c r="AB778" s="46">
        <f ca="1">IF(AND(Table1[[#This Row],[SubscriptionStart]]&lt;=Settings!$B$2,Table1[[#This Row],[EffectiveEndDate]]&gt;=Settings!$B$2),1,0)</f>
        <v>0</v>
      </c>
      <c r="AC778" s="46">
        <f ca="1">IF(AND(Table1[[#This Row],[SubscriptionStart]]&lt;=Settings!$C$2,Table1[[#This Row],[EffectiveEndDate]]&gt;=Settings!$C$2),1,0)</f>
        <v>0</v>
      </c>
      <c r="AD778" s="46">
        <f ca="1">IF(AND(Table1[[#This Row],[SubscriptionStart]]&lt;=Settings!$D$2,Table1[[#This Row],[EffectiveEndDate]]&gt;=Settings!$D$2),1,0)</f>
        <v>0</v>
      </c>
      <c r="AE778" s="46">
        <f ca="1">IF(AND(Table1[[#This Row],[SubscriptionStart]]&lt;=Settings!$E$2,Table1[[#This Row],[EffectiveEndDate]]&gt;=Settings!$E$2),1,0)</f>
        <v>1</v>
      </c>
      <c r="AF778"/>
      <c r="AG778"/>
      <c r="AH778"/>
      <c r="AI778"/>
      <c r="AJ778"/>
      <c r="AK778"/>
    </row>
    <row r="779" spans="1:37">
      <c r="A779" s="3" t="s">
        <v>592</v>
      </c>
      <c r="B779" s="3">
        <v>72</v>
      </c>
      <c r="C779" s="3" t="s">
        <v>23</v>
      </c>
      <c r="D779" s="5">
        <v>45271</v>
      </c>
      <c r="E779" s="5">
        <v>45631</v>
      </c>
      <c r="F779" s="3">
        <f ca="1">TODAY() - Table1[[#This Row],[SubscriptionStart]]</f>
        <v>710</v>
      </c>
      <c r="G779" s="4">
        <v>12</v>
      </c>
      <c r="H779" s="3" t="s">
        <v>24</v>
      </c>
      <c r="I779" s="3" t="s">
        <v>30</v>
      </c>
      <c r="J779" s="7" cm="1">
        <f t="array" ref="J779">_xlfn.IFS(Table1[[#This Row],[Tier]]="Basic",10,Table1[[#This Row],[Tier]]="Standard",18,Table1[[#This Row],[Tier]]="Premium",25)</f>
        <v>10</v>
      </c>
      <c r="K779" s="7" cm="1">
        <f t="array" ref="K77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79" s="7" cm="1">
        <f t="array" ref="L77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79" s="3" t="str" cm="1">
        <f t="array" ref="M779">_xlfn.IFS(Table1[[#This Row],[Age]]&gt;70,"Elderly",Table1[[#This Row],[Age]]&gt;59,"Senior",Table1[[#This Row],[Age]]&gt;49,"Mature Adult",Table1[[#This Row],[Age]]&gt;25,"Adult",Table1[[#This Row],[Age]]&gt;=18,"Young Adult")</f>
        <v>Elderly</v>
      </c>
      <c r="N779" s="3" t="s">
        <v>34</v>
      </c>
      <c r="O779" s="3" t="s">
        <v>40</v>
      </c>
      <c r="P779" s="3" t="s">
        <v>44</v>
      </c>
      <c r="Q779" s="3" t="str" cm="1">
        <f t="array" ref="Q779">_xlfn.IFS(Table1[[#This Row],[TotalRevenue]]&lt;100,"Low",Table1[[#This Row],[TotalRevenue]]&lt;300,"Medium",Table1[[#This Row],[TotalRevenue]]&lt;600,"High",TRUE,"Very High")</f>
        <v>Low</v>
      </c>
      <c r="R779" s="3" t="str" cm="1">
        <f t="array" ref="R779">_xlfn.IFS(Table1[[#This Row],[Age]]&gt;69,"Elderly",Table1[[#This Row],[Age]]&gt;59,"Mature Adult",Table1[[#This Row],[Age]]&gt;25,"Adult",Table1[[#This Row],[Age]]&gt;18,"Young Adult",Table1[[#This Row],[Age]]&gt;=12,"Teenager")</f>
        <v>Elderly</v>
      </c>
      <c r="S779" s="3" t="str">
        <f>IF(Table1[[#This Row],[NextBillingDate]]="","Cancelled",IF(Table1[[#This Row],[CancellationDate]]&lt;&gt;"","Cancelled","Active"))</f>
        <v>Cancelled</v>
      </c>
      <c r="T779" s="7" cm="1">
        <f t="array" ref="T77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79" s="5">
        <v>45631</v>
      </c>
      <c r="W779" s="5">
        <v>45631</v>
      </c>
      <c r="X779" s="3">
        <v>0</v>
      </c>
      <c r="Y779" s="5">
        <f ca="1">IF(Table1[[#This Row],[ChurnStatus]]="Cancelled",Table1[[#This Row],[CancellationDate]],TODAY())</f>
        <v>45631</v>
      </c>
      <c r="Z779" s="46">
        <f ca="1">IF(AND(Table1[[#This Row],[SubscriptionStart]] &lt;= TODAY(), Table1[[#This Row],[EffectiveEndDate]] &gt;= TODAY()),1,0)</f>
        <v>0</v>
      </c>
      <c r="AA779" s="46">
        <f ca="1">IF(AND(Table1[[#This Row],[SubscriptionStart]]&lt;=Settings!$A$2,Table1[[#This Row],[EffectiveEndDate]]&gt;=Settings!$A$2),1,0)</f>
        <v>0</v>
      </c>
      <c r="AB779" s="46">
        <f ca="1">IF(AND(Table1[[#This Row],[SubscriptionStart]]&lt;=Settings!$B$2,Table1[[#This Row],[EffectiveEndDate]]&gt;=Settings!$B$2),1,0)</f>
        <v>0</v>
      </c>
      <c r="AC779" s="46">
        <f ca="1">IF(AND(Table1[[#This Row],[SubscriptionStart]]&lt;=Settings!$C$2,Table1[[#This Row],[EffectiveEndDate]]&gt;=Settings!$C$2),1,0)</f>
        <v>0</v>
      </c>
      <c r="AD779" s="46">
        <f ca="1">IF(AND(Table1[[#This Row],[SubscriptionStart]]&lt;=Settings!$D$2,Table1[[#This Row],[EffectiveEndDate]]&gt;=Settings!$D$2),1,0)</f>
        <v>0</v>
      </c>
      <c r="AE779" s="46">
        <f ca="1">IF(AND(Table1[[#This Row],[SubscriptionStart]]&lt;=Settings!$E$2,Table1[[#This Row],[EffectiveEndDate]]&gt;=Settings!$E$2),1,0)</f>
        <v>1</v>
      </c>
      <c r="AF779"/>
      <c r="AG779"/>
      <c r="AH779"/>
      <c r="AI779"/>
      <c r="AJ779"/>
      <c r="AK779"/>
    </row>
    <row r="780" spans="1:37">
      <c r="A780" s="3" t="s">
        <v>620</v>
      </c>
      <c r="B780" s="3">
        <v>23</v>
      </c>
      <c r="C780" s="3" t="s">
        <v>37</v>
      </c>
      <c r="D780" s="5">
        <v>45272</v>
      </c>
      <c r="F780" s="3">
        <f ca="1">TODAY() - Table1[[#This Row],[SubscriptionStart]]</f>
        <v>709</v>
      </c>
      <c r="G780" s="4">
        <v>24</v>
      </c>
      <c r="H780" s="3" t="s">
        <v>24</v>
      </c>
      <c r="I780" s="3" t="s">
        <v>39</v>
      </c>
      <c r="J780" s="7" cm="1">
        <f t="array" ref="J780">_xlfn.IFS(Table1[[#This Row],[Tier]]="Basic",10,Table1[[#This Row],[Tier]]="Standard",18,Table1[[#This Row],[Tier]]="Premium",25)</f>
        <v>18</v>
      </c>
      <c r="K780" s="7" cm="1">
        <f t="array" ref="K78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780" s="7" cm="1">
        <f t="array" ref="L78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273.60000000000002</v>
      </c>
      <c r="M780" s="3" t="str" cm="1">
        <f t="array" ref="M780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780" s="3" t="s">
        <v>34</v>
      </c>
      <c r="O780" s="3" t="s">
        <v>27</v>
      </c>
      <c r="Q780" s="3" t="str" cm="1">
        <f t="array" ref="Q780">_xlfn.IFS(Table1[[#This Row],[TotalRevenue]]&lt;100,"Low",Table1[[#This Row],[TotalRevenue]]&lt;300,"Medium",Table1[[#This Row],[TotalRevenue]]&lt;600,"High",TRUE,"Very High")</f>
        <v>Medium</v>
      </c>
      <c r="R780" s="3" t="str" cm="1">
        <f t="array" ref="R780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780" s="3" t="str">
        <f>IF(Table1[[#This Row],[NextBillingDate]]="","Cancelled",IF(Table1[[#This Row],[CancellationDate]]&lt;&gt;"","Cancelled","Active"))</f>
        <v>Active</v>
      </c>
      <c r="T780" s="7" cm="1">
        <f t="array" ref="T78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417.6</v>
      </c>
      <c r="V780" s="5">
        <v>45992</v>
      </c>
      <c r="W780" s="5">
        <v>45992</v>
      </c>
      <c r="X780" s="3">
        <v>1</v>
      </c>
      <c r="Y780" s="5">
        <f ca="1">IF(Table1[[#This Row],[ChurnStatus]]="Cancelled",Table1[[#This Row],[CancellationDate]],TODAY())</f>
        <v>45981</v>
      </c>
      <c r="Z780" s="46">
        <f ca="1">IF(AND(Table1[[#This Row],[SubscriptionStart]] &lt;= TODAY(), Table1[[#This Row],[EffectiveEndDate]] &gt;= TODAY()),1,0)</f>
        <v>1</v>
      </c>
      <c r="AA780" s="46">
        <f ca="1">IF(AND(Table1[[#This Row],[SubscriptionStart]]&lt;=Settings!$A$2,Table1[[#This Row],[EffectiveEndDate]]&gt;=Settings!$A$2),1,0)</f>
        <v>0</v>
      </c>
      <c r="AB780" s="46">
        <f ca="1">IF(AND(Table1[[#This Row],[SubscriptionStart]]&lt;=Settings!$B$2,Table1[[#This Row],[EffectiveEndDate]]&gt;=Settings!$B$2),1,0)</f>
        <v>0</v>
      </c>
      <c r="AC780" s="46">
        <f ca="1">IF(AND(Table1[[#This Row],[SubscriptionStart]]&lt;=Settings!$C$2,Table1[[#This Row],[EffectiveEndDate]]&gt;=Settings!$C$2),1,0)</f>
        <v>0</v>
      </c>
      <c r="AD780" s="46">
        <f ca="1">IF(AND(Table1[[#This Row],[SubscriptionStart]]&lt;=Settings!$D$2,Table1[[#This Row],[EffectiveEndDate]]&gt;=Settings!$D$2),1,0)</f>
        <v>0</v>
      </c>
      <c r="AE780" s="46">
        <f ca="1">IF(AND(Table1[[#This Row],[SubscriptionStart]]&lt;=Settings!$E$2,Table1[[#This Row],[EffectiveEndDate]]&gt;=Settings!$E$2),1,0)</f>
        <v>1</v>
      </c>
      <c r="AF780"/>
      <c r="AG780"/>
      <c r="AH780"/>
      <c r="AI780"/>
      <c r="AJ780"/>
      <c r="AK780"/>
    </row>
    <row r="781" spans="1:37">
      <c r="A781" s="3" t="s">
        <v>749</v>
      </c>
      <c r="B781" s="3">
        <v>24</v>
      </c>
      <c r="C781" s="3" t="s">
        <v>37</v>
      </c>
      <c r="D781" s="5">
        <v>45274</v>
      </c>
      <c r="E781" s="5">
        <v>45304</v>
      </c>
      <c r="F781" s="3">
        <f ca="1">TODAY() - Table1[[#This Row],[SubscriptionStart]]</f>
        <v>707</v>
      </c>
      <c r="G781" s="4">
        <v>1</v>
      </c>
      <c r="H781" s="3" t="s">
        <v>29</v>
      </c>
      <c r="I781" s="3" t="s">
        <v>39</v>
      </c>
      <c r="J781" s="7" cm="1">
        <f t="array" ref="J781">_xlfn.IFS(Table1[[#This Row],[Tier]]="Basic",10,Table1[[#This Row],[Tier]]="Standard",18,Table1[[#This Row],[Tier]]="Premium",25)</f>
        <v>18</v>
      </c>
      <c r="K781" s="7" cm="1">
        <f t="array" ref="K78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16.2</v>
      </c>
      <c r="L781" s="7" cm="1">
        <f t="array" ref="L78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81" s="3" t="str" cm="1">
        <f t="array" ref="M781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781" s="3" t="s">
        <v>52</v>
      </c>
      <c r="O781" s="3" t="s">
        <v>43</v>
      </c>
      <c r="P781" s="3" t="s">
        <v>50</v>
      </c>
      <c r="Q781" s="3" t="str" cm="1">
        <f t="array" ref="Q781">_xlfn.IFS(Table1[[#This Row],[TotalRevenue]]&lt;100,"Low",Table1[[#This Row],[TotalRevenue]]&lt;300,"Medium",Table1[[#This Row],[TotalRevenue]]&lt;600,"High",TRUE,"Very High")</f>
        <v>Low</v>
      </c>
      <c r="R781" s="3" t="str" cm="1">
        <f t="array" ref="R781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781" s="3" t="str">
        <f>IF(Table1[[#This Row],[NextBillingDate]]="","Cancelled",IF(Table1[[#This Row],[CancellationDate]]&lt;&gt;"","Cancelled","Active"))</f>
        <v>Cancelled</v>
      </c>
      <c r="T781" s="7" cm="1">
        <f t="array" ref="T78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81" s="5">
        <v>45304</v>
      </c>
      <c r="W781" s="5">
        <v>45304</v>
      </c>
      <c r="X781" s="3">
        <v>0</v>
      </c>
      <c r="Y781" s="5">
        <f ca="1">IF(Table1[[#This Row],[ChurnStatus]]="Cancelled",Table1[[#This Row],[CancellationDate]],TODAY())</f>
        <v>45304</v>
      </c>
      <c r="Z781" s="46">
        <f ca="1">IF(AND(Table1[[#This Row],[SubscriptionStart]] &lt;= TODAY(), Table1[[#This Row],[EffectiveEndDate]] &gt;= TODAY()),1,0)</f>
        <v>0</v>
      </c>
      <c r="AA781" s="46">
        <f ca="1">IF(AND(Table1[[#This Row],[SubscriptionStart]]&lt;=Settings!$A$2,Table1[[#This Row],[EffectiveEndDate]]&gt;=Settings!$A$2),1,0)</f>
        <v>0</v>
      </c>
      <c r="AB781" s="46">
        <f ca="1">IF(AND(Table1[[#This Row],[SubscriptionStart]]&lt;=Settings!$B$2,Table1[[#This Row],[EffectiveEndDate]]&gt;=Settings!$B$2),1,0)</f>
        <v>0</v>
      </c>
      <c r="AC781" s="46">
        <f ca="1">IF(AND(Table1[[#This Row],[SubscriptionStart]]&lt;=Settings!$C$2,Table1[[#This Row],[EffectiveEndDate]]&gt;=Settings!$C$2),1,0)</f>
        <v>0</v>
      </c>
      <c r="AD781" s="46">
        <f ca="1">IF(AND(Table1[[#This Row],[SubscriptionStart]]&lt;=Settings!$D$2,Table1[[#This Row],[EffectiveEndDate]]&gt;=Settings!$D$2),1,0)</f>
        <v>0</v>
      </c>
      <c r="AE781" s="46">
        <f ca="1">IF(AND(Table1[[#This Row],[SubscriptionStart]]&lt;=Settings!$E$2,Table1[[#This Row],[EffectiveEndDate]]&gt;=Settings!$E$2),1,0)</f>
        <v>0</v>
      </c>
      <c r="AF781"/>
      <c r="AG781"/>
      <c r="AH781"/>
      <c r="AI781"/>
      <c r="AJ781"/>
      <c r="AK781"/>
    </row>
    <row r="782" spans="1:37">
      <c r="A782" s="3" t="s">
        <v>42</v>
      </c>
      <c r="B782" s="3">
        <v>27</v>
      </c>
      <c r="C782" s="3" t="s">
        <v>37</v>
      </c>
      <c r="D782" s="5">
        <v>45274</v>
      </c>
      <c r="E782" s="5">
        <v>45634</v>
      </c>
      <c r="F782" s="3">
        <f ca="1">TODAY() - Table1[[#This Row],[SubscriptionStart]]</f>
        <v>707</v>
      </c>
      <c r="G782" s="4">
        <v>12</v>
      </c>
      <c r="H782" s="3" t="s">
        <v>24</v>
      </c>
      <c r="I782" s="3" t="s">
        <v>30</v>
      </c>
      <c r="J782" s="7" cm="1">
        <f t="array" ref="J782">_xlfn.IFS(Table1[[#This Row],[Tier]]="Basic",10,Table1[[#This Row],[Tier]]="Standard",18,Table1[[#This Row],[Tier]]="Premium",25)</f>
        <v>10</v>
      </c>
      <c r="K782" s="7" cm="1">
        <f t="array" ref="K78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82" s="7" cm="1">
        <f t="array" ref="L78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82" s="3" t="str" cm="1">
        <f t="array" ref="M782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82" s="3" t="s">
        <v>26</v>
      </c>
      <c r="O782" s="3" t="s">
        <v>43</v>
      </c>
      <c r="P782" s="3" t="s">
        <v>44</v>
      </c>
      <c r="Q782" s="3" t="str" cm="1">
        <f t="array" ref="Q782">_xlfn.IFS(Table1[[#This Row],[TotalRevenue]]&lt;100,"Low",Table1[[#This Row],[TotalRevenue]]&lt;300,"Medium",Table1[[#This Row],[TotalRevenue]]&lt;600,"High",TRUE,"Very High")</f>
        <v>Low</v>
      </c>
      <c r="R782" s="3" t="str" cm="1">
        <f t="array" ref="R782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82" s="3" t="str">
        <f>IF(Table1[[#This Row],[NextBillingDate]]="","Cancelled",IF(Table1[[#This Row],[CancellationDate]]&lt;&gt;"","Cancelled","Active"))</f>
        <v>Cancelled</v>
      </c>
      <c r="T782" s="7" cm="1">
        <f t="array" ref="T78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82" s="5">
        <v>45634</v>
      </c>
      <c r="W782" s="5">
        <v>45634</v>
      </c>
      <c r="X782" s="3">
        <v>0</v>
      </c>
      <c r="Y782" s="5">
        <f ca="1">IF(Table1[[#This Row],[ChurnStatus]]="Cancelled",Table1[[#This Row],[CancellationDate]],TODAY())</f>
        <v>45634</v>
      </c>
      <c r="Z782" s="46">
        <f ca="1">IF(AND(Table1[[#This Row],[SubscriptionStart]] &lt;= TODAY(), Table1[[#This Row],[EffectiveEndDate]] &gt;= TODAY()),1,0)</f>
        <v>0</v>
      </c>
      <c r="AA782" s="46">
        <f ca="1">IF(AND(Table1[[#This Row],[SubscriptionStart]]&lt;=Settings!$A$2,Table1[[#This Row],[EffectiveEndDate]]&gt;=Settings!$A$2),1,0)</f>
        <v>0</v>
      </c>
      <c r="AB782" s="46">
        <f ca="1">IF(AND(Table1[[#This Row],[SubscriptionStart]]&lt;=Settings!$B$2,Table1[[#This Row],[EffectiveEndDate]]&gt;=Settings!$B$2),1,0)</f>
        <v>0</v>
      </c>
      <c r="AC782" s="46">
        <f ca="1">IF(AND(Table1[[#This Row],[SubscriptionStart]]&lt;=Settings!$C$2,Table1[[#This Row],[EffectiveEndDate]]&gt;=Settings!$C$2),1,0)</f>
        <v>0</v>
      </c>
      <c r="AD782" s="46">
        <f ca="1">IF(AND(Table1[[#This Row],[SubscriptionStart]]&lt;=Settings!$D$2,Table1[[#This Row],[EffectiveEndDate]]&gt;=Settings!$D$2),1,0)</f>
        <v>0</v>
      </c>
      <c r="AE782" s="46">
        <f ca="1">IF(AND(Table1[[#This Row],[SubscriptionStart]]&lt;=Settings!$E$2,Table1[[#This Row],[EffectiveEndDate]]&gt;=Settings!$E$2),1,0)</f>
        <v>1</v>
      </c>
      <c r="AF782"/>
      <c r="AG782"/>
      <c r="AH782"/>
      <c r="AI782"/>
      <c r="AJ782"/>
      <c r="AK782"/>
    </row>
    <row r="783" spans="1:37">
      <c r="A783" s="3" t="s">
        <v>281</v>
      </c>
      <c r="B783" s="3">
        <v>23</v>
      </c>
      <c r="C783" s="3" t="s">
        <v>37</v>
      </c>
      <c r="D783" s="5">
        <v>45274</v>
      </c>
      <c r="E783" s="5">
        <v>45634</v>
      </c>
      <c r="F783" s="3">
        <f ca="1">TODAY() - Table1[[#This Row],[SubscriptionStart]]</f>
        <v>707</v>
      </c>
      <c r="G783" s="4">
        <v>12</v>
      </c>
      <c r="H783" s="3" t="s">
        <v>24</v>
      </c>
      <c r="I783" s="3" t="s">
        <v>25</v>
      </c>
      <c r="J783" s="7" cm="1">
        <f t="array" ref="J783">_xlfn.IFS(Table1[[#This Row],[Tier]]="Basic",10,Table1[[#This Row],[Tier]]="Standard",18,Table1[[#This Row],[Tier]]="Premium",25)</f>
        <v>25</v>
      </c>
      <c r="K783" s="7" cm="1">
        <f t="array" ref="K78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83" s="7" cm="1">
        <f t="array" ref="L78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83" s="3" t="str" cm="1">
        <f t="array" ref="M783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783" s="3" t="s">
        <v>52</v>
      </c>
      <c r="O783" s="3" t="s">
        <v>49</v>
      </c>
      <c r="P783" s="3" t="s">
        <v>41</v>
      </c>
      <c r="Q783" s="3" t="str" cm="1">
        <f t="array" ref="Q783">_xlfn.IFS(Table1[[#This Row],[TotalRevenue]]&lt;100,"Low",Table1[[#This Row],[TotalRevenue]]&lt;300,"Medium",Table1[[#This Row],[TotalRevenue]]&lt;600,"High",TRUE,"Very High")</f>
        <v>Medium</v>
      </c>
      <c r="R783" s="3" t="str" cm="1">
        <f t="array" ref="R783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783" s="3" t="str">
        <f>IF(Table1[[#This Row],[NextBillingDate]]="","Cancelled",IF(Table1[[#This Row],[CancellationDate]]&lt;&gt;"","Cancelled","Active"))</f>
        <v>Cancelled</v>
      </c>
      <c r="T783" s="7" cm="1">
        <f t="array" ref="T78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83" s="5">
        <v>45634</v>
      </c>
      <c r="W783" s="5">
        <v>45634</v>
      </c>
      <c r="X783" s="3">
        <v>0</v>
      </c>
      <c r="Y783" s="5">
        <f ca="1">IF(Table1[[#This Row],[ChurnStatus]]="Cancelled",Table1[[#This Row],[CancellationDate]],TODAY())</f>
        <v>45634</v>
      </c>
      <c r="Z783" s="46">
        <f ca="1">IF(AND(Table1[[#This Row],[SubscriptionStart]] &lt;= TODAY(), Table1[[#This Row],[EffectiveEndDate]] &gt;= TODAY()),1,0)</f>
        <v>0</v>
      </c>
      <c r="AA783" s="46">
        <f ca="1">IF(AND(Table1[[#This Row],[SubscriptionStart]]&lt;=Settings!$A$2,Table1[[#This Row],[EffectiveEndDate]]&gt;=Settings!$A$2),1,0)</f>
        <v>0</v>
      </c>
      <c r="AB783" s="46">
        <f ca="1">IF(AND(Table1[[#This Row],[SubscriptionStart]]&lt;=Settings!$B$2,Table1[[#This Row],[EffectiveEndDate]]&gt;=Settings!$B$2),1,0)</f>
        <v>0</v>
      </c>
      <c r="AC783" s="46">
        <f ca="1">IF(AND(Table1[[#This Row],[SubscriptionStart]]&lt;=Settings!$C$2,Table1[[#This Row],[EffectiveEndDate]]&gt;=Settings!$C$2),1,0)</f>
        <v>0</v>
      </c>
      <c r="AD783" s="46">
        <f ca="1">IF(AND(Table1[[#This Row],[SubscriptionStart]]&lt;=Settings!$D$2,Table1[[#This Row],[EffectiveEndDate]]&gt;=Settings!$D$2),1,0)</f>
        <v>0</v>
      </c>
      <c r="AE783" s="46">
        <f ca="1">IF(AND(Table1[[#This Row],[SubscriptionStart]]&lt;=Settings!$E$2,Table1[[#This Row],[EffectiveEndDate]]&gt;=Settings!$E$2),1,0)</f>
        <v>1</v>
      </c>
      <c r="AF783"/>
      <c r="AG783"/>
      <c r="AH783"/>
      <c r="AI783"/>
      <c r="AJ783"/>
      <c r="AK783"/>
    </row>
    <row r="784" spans="1:37">
      <c r="A784" s="3" t="s">
        <v>336</v>
      </c>
      <c r="B784" s="3">
        <v>64</v>
      </c>
      <c r="C784" s="3" t="s">
        <v>23</v>
      </c>
      <c r="D784" s="5">
        <v>45275</v>
      </c>
      <c r="E784" s="5">
        <v>45635</v>
      </c>
      <c r="F784" s="3">
        <f ca="1">TODAY() - Table1[[#This Row],[SubscriptionStart]]</f>
        <v>706</v>
      </c>
      <c r="G784" s="4">
        <v>12</v>
      </c>
      <c r="H784" s="3" t="s">
        <v>24</v>
      </c>
      <c r="I784" s="3" t="s">
        <v>25</v>
      </c>
      <c r="J784" s="7" cm="1">
        <f t="array" ref="J784">_xlfn.IFS(Table1[[#This Row],[Tier]]="Basic",10,Table1[[#This Row],[Tier]]="Standard",18,Table1[[#This Row],[Tier]]="Premium",25)</f>
        <v>25</v>
      </c>
      <c r="K784" s="7" cm="1">
        <f t="array" ref="K78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84" s="7" cm="1">
        <f t="array" ref="L78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84" s="3" t="str" cm="1">
        <f t="array" ref="M784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84" s="3" t="s">
        <v>52</v>
      </c>
      <c r="O784" s="3" t="s">
        <v>32</v>
      </c>
      <c r="P784" s="3" t="s">
        <v>41</v>
      </c>
      <c r="Q784" s="3" t="str" cm="1">
        <f t="array" ref="Q784">_xlfn.IFS(Table1[[#This Row],[TotalRevenue]]&lt;100,"Low",Table1[[#This Row],[TotalRevenue]]&lt;300,"Medium",Table1[[#This Row],[TotalRevenue]]&lt;600,"High",TRUE,"Very High")</f>
        <v>Medium</v>
      </c>
      <c r="R784" s="3" t="str" cm="1">
        <f t="array" ref="R784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84" s="3" t="str">
        <f>IF(Table1[[#This Row],[NextBillingDate]]="","Cancelled",IF(Table1[[#This Row],[CancellationDate]]&lt;&gt;"","Cancelled","Active"))</f>
        <v>Cancelled</v>
      </c>
      <c r="T784" s="7" cm="1">
        <f t="array" ref="T78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84" s="5">
        <v>45635</v>
      </c>
      <c r="W784" s="5">
        <v>45635</v>
      </c>
      <c r="X784" s="3">
        <v>0</v>
      </c>
      <c r="Y784" s="5">
        <f ca="1">IF(Table1[[#This Row],[ChurnStatus]]="Cancelled",Table1[[#This Row],[CancellationDate]],TODAY())</f>
        <v>45635</v>
      </c>
      <c r="Z784" s="46">
        <f ca="1">IF(AND(Table1[[#This Row],[SubscriptionStart]] &lt;= TODAY(), Table1[[#This Row],[EffectiveEndDate]] &gt;= TODAY()),1,0)</f>
        <v>0</v>
      </c>
      <c r="AA784" s="46">
        <f ca="1">IF(AND(Table1[[#This Row],[SubscriptionStart]]&lt;=Settings!$A$2,Table1[[#This Row],[EffectiveEndDate]]&gt;=Settings!$A$2),1,0)</f>
        <v>0</v>
      </c>
      <c r="AB784" s="46">
        <f ca="1">IF(AND(Table1[[#This Row],[SubscriptionStart]]&lt;=Settings!$B$2,Table1[[#This Row],[EffectiveEndDate]]&gt;=Settings!$B$2),1,0)</f>
        <v>0</v>
      </c>
      <c r="AC784" s="46">
        <f ca="1">IF(AND(Table1[[#This Row],[SubscriptionStart]]&lt;=Settings!$C$2,Table1[[#This Row],[EffectiveEndDate]]&gt;=Settings!$C$2),1,0)</f>
        <v>0</v>
      </c>
      <c r="AD784" s="46">
        <f ca="1">IF(AND(Table1[[#This Row],[SubscriptionStart]]&lt;=Settings!$D$2,Table1[[#This Row],[EffectiveEndDate]]&gt;=Settings!$D$2),1,0)</f>
        <v>0</v>
      </c>
      <c r="AE784" s="46">
        <f ca="1">IF(AND(Table1[[#This Row],[SubscriptionStart]]&lt;=Settings!$E$2,Table1[[#This Row],[EffectiveEndDate]]&gt;=Settings!$E$2),1,0)</f>
        <v>1</v>
      </c>
      <c r="AF784"/>
      <c r="AG784"/>
      <c r="AH784"/>
      <c r="AI784"/>
      <c r="AJ784"/>
      <c r="AK784"/>
    </row>
    <row r="785" spans="1:37">
      <c r="A785" s="3" t="s">
        <v>628</v>
      </c>
      <c r="B785" s="3">
        <v>20</v>
      </c>
      <c r="C785" s="3" t="s">
        <v>23</v>
      </c>
      <c r="D785" s="5">
        <v>45276</v>
      </c>
      <c r="E785" s="5">
        <v>45636</v>
      </c>
      <c r="F785" s="3">
        <f ca="1">TODAY() - Table1[[#This Row],[SubscriptionStart]]</f>
        <v>705</v>
      </c>
      <c r="G785" s="4">
        <v>12</v>
      </c>
      <c r="H785" s="3" t="s">
        <v>24</v>
      </c>
      <c r="I785" s="3" t="s">
        <v>25</v>
      </c>
      <c r="J785" s="7" cm="1">
        <f t="array" ref="J785">_xlfn.IFS(Table1[[#This Row],[Tier]]="Basic",10,Table1[[#This Row],[Tier]]="Standard",18,Table1[[#This Row],[Tier]]="Premium",25)</f>
        <v>25</v>
      </c>
      <c r="K785" s="7" cm="1">
        <f t="array" ref="K78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85" s="7" cm="1">
        <f t="array" ref="L78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85" s="3" t="str" cm="1">
        <f t="array" ref="M785">_xlfn.IFS(Table1[[#This Row],[Age]]&gt;70,"Elderly",Table1[[#This Row],[Age]]&gt;59,"Senior",Table1[[#This Row],[Age]]&gt;49,"Mature Adult",Table1[[#This Row],[Age]]&gt;25,"Adult",Table1[[#This Row],[Age]]&gt;=18,"Young Adult")</f>
        <v>Young Adult</v>
      </c>
      <c r="N785" s="3" t="s">
        <v>34</v>
      </c>
      <c r="O785" s="3" t="s">
        <v>49</v>
      </c>
      <c r="P785" s="3" t="s">
        <v>47</v>
      </c>
      <c r="Q785" s="3" t="str" cm="1">
        <f t="array" ref="Q785">_xlfn.IFS(Table1[[#This Row],[TotalRevenue]]&lt;100,"Low",Table1[[#This Row],[TotalRevenue]]&lt;300,"Medium",Table1[[#This Row],[TotalRevenue]]&lt;600,"High",TRUE,"Very High")</f>
        <v>Medium</v>
      </c>
      <c r="R785" s="3" t="str" cm="1">
        <f t="array" ref="R785">_xlfn.IFS(Table1[[#This Row],[Age]]&gt;69,"Elderly",Table1[[#This Row],[Age]]&gt;59,"Mature Adult",Table1[[#This Row],[Age]]&gt;25,"Adult",Table1[[#This Row],[Age]]&gt;18,"Young Adult",Table1[[#This Row],[Age]]&gt;=12,"Teenager")</f>
        <v>Young Adult</v>
      </c>
      <c r="S785" s="3" t="str">
        <f>IF(Table1[[#This Row],[NextBillingDate]]="","Cancelled",IF(Table1[[#This Row],[CancellationDate]]&lt;&gt;"","Cancelled","Active"))</f>
        <v>Cancelled</v>
      </c>
      <c r="T785" s="7" cm="1">
        <f t="array" ref="T78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85" s="5">
        <v>45636</v>
      </c>
      <c r="W785" s="5">
        <v>45636</v>
      </c>
      <c r="X785" s="3">
        <v>0</v>
      </c>
      <c r="Y785" s="5">
        <f ca="1">IF(Table1[[#This Row],[ChurnStatus]]="Cancelled",Table1[[#This Row],[CancellationDate]],TODAY())</f>
        <v>45636</v>
      </c>
      <c r="Z785" s="46">
        <f ca="1">IF(AND(Table1[[#This Row],[SubscriptionStart]] &lt;= TODAY(), Table1[[#This Row],[EffectiveEndDate]] &gt;= TODAY()),1,0)</f>
        <v>0</v>
      </c>
      <c r="AA785" s="46">
        <f ca="1">IF(AND(Table1[[#This Row],[SubscriptionStart]]&lt;=Settings!$A$2,Table1[[#This Row],[EffectiveEndDate]]&gt;=Settings!$A$2),1,0)</f>
        <v>0</v>
      </c>
      <c r="AB785" s="46">
        <f ca="1">IF(AND(Table1[[#This Row],[SubscriptionStart]]&lt;=Settings!$B$2,Table1[[#This Row],[EffectiveEndDate]]&gt;=Settings!$B$2),1,0)</f>
        <v>0</v>
      </c>
      <c r="AC785" s="46">
        <f ca="1">IF(AND(Table1[[#This Row],[SubscriptionStart]]&lt;=Settings!$C$2,Table1[[#This Row],[EffectiveEndDate]]&gt;=Settings!$C$2),1,0)</f>
        <v>0</v>
      </c>
      <c r="AD785" s="46">
        <f ca="1">IF(AND(Table1[[#This Row],[SubscriptionStart]]&lt;=Settings!$D$2,Table1[[#This Row],[EffectiveEndDate]]&gt;=Settings!$D$2),1,0)</f>
        <v>0</v>
      </c>
      <c r="AE785" s="46">
        <f ca="1">IF(AND(Table1[[#This Row],[SubscriptionStart]]&lt;=Settings!$E$2,Table1[[#This Row],[EffectiveEndDate]]&gt;=Settings!$E$2),1,0)</f>
        <v>1</v>
      </c>
      <c r="AF785"/>
      <c r="AG785"/>
      <c r="AH785"/>
      <c r="AI785"/>
      <c r="AJ785"/>
      <c r="AK785"/>
    </row>
    <row r="786" spans="1:37">
      <c r="A786" s="3" t="s">
        <v>296</v>
      </c>
      <c r="B786" s="3">
        <v>50</v>
      </c>
      <c r="C786" s="3" t="s">
        <v>23</v>
      </c>
      <c r="D786" s="5">
        <v>45277</v>
      </c>
      <c r="E786" s="5">
        <v>45637</v>
      </c>
      <c r="F786" s="3">
        <f ca="1">TODAY() - Table1[[#This Row],[SubscriptionStart]]</f>
        <v>704</v>
      </c>
      <c r="G786" s="4">
        <v>12</v>
      </c>
      <c r="H786" s="3" t="s">
        <v>24</v>
      </c>
      <c r="I786" s="3" t="s">
        <v>25</v>
      </c>
      <c r="J786" s="7" cm="1">
        <f t="array" ref="J786">_xlfn.IFS(Table1[[#This Row],[Tier]]="Basic",10,Table1[[#This Row],[Tier]]="Standard",18,Table1[[#This Row],[Tier]]="Premium",25)</f>
        <v>25</v>
      </c>
      <c r="K786" s="7" cm="1">
        <f t="array" ref="K78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14.999999999999998</v>
      </c>
      <c r="L786" s="7" cm="1">
        <f t="array" ref="L78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180</v>
      </c>
      <c r="M786" s="3" t="str" cm="1">
        <f t="array" ref="M786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86" s="3" t="s">
        <v>31</v>
      </c>
      <c r="O786" s="3" t="s">
        <v>40</v>
      </c>
      <c r="P786" s="3" t="s">
        <v>35</v>
      </c>
      <c r="Q786" s="3" t="str" cm="1">
        <f t="array" ref="Q786">_xlfn.IFS(Table1[[#This Row],[TotalRevenue]]&lt;100,"Low",Table1[[#This Row],[TotalRevenue]]&lt;300,"Medium",Table1[[#This Row],[TotalRevenue]]&lt;600,"High",TRUE,"Very High")</f>
        <v>Medium</v>
      </c>
      <c r="R786" s="3" t="str" cm="1">
        <f t="array" ref="R78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86" s="3" t="str">
        <f>IF(Table1[[#This Row],[NextBillingDate]]="","Cancelled",IF(Table1[[#This Row],[CancellationDate]]&lt;&gt;"","Cancelled","Active"))</f>
        <v>Cancelled</v>
      </c>
      <c r="T786" s="7" cm="1">
        <f t="array" ref="T78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180</v>
      </c>
      <c r="U786" s="5">
        <v>45637</v>
      </c>
      <c r="W786" s="5">
        <v>45637</v>
      </c>
      <c r="X786" s="3">
        <v>0</v>
      </c>
      <c r="Y786" s="5">
        <f ca="1">IF(Table1[[#This Row],[ChurnStatus]]="Cancelled",Table1[[#This Row],[CancellationDate]],TODAY())</f>
        <v>45637</v>
      </c>
      <c r="Z786" s="46">
        <f ca="1">IF(AND(Table1[[#This Row],[SubscriptionStart]] &lt;= TODAY(), Table1[[#This Row],[EffectiveEndDate]] &gt;= TODAY()),1,0)</f>
        <v>0</v>
      </c>
      <c r="AA786" s="46">
        <f ca="1">IF(AND(Table1[[#This Row],[SubscriptionStart]]&lt;=Settings!$A$2,Table1[[#This Row],[EffectiveEndDate]]&gt;=Settings!$A$2),1,0)</f>
        <v>0</v>
      </c>
      <c r="AB786" s="46">
        <f ca="1">IF(AND(Table1[[#This Row],[SubscriptionStart]]&lt;=Settings!$B$2,Table1[[#This Row],[EffectiveEndDate]]&gt;=Settings!$B$2),1,0)</f>
        <v>0</v>
      </c>
      <c r="AC786" s="46">
        <f ca="1">IF(AND(Table1[[#This Row],[SubscriptionStart]]&lt;=Settings!$C$2,Table1[[#This Row],[EffectiveEndDate]]&gt;=Settings!$C$2),1,0)</f>
        <v>0</v>
      </c>
      <c r="AD786" s="46">
        <f ca="1">IF(AND(Table1[[#This Row],[SubscriptionStart]]&lt;=Settings!$D$2,Table1[[#This Row],[EffectiveEndDate]]&gt;=Settings!$D$2),1,0)</f>
        <v>0</v>
      </c>
      <c r="AE786" s="46">
        <f ca="1">IF(AND(Table1[[#This Row],[SubscriptionStart]]&lt;=Settings!$E$2,Table1[[#This Row],[EffectiveEndDate]]&gt;=Settings!$E$2),1,0)</f>
        <v>1</v>
      </c>
      <c r="AF786"/>
      <c r="AG786"/>
      <c r="AH786"/>
      <c r="AI786"/>
      <c r="AJ786"/>
      <c r="AK786"/>
    </row>
    <row r="787" spans="1:37">
      <c r="A787" s="3" t="s">
        <v>176</v>
      </c>
      <c r="B787" s="3">
        <v>31</v>
      </c>
      <c r="C787" s="3" t="s">
        <v>23</v>
      </c>
      <c r="D787" s="5">
        <v>45278</v>
      </c>
      <c r="F787" s="3">
        <f ca="1">TODAY() - Table1[[#This Row],[SubscriptionStart]]</f>
        <v>703</v>
      </c>
      <c r="G787" s="4">
        <v>24</v>
      </c>
      <c r="H787" s="3" t="s">
        <v>29</v>
      </c>
      <c r="I787" s="3" t="s">
        <v>30</v>
      </c>
      <c r="J787" s="7" cm="1">
        <f t="array" ref="J787">_xlfn.IFS(Table1[[#This Row],[Tier]]="Basic",10,Table1[[#This Row],[Tier]]="Standard",18,Table1[[#This Row],[Tier]]="Premium",25)</f>
        <v>10</v>
      </c>
      <c r="K787" s="7" cm="1">
        <f t="array" ref="K78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787" s="7" cm="1">
        <f t="array" ref="L78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219</v>
      </c>
      <c r="M787" s="3" t="str" cm="1">
        <f t="array" ref="M78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87" s="3" t="s">
        <v>31</v>
      </c>
      <c r="O787" s="3" t="s">
        <v>27</v>
      </c>
      <c r="Q787" s="3" t="str" cm="1">
        <f t="array" ref="Q787">_xlfn.IFS(Table1[[#This Row],[TotalRevenue]]&lt;100,"Low",Table1[[#This Row],[TotalRevenue]]&lt;300,"Medium",Table1[[#This Row],[TotalRevenue]]&lt;600,"High",TRUE,"Very High")</f>
        <v>Medium</v>
      </c>
      <c r="R787" s="3" t="str" cm="1">
        <f t="array" ref="R78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87" s="3" t="str">
        <f>IF(Table1[[#This Row],[NextBillingDate]]="","Cancelled",IF(Table1[[#This Row],[CancellationDate]]&lt;&gt;"","Cancelled","Active"))</f>
        <v>Active</v>
      </c>
      <c r="T787" s="7" cm="1">
        <f t="array" ref="T78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229</v>
      </c>
      <c r="V787" s="5">
        <v>45998</v>
      </c>
      <c r="W787" s="5">
        <v>45998</v>
      </c>
      <c r="X787" s="3">
        <v>23</v>
      </c>
      <c r="Y787" s="5">
        <f ca="1">IF(Table1[[#This Row],[ChurnStatus]]="Cancelled",Table1[[#This Row],[CancellationDate]],TODAY())</f>
        <v>45981</v>
      </c>
      <c r="Z787" s="46">
        <f ca="1">IF(AND(Table1[[#This Row],[SubscriptionStart]] &lt;= TODAY(), Table1[[#This Row],[EffectiveEndDate]] &gt;= TODAY()),1,0)</f>
        <v>1</v>
      </c>
      <c r="AA787" s="46">
        <f ca="1">IF(AND(Table1[[#This Row],[SubscriptionStart]]&lt;=Settings!$A$2,Table1[[#This Row],[EffectiveEndDate]]&gt;=Settings!$A$2),1,0)</f>
        <v>0</v>
      </c>
      <c r="AB787" s="46">
        <f ca="1">IF(AND(Table1[[#This Row],[SubscriptionStart]]&lt;=Settings!$B$2,Table1[[#This Row],[EffectiveEndDate]]&gt;=Settings!$B$2),1,0)</f>
        <v>0</v>
      </c>
      <c r="AC787" s="46">
        <f ca="1">IF(AND(Table1[[#This Row],[SubscriptionStart]]&lt;=Settings!$C$2,Table1[[#This Row],[EffectiveEndDate]]&gt;=Settings!$C$2),1,0)</f>
        <v>0</v>
      </c>
      <c r="AD787" s="46">
        <f ca="1">IF(AND(Table1[[#This Row],[SubscriptionStart]]&lt;=Settings!$D$2,Table1[[#This Row],[EffectiveEndDate]]&gt;=Settings!$D$2),1,0)</f>
        <v>0</v>
      </c>
      <c r="AE787" s="46">
        <f ca="1">IF(AND(Table1[[#This Row],[SubscriptionStart]]&lt;=Settings!$E$2,Table1[[#This Row],[EffectiveEndDate]]&gt;=Settings!$E$2),1,0)</f>
        <v>1</v>
      </c>
      <c r="AF787"/>
      <c r="AG787"/>
      <c r="AH787"/>
      <c r="AI787"/>
      <c r="AJ787"/>
      <c r="AK787"/>
    </row>
    <row r="788" spans="1:37">
      <c r="A788" s="3" t="s">
        <v>654</v>
      </c>
      <c r="B788" s="3">
        <v>40</v>
      </c>
      <c r="C788" s="3" t="s">
        <v>37</v>
      </c>
      <c r="D788" s="5">
        <v>45279</v>
      </c>
      <c r="E788" s="5">
        <v>45639</v>
      </c>
      <c r="F788" s="3">
        <f ca="1">TODAY() - Table1[[#This Row],[SubscriptionStart]]</f>
        <v>702</v>
      </c>
      <c r="G788" s="4">
        <v>12</v>
      </c>
      <c r="H788" s="3" t="s">
        <v>24</v>
      </c>
      <c r="I788" s="3" t="s">
        <v>30</v>
      </c>
      <c r="J788" s="7" cm="1">
        <f t="array" ref="J788">_xlfn.IFS(Table1[[#This Row],[Tier]]="Basic",10,Table1[[#This Row],[Tier]]="Standard",18,Table1[[#This Row],[Tier]]="Premium",25)</f>
        <v>10</v>
      </c>
      <c r="K788" s="7" cm="1">
        <f t="array" ref="K78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88" s="7" cm="1">
        <f t="array" ref="L78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88" s="3" t="str" cm="1">
        <f t="array" ref="M788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88" s="3" t="s">
        <v>26</v>
      </c>
      <c r="O788" s="3" t="s">
        <v>43</v>
      </c>
      <c r="P788" s="3" t="s">
        <v>50</v>
      </c>
      <c r="Q788" s="3" t="str" cm="1">
        <f t="array" ref="Q788">_xlfn.IFS(Table1[[#This Row],[TotalRevenue]]&lt;100,"Low",Table1[[#This Row],[TotalRevenue]]&lt;300,"Medium",Table1[[#This Row],[TotalRevenue]]&lt;600,"High",TRUE,"Very High")</f>
        <v>Low</v>
      </c>
      <c r="R788" s="3" t="str" cm="1">
        <f t="array" ref="R788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88" s="3" t="str">
        <f>IF(Table1[[#This Row],[NextBillingDate]]="","Cancelled",IF(Table1[[#This Row],[CancellationDate]]&lt;&gt;"","Cancelled","Active"))</f>
        <v>Cancelled</v>
      </c>
      <c r="T788" s="7" cm="1">
        <f t="array" ref="T78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88" s="5">
        <v>45639</v>
      </c>
      <c r="W788" s="5">
        <v>45639</v>
      </c>
      <c r="X788" s="3">
        <v>0</v>
      </c>
      <c r="Y788" s="5">
        <f ca="1">IF(Table1[[#This Row],[ChurnStatus]]="Cancelled",Table1[[#This Row],[CancellationDate]],TODAY())</f>
        <v>45639</v>
      </c>
      <c r="Z788" s="46">
        <f ca="1">IF(AND(Table1[[#This Row],[SubscriptionStart]] &lt;= TODAY(), Table1[[#This Row],[EffectiveEndDate]] &gt;= TODAY()),1,0)</f>
        <v>0</v>
      </c>
      <c r="AA788" s="46">
        <f ca="1">IF(AND(Table1[[#This Row],[SubscriptionStart]]&lt;=Settings!$A$2,Table1[[#This Row],[EffectiveEndDate]]&gt;=Settings!$A$2),1,0)</f>
        <v>0</v>
      </c>
      <c r="AB788" s="46">
        <f ca="1">IF(AND(Table1[[#This Row],[SubscriptionStart]]&lt;=Settings!$B$2,Table1[[#This Row],[EffectiveEndDate]]&gt;=Settings!$B$2),1,0)</f>
        <v>0</v>
      </c>
      <c r="AC788" s="46">
        <f ca="1">IF(AND(Table1[[#This Row],[SubscriptionStart]]&lt;=Settings!$C$2,Table1[[#This Row],[EffectiveEndDate]]&gt;=Settings!$C$2),1,0)</f>
        <v>0</v>
      </c>
      <c r="AD788" s="46">
        <f ca="1">IF(AND(Table1[[#This Row],[SubscriptionStart]]&lt;=Settings!$D$2,Table1[[#This Row],[EffectiveEndDate]]&gt;=Settings!$D$2),1,0)</f>
        <v>0</v>
      </c>
      <c r="AE788" s="46">
        <f ca="1">IF(AND(Table1[[#This Row],[SubscriptionStart]]&lt;=Settings!$E$2,Table1[[#This Row],[EffectiveEndDate]]&gt;=Settings!$E$2),1,0)</f>
        <v>1</v>
      </c>
      <c r="AF788"/>
      <c r="AG788"/>
      <c r="AH788"/>
      <c r="AI788"/>
      <c r="AJ788"/>
      <c r="AK788"/>
    </row>
    <row r="789" spans="1:37">
      <c r="A789" s="3" t="s">
        <v>455</v>
      </c>
      <c r="B789" s="3">
        <v>42</v>
      </c>
      <c r="C789" s="3" t="s">
        <v>37</v>
      </c>
      <c r="D789" s="5">
        <v>45280</v>
      </c>
      <c r="E789" s="5">
        <v>45640</v>
      </c>
      <c r="F789" s="3">
        <f ca="1">TODAY() - Table1[[#This Row],[SubscriptionStart]]</f>
        <v>701</v>
      </c>
      <c r="G789" s="4">
        <v>12</v>
      </c>
      <c r="H789" s="3" t="s">
        <v>24</v>
      </c>
      <c r="I789" s="3" t="s">
        <v>39</v>
      </c>
      <c r="J789" s="7" cm="1">
        <f t="array" ref="J789">_xlfn.IFS(Table1[[#This Row],[Tier]]="Basic",10,Table1[[#This Row],[Tier]]="Standard",18,Table1[[#This Row],[Tier]]="Premium",25)</f>
        <v>18</v>
      </c>
      <c r="K789" s="7" cm="1">
        <f t="array" ref="K78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789" s="7" cm="1">
        <f t="array" ref="L78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789" s="3" t="str" cm="1">
        <f t="array" ref="M789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89" s="3" t="s">
        <v>52</v>
      </c>
      <c r="O789" s="3" t="s">
        <v>32</v>
      </c>
      <c r="P789" s="3" t="s">
        <v>44</v>
      </c>
      <c r="Q789" s="3" t="str" cm="1">
        <f t="array" ref="Q789">_xlfn.IFS(Table1[[#This Row],[TotalRevenue]]&lt;100,"Low",Table1[[#This Row],[TotalRevenue]]&lt;300,"Medium",Table1[[#This Row],[TotalRevenue]]&lt;600,"High",TRUE,"Very High")</f>
        <v>Medium</v>
      </c>
      <c r="R789" s="3" t="str" cm="1">
        <f t="array" ref="R78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89" s="3" t="str">
        <f>IF(Table1[[#This Row],[NextBillingDate]]="","Cancelled",IF(Table1[[#This Row],[CancellationDate]]&lt;&gt;"","Cancelled","Active"))</f>
        <v>Cancelled</v>
      </c>
      <c r="T789" s="7" cm="1">
        <f t="array" ref="T78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789" s="5">
        <v>45640</v>
      </c>
      <c r="W789" s="5">
        <v>45640</v>
      </c>
      <c r="X789" s="3">
        <v>0</v>
      </c>
      <c r="Y789" s="5">
        <f ca="1">IF(Table1[[#This Row],[ChurnStatus]]="Cancelled",Table1[[#This Row],[CancellationDate]],TODAY())</f>
        <v>45640</v>
      </c>
      <c r="Z789" s="46">
        <f ca="1">IF(AND(Table1[[#This Row],[SubscriptionStart]] &lt;= TODAY(), Table1[[#This Row],[EffectiveEndDate]] &gt;= TODAY()),1,0)</f>
        <v>0</v>
      </c>
      <c r="AA789" s="46">
        <f ca="1">IF(AND(Table1[[#This Row],[SubscriptionStart]]&lt;=Settings!$A$2,Table1[[#This Row],[EffectiveEndDate]]&gt;=Settings!$A$2),1,0)</f>
        <v>0</v>
      </c>
      <c r="AB789" s="46">
        <f ca="1">IF(AND(Table1[[#This Row],[SubscriptionStart]]&lt;=Settings!$B$2,Table1[[#This Row],[EffectiveEndDate]]&gt;=Settings!$B$2),1,0)</f>
        <v>0</v>
      </c>
      <c r="AC789" s="46">
        <f ca="1">IF(AND(Table1[[#This Row],[SubscriptionStart]]&lt;=Settings!$C$2,Table1[[#This Row],[EffectiveEndDate]]&gt;=Settings!$C$2),1,0)</f>
        <v>0</v>
      </c>
      <c r="AD789" s="46">
        <f ca="1">IF(AND(Table1[[#This Row],[SubscriptionStart]]&lt;=Settings!$D$2,Table1[[#This Row],[EffectiveEndDate]]&gt;=Settings!$D$2),1,0)</f>
        <v>0</v>
      </c>
      <c r="AE789" s="46">
        <f ca="1">IF(AND(Table1[[#This Row],[SubscriptionStart]]&lt;=Settings!$E$2,Table1[[#This Row],[EffectiveEndDate]]&gt;=Settings!$E$2),1,0)</f>
        <v>1</v>
      </c>
      <c r="AF789"/>
      <c r="AG789"/>
      <c r="AH789"/>
      <c r="AI789"/>
      <c r="AJ789"/>
      <c r="AK789"/>
    </row>
    <row r="790" spans="1:37">
      <c r="A790" s="3" t="s">
        <v>520</v>
      </c>
      <c r="B790" s="3">
        <v>43</v>
      </c>
      <c r="C790" s="3" t="s">
        <v>23</v>
      </c>
      <c r="D790" s="5">
        <v>45282</v>
      </c>
      <c r="E790" s="5">
        <v>45462</v>
      </c>
      <c r="F790" s="3">
        <f ca="1">TODAY() - Table1[[#This Row],[SubscriptionStart]]</f>
        <v>699</v>
      </c>
      <c r="G790" s="4">
        <v>6</v>
      </c>
      <c r="H790" s="3" t="s">
        <v>38</v>
      </c>
      <c r="I790" s="3" t="s">
        <v>39</v>
      </c>
      <c r="J790" s="7" cm="1">
        <f t="array" ref="J790">_xlfn.IFS(Table1[[#This Row],[Tier]]="Basic",10,Table1[[#This Row],[Tier]]="Standard",18,Table1[[#This Row],[Tier]]="Premium",25)</f>
        <v>18</v>
      </c>
      <c r="K790" s="7" cm="1">
        <f t="array" ref="K79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12.15</v>
      </c>
      <c r="L790" s="7" cm="1">
        <f t="array" ref="L79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72.900000000000006</v>
      </c>
      <c r="M790" s="3" t="str" cm="1">
        <f t="array" ref="M790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90" s="3" t="s">
        <v>31</v>
      </c>
      <c r="O790" s="3" t="s">
        <v>27</v>
      </c>
      <c r="P790" s="3" t="s">
        <v>47</v>
      </c>
      <c r="Q790" s="3" t="str" cm="1">
        <f t="array" ref="Q790">_xlfn.IFS(Table1[[#This Row],[TotalRevenue]]&lt;100,"Low",Table1[[#This Row],[TotalRevenue]]&lt;300,"Medium",Table1[[#This Row],[TotalRevenue]]&lt;600,"High",TRUE,"Very High")</f>
        <v>Low</v>
      </c>
      <c r="R790" s="3" t="str" cm="1">
        <f t="array" ref="R790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90" s="3" t="str">
        <f>IF(Table1[[#This Row],[NextBillingDate]]="","Cancelled",IF(Table1[[#This Row],[CancellationDate]]&lt;&gt;"","Cancelled","Active"))</f>
        <v>Cancelled</v>
      </c>
      <c r="T790" s="7" cm="1">
        <f t="array" ref="T79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72.900000000000006</v>
      </c>
      <c r="U790" s="5">
        <v>45462</v>
      </c>
      <c r="W790" s="5">
        <v>45462</v>
      </c>
      <c r="X790" s="3">
        <v>0</v>
      </c>
      <c r="Y790" s="5">
        <f ca="1">IF(Table1[[#This Row],[ChurnStatus]]="Cancelled",Table1[[#This Row],[CancellationDate]],TODAY())</f>
        <v>45462</v>
      </c>
      <c r="Z790" s="46">
        <f ca="1">IF(AND(Table1[[#This Row],[SubscriptionStart]] &lt;= TODAY(), Table1[[#This Row],[EffectiveEndDate]] &gt;= TODAY()),1,0)</f>
        <v>0</v>
      </c>
      <c r="AA790" s="46">
        <f ca="1">IF(AND(Table1[[#This Row],[SubscriptionStart]]&lt;=Settings!$A$2,Table1[[#This Row],[EffectiveEndDate]]&gt;=Settings!$A$2),1,0)</f>
        <v>0</v>
      </c>
      <c r="AB790" s="46">
        <f ca="1">IF(AND(Table1[[#This Row],[SubscriptionStart]]&lt;=Settings!$B$2,Table1[[#This Row],[EffectiveEndDate]]&gt;=Settings!$B$2),1,0)</f>
        <v>0</v>
      </c>
      <c r="AC790" s="46">
        <f ca="1">IF(AND(Table1[[#This Row],[SubscriptionStart]]&lt;=Settings!$C$2,Table1[[#This Row],[EffectiveEndDate]]&gt;=Settings!$C$2),1,0)</f>
        <v>0</v>
      </c>
      <c r="AD790" s="46">
        <f ca="1">IF(AND(Table1[[#This Row],[SubscriptionStart]]&lt;=Settings!$D$2,Table1[[#This Row],[EffectiveEndDate]]&gt;=Settings!$D$2),1,0)</f>
        <v>0</v>
      </c>
      <c r="AE790" s="46">
        <f ca="1">IF(AND(Table1[[#This Row],[SubscriptionStart]]&lt;=Settings!$E$2,Table1[[#This Row],[EffectiveEndDate]]&gt;=Settings!$E$2),1,0)</f>
        <v>0</v>
      </c>
      <c r="AF790"/>
      <c r="AG790"/>
      <c r="AH790"/>
      <c r="AI790"/>
      <c r="AJ790"/>
      <c r="AK790"/>
    </row>
    <row r="791" spans="1:37">
      <c r="A791" s="3" t="s">
        <v>658</v>
      </c>
      <c r="B791" s="3">
        <v>42</v>
      </c>
      <c r="C791" s="3" t="s">
        <v>37</v>
      </c>
      <c r="D791" s="5">
        <v>45284</v>
      </c>
      <c r="E791" s="5">
        <v>45644</v>
      </c>
      <c r="F791" s="3">
        <f ca="1">TODAY() - Table1[[#This Row],[SubscriptionStart]]</f>
        <v>697</v>
      </c>
      <c r="G791" s="4">
        <v>12</v>
      </c>
      <c r="H791" s="3" t="s">
        <v>24</v>
      </c>
      <c r="I791" s="3" t="s">
        <v>30</v>
      </c>
      <c r="J791" s="7" cm="1">
        <f t="array" ref="J791">_xlfn.IFS(Table1[[#This Row],[Tier]]="Basic",10,Table1[[#This Row],[Tier]]="Standard",18,Table1[[#This Row],[Tier]]="Premium",25)</f>
        <v>10</v>
      </c>
      <c r="K791" s="7" cm="1">
        <f t="array" ref="K79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91" s="7" cm="1">
        <f t="array" ref="L79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91" s="3" t="str" cm="1">
        <f t="array" ref="M791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91" s="3" t="s">
        <v>31</v>
      </c>
      <c r="O791" s="3" t="s">
        <v>49</v>
      </c>
      <c r="P791" s="3" t="s">
        <v>47</v>
      </c>
      <c r="Q791" s="3" t="str" cm="1">
        <f t="array" ref="Q791">_xlfn.IFS(Table1[[#This Row],[TotalRevenue]]&lt;100,"Low",Table1[[#This Row],[TotalRevenue]]&lt;300,"Medium",Table1[[#This Row],[TotalRevenue]]&lt;600,"High",TRUE,"Very High")</f>
        <v>Low</v>
      </c>
      <c r="R791" s="3" t="str" cm="1">
        <f t="array" ref="R79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91" s="3" t="str">
        <f>IF(Table1[[#This Row],[NextBillingDate]]="","Cancelled",IF(Table1[[#This Row],[CancellationDate]]&lt;&gt;"","Cancelled","Active"))</f>
        <v>Cancelled</v>
      </c>
      <c r="T791" s="7" cm="1">
        <f t="array" ref="T79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91" s="5">
        <v>45644</v>
      </c>
      <c r="W791" s="5">
        <v>45644</v>
      </c>
      <c r="X791" s="3">
        <v>0</v>
      </c>
      <c r="Y791" s="5">
        <f ca="1">IF(Table1[[#This Row],[ChurnStatus]]="Cancelled",Table1[[#This Row],[CancellationDate]],TODAY())</f>
        <v>45644</v>
      </c>
      <c r="Z791" s="46">
        <f ca="1">IF(AND(Table1[[#This Row],[SubscriptionStart]] &lt;= TODAY(), Table1[[#This Row],[EffectiveEndDate]] &gt;= TODAY()),1,0)</f>
        <v>0</v>
      </c>
      <c r="AA791" s="46">
        <f ca="1">IF(AND(Table1[[#This Row],[SubscriptionStart]]&lt;=Settings!$A$2,Table1[[#This Row],[EffectiveEndDate]]&gt;=Settings!$A$2),1,0)</f>
        <v>0</v>
      </c>
      <c r="AB791" s="46">
        <f ca="1">IF(AND(Table1[[#This Row],[SubscriptionStart]]&lt;=Settings!$B$2,Table1[[#This Row],[EffectiveEndDate]]&gt;=Settings!$B$2),1,0)</f>
        <v>0</v>
      </c>
      <c r="AC791" s="46">
        <f ca="1">IF(AND(Table1[[#This Row],[SubscriptionStart]]&lt;=Settings!$C$2,Table1[[#This Row],[EffectiveEndDate]]&gt;=Settings!$C$2),1,0)</f>
        <v>0</v>
      </c>
      <c r="AD791" s="46">
        <f ca="1">IF(AND(Table1[[#This Row],[SubscriptionStart]]&lt;=Settings!$D$2,Table1[[#This Row],[EffectiveEndDate]]&gt;=Settings!$D$2),1,0)</f>
        <v>0</v>
      </c>
      <c r="AE791" s="46">
        <f ca="1">IF(AND(Table1[[#This Row],[SubscriptionStart]]&lt;=Settings!$E$2,Table1[[#This Row],[EffectiveEndDate]]&gt;=Settings!$E$2),1,0)</f>
        <v>1</v>
      </c>
      <c r="AF791"/>
      <c r="AG791"/>
      <c r="AH791"/>
      <c r="AI791"/>
      <c r="AJ791"/>
      <c r="AK791"/>
    </row>
    <row r="792" spans="1:37">
      <c r="A792" s="3" t="s">
        <v>631</v>
      </c>
      <c r="B792" s="3">
        <v>65</v>
      </c>
      <c r="C792" s="3" t="s">
        <v>37</v>
      </c>
      <c r="D792" s="5">
        <v>45285</v>
      </c>
      <c r="E792" s="5">
        <v>45315</v>
      </c>
      <c r="F792" s="3">
        <f ca="1">TODAY() - Table1[[#This Row],[SubscriptionStart]]</f>
        <v>696</v>
      </c>
      <c r="G792" s="4">
        <v>1</v>
      </c>
      <c r="H792" s="3" t="s">
        <v>29</v>
      </c>
      <c r="I792" s="3" t="s">
        <v>25</v>
      </c>
      <c r="J792" s="7" cm="1">
        <f t="array" ref="J792">_xlfn.IFS(Table1[[#This Row],[Tier]]="Basic",10,Table1[[#This Row],[Tier]]="Standard",18,Table1[[#This Row],[Tier]]="Premium",25)</f>
        <v>25</v>
      </c>
      <c r="K792" s="7" cm="1">
        <f t="array" ref="K792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22.5</v>
      </c>
      <c r="L792" s="7" cm="1">
        <f t="array" ref="L792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0</v>
      </c>
      <c r="M792" s="3" t="str" cm="1">
        <f t="array" ref="M792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92" s="3" t="s">
        <v>31</v>
      </c>
      <c r="O792" s="3" t="s">
        <v>49</v>
      </c>
      <c r="P792" s="3" t="s">
        <v>47</v>
      </c>
      <c r="Q792" s="3" t="str" cm="1">
        <f t="array" ref="Q792">_xlfn.IFS(Table1[[#This Row],[TotalRevenue]]&lt;100,"Low",Table1[[#This Row],[TotalRevenue]]&lt;300,"Medium",Table1[[#This Row],[TotalRevenue]]&lt;600,"High",TRUE,"Very High")</f>
        <v>Low</v>
      </c>
      <c r="R792" s="3" t="str" cm="1">
        <f t="array" ref="R792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92" s="3" t="str">
        <f>IF(Table1[[#This Row],[NextBillingDate]]="","Cancelled",IF(Table1[[#This Row],[CancellationDate]]&lt;&gt;"","Cancelled","Active"))</f>
        <v>Cancelled</v>
      </c>
      <c r="T792" s="7" cm="1">
        <f t="array" ref="T792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0</v>
      </c>
      <c r="U792" s="5">
        <v>45315</v>
      </c>
      <c r="W792" s="5">
        <v>45315</v>
      </c>
      <c r="X792" s="3">
        <v>0</v>
      </c>
      <c r="Y792" s="5">
        <f ca="1">IF(Table1[[#This Row],[ChurnStatus]]="Cancelled",Table1[[#This Row],[CancellationDate]],TODAY())</f>
        <v>45315</v>
      </c>
      <c r="Z792" s="46">
        <f ca="1">IF(AND(Table1[[#This Row],[SubscriptionStart]] &lt;= TODAY(), Table1[[#This Row],[EffectiveEndDate]] &gt;= TODAY()),1,0)</f>
        <v>0</v>
      </c>
      <c r="AA792" s="46">
        <f ca="1">IF(AND(Table1[[#This Row],[SubscriptionStart]]&lt;=Settings!$A$2,Table1[[#This Row],[EffectiveEndDate]]&gt;=Settings!$A$2),1,0)</f>
        <v>0</v>
      </c>
      <c r="AB792" s="46">
        <f ca="1">IF(AND(Table1[[#This Row],[SubscriptionStart]]&lt;=Settings!$B$2,Table1[[#This Row],[EffectiveEndDate]]&gt;=Settings!$B$2),1,0)</f>
        <v>0</v>
      </c>
      <c r="AC792" s="46">
        <f ca="1">IF(AND(Table1[[#This Row],[SubscriptionStart]]&lt;=Settings!$C$2,Table1[[#This Row],[EffectiveEndDate]]&gt;=Settings!$C$2),1,0)</f>
        <v>0</v>
      </c>
      <c r="AD792" s="46">
        <f ca="1">IF(AND(Table1[[#This Row],[SubscriptionStart]]&lt;=Settings!$D$2,Table1[[#This Row],[EffectiveEndDate]]&gt;=Settings!$D$2),1,0)</f>
        <v>0</v>
      </c>
      <c r="AE792" s="46">
        <f ca="1">IF(AND(Table1[[#This Row],[SubscriptionStart]]&lt;=Settings!$E$2,Table1[[#This Row],[EffectiveEndDate]]&gt;=Settings!$E$2),1,0)</f>
        <v>0</v>
      </c>
      <c r="AF792"/>
      <c r="AG792"/>
      <c r="AH792"/>
      <c r="AI792"/>
      <c r="AJ792"/>
      <c r="AK792"/>
    </row>
    <row r="793" spans="1:37">
      <c r="A793" s="3" t="s">
        <v>103</v>
      </c>
      <c r="B793" s="3">
        <v>40</v>
      </c>
      <c r="C793" s="3" t="s">
        <v>23</v>
      </c>
      <c r="D793" s="5">
        <v>45285</v>
      </c>
      <c r="F793" s="3">
        <f ca="1">TODAY() - Table1[[#This Row],[SubscriptionStart]]</f>
        <v>696</v>
      </c>
      <c r="G793" s="4">
        <v>24</v>
      </c>
      <c r="H793" s="3" t="s">
        <v>24</v>
      </c>
      <c r="I793" s="3" t="s">
        <v>30</v>
      </c>
      <c r="J793" s="7" cm="1">
        <f t="array" ref="J793">_xlfn.IFS(Table1[[#This Row],[Tier]]="Basic",10,Table1[[#This Row],[Tier]]="Standard",18,Table1[[#This Row],[Tier]]="Premium",25)</f>
        <v>10</v>
      </c>
      <c r="K793" s="7" cm="1">
        <f t="array" ref="K793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6.6666666666666661</v>
      </c>
      <c r="L793" s="7" cm="1">
        <f t="array" ref="L793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152</v>
      </c>
      <c r="M793" s="3" t="str" cm="1">
        <f t="array" ref="M793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93" s="3" t="s">
        <v>26</v>
      </c>
      <c r="O793" s="3" t="s">
        <v>32</v>
      </c>
      <c r="Q793" s="3" t="str" cm="1">
        <f t="array" ref="Q793">_xlfn.IFS(Table1[[#This Row],[TotalRevenue]]&lt;100,"Low",Table1[[#This Row],[TotalRevenue]]&lt;300,"Medium",Table1[[#This Row],[TotalRevenue]]&lt;600,"High",TRUE,"Very High")</f>
        <v>Medium</v>
      </c>
      <c r="R793" s="3" t="str" cm="1">
        <f t="array" ref="R793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93" s="3" t="str">
        <f>IF(Table1[[#This Row],[NextBillingDate]]="","Cancelled",IF(Table1[[#This Row],[CancellationDate]]&lt;&gt;"","Cancelled","Active"))</f>
        <v>Active</v>
      </c>
      <c r="T793" s="7" cm="1">
        <f t="array" ref="T793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232</v>
      </c>
      <c r="V793" s="5">
        <v>46005</v>
      </c>
      <c r="W793" s="5">
        <v>46005</v>
      </c>
      <c r="X793" s="3">
        <v>1</v>
      </c>
      <c r="Y793" s="5">
        <f ca="1">IF(Table1[[#This Row],[ChurnStatus]]="Cancelled",Table1[[#This Row],[CancellationDate]],TODAY())</f>
        <v>45981</v>
      </c>
      <c r="Z793" s="46">
        <f ca="1">IF(AND(Table1[[#This Row],[SubscriptionStart]] &lt;= TODAY(), Table1[[#This Row],[EffectiveEndDate]] &gt;= TODAY()),1,0)</f>
        <v>1</v>
      </c>
      <c r="AA793" s="46">
        <f ca="1">IF(AND(Table1[[#This Row],[SubscriptionStart]]&lt;=Settings!$A$2,Table1[[#This Row],[EffectiveEndDate]]&gt;=Settings!$A$2),1,0)</f>
        <v>0</v>
      </c>
      <c r="AB793" s="46">
        <f ca="1">IF(AND(Table1[[#This Row],[SubscriptionStart]]&lt;=Settings!$B$2,Table1[[#This Row],[EffectiveEndDate]]&gt;=Settings!$B$2),1,0)</f>
        <v>0</v>
      </c>
      <c r="AC793" s="46">
        <f ca="1">IF(AND(Table1[[#This Row],[SubscriptionStart]]&lt;=Settings!$C$2,Table1[[#This Row],[EffectiveEndDate]]&gt;=Settings!$C$2),1,0)</f>
        <v>0</v>
      </c>
      <c r="AD793" s="46">
        <f ca="1">IF(AND(Table1[[#This Row],[SubscriptionStart]]&lt;=Settings!$D$2,Table1[[#This Row],[EffectiveEndDate]]&gt;=Settings!$D$2),1,0)</f>
        <v>0</v>
      </c>
      <c r="AE793" s="46">
        <f ca="1">IF(AND(Table1[[#This Row],[SubscriptionStart]]&lt;=Settings!$E$2,Table1[[#This Row],[EffectiveEndDate]]&gt;=Settings!$E$2),1,0)</f>
        <v>1</v>
      </c>
      <c r="AF793"/>
      <c r="AG793"/>
      <c r="AH793"/>
      <c r="AI793"/>
      <c r="AJ793"/>
      <c r="AK793"/>
    </row>
    <row r="794" spans="1:37">
      <c r="A794" s="3" t="s">
        <v>188</v>
      </c>
      <c r="B794" s="3">
        <v>58</v>
      </c>
      <c r="C794" s="3" t="s">
        <v>37</v>
      </c>
      <c r="D794" s="5">
        <v>45286</v>
      </c>
      <c r="E794" s="5">
        <v>45646</v>
      </c>
      <c r="F794" s="3">
        <f ca="1">TODAY() - Table1[[#This Row],[SubscriptionStart]]</f>
        <v>695</v>
      </c>
      <c r="G794" s="4">
        <v>12</v>
      </c>
      <c r="H794" s="3" t="s">
        <v>24</v>
      </c>
      <c r="I794" s="3" t="s">
        <v>30</v>
      </c>
      <c r="J794" s="7" cm="1">
        <f t="array" ref="J794">_xlfn.IFS(Table1[[#This Row],[Tier]]="Basic",10,Table1[[#This Row],[Tier]]="Standard",18,Table1[[#This Row],[Tier]]="Premium",25)</f>
        <v>10</v>
      </c>
      <c r="K794" s="7" cm="1">
        <f t="array" ref="K794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94" s="7" cm="1">
        <f t="array" ref="L794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94" s="3" t="str" cm="1">
        <f t="array" ref="M794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94" s="3" t="s">
        <v>52</v>
      </c>
      <c r="O794" s="3" t="s">
        <v>43</v>
      </c>
      <c r="P794" s="3" t="s">
        <v>47</v>
      </c>
      <c r="Q794" s="3" t="str" cm="1">
        <f t="array" ref="Q794">_xlfn.IFS(Table1[[#This Row],[TotalRevenue]]&lt;100,"Low",Table1[[#This Row],[TotalRevenue]]&lt;300,"Medium",Table1[[#This Row],[TotalRevenue]]&lt;600,"High",TRUE,"Very High")</f>
        <v>Low</v>
      </c>
      <c r="R794" s="3" t="str" cm="1">
        <f t="array" ref="R794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94" s="3" t="str">
        <f>IF(Table1[[#This Row],[NextBillingDate]]="","Cancelled",IF(Table1[[#This Row],[CancellationDate]]&lt;&gt;"","Cancelled","Active"))</f>
        <v>Cancelled</v>
      </c>
      <c r="T794" s="7" cm="1">
        <f t="array" ref="T794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94" s="5">
        <v>45646</v>
      </c>
      <c r="W794" s="5">
        <v>45646</v>
      </c>
      <c r="X794" s="3">
        <v>0</v>
      </c>
      <c r="Y794" s="5">
        <f ca="1">IF(Table1[[#This Row],[ChurnStatus]]="Cancelled",Table1[[#This Row],[CancellationDate]],TODAY())</f>
        <v>45646</v>
      </c>
      <c r="Z794" s="46">
        <f ca="1">IF(AND(Table1[[#This Row],[SubscriptionStart]] &lt;= TODAY(), Table1[[#This Row],[EffectiveEndDate]] &gt;= TODAY()),1,0)</f>
        <v>0</v>
      </c>
      <c r="AA794" s="46">
        <f ca="1">IF(AND(Table1[[#This Row],[SubscriptionStart]]&lt;=Settings!$A$2,Table1[[#This Row],[EffectiveEndDate]]&gt;=Settings!$A$2),1,0)</f>
        <v>0</v>
      </c>
      <c r="AB794" s="46">
        <f ca="1">IF(AND(Table1[[#This Row],[SubscriptionStart]]&lt;=Settings!$B$2,Table1[[#This Row],[EffectiveEndDate]]&gt;=Settings!$B$2),1,0)</f>
        <v>0</v>
      </c>
      <c r="AC794" s="46">
        <f ca="1">IF(AND(Table1[[#This Row],[SubscriptionStart]]&lt;=Settings!$C$2,Table1[[#This Row],[EffectiveEndDate]]&gt;=Settings!$C$2),1,0)</f>
        <v>0</v>
      </c>
      <c r="AD794" s="46">
        <f ca="1">IF(AND(Table1[[#This Row],[SubscriptionStart]]&lt;=Settings!$D$2,Table1[[#This Row],[EffectiveEndDate]]&gt;=Settings!$D$2),1,0)</f>
        <v>0</v>
      </c>
      <c r="AE794" s="46">
        <f ca="1">IF(AND(Table1[[#This Row],[SubscriptionStart]]&lt;=Settings!$E$2,Table1[[#This Row],[EffectiveEndDate]]&gt;=Settings!$E$2),1,0)</f>
        <v>1</v>
      </c>
      <c r="AF794"/>
      <c r="AG794"/>
      <c r="AH794"/>
      <c r="AI794"/>
      <c r="AJ794"/>
      <c r="AK794"/>
    </row>
    <row r="795" spans="1:37">
      <c r="A795" s="3" t="s">
        <v>577</v>
      </c>
      <c r="B795" s="3">
        <v>42</v>
      </c>
      <c r="C795" s="3" t="s">
        <v>37</v>
      </c>
      <c r="D795" s="5">
        <v>45286</v>
      </c>
      <c r="E795" s="5">
        <v>45646</v>
      </c>
      <c r="F795" s="3">
        <f ca="1">TODAY() - Table1[[#This Row],[SubscriptionStart]]</f>
        <v>695</v>
      </c>
      <c r="G795" s="4">
        <v>12</v>
      </c>
      <c r="H795" s="3" t="s">
        <v>24</v>
      </c>
      <c r="I795" s="3" t="s">
        <v>39</v>
      </c>
      <c r="J795" s="7" cm="1">
        <f t="array" ref="J795">_xlfn.IFS(Table1[[#This Row],[Tier]]="Basic",10,Table1[[#This Row],[Tier]]="Standard",18,Table1[[#This Row],[Tier]]="Premium",25)</f>
        <v>18</v>
      </c>
      <c r="K795" s="7" cm="1">
        <f t="array" ref="K795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795" s="7" cm="1">
        <f t="array" ref="L795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795" s="3" t="str" cm="1">
        <f t="array" ref="M795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95" s="3" t="s">
        <v>31</v>
      </c>
      <c r="O795" s="3" t="s">
        <v>32</v>
      </c>
      <c r="P795" s="3" t="s">
        <v>47</v>
      </c>
      <c r="Q795" s="3" t="str" cm="1">
        <f t="array" ref="Q795">_xlfn.IFS(Table1[[#This Row],[TotalRevenue]]&lt;100,"Low",Table1[[#This Row],[TotalRevenue]]&lt;300,"Medium",Table1[[#This Row],[TotalRevenue]]&lt;600,"High",TRUE,"Very High")</f>
        <v>Medium</v>
      </c>
      <c r="R795" s="3" t="str" cm="1">
        <f t="array" ref="R795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95" s="3" t="str">
        <f>IF(Table1[[#This Row],[NextBillingDate]]="","Cancelled",IF(Table1[[#This Row],[CancellationDate]]&lt;&gt;"","Cancelled","Active"))</f>
        <v>Cancelled</v>
      </c>
      <c r="T795" s="7" cm="1">
        <f t="array" ref="T795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795" s="5">
        <v>45646</v>
      </c>
      <c r="W795" s="5">
        <v>45646</v>
      </c>
      <c r="X795" s="3">
        <v>0</v>
      </c>
      <c r="Y795" s="5">
        <f ca="1">IF(Table1[[#This Row],[ChurnStatus]]="Cancelled",Table1[[#This Row],[CancellationDate]],TODAY())</f>
        <v>45646</v>
      </c>
      <c r="Z795" s="46">
        <f ca="1">IF(AND(Table1[[#This Row],[SubscriptionStart]] &lt;= TODAY(), Table1[[#This Row],[EffectiveEndDate]] &gt;= TODAY()),1,0)</f>
        <v>0</v>
      </c>
      <c r="AA795" s="46">
        <f ca="1">IF(AND(Table1[[#This Row],[SubscriptionStart]]&lt;=Settings!$A$2,Table1[[#This Row],[EffectiveEndDate]]&gt;=Settings!$A$2),1,0)</f>
        <v>0</v>
      </c>
      <c r="AB795" s="46">
        <f ca="1">IF(AND(Table1[[#This Row],[SubscriptionStart]]&lt;=Settings!$B$2,Table1[[#This Row],[EffectiveEndDate]]&gt;=Settings!$B$2),1,0)</f>
        <v>0</v>
      </c>
      <c r="AC795" s="46">
        <f ca="1">IF(AND(Table1[[#This Row],[SubscriptionStart]]&lt;=Settings!$C$2,Table1[[#This Row],[EffectiveEndDate]]&gt;=Settings!$C$2),1,0)</f>
        <v>0</v>
      </c>
      <c r="AD795" s="46">
        <f ca="1">IF(AND(Table1[[#This Row],[SubscriptionStart]]&lt;=Settings!$D$2,Table1[[#This Row],[EffectiveEndDate]]&gt;=Settings!$D$2),1,0)</f>
        <v>0</v>
      </c>
      <c r="AE795" s="46">
        <f ca="1">IF(AND(Table1[[#This Row],[SubscriptionStart]]&lt;=Settings!$E$2,Table1[[#This Row],[EffectiveEndDate]]&gt;=Settings!$E$2),1,0)</f>
        <v>1</v>
      </c>
      <c r="AF795"/>
      <c r="AG795"/>
      <c r="AH795"/>
      <c r="AI795"/>
      <c r="AJ795"/>
      <c r="AK795"/>
    </row>
    <row r="796" spans="1:37">
      <c r="A796" s="3" t="s">
        <v>144</v>
      </c>
      <c r="B796" s="3">
        <v>32</v>
      </c>
      <c r="C796" s="3" t="s">
        <v>37</v>
      </c>
      <c r="D796" s="5">
        <v>45288</v>
      </c>
      <c r="F796" s="3">
        <f ca="1">TODAY() - Table1[[#This Row],[SubscriptionStart]]</f>
        <v>693</v>
      </c>
      <c r="G796" s="4">
        <v>24</v>
      </c>
      <c r="H796" s="3" t="s">
        <v>29</v>
      </c>
      <c r="I796" s="3" t="s">
        <v>30</v>
      </c>
      <c r="J796" s="7" cm="1">
        <f t="array" ref="J796">_xlfn.IFS(Table1[[#This Row],[Tier]]="Basic",10,Table1[[#This Row],[Tier]]="Standard",18,Table1[[#This Row],[Tier]]="Premium",25)</f>
        <v>10</v>
      </c>
      <c r="K796" s="7" cm="1">
        <f t="array" ref="K796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</v>
      </c>
      <c r="L796" s="7" cm="1">
        <f t="array" ref="L796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219</v>
      </c>
      <c r="M796" s="3" t="str" cm="1">
        <f t="array" ref="M796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96" s="3" t="s">
        <v>34</v>
      </c>
      <c r="O796" s="3" t="s">
        <v>40</v>
      </c>
      <c r="Q796" s="3" t="str" cm="1">
        <f t="array" ref="Q796">_xlfn.IFS(Table1[[#This Row],[TotalRevenue]]&lt;100,"Low",Table1[[#This Row],[TotalRevenue]]&lt;300,"Medium",Table1[[#This Row],[TotalRevenue]]&lt;600,"High",TRUE,"Very High")</f>
        <v>Medium</v>
      </c>
      <c r="R796" s="3" t="str" cm="1">
        <f t="array" ref="R796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96" s="3" t="str">
        <f>IF(Table1[[#This Row],[NextBillingDate]]="","Cancelled",IF(Table1[[#This Row],[CancellationDate]]&lt;&gt;"","Cancelled","Active"))</f>
        <v>Active</v>
      </c>
      <c r="T796" s="7" cm="1">
        <f t="array" ref="T796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229</v>
      </c>
      <c r="V796" s="5">
        <v>46008</v>
      </c>
      <c r="W796" s="5">
        <v>46008</v>
      </c>
      <c r="X796" s="3">
        <v>23</v>
      </c>
      <c r="Y796" s="5">
        <f ca="1">IF(Table1[[#This Row],[ChurnStatus]]="Cancelled",Table1[[#This Row],[CancellationDate]],TODAY())</f>
        <v>45981</v>
      </c>
      <c r="Z796" s="46">
        <f ca="1">IF(AND(Table1[[#This Row],[SubscriptionStart]] &lt;= TODAY(), Table1[[#This Row],[EffectiveEndDate]] &gt;= TODAY()),1,0)</f>
        <v>1</v>
      </c>
      <c r="AA796" s="46">
        <f ca="1">IF(AND(Table1[[#This Row],[SubscriptionStart]]&lt;=Settings!$A$2,Table1[[#This Row],[EffectiveEndDate]]&gt;=Settings!$A$2),1,0)</f>
        <v>0</v>
      </c>
      <c r="AB796" s="46">
        <f ca="1">IF(AND(Table1[[#This Row],[SubscriptionStart]]&lt;=Settings!$B$2,Table1[[#This Row],[EffectiveEndDate]]&gt;=Settings!$B$2),1,0)</f>
        <v>0</v>
      </c>
      <c r="AC796" s="46">
        <f ca="1">IF(AND(Table1[[#This Row],[SubscriptionStart]]&lt;=Settings!$C$2,Table1[[#This Row],[EffectiveEndDate]]&gt;=Settings!$C$2),1,0)</f>
        <v>0</v>
      </c>
      <c r="AD796" s="46">
        <f ca="1">IF(AND(Table1[[#This Row],[SubscriptionStart]]&lt;=Settings!$D$2,Table1[[#This Row],[EffectiveEndDate]]&gt;=Settings!$D$2),1,0)</f>
        <v>0</v>
      </c>
      <c r="AE796" s="46">
        <f ca="1">IF(AND(Table1[[#This Row],[SubscriptionStart]]&lt;=Settings!$E$2,Table1[[#This Row],[EffectiveEndDate]]&gt;=Settings!$E$2),1,0)</f>
        <v>1</v>
      </c>
      <c r="AF796"/>
      <c r="AG796"/>
      <c r="AH796"/>
      <c r="AI796"/>
      <c r="AJ796"/>
      <c r="AK796"/>
    </row>
    <row r="797" spans="1:37">
      <c r="A797" s="3" t="s">
        <v>790</v>
      </c>
      <c r="B797" s="3">
        <v>41</v>
      </c>
      <c r="C797" s="3" t="s">
        <v>23</v>
      </c>
      <c r="D797" s="5">
        <v>45289</v>
      </c>
      <c r="E797" s="5">
        <v>45649</v>
      </c>
      <c r="F797" s="3">
        <f ca="1">TODAY() - Table1[[#This Row],[SubscriptionStart]]</f>
        <v>692</v>
      </c>
      <c r="G797" s="4">
        <v>12</v>
      </c>
      <c r="H797" s="3" t="s">
        <v>24</v>
      </c>
      <c r="I797" s="3" t="s">
        <v>39</v>
      </c>
      <c r="J797" s="7" cm="1">
        <f t="array" ref="J797">_xlfn.IFS(Table1[[#This Row],[Tier]]="Basic",10,Table1[[#This Row],[Tier]]="Standard",18,Table1[[#This Row],[Tier]]="Premium",25)</f>
        <v>18</v>
      </c>
      <c r="K797" s="7" cm="1">
        <f t="array" ref="K797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10.8</v>
      </c>
      <c r="L797" s="7" cm="1">
        <f t="array" ref="L797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129.6</v>
      </c>
      <c r="M797" s="3" t="str" cm="1">
        <f t="array" ref="M797">_xlfn.IFS(Table1[[#This Row],[Age]]&gt;70,"Elderly",Table1[[#This Row],[Age]]&gt;59,"Senior",Table1[[#This Row],[Age]]&gt;49,"Mature Adult",Table1[[#This Row],[Age]]&gt;25,"Adult",Table1[[#This Row],[Age]]&gt;=18,"Young Adult")</f>
        <v>Adult</v>
      </c>
      <c r="N797" s="3" t="s">
        <v>52</v>
      </c>
      <c r="O797" s="3" t="s">
        <v>32</v>
      </c>
      <c r="P797" s="3" t="s">
        <v>50</v>
      </c>
      <c r="Q797" s="3" t="str" cm="1">
        <f t="array" ref="Q797">_xlfn.IFS(Table1[[#This Row],[TotalRevenue]]&lt;100,"Low",Table1[[#This Row],[TotalRevenue]]&lt;300,"Medium",Table1[[#This Row],[TotalRevenue]]&lt;600,"High",TRUE,"Very High")</f>
        <v>Medium</v>
      </c>
      <c r="R797" s="3" t="str" cm="1">
        <f t="array" ref="R797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97" s="3" t="str">
        <f>IF(Table1[[#This Row],[NextBillingDate]]="","Cancelled",IF(Table1[[#This Row],[CancellationDate]]&lt;&gt;"","Cancelled","Active"))</f>
        <v>Cancelled</v>
      </c>
      <c r="T797" s="7" cm="1">
        <f t="array" ref="T797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129.6</v>
      </c>
      <c r="U797" s="5">
        <v>45649</v>
      </c>
      <c r="W797" s="5">
        <v>45649</v>
      </c>
      <c r="X797" s="3">
        <v>0</v>
      </c>
      <c r="Y797" s="5">
        <f ca="1">IF(Table1[[#This Row],[ChurnStatus]]="Cancelled",Table1[[#This Row],[CancellationDate]],TODAY())</f>
        <v>45649</v>
      </c>
      <c r="Z797" s="46">
        <f ca="1">IF(AND(Table1[[#This Row],[SubscriptionStart]] &lt;= TODAY(), Table1[[#This Row],[EffectiveEndDate]] &gt;= TODAY()),1,0)</f>
        <v>0</v>
      </c>
      <c r="AA797" s="46">
        <f ca="1">IF(AND(Table1[[#This Row],[SubscriptionStart]]&lt;=Settings!$A$2,Table1[[#This Row],[EffectiveEndDate]]&gt;=Settings!$A$2),1,0)</f>
        <v>0</v>
      </c>
      <c r="AB797" s="46">
        <f ca="1">IF(AND(Table1[[#This Row],[SubscriptionStart]]&lt;=Settings!$B$2,Table1[[#This Row],[EffectiveEndDate]]&gt;=Settings!$B$2),1,0)</f>
        <v>0</v>
      </c>
      <c r="AC797" s="46">
        <f ca="1">IF(AND(Table1[[#This Row],[SubscriptionStart]]&lt;=Settings!$C$2,Table1[[#This Row],[EffectiveEndDate]]&gt;=Settings!$C$2),1,0)</f>
        <v>0</v>
      </c>
      <c r="AD797" s="46">
        <f ca="1">IF(AND(Table1[[#This Row],[SubscriptionStart]]&lt;=Settings!$D$2,Table1[[#This Row],[EffectiveEndDate]]&gt;=Settings!$D$2),1,0)</f>
        <v>0</v>
      </c>
      <c r="AE797" s="46">
        <f ca="1">IF(AND(Table1[[#This Row],[SubscriptionStart]]&lt;=Settings!$E$2,Table1[[#This Row],[EffectiveEndDate]]&gt;=Settings!$E$2),1,0)</f>
        <v>1</v>
      </c>
      <c r="AF797"/>
      <c r="AG797"/>
      <c r="AH797"/>
      <c r="AI797"/>
      <c r="AJ797"/>
      <c r="AK797"/>
    </row>
    <row r="798" spans="1:37">
      <c r="A798" s="3" t="s">
        <v>742</v>
      </c>
      <c r="B798" s="3">
        <v>64</v>
      </c>
      <c r="C798" s="3" t="s">
        <v>37</v>
      </c>
      <c r="D798" s="5">
        <v>45289</v>
      </c>
      <c r="F798" s="3">
        <f ca="1">TODAY() - Table1[[#This Row],[SubscriptionStart]]</f>
        <v>692</v>
      </c>
      <c r="G798" s="4">
        <v>24</v>
      </c>
      <c r="H798" s="3" t="s">
        <v>24</v>
      </c>
      <c r="I798" s="3" t="s">
        <v>39</v>
      </c>
      <c r="J798" s="7" cm="1">
        <f t="array" ref="J798">_xlfn.IFS(Table1[[#This Row],[Tier]]="Basic",10,Table1[[#This Row],[Tier]]="Standard",18,Table1[[#This Row],[Tier]]="Premium",25)</f>
        <v>18</v>
      </c>
      <c r="K798" s="7" cm="1">
        <f t="array" ref="K798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12</v>
      </c>
      <c r="L798" s="7" cm="1">
        <f t="array" ref="L798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273.60000000000002</v>
      </c>
      <c r="M798" s="3" t="str" cm="1">
        <f t="array" ref="M798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798" s="3" t="s">
        <v>52</v>
      </c>
      <c r="O798" s="3" t="s">
        <v>32</v>
      </c>
      <c r="Q798" s="3" t="str" cm="1">
        <f t="array" ref="Q798">_xlfn.IFS(Table1[[#This Row],[TotalRevenue]]&lt;100,"Low",Table1[[#This Row],[TotalRevenue]]&lt;300,"Medium",Table1[[#This Row],[TotalRevenue]]&lt;600,"High",TRUE,"Very High")</f>
        <v>Medium</v>
      </c>
      <c r="R798" s="3" t="str" cm="1">
        <f t="array" ref="R798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798" s="3" t="str">
        <f>IF(Table1[[#This Row],[NextBillingDate]]="","Cancelled",IF(Table1[[#This Row],[CancellationDate]]&lt;&gt;"","Cancelled","Active"))</f>
        <v>Active</v>
      </c>
      <c r="T798" s="7" cm="1">
        <f t="array" ref="T798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417.6</v>
      </c>
      <c r="V798" s="5">
        <v>46009</v>
      </c>
      <c r="W798" s="5">
        <v>46009</v>
      </c>
      <c r="X798" s="3">
        <v>1</v>
      </c>
      <c r="Y798" s="5">
        <f ca="1">IF(Table1[[#This Row],[ChurnStatus]]="Cancelled",Table1[[#This Row],[CancellationDate]],TODAY())</f>
        <v>45981</v>
      </c>
      <c r="Z798" s="46">
        <f ca="1">IF(AND(Table1[[#This Row],[SubscriptionStart]] &lt;= TODAY(), Table1[[#This Row],[EffectiveEndDate]] &gt;= TODAY()),1,0)</f>
        <v>1</v>
      </c>
      <c r="AA798" s="46">
        <f ca="1">IF(AND(Table1[[#This Row],[SubscriptionStart]]&lt;=Settings!$A$2,Table1[[#This Row],[EffectiveEndDate]]&gt;=Settings!$A$2),1,0)</f>
        <v>0</v>
      </c>
      <c r="AB798" s="46">
        <f ca="1">IF(AND(Table1[[#This Row],[SubscriptionStart]]&lt;=Settings!$B$2,Table1[[#This Row],[EffectiveEndDate]]&gt;=Settings!$B$2),1,0)</f>
        <v>0</v>
      </c>
      <c r="AC798" s="46">
        <f ca="1">IF(AND(Table1[[#This Row],[SubscriptionStart]]&lt;=Settings!$C$2,Table1[[#This Row],[EffectiveEndDate]]&gt;=Settings!$C$2),1,0)</f>
        <v>0</v>
      </c>
      <c r="AD798" s="46">
        <f ca="1">IF(AND(Table1[[#This Row],[SubscriptionStart]]&lt;=Settings!$D$2,Table1[[#This Row],[EffectiveEndDate]]&gt;=Settings!$D$2),1,0)</f>
        <v>0</v>
      </c>
      <c r="AE798" s="46">
        <f ca="1">IF(AND(Table1[[#This Row],[SubscriptionStart]]&lt;=Settings!$E$2,Table1[[#This Row],[EffectiveEndDate]]&gt;=Settings!$E$2),1,0)</f>
        <v>1</v>
      </c>
      <c r="AF798"/>
      <c r="AG798"/>
      <c r="AH798"/>
      <c r="AI798"/>
      <c r="AJ798"/>
      <c r="AK798"/>
    </row>
    <row r="799" spans="1:37">
      <c r="A799" s="3" t="s">
        <v>501</v>
      </c>
      <c r="B799" s="3">
        <v>51</v>
      </c>
      <c r="C799" s="3" t="s">
        <v>23</v>
      </c>
      <c r="D799" s="5">
        <v>45291</v>
      </c>
      <c r="E799" s="5">
        <v>45651</v>
      </c>
      <c r="F799" s="3">
        <f ca="1">TODAY() - Table1[[#This Row],[SubscriptionStart]]</f>
        <v>690</v>
      </c>
      <c r="G799" s="4">
        <v>12</v>
      </c>
      <c r="H799" s="3" t="s">
        <v>24</v>
      </c>
      <c r="I799" s="3" t="s">
        <v>30</v>
      </c>
      <c r="J799" s="7" cm="1">
        <f t="array" ref="J799">_xlfn.IFS(Table1[[#This Row],[Tier]]="Basic",10,Table1[[#This Row],[Tier]]="Standard",18,Table1[[#This Row],[Tier]]="Premium",25)</f>
        <v>10</v>
      </c>
      <c r="K799" s="7" cm="1">
        <f t="array" ref="K799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6</v>
      </c>
      <c r="L799" s="7" cm="1">
        <f t="array" ref="L799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72</v>
      </c>
      <c r="M799" s="3" t="str" cm="1">
        <f t="array" ref="M799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799" s="3" t="s">
        <v>52</v>
      </c>
      <c r="O799" s="3" t="s">
        <v>43</v>
      </c>
      <c r="P799" s="3" t="s">
        <v>35</v>
      </c>
      <c r="Q799" s="3" t="str" cm="1">
        <f t="array" ref="Q799">_xlfn.IFS(Table1[[#This Row],[TotalRevenue]]&lt;100,"Low",Table1[[#This Row],[TotalRevenue]]&lt;300,"Medium",Table1[[#This Row],[TotalRevenue]]&lt;600,"High",TRUE,"Very High")</f>
        <v>Low</v>
      </c>
      <c r="R799" s="3" t="str" cm="1">
        <f t="array" ref="R799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799" s="3" t="str">
        <f>IF(Table1[[#This Row],[NextBillingDate]]="","Cancelled",IF(Table1[[#This Row],[CancellationDate]]&lt;&gt;"","Cancelled","Active"))</f>
        <v>Cancelled</v>
      </c>
      <c r="T799" s="7" cm="1">
        <f t="array" ref="T799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72</v>
      </c>
      <c r="U799" s="5">
        <v>45651</v>
      </c>
      <c r="W799" s="5">
        <v>45651</v>
      </c>
      <c r="X799" s="3">
        <v>0</v>
      </c>
      <c r="Y799" s="5">
        <f ca="1">IF(Table1[[#This Row],[ChurnStatus]]="Cancelled",Table1[[#This Row],[CancellationDate]],TODAY())</f>
        <v>45651</v>
      </c>
      <c r="Z799" s="46">
        <f ca="1">IF(AND(Table1[[#This Row],[SubscriptionStart]] &lt;= TODAY(), Table1[[#This Row],[EffectiveEndDate]] &gt;= TODAY()),1,0)</f>
        <v>0</v>
      </c>
      <c r="AA799" s="46">
        <f ca="1">IF(AND(Table1[[#This Row],[SubscriptionStart]]&lt;=Settings!$A$2,Table1[[#This Row],[EffectiveEndDate]]&gt;=Settings!$A$2),1,0)</f>
        <v>0</v>
      </c>
      <c r="AB799" s="46">
        <f ca="1">IF(AND(Table1[[#This Row],[SubscriptionStart]]&lt;=Settings!$B$2,Table1[[#This Row],[EffectiveEndDate]]&gt;=Settings!$B$2),1,0)</f>
        <v>0</v>
      </c>
      <c r="AC799" s="46">
        <f ca="1">IF(AND(Table1[[#This Row],[SubscriptionStart]]&lt;=Settings!$C$2,Table1[[#This Row],[EffectiveEndDate]]&gt;=Settings!$C$2),1,0)</f>
        <v>0</v>
      </c>
      <c r="AD799" s="46">
        <f ca="1">IF(AND(Table1[[#This Row],[SubscriptionStart]]&lt;=Settings!$D$2,Table1[[#This Row],[EffectiveEndDate]]&gt;=Settings!$D$2),1,0)</f>
        <v>0</v>
      </c>
      <c r="AE799" s="46">
        <f ca="1">IF(AND(Table1[[#This Row],[SubscriptionStart]]&lt;=Settings!$E$2,Table1[[#This Row],[EffectiveEndDate]]&gt;=Settings!$E$2),1,0)</f>
        <v>1</v>
      </c>
      <c r="AF799"/>
      <c r="AG799"/>
      <c r="AH799"/>
      <c r="AI799"/>
      <c r="AJ799"/>
      <c r="AK799"/>
    </row>
    <row r="800" spans="1:37">
      <c r="A800" s="3" t="s">
        <v>334</v>
      </c>
      <c r="B800" s="3">
        <v>63</v>
      </c>
      <c r="C800" s="3" t="s">
        <v>23</v>
      </c>
      <c r="D800" s="5">
        <v>45291</v>
      </c>
      <c r="F800" s="3">
        <f ca="1">TODAY() - Table1[[#This Row],[SubscriptionStart]]</f>
        <v>690</v>
      </c>
      <c r="G800" s="4">
        <v>24</v>
      </c>
      <c r="H800" s="3" t="s">
        <v>38</v>
      </c>
      <c r="I800" s="3" t="s">
        <v>30</v>
      </c>
      <c r="J800" s="7" cm="1">
        <f t="array" ref="J800">_xlfn.IFS(Table1[[#This Row],[Tier]]="Basic",10,Table1[[#This Row],[Tier]]="Standard",18,Table1[[#This Row],[Tier]]="Premium",25)</f>
        <v>10</v>
      </c>
      <c r="K800" s="7" cm="1">
        <f t="array" ref="K800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7.5</v>
      </c>
      <c r="L800" s="7" cm="1">
        <f t="array" ref="L800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171</v>
      </c>
      <c r="M800" s="3" t="str" cm="1">
        <f t="array" ref="M800">_xlfn.IFS(Table1[[#This Row],[Age]]&gt;70,"Elderly",Table1[[#This Row],[Age]]&gt;59,"Senior",Table1[[#This Row],[Age]]&gt;49,"Mature Adult",Table1[[#This Row],[Age]]&gt;25,"Adult",Table1[[#This Row],[Age]]&gt;=18,"Young Adult")</f>
        <v>Senior</v>
      </c>
      <c r="N800" s="3" t="s">
        <v>34</v>
      </c>
      <c r="O800" s="3" t="s">
        <v>43</v>
      </c>
      <c r="Q800" s="3" t="str" cm="1">
        <f t="array" ref="Q800">_xlfn.IFS(Table1[[#This Row],[TotalRevenue]]&lt;100,"Low",Table1[[#This Row],[TotalRevenue]]&lt;300,"Medium",Table1[[#This Row],[TotalRevenue]]&lt;600,"High",TRUE,"Very High")</f>
        <v>Medium</v>
      </c>
      <c r="R800" s="3" t="str" cm="1">
        <f t="array" ref="R800">_xlfn.IFS(Table1[[#This Row],[Age]]&gt;69,"Elderly",Table1[[#This Row],[Age]]&gt;59,"Mature Adult",Table1[[#This Row],[Age]]&gt;25,"Adult",Table1[[#This Row],[Age]]&gt;18,"Young Adult",Table1[[#This Row],[Age]]&gt;=12,"Teenager")</f>
        <v>Mature Adult</v>
      </c>
      <c r="S800" s="3" t="str">
        <f>IF(Table1[[#This Row],[NextBillingDate]]="","Cancelled",IF(Table1[[#This Row],[CancellationDate]]&lt;&gt;"","Cancelled","Active"))</f>
        <v>Active</v>
      </c>
      <c r="T800" s="7" cm="1">
        <f t="array" ref="T800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216</v>
      </c>
      <c r="V800" s="5">
        <v>46011</v>
      </c>
      <c r="W800" s="5">
        <v>46011</v>
      </c>
      <c r="X800" s="3">
        <v>3</v>
      </c>
      <c r="Y800" s="5">
        <f ca="1">IF(Table1[[#This Row],[ChurnStatus]]="Cancelled",Table1[[#This Row],[CancellationDate]],TODAY())</f>
        <v>45981</v>
      </c>
      <c r="Z800" s="46">
        <f ca="1">IF(AND(Table1[[#This Row],[SubscriptionStart]] &lt;= TODAY(), Table1[[#This Row],[EffectiveEndDate]] &gt;= TODAY()),1,0)</f>
        <v>1</v>
      </c>
      <c r="AA800" s="46">
        <f ca="1">IF(AND(Table1[[#This Row],[SubscriptionStart]]&lt;=Settings!$A$2,Table1[[#This Row],[EffectiveEndDate]]&gt;=Settings!$A$2),1,0)</f>
        <v>0</v>
      </c>
      <c r="AB800" s="46">
        <f ca="1">IF(AND(Table1[[#This Row],[SubscriptionStart]]&lt;=Settings!$B$2,Table1[[#This Row],[EffectiveEndDate]]&gt;=Settings!$B$2),1,0)</f>
        <v>0</v>
      </c>
      <c r="AC800" s="46">
        <f ca="1">IF(AND(Table1[[#This Row],[SubscriptionStart]]&lt;=Settings!$C$2,Table1[[#This Row],[EffectiveEndDate]]&gt;=Settings!$C$2),1,0)</f>
        <v>0</v>
      </c>
      <c r="AD800" s="46">
        <f ca="1">IF(AND(Table1[[#This Row],[SubscriptionStart]]&lt;=Settings!$D$2,Table1[[#This Row],[EffectiveEndDate]]&gt;=Settings!$D$2),1,0)</f>
        <v>0</v>
      </c>
      <c r="AE800" s="46">
        <f ca="1">IF(AND(Table1[[#This Row],[SubscriptionStart]]&lt;=Settings!$E$2,Table1[[#This Row],[EffectiveEndDate]]&gt;=Settings!$E$2),1,0)</f>
        <v>1</v>
      </c>
      <c r="AF800"/>
      <c r="AG800"/>
      <c r="AH800"/>
      <c r="AI800"/>
      <c r="AJ800"/>
      <c r="AK800"/>
    </row>
    <row r="801" spans="1:37">
      <c r="A801" s="3" t="s">
        <v>741</v>
      </c>
      <c r="B801" s="3">
        <v>52</v>
      </c>
      <c r="C801" s="3" t="s">
        <v>23</v>
      </c>
      <c r="D801" s="5">
        <v>45291</v>
      </c>
      <c r="F801" s="3">
        <f ca="1">TODAY() - Table1[[#This Row],[SubscriptionStart]]</f>
        <v>690</v>
      </c>
      <c r="G801" s="4">
        <v>23</v>
      </c>
      <c r="H801" s="3" t="s">
        <v>29</v>
      </c>
      <c r="I801" s="3" t="s">
        <v>39</v>
      </c>
      <c r="J801" s="7" cm="1">
        <f t="array" ref="J801">_xlfn.IFS(Table1[[#This Row],[Tier]]="Basic",10,Table1[[#This Row],[Tier]]="Standard",18,Table1[[#This Row],[Tier]]="Premium",25)</f>
        <v>18</v>
      </c>
      <c r="K801" s="7" cm="1">
        <f t="array" ref="K801">_xlfn.IFS(Table1[[#This Row],[SubType]]="Monthly",IF(Table1[[#This Row],[MonthsPaid]]&lt;=12,Table1[[#This Row],[Monthly]]*0.9,Table1[[#This Row],[Monthly]]),Table1[[#This Row],[SubType]]="6-Month",IF(Table1[[#This Row],[MonthsPaid]]&lt;=12,Table1[[#This Row],[Monthly]]*0.75*0.9,Table1[[#This Row],[Monthly]]*0.75),Table1[[#This Row],[SubType]]="12-Month",IF(Table1[[#This Row],[MonthsPaid]]&lt;=12,Table1[[#This Row],[Monthly]]*(2/3)*0.9,Table1[[#This Row],[Monthly]]*(2/3)))</f>
        <v>18</v>
      </c>
      <c r="L801" s="7" cm="1">
        <f t="array" ref="L801">ROUND(_xlfn.IFS(Table1[[#This Row],[SubType]]="Monthly",(MAX(MIN(Table1[[#This Row],[MonthsPaid]],12)-1,0)*Table1[[#This Row],[Monthly]]*0.9)+(MAX(Table1[[#This Row],[MonthsPaid]]-12,0)*Table1[[#This Row],[Monthly]]),Table1[[#This Row],[SubType]]="6-Month",(MIN(Table1[[#This Row],[MonthsPaid]],12)*Table1[[#This Row],[Monthly]]*0.75*0.9)+(MAX(Table1[[#This Row],[MonthsPaid]]-12,0)*Table1[[#This Row],[Monthly]]*0.75),Table1[[#This Row],[SubType]]="12-Month",(MIN(Table1[[#This Row],[MonthsPaid]],12)*Table1[[#This Row],[Monthly]]*(2/3)*0.9)+(MAX(Table1[[#This Row],[MonthsPaid]]-12,0)*Table1[[#This Row],[Monthly]]*(2/3))),2)</f>
        <v>376.2</v>
      </c>
      <c r="M801" s="3" t="str" cm="1">
        <f t="array" ref="M801">_xlfn.IFS(Table1[[#This Row],[Age]]&gt;70,"Elderly",Table1[[#This Row],[Age]]&gt;59,"Senior",Table1[[#This Row],[Age]]&gt;49,"Mature Adult",Table1[[#This Row],[Age]]&gt;25,"Adult",Table1[[#This Row],[Age]]&gt;=18,"Young Adult")</f>
        <v>Mature Adult</v>
      </c>
      <c r="N801" s="3" t="s">
        <v>31</v>
      </c>
      <c r="O801" s="3" t="s">
        <v>43</v>
      </c>
      <c r="Q801" s="3" t="str" cm="1">
        <f t="array" ref="Q801">_xlfn.IFS(Table1[[#This Row],[TotalRevenue]]&lt;100,"Low",Table1[[#This Row],[TotalRevenue]]&lt;300,"Medium",Table1[[#This Row],[TotalRevenue]]&lt;600,"High",TRUE,"Very High")</f>
        <v>High</v>
      </c>
      <c r="R801" s="3" t="str" cm="1">
        <f t="array" ref="R801">_xlfn.IFS(Table1[[#This Row],[Age]]&gt;69,"Elderly",Table1[[#This Row],[Age]]&gt;59,"Mature Adult",Table1[[#This Row],[Age]]&gt;25,"Adult",Table1[[#This Row],[Age]]&gt;18,"Young Adult",Table1[[#This Row],[Age]]&gt;=12,"Teenager")</f>
        <v>Adult</v>
      </c>
      <c r="S801" s="3" t="str">
        <f>IF(Table1[[#This Row],[NextBillingDate]]="","Cancelled",IF(Table1[[#This Row],[CancellationDate]]&lt;&gt;"","Cancelled","Active"))</f>
        <v>Active</v>
      </c>
      <c r="T801" s="7" cm="1">
        <f t="array" ref="T801">IF(Table1[[#This Row],[ChurnStatus]]="Cancelled",Table1[[#This Row],[TotalRevenue]],Table1[[#This Row],[TotalRevenue]] + Table1[[#This Row],[Discounted]] * _xlfn.IFS(Table1[[#This Row],[SubType]]="Monthly",1,Table1[[#This Row],[SubType]]="6-Month",6-MOD(Table1[[#This Row],[MonthsPaid]],6),Table1[[#This Row],[SubType]]="12-Month",12-MOD(Table1[[#This Row],[MonthsPaid]],12)))</f>
        <v>394.2</v>
      </c>
      <c r="V801" s="5">
        <v>45981</v>
      </c>
      <c r="W801" s="5">
        <v>45981</v>
      </c>
      <c r="X801" s="3">
        <v>22</v>
      </c>
      <c r="Y801" s="5">
        <f ca="1">IF(Table1[[#This Row],[ChurnStatus]]="Cancelled",Table1[[#This Row],[CancellationDate]],TODAY())</f>
        <v>45981</v>
      </c>
      <c r="Z801" s="46">
        <f ca="1">IF(AND(Table1[[#This Row],[SubscriptionStart]] &lt;= TODAY(), Table1[[#This Row],[EffectiveEndDate]] &gt;= TODAY()),1,0)</f>
        <v>1</v>
      </c>
      <c r="AA801" s="46">
        <f ca="1">IF(AND(Table1[[#This Row],[SubscriptionStart]]&lt;=Settings!$A$2,Table1[[#This Row],[EffectiveEndDate]]&gt;=Settings!$A$2),1,0)</f>
        <v>0</v>
      </c>
      <c r="AB801" s="46">
        <f ca="1">IF(AND(Table1[[#This Row],[SubscriptionStart]]&lt;=Settings!$B$2,Table1[[#This Row],[EffectiveEndDate]]&gt;=Settings!$B$2),1,0)</f>
        <v>0</v>
      </c>
      <c r="AC801" s="46">
        <f ca="1">IF(AND(Table1[[#This Row],[SubscriptionStart]]&lt;=Settings!$C$2,Table1[[#This Row],[EffectiveEndDate]]&gt;=Settings!$C$2),1,0)</f>
        <v>0</v>
      </c>
      <c r="AD801" s="46">
        <f ca="1">IF(AND(Table1[[#This Row],[SubscriptionStart]]&lt;=Settings!$D$2,Table1[[#This Row],[EffectiveEndDate]]&gt;=Settings!$D$2),1,0)</f>
        <v>0</v>
      </c>
      <c r="AE801" s="46">
        <f ca="1">IF(AND(Table1[[#This Row],[SubscriptionStart]]&lt;=Settings!$E$2,Table1[[#This Row],[EffectiveEndDate]]&gt;=Settings!$E$2),1,0)</f>
        <v>1</v>
      </c>
      <c r="AF801"/>
      <c r="AG801"/>
      <c r="AH801"/>
      <c r="AI801"/>
      <c r="AJ801"/>
      <c r="AK80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5338-F33D-447B-8E84-01B1BDD9C4AD}">
  <dimension ref="A1:X60"/>
  <sheetViews>
    <sheetView showGridLines="0" topLeftCell="I5" zoomScale="85" zoomScaleNormal="85" workbookViewId="0">
      <selection activeCell="I33" sqref="I33"/>
    </sheetView>
  </sheetViews>
  <sheetFormatPr defaultRowHeight="15"/>
  <cols>
    <col min="1" max="1" width="7" bestFit="1" customWidth="1"/>
    <col min="2" max="2" width="20.140625" bestFit="1" customWidth="1"/>
    <col min="3" max="3" width="16.28515625" bestFit="1" customWidth="1"/>
    <col min="4" max="4" width="8.7109375" bestFit="1" customWidth="1"/>
    <col min="5" max="5" width="8.5703125" bestFit="1" customWidth="1"/>
    <col min="6" max="7" width="11.28515625" bestFit="1" customWidth="1"/>
    <col min="8" max="10" width="23.140625" bestFit="1" customWidth="1"/>
    <col min="11" max="11" width="16.5703125" bestFit="1" customWidth="1"/>
    <col min="12" max="12" width="20.140625" bestFit="1" customWidth="1"/>
    <col min="13" max="13" width="6.7109375" bestFit="1" customWidth="1"/>
    <col min="14" max="14" width="11.28515625" bestFit="1" customWidth="1"/>
    <col min="15" max="15" width="13.7109375" bestFit="1" customWidth="1"/>
    <col min="16" max="16" width="15" bestFit="1" customWidth="1"/>
    <col min="17" max="17" width="8.140625" bestFit="1" customWidth="1"/>
    <col min="18" max="18" width="13.28515625" bestFit="1" customWidth="1"/>
    <col min="19" max="19" width="19" bestFit="1" customWidth="1"/>
    <col min="20" max="20" width="9.28515625" bestFit="1" customWidth="1"/>
    <col min="21" max="21" width="12.85546875" bestFit="1" customWidth="1"/>
    <col min="22" max="22" width="6.7109375" bestFit="1" customWidth="1"/>
    <col min="23" max="23" width="7.140625" bestFit="1" customWidth="1"/>
    <col min="24" max="24" width="11.28515625" bestFit="1" customWidth="1"/>
    <col min="25" max="25" width="14.7109375" bestFit="1" customWidth="1"/>
    <col min="26" max="26" width="5.5703125" bestFit="1" customWidth="1"/>
    <col min="27" max="27" width="18" bestFit="1" customWidth="1"/>
    <col min="28" max="28" width="8.5703125" bestFit="1" customWidth="1"/>
    <col min="29" max="29" width="5.5703125" bestFit="1" customWidth="1"/>
    <col min="30" max="30" width="11.5703125" bestFit="1" customWidth="1"/>
    <col min="31" max="31" width="13.7109375" bestFit="1" customWidth="1"/>
    <col min="32" max="32" width="5.5703125" bestFit="1" customWidth="1"/>
    <col min="33" max="33" width="16.85546875" bestFit="1" customWidth="1"/>
    <col min="34" max="34" width="11.28515625" bestFit="1" customWidth="1"/>
    <col min="35" max="44" width="3.140625" bestFit="1" customWidth="1"/>
    <col min="45" max="45" width="10.7109375" bestFit="1" customWidth="1"/>
    <col min="46" max="46" width="9" bestFit="1" customWidth="1"/>
    <col min="47" max="55" width="3.140625" bestFit="1" customWidth="1"/>
    <col min="56" max="56" width="12" bestFit="1" customWidth="1"/>
    <col min="57" max="57" width="14.7109375" bestFit="1" customWidth="1"/>
    <col min="58" max="75" width="3.140625" bestFit="1" customWidth="1"/>
    <col min="76" max="76" width="18" bestFit="1" customWidth="1"/>
    <col min="77" max="77" width="8.5703125" bestFit="1" customWidth="1"/>
    <col min="78" max="91" width="3.140625" bestFit="1" customWidth="1"/>
    <col min="92" max="92" width="11.5703125" bestFit="1" customWidth="1"/>
    <col min="93" max="93" width="13.7109375" bestFit="1" customWidth="1"/>
    <col min="94" max="94" width="2.140625" bestFit="1" customWidth="1"/>
    <col min="95" max="107" width="3.140625" bestFit="1" customWidth="1"/>
    <col min="108" max="108" width="16.85546875" bestFit="1" customWidth="1"/>
    <col min="109" max="109" width="11.28515625" bestFit="1" customWidth="1"/>
    <col min="110" max="114" width="3.140625" bestFit="1" customWidth="1"/>
    <col min="115" max="115" width="16.85546875" bestFit="1" customWidth="1"/>
    <col min="116" max="116" width="11.28515625" bestFit="1" customWidth="1"/>
    <col min="118" max="120" width="7.5703125" bestFit="1" customWidth="1"/>
    <col min="122" max="123" width="7.5703125" bestFit="1" customWidth="1"/>
    <col min="125" max="128" width="7.5703125" bestFit="1" customWidth="1"/>
    <col min="129" max="129" width="11.5703125" bestFit="1" customWidth="1"/>
    <col min="130" max="130" width="9" bestFit="1" customWidth="1"/>
    <col min="131" max="131" width="7.5703125" bestFit="1" customWidth="1"/>
    <col min="133" max="134" width="7.5703125" bestFit="1" customWidth="1"/>
    <col min="137" max="144" width="7.5703125" bestFit="1" customWidth="1"/>
    <col min="146" max="148" width="7.5703125" bestFit="1" customWidth="1"/>
    <col min="149" max="149" width="12" bestFit="1" customWidth="1"/>
    <col min="150" max="150" width="13.7109375" bestFit="1" customWidth="1"/>
    <col min="152" max="153" width="7.5703125" bestFit="1" customWidth="1"/>
    <col min="156" max="170" width="7.5703125" bestFit="1" customWidth="1"/>
    <col min="172" max="172" width="16.85546875" bestFit="1" customWidth="1"/>
    <col min="173" max="173" width="11.28515625" bestFit="1" customWidth="1"/>
  </cols>
  <sheetData>
    <row r="1" spans="1:20" ht="31.5">
      <c r="A1" s="60" t="s">
        <v>892</v>
      </c>
      <c r="B1" s="61"/>
      <c r="C1" s="61"/>
      <c r="D1" s="61"/>
      <c r="E1" s="61"/>
      <c r="F1" s="61"/>
      <c r="G1" s="61"/>
      <c r="H1" s="61"/>
      <c r="I1" s="61"/>
      <c r="J1" s="61"/>
      <c r="K1" s="62"/>
      <c r="M1" s="35" t="s">
        <v>893</v>
      </c>
      <c r="N1" s="35" t="s">
        <v>894</v>
      </c>
      <c r="O1" s="35" t="s">
        <v>895</v>
      </c>
      <c r="P1" s="35" t="s">
        <v>896</v>
      </c>
      <c r="Q1" s="35" t="s">
        <v>897</v>
      </c>
    </row>
    <row r="3" spans="1:20">
      <c r="R3" s="20" t="s">
        <v>11</v>
      </c>
      <c r="S3" t="s">
        <v>880</v>
      </c>
    </row>
    <row r="4" spans="1:20">
      <c r="R4" s="20" t="s">
        <v>10</v>
      </c>
      <c r="S4" t="s">
        <v>880</v>
      </c>
    </row>
    <row r="5" spans="1:20">
      <c r="R5" s="20" t="s">
        <v>2</v>
      </c>
      <c r="S5" t="s">
        <v>880</v>
      </c>
    </row>
    <row r="7" spans="1:20">
      <c r="B7" s="20" t="s">
        <v>876</v>
      </c>
      <c r="C7" s="20" t="s">
        <v>877</v>
      </c>
      <c r="K7" s="20" t="s">
        <v>874</v>
      </c>
      <c r="L7" t="s">
        <v>876</v>
      </c>
      <c r="R7" s="20" t="s">
        <v>874</v>
      </c>
      <c r="S7" t="s">
        <v>900</v>
      </c>
      <c r="T7" t="s">
        <v>899</v>
      </c>
    </row>
    <row r="8" spans="1:20">
      <c r="B8" s="20" t="s">
        <v>874</v>
      </c>
      <c r="C8" t="s">
        <v>24</v>
      </c>
      <c r="D8" t="s">
        <v>38</v>
      </c>
      <c r="E8" t="s">
        <v>29</v>
      </c>
      <c r="F8" t="s">
        <v>875</v>
      </c>
      <c r="K8" s="21" t="s">
        <v>31</v>
      </c>
      <c r="L8" s="23">
        <v>34644.449999999983</v>
      </c>
      <c r="R8" s="21" t="s">
        <v>24</v>
      </c>
      <c r="S8" s="3">
        <v>6720</v>
      </c>
      <c r="T8" s="3">
        <v>423</v>
      </c>
    </row>
    <row r="9" spans="1:20">
      <c r="B9" s="21" t="s">
        <v>30</v>
      </c>
      <c r="C9" s="23">
        <v>15168</v>
      </c>
      <c r="D9" s="23">
        <v>6547.5</v>
      </c>
      <c r="E9" s="23">
        <v>8502</v>
      </c>
      <c r="F9" s="23">
        <v>30217.5</v>
      </c>
      <c r="K9" s="21" t="s">
        <v>52</v>
      </c>
      <c r="L9" s="23">
        <v>32335.799999999992</v>
      </c>
      <c r="R9" s="21" t="s">
        <v>38</v>
      </c>
      <c r="S9" s="3">
        <v>2796</v>
      </c>
      <c r="T9" s="3">
        <v>180</v>
      </c>
    </row>
    <row r="10" spans="1:20">
      <c r="B10" s="21" t="s">
        <v>39</v>
      </c>
      <c r="C10" s="23">
        <v>23817.599999999969</v>
      </c>
      <c r="D10" s="23">
        <v>13113.899999999985</v>
      </c>
      <c r="E10" s="23">
        <v>16941.600000000009</v>
      </c>
      <c r="F10" s="23">
        <v>53873.099999999962</v>
      </c>
      <c r="K10" s="21" t="s">
        <v>26</v>
      </c>
      <c r="L10" s="23">
        <v>50270.39999999998</v>
      </c>
      <c r="R10" s="21" t="s">
        <v>29</v>
      </c>
      <c r="S10" s="3">
        <v>3097</v>
      </c>
      <c r="T10" s="3">
        <v>197</v>
      </c>
    </row>
    <row r="11" spans="1:20">
      <c r="B11" s="21" t="s">
        <v>25</v>
      </c>
      <c r="C11" s="23">
        <v>32540</v>
      </c>
      <c r="D11" s="23">
        <v>15221.25</v>
      </c>
      <c r="E11" s="23">
        <v>25350</v>
      </c>
      <c r="F11" s="23">
        <v>73111.25</v>
      </c>
      <c r="K11" s="21" t="s">
        <v>34</v>
      </c>
      <c r="L11" s="23">
        <v>39951.199999999968</v>
      </c>
      <c r="R11" s="21" t="s">
        <v>875</v>
      </c>
      <c r="S11" s="3">
        <v>12613</v>
      </c>
      <c r="T11" s="3">
        <v>800</v>
      </c>
    </row>
    <row r="12" spans="1:20">
      <c r="B12" s="21" t="s">
        <v>875</v>
      </c>
      <c r="C12" s="23">
        <v>71525.599999999977</v>
      </c>
      <c r="D12" s="23">
        <v>34882.649999999987</v>
      </c>
      <c r="E12" s="23">
        <v>50793.600000000006</v>
      </c>
      <c r="F12" s="23">
        <v>157201.84999999998</v>
      </c>
      <c r="K12" s="21" t="s">
        <v>875</v>
      </c>
      <c r="L12" s="23">
        <v>157201.84999999992</v>
      </c>
    </row>
    <row r="33" spans="2:24">
      <c r="R33" s="20" t="s">
        <v>6</v>
      </c>
      <c r="S33" t="s">
        <v>880</v>
      </c>
    </row>
    <row r="34" spans="2:24">
      <c r="B34" s="20" t="s">
        <v>7</v>
      </c>
      <c r="C34" t="s">
        <v>880</v>
      </c>
      <c r="R34" s="20" t="s">
        <v>2</v>
      </c>
      <c r="S34" t="s">
        <v>880</v>
      </c>
    </row>
    <row r="36" spans="2:24">
      <c r="B36" s="20" t="s">
        <v>874</v>
      </c>
      <c r="C36" t="s">
        <v>876</v>
      </c>
      <c r="K36" s="20" t="s">
        <v>876</v>
      </c>
      <c r="L36" s="20" t="s">
        <v>877</v>
      </c>
      <c r="R36" s="20" t="s">
        <v>902</v>
      </c>
      <c r="S36" s="20" t="s">
        <v>877</v>
      </c>
    </row>
    <row r="37" spans="2:24">
      <c r="B37" s="21" t="s">
        <v>881</v>
      </c>
      <c r="C37" s="22">
        <v>68392.199999999983</v>
      </c>
      <c r="K37" s="20" t="s">
        <v>874</v>
      </c>
      <c r="L37" t="s">
        <v>37</v>
      </c>
      <c r="M37" t="s">
        <v>23</v>
      </c>
      <c r="N37" t="s">
        <v>875</v>
      </c>
      <c r="R37" s="20" t="s">
        <v>874</v>
      </c>
      <c r="S37" t="s">
        <v>885</v>
      </c>
      <c r="T37" t="s">
        <v>881</v>
      </c>
      <c r="U37" t="s">
        <v>883</v>
      </c>
      <c r="V37" t="s">
        <v>898</v>
      </c>
      <c r="W37" t="s">
        <v>882</v>
      </c>
      <c r="X37" t="s">
        <v>875</v>
      </c>
    </row>
    <row r="38" spans="2:24">
      <c r="B38" s="21" t="s">
        <v>883</v>
      </c>
      <c r="C38" s="22">
        <v>29134.549999999996</v>
      </c>
      <c r="K38" s="21" t="s">
        <v>447</v>
      </c>
      <c r="L38" s="23"/>
      <c r="M38" s="23">
        <v>922.5</v>
      </c>
      <c r="N38" s="23">
        <v>922.5</v>
      </c>
      <c r="R38" s="21" t="s">
        <v>50</v>
      </c>
      <c r="S38">
        <v>19</v>
      </c>
      <c r="T38">
        <v>55</v>
      </c>
      <c r="U38">
        <v>19</v>
      </c>
      <c r="V38">
        <v>24</v>
      </c>
      <c r="W38">
        <v>9</v>
      </c>
      <c r="X38">
        <v>126</v>
      </c>
    </row>
    <row r="39" spans="2:24">
      <c r="B39" s="21" t="s">
        <v>898</v>
      </c>
      <c r="C39" s="22">
        <v>28355.19999999999</v>
      </c>
      <c r="K39" s="36" t="s">
        <v>52</v>
      </c>
      <c r="L39" s="23"/>
      <c r="M39" s="23">
        <v>922.5</v>
      </c>
      <c r="N39" s="23">
        <v>922.5</v>
      </c>
      <c r="R39" s="21" t="s">
        <v>41</v>
      </c>
      <c r="S39">
        <v>16</v>
      </c>
      <c r="T39">
        <v>50</v>
      </c>
      <c r="U39">
        <v>18</v>
      </c>
      <c r="V39">
        <v>23</v>
      </c>
      <c r="W39">
        <v>9</v>
      </c>
      <c r="X39">
        <v>116</v>
      </c>
    </row>
    <row r="40" spans="2:24">
      <c r="B40" s="21" t="s">
        <v>885</v>
      </c>
      <c r="C40" s="22">
        <v>18533.900000000001</v>
      </c>
      <c r="K40" s="21" t="s">
        <v>734</v>
      </c>
      <c r="L40" s="23">
        <v>922.5</v>
      </c>
      <c r="M40" s="23"/>
      <c r="N40" s="23">
        <v>922.5</v>
      </c>
      <c r="R40" s="21" t="s">
        <v>35</v>
      </c>
      <c r="S40">
        <v>13</v>
      </c>
      <c r="T40">
        <v>50</v>
      </c>
      <c r="U40">
        <v>22</v>
      </c>
      <c r="V40">
        <v>21</v>
      </c>
      <c r="W40">
        <v>8</v>
      </c>
      <c r="X40">
        <v>114</v>
      </c>
    </row>
    <row r="41" spans="2:24">
      <c r="B41" s="21" t="s">
        <v>882</v>
      </c>
      <c r="C41" s="22">
        <v>12786.000000000002</v>
      </c>
      <c r="K41" s="36" t="s">
        <v>34</v>
      </c>
      <c r="L41" s="23">
        <v>922.5</v>
      </c>
      <c r="M41" s="23"/>
      <c r="N41" s="23">
        <v>922.5</v>
      </c>
      <c r="R41" s="21" t="s">
        <v>44</v>
      </c>
      <c r="S41">
        <v>15</v>
      </c>
      <c r="T41">
        <v>54</v>
      </c>
      <c r="U41">
        <v>20</v>
      </c>
      <c r="V41">
        <v>22</v>
      </c>
      <c r="W41">
        <v>16</v>
      </c>
      <c r="X41">
        <v>127</v>
      </c>
    </row>
    <row r="42" spans="2:24">
      <c r="B42" s="21" t="s">
        <v>875</v>
      </c>
      <c r="C42" s="22">
        <v>157201.84999999995</v>
      </c>
      <c r="K42" s="21" t="s">
        <v>425</v>
      </c>
      <c r="L42" s="23"/>
      <c r="M42" s="23">
        <v>947.5</v>
      </c>
      <c r="N42" s="23">
        <v>947.5</v>
      </c>
      <c r="R42" s="21" t="s">
        <v>47</v>
      </c>
      <c r="S42">
        <v>15</v>
      </c>
      <c r="T42">
        <v>53</v>
      </c>
      <c r="U42">
        <v>16</v>
      </c>
      <c r="V42">
        <v>20</v>
      </c>
      <c r="W42">
        <v>15</v>
      </c>
      <c r="X42">
        <v>119</v>
      </c>
    </row>
    <row r="43" spans="2:24">
      <c r="K43" s="36" t="s">
        <v>26</v>
      </c>
      <c r="L43" s="23"/>
      <c r="M43" s="23">
        <v>947.5</v>
      </c>
      <c r="N43" s="23">
        <v>947.5</v>
      </c>
      <c r="R43" s="21" t="s">
        <v>901</v>
      </c>
      <c r="S43">
        <v>21</v>
      </c>
      <c r="T43">
        <v>82</v>
      </c>
      <c r="U43">
        <v>44</v>
      </c>
      <c r="V43">
        <v>36</v>
      </c>
      <c r="W43">
        <v>15</v>
      </c>
      <c r="X43">
        <v>198</v>
      </c>
    </row>
    <row r="44" spans="2:24">
      <c r="K44" s="21" t="s">
        <v>260</v>
      </c>
      <c r="L44" s="23">
        <v>947.5</v>
      </c>
      <c r="M44" s="23"/>
      <c r="N44" s="23">
        <v>947.5</v>
      </c>
      <c r="R44" s="21" t="s">
        <v>875</v>
      </c>
      <c r="S44">
        <v>99</v>
      </c>
      <c r="T44">
        <v>344</v>
      </c>
      <c r="U44">
        <v>139</v>
      </c>
      <c r="V44">
        <v>146</v>
      </c>
      <c r="W44">
        <v>72</v>
      </c>
      <c r="X44">
        <v>800</v>
      </c>
    </row>
    <row r="45" spans="2:24">
      <c r="K45" s="36" t="s">
        <v>52</v>
      </c>
      <c r="L45" s="23">
        <v>947.5</v>
      </c>
      <c r="M45" s="23"/>
      <c r="N45" s="23">
        <v>947.5</v>
      </c>
    </row>
    <row r="46" spans="2:24">
      <c r="K46" s="21" t="s">
        <v>242</v>
      </c>
      <c r="L46" s="23"/>
      <c r="M46" s="23">
        <v>947.5</v>
      </c>
      <c r="N46" s="23">
        <v>947.5</v>
      </c>
    </row>
    <row r="47" spans="2:24">
      <c r="K47" s="36" t="s">
        <v>26</v>
      </c>
      <c r="L47" s="23"/>
      <c r="M47" s="23">
        <v>947.5</v>
      </c>
      <c r="N47" s="23">
        <v>947.5</v>
      </c>
    </row>
    <row r="48" spans="2:24">
      <c r="K48" s="21" t="s">
        <v>619</v>
      </c>
      <c r="L48" s="23">
        <v>1047.5</v>
      </c>
      <c r="M48" s="23"/>
      <c r="N48" s="23">
        <v>1047.5</v>
      </c>
    </row>
    <row r="49" spans="11:14">
      <c r="K49" s="36" t="s">
        <v>31</v>
      </c>
      <c r="L49" s="23">
        <v>1047.5</v>
      </c>
      <c r="M49" s="23"/>
      <c r="N49" s="23">
        <v>1047.5</v>
      </c>
    </row>
    <row r="50" spans="11:14">
      <c r="K50" s="21" t="s">
        <v>88</v>
      </c>
      <c r="L50" s="23">
        <v>1047.5</v>
      </c>
      <c r="M50" s="23"/>
      <c r="N50" s="23">
        <v>1047.5</v>
      </c>
    </row>
    <row r="51" spans="11:14">
      <c r="K51" s="36" t="s">
        <v>26</v>
      </c>
      <c r="L51" s="23">
        <v>1047.5</v>
      </c>
      <c r="M51" s="23"/>
      <c r="N51" s="23">
        <v>1047.5</v>
      </c>
    </row>
    <row r="52" spans="11:14">
      <c r="K52" s="21" t="s">
        <v>533</v>
      </c>
      <c r="L52" s="23">
        <v>1072.5</v>
      </c>
      <c r="M52" s="23"/>
      <c r="N52" s="23">
        <v>1072.5</v>
      </c>
    </row>
    <row r="53" spans="11:14">
      <c r="K53" s="36" t="s">
        <v>34</v>
      </c>
      <c r="L53" s="23">
        <v>1072.5</v>
      </c>
      <c r="M53" s="23"/>
      <c r="N53" s="23">
        <v>1072.5</v>
      </c>
    </row>
    <row r="54" spans="11:14">
      <c r="K54" s="21" t="s">
        <v>284</v>
      </c>
      <c r="L54" s="23"/>
      <c r="M54" s="23">
        <v>1072.5</v>
      </c>
      <c r="N54" s="23">
        <v>1072.5</v>
      </c>
    </row>
    <row r="55" spans="11:14">
      <c r="K55" s="36" t="s">
        <v>26</v>
      </c>
      <c r="L55" s="23"/>
      <c r="M55" s="23">
        <v>1072.5</v>
      </c>
      <c r="N55" s="23">
        <v>1072.5</v>
      </c>
    </row>
    <row r="56" spans="11:14">
      <c r="K56" s="21" t="s">
        <v>633</v>
      </c>
      <c r="L56" s="23">
        <v>1097.5</v>
      </c>
      <c r="M56" s="23"/>
      <c r="N56" s="23">
        <v>1097.5</v>
      </c>
    </row>
    <row r="57" spans="11:14">
      <c r="K57" s="36" t="s">
        <v>26</v>
      </c>
      <c r="L57" s="23">
        <v>1097.5</v>
      </c>
      <c r="M57" s="23"/>
      <c r="N57" s="23">
        <v>1097.5</v>
      </c>
    </row>
    <row r="58" spans="11:14">
      <c r="K58" s="21" t="s">
        <v>96</v>
      </c>
      <c r="L58" s="23">
        <v>1097.5</v>
      </c>
      <c r="M58" s="23"/>
      <c r="N58" s="23">
        <v>1097.5</v>
      </c>
    </row>
    <row r="59" spans="11:14">
      <c r="K59" s="36" t="s">
        <v>52</v>
      </c>
      <c r="L59" s="23">
        <v>1097.5</v>
      </c>
      <c r="M59" s="23"/>
      <c r="N59" s="23">
        <v>1097.5</v>
      </c>
    </row>
    <row r="60" spans="11:14">
      <c r="K60" s="21" t="s">
        <v>875</v>
      </c>
      <c r="L60" s="23">
        <v>7232.5</v>
      </c>
      <c r="M60" s="23">
        <v>3890</v>
      </c>
      <c r="N60" s="23">
        <v>11122.5</v>
      </c>
    </row>
  </sheetData>
  <mergeCells count="1">
    <mergeCell ref="A1:K1"/>
  </mergeCell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EDCB5-0A0B-42F1-A2DF-7B9D27DAAD5B}">
  <dimension ref="A1:P741"/>
  <sheetViews>
    <sheetView showGridLines="0" workbookViewId="0">
      <selection activeCell="P1" activeCellId="2" sqref="A1:A1048576 O1:O1048576 P1:P1048576"/>
    </sheetView>
  </sheetViews>
  <sheetFormatPr defaultRowHeight="15"/>
  <cols>
    <col min="1" max="1" width="10.42578125" bestFit="1" customWidth="1"/>
    <col min="2" max="2" width="19.140625" style="45" bestFit="1" customWidth="1"/>
    <col min="3" max="3" width="17.7109375" style="45" bestFit="1" customWidth="1"/>
    <col min="4" max="4" width="15.140625" style="45" bestFit="1" customWidth="1"/>
    <col min="5" max="5" width="13.140625" style="45" bestFit="1" customWidth="1"/>
    <col min="6" max="6" width="24" style="45" bestFit="1" customWidth="1"/>
    <col min="7" max="7" width="23.7109375" style="49" bestFit="1" customWidth="1"/>
    <col min="8" max="8" width="21.5703125" style="22" bestFit="1" customWidth="1"/>
    <col min="9" max="9" width="10.42578125" style="45" bestFit="1" customWidth="1"/>
    <col min="10" max="10" width="18.28515625" style="49" bestFit="1" customWidth="1"/>
    <col min="11" max="11" width="16" style="45" bestFit="1" customWidth="1"/>
    <col min="12" max="12" width="17" style="45" bestFit="1" customWidth="1"/>
    <col min="13" max="13" width="14.42578125" style="45" bestFit="1" customWidth="1"/>
    <col min="14" max="14" width="23.7109375" style="45" bestFit="1" customWidth="1"/>
    <col min="15" max="15" width="13.42578125" style="45" bestFit="1" customWidth="1"/>
    <col min="16" max="16" width="15.5703125" style="45" bestFit="1" customWidth="1"/>
  </cols>
  <sheetData>
    <row r="1" spans="1:16">
      <c r="A1" s="48" t="s">
        <v>904</v>
      </c>
      <c r="B1" s="45" t="s">
        <v>905</v>
      </c>
      <c r="C1" s="45" t="s">
        <v>906</v>
      </c>
      <c r="D1" s="45" t="s">
        <v>907</v>
      </c>
      <c r="E1" s="45" t="s">
        <v>908</v>
      </c>
      <c r="F1" s="45" t="s">
        <v>909</v>
      </c>
      <c r="G1" s="49" t="s">
        <v>910</v>
      </c>
      <c r="H1" s="22" t="s">
        <v>911</v>
      </c>
      <c r="I1" s="48" t="s">
        <v>912</v>
      </c>
      <c r="J1" s="49" t="s">
        <v>913</v>
      </c>
      <c r="K1" s="45" t="s">
        <v>914</v>
      </c>
      <c r="L1" s="45" t="s">
        <v>915</v>
      </c>
      <c r="M1" s="45" t="s">
        <v>916</v>
      </c>
      <c r="N1" s="45" t="s">
        <v>917</v>
      </c>
      <c r="O1" s="45" t="s">
        <v>937</v>
      </c>
      <c r="P1" s="45" t="s">
        <v>938</v>
      </c>
    </row>
    <row r="2" spans="1:16">
      <c r="A2" s="48">
        <f>MIN(Table1[SubscriptionStart])</f>
        <v>44562</v>
      </c>
      <c r="B2" s="45" cm="1">
        <f t="array" aca="1" ref="B2" ca="1">SUMPRODUCT((Table1[SubscriptionStart]&lt;=A2)*(Table1[EffectiveEndDate]&gt;=A2))</f>
        <v>3</v>
      </c>
      <c r="C2" s="45">
        <f>COUNTIFS(Table1[SubscriptionStart], A2)</f>
        <v>3</v>
      </c>
      <c r="D2" s="45">
        <f>COUNTIFS(Table1[CancellationDate], A2)</f>
        <v>0</v>
      </c>
      <c r="E2" s="45">
        <f t="shared" ref="E2:E65" si="0" xml:space="preserve"> C2 - D2</f>
        <v>3</v>
      </c>
      <c r="F2" s="45">
        <f>SUM($C$2:C2)</f>
        <v>3</v>
      </c>
      <c r="G2" s="49" cm="1">
        <f t="array" aca="1" ref="G2" ca="1">IF(B2=0,"", SUMPRODUCT((Table1[SubscriptionStart]&lt;=A2)*(Table1[EffectiveEndDate]&gt;=A2)*Table1[Age]) / B2 )</f>
        <v>37.333333333333336</v>
      </c>
      <c r="H2" s="22">
        <f>SUMIF(Table1[SubscriptionStart],"&lt;="&amp;A2,Table1[TotalRevenue])</f>
        <v>834.3</v>
      </c>
      <c r="I2" s="50">
        <f t="shared" ref="I2:I65" si="1">EOMONTH(A2,0)</f>
        <v>44592</v>
      </c>
      <c r="J2" s="49">
        <f t="shared" ref="J2:J65" ca="1" si="2">AVERAGEIFS(B:B, I:I, I2)</f>
        <v>13.903225806451612</v>
      </c>
      <c r="K2" s="45" cm="1">
        <f t="array" aca="1" ref="K2" ca="1">SUMPRODUCT((Table1[SubscriptionStart] &lt;= $A2) * (Table1[EffectiveEndDate] &gt;= $A2) * (Table1[Region] = "England"))</f>
        <v>1</v>
      </c>
      <c r="L2" s="45" cm="1">
        <f t="array" aca="1" ref="L2" ca="1">SUMPRODUCT((Table1[SubscriptionStart] &lt;= $A2) * (Table1[EffectiveEndDate] &gt;= $A2) * (Table1[Region] = "Scotland"))</f>
        <v>1</v>
      </c>
      <c r="M2" s="45" cm="1">
        <f t="array" aca="1" ref="M2" ca="1">SUMPRODUCT((Table1[SubscriptionStart] &lt;= $A2) * (Table1[EffectiveEndDate] &gt;= $A2) * (Table1[Region] = "Wales"))</f>
        <v>0</v>
      </c>
      <c r="N2" s="45" cm="1">
        <f t="array" aca="1" ref="N2" ca="1">SUMPRODUCT((Table1[SubscriptionStart] &lt;= $A2) * (Table1[EffectiveEndDate] &gt;= $A2) * (Table1[Region] = "Northern Ireland"))</f>
        <v>1</v>
      </c>
      <c r="O2" s="45" cm="1">
        <f t="array" aca="1" ref="O2" ca="1">SUMPRODUCT((Table1[Gender]="Male")*(Table1[SubscriptionStart]&lt;=A2)*(Table1[EffectiveEndDate]&gt;=A2))</f>
        <v>2</v>
      </c>
      <c r="P2" s="45" cm="1">
        <f t="array" aca="1" ref="P2" ca="1">SUMPRODUCT((Table1[Gender]="Female")*(Table1[SubscriptionStart]&lt;=A2)*(Table1[EffectiveEndDate]&gt;=A2))</f>
        <v>1</v>
      </c>
    </row>
    <row r="3" spans="1:16">
      <c r="A3" s="48">
        <f>A2+1</f>
        <v>44563</v>
      </c>
      <c r="B3" s="45" cm="1">
        <f t="array" aca="1" ref="B3" ca="1">SUMPRODUCT((Table1[SubscriptionStart]&lt;=A3)*(Table1[EffectiveEndDate]&gt;=A3))</f>
        <v>4</v>
      </c>
      <c r="C3" s="45">
        <f>COUNTIFS(Table1[SubscriptionStart], A3)</f>
        <v>1</v>
      </c>
      <c r="D3" s="45">
        <f>COUNTIFS(Table1[CancellationDate], A3)</f>
        <v>0</v>
      </c>
      <c r="E3" s="45">
        <f t="shared" si="0"/>
        <v>1</v>
      </c>
      <c r="F3" s="45">
        <f>SUM($C$2:C3)</f>
        <v>4</v>
      </c>
      <c r="G3" s="49" cm="1">
        <f t="array" aca="1" ref="G3" ca="1">IF(B3=0,"", SUMPRODUCT((Table1[SubscriptionStart]&lt;=A3)*(Table1[EffectiveEndDate]&gt;=A3)*Table1[Age]) / B3 )</f>
        <v>35.5</v>
      </c>
      <c r="H3" s="22">
        <f>SUMIF(Table1[SubscriptionStart],"&lt;="&amp;A3,Table1[TotalRevenue])</f>
        <v>1014.3</v>
      </c>
      <c r="I3" s="50">
        <f t="shared" si="1"/>
        <v>44592</v>
      </c>
      <c r="J3" s="49">
        <f t="shared" ca="1" si="2"/>
        <v>13.903225806451612</v>
      </c>
      <c r="K3" s="45" cm="1">
        <f t="array" aca="1" ref="K3" ca="1">SUMPRODUCT((Table1[SubscriptionStart] &lt;= $A3) * (Table1[EffectiveEndDate] &gt;= $A3) * (Table1[Region] = "England"))</f>
        <v>1</v>
      </c>
      <c r="L3" s="45" cm="1">
        <f t="array" aca="1" ref="L3" ca="1">SUMPRODUCT((Table1[SubscriptionStart] &lt;= $A3) * (Table1[EffectiveEndDate] &gt;= $A3) * (Table1[Region] = "Scotland"))</f>
        <v>1</v>
      </c>
      <c r="M3" s="45" cm="1">
        <f t="array" aca="1" ref="M3" ca="1">SUMPRODUCT((Table1[SubscriptionStart] &lt;= $A3) * (Table1[EffectiveEndDate] &gt;= $A3) * (Table1[Region] = "Wales"))</f>
        <v>0</v>
      </c>
      <c r="N3" s="45" cm="1">
        <f t="array" aca="1" ref="N3" ca="1">SUMPRODUCT((Table1[SubscriptionStart] &lt;= $A3) * (Table1[EffectiveEndDate] &gt;= $A3) * (Table1[Region] = "Northern Ireland"))</f>
        <v>2</v>
      </c>
      <c r="O3" s="45" cm="1">
        <f t="array" aca="1" ref="O3" ca="1">SUMPRODUCT((Table1[Gender]="Male")*(Table1[SubscriptionStart]&lt;=A3)*(Table1[EffectiveEndDate]&gt;=A3))</f>
        <v>2</v>
      </c>
      <c r="P3" s="45" cm="1">
        <f t="array" aca="1" ref="P3" ca="1">SUMPRODUCT((Table1[Gender]="Female")*(Table1[SubscriptionStart]&lt;=A3)*(Table1[EffectiveEndDate]&gt;=A3))</f>
        <v>2</v>
      </c>
    </row>
    <row r="4" spans="1:16">
      <c r="A4" s="48">
        <f t="shared" ref="A4:A67" si="3">A3+1</f>
        <v>44564</v>
      </c>
      <c r="B4" s="45" cm="1">
        <f t="array" aca="1" ref="B4" ca="1">SUMPRODUCT((Table1[SubscriptionStart]&lt;=A4)*(Table1[EffectiveEndDate]&gt;=A4))</f>
        <v>4</v>
      </c>
      <c r="C4" s="45">
        <f>COUNTIFS(Table1[SubscriptionStart], A4)</f>
        <v>0</v>
      </c>
      <c r="D4" s="45">
        <f>COUNTIFS(Table1[CancellationDate], A4)</f>
        <v>0</v>
      </c>
      <c r="E4" s="45">
        <f t="shared" si="0"/>
        <v>0</v>
      </c>
      <c r="F4" s="45">
        <f>SUM($C$2:C4)</f>
        <v>4</v>
      </c>
      <c r="G4" s="49" cm="1">
        <f t="array" aca="1" ref="G4" ca="1">IF(B4=0,"", SUMPRODUCT((Table1[SubscriptionStart]&lt;=A4)*(Table1[EffectiveEndDate]&gt;=A4)*Table1[Age]) / B4 )</f>
        <v>35.5</v>
      </c>
      <c r="H4" s="22">
        <f>SUMIF(Table1[SubscriptionStart],"&lt;="&amp;A4,Table1[TotalRevenue])</f>
        <v>1014.3</v>
      </c>
      <c r="I4" s="50">
        <f t="shared" si="1"/>
        <v>44592</v>
      </c>
      <c r="J4" s="49">
        <f t="shared" ca="1" si="2"/>
        <v>13.903225806451612</v>
      </c>
      <c r="K4" s="45" cm="1">
        <f t="array" aca="1" ref="K4" ca="1">SUMPRODUCT((Table1[SubscriptionStart] &lt;= $A4) * (Table1[EffectiveEndDate] &gt;= $A4) * (Table1[Region] = "England"))</f>
        <v>1</v>
      </c>
      <c r="L4" s="45" cm="1">
        <f t="array" aca="1" ref="L4" ca="1">SUMPRODUCT((Table1[SubscriptionStart] &lt;= $A4) * (Table1[EffectiveEndDate] &gt;= $A4) * (Table1[Region] = "Scotland"))</f>
        <v>1</v>
      </c>
      <c r="M4" s="45" cm="1">
        <f t="array" aca="1" ref="M4" ca="1">SUMPRODUCT((Table1[SubscriptionStart] &lt;= $A4) * (Table1[EffectiveEndDate] &gt;= $A4) * (Table1[Region] = "Wales"))</f>
        <v>0</v>
      </c>
      <c r="N4" s="45" cm="1">
        <f t="array" aca="1" ref="N4" ca="1">SUMPRODUCT((Table1[SubscriptionStart] &lt;= $A4) * (Table1[EffectiveEndDate] &gt;= $A4) * (Table1[Region] = "Northern Ireland"))</f>
        <v>2</v>
      </c>
      <c r="O4" s="45" cm="1">
        <f t="array" aca="1" ref="O4" ca="1">SUMPRODUCT((Table1[Gender]="Male")*(Table1[SubscriptionStart]&lt;=A4)*(Table1[EffectiveEndDate]&gt;=A4))</f>
        <v>2</v>
      </c>
      <c r="P4" s="45" cm="1">
        <f t="array" aca="1" ref="P4" ca="1">SUMPRODUCT((Table1[Gender]="Female")*(Table1[SubscriptionStart]&lt;=A4)*(Table1[EffectiveEndDate]&gt;=A4))</f>
        <v>2</v>
      </c>
    </row>
    <row r="5" spans="1:16">
      <c r="A5" s="48">
        <f t="shared" si="3"/>
        <v>44565</v>
      </c>
      <c r="B5" s="45" cm="1">
        <f t="array" aca="1" ref="B5" ca="1">SUMPRODUCT((Table1[SubscriptionStart]&lt;=A5)*(Table1[EffectiveEndDate]&gt;=A5))</f>
        <v>4</v>
      </c>
      <c r="C5" s="45">
        <f>COUNTIFS(Table1[SubscriptionStart], A5)</f>
        <v>0</v>
      </c>
      <c r="D5" s="45">
        <f>COUNTIFS(Table1[CancellationDate], A5)</f>
        <v>0</v>
      </c>
      <c r="E5" s="45">
        <f t="shared" si="0"/>
        <v>0</v>
      </c>
      <c r="F5" s="45">
        <f>SUM($C$2:C5)</f>
        <v>4</v>
      </c>
      <c r="G5" s="49" cm="1">
        <f t="array" aca="1" ref="G5" ca="1">IF(B5=0,"", SUMPRODUCT((Table1[SubscriptionStart]&lt;=A5)*(Table1[EffectiveEndDate]&gt;=A5)*Table1[Age]) / B5 )</f>
        <v>35.5</v>
      </c>
      <c r="H5" s="22">
        <f>SUMIF(Table1[SubscriptionStart],"&lt;="&amp;A5,Table1[TotalRevenue])</f>
        <v>1014.3</v>
      </c>
      <c r="I5" s="50">
        <f t="shared" si="1"/>
        <v>44592</v>
      </c>
      <c r="J5" s="49">
        <f t="shared" ca="1" si="2"/>
        <v>13.903225806451612</v>
      </c>
      <c r="K5" s="45" cm="1">
        <f t="array" aca="1" ref="K5" ca="1">SUMPRODUCT((Table1[SubscriptionStart] &lt;= $A5) * (Table1[EffectiveEndDate] &gt;= $A5) * (Table1[Region] = "England"))</f>
        <v>1</v>
      </c>
      <c r="L5" s="45" cm="1">
        <f t="array" aca="1" ref="L5" ca="1">SUMPRODUCT((Table1[SubscriptionStart] &lt;= $A5) * (Table1[EffectiveEndDate] &gt;= $A5) * (Table1[Region] = "Scotland"))</f>
        <v>1</v>
      </c>
      <c r="M5" s="45" cm="1">
        <f t="array" aca="1" ref="M5" ca="1">SUMPRODUCT((Table1[SubscriptionStart] &lt;= $A5) * (Table1[EffectiveEndDate] &gt;= $A5) * (Table1[Region] = "Wales"))</f>
        <v>0</v>
      </c>
      <c r="N5" s="45" cm="1">
        <f t="array" aca="1" ref="N5" ca="1">SUMPRODUCT((Table1[SubscriptionStart] &lt;= $A5) * (Table1[EffectiveEndDate] &gt;= $A5) * (Table1[Region] = "Northern Ireland"))</f>
        <v>2</v>
      </c>
      <c r="O5" s="45" cm="1">
        <f t="array" aca="1" ref="O5" ca="1">SUMPRODUCT((Table1[Gender]="Male")*(Table1[SubscriptionStart]&lt;=A5)*(Table1[EffectiveEndDate]&gt;=A5))</f>
        <v>2</v>
      </c>
      <c r="P5" s="45" cm="1">
        <f t="array" aca="1" ref="P5" ca="1">SUMPRODUCT((Table1[Gender]="Female")*(Table1[SubscriptionStart]&lt;=A5)*(Table1[EffectiveEndDate]&gt;=A5))</f>
        <v>2</v>
      </c>
    </row>
    <row r="6" spans="1:16">
      <c r="A6" s="48">
        <f t="shared" si="3"/>
        <v>44566</v>
      </c>
      <c r="B6" s="45" cm="1">
        <f t="array" aca="1" ref="B6" ca="1">SUMPRODUCT((Table1[SubscriptionStart]&lt;=A6)*(Table1[EffectiveEndDate]&gt;=A6))</f>
        <v>4</v>
      </c>
      <c r="C6" s="45">
        <f>COUNTIFS(Table1[SubscriptionStart], A6)</f>
        <v>0</v>
      </c>
      <c r="D6" s="45">
        <f>COUNTIFS(Table1[CancellationDate], A6)</f>
        <v>0</v>
      </c>
      <c r="E6" s="45">
        <f t="shared" si="0"/>
        <v>0</v>
      </c>
      <c r="F6" s="45">
        <f>SUM($C$2:C6)</f>
        <v>4</v>
      </c>
      <c r="G6" s="49" cm="1">
        <f t="array" aca="1" ref="G6" ca="1">IF(B6=0,"", SUMPRODUCT((Table1[SubscriptionStart]&lt;=A6)*(Table1[EffectiveEndDate]&gt;=A6)*Table1[Age]) / B6 )</f>
        <v>35.5</v>
      </c>
      <c r="H6" s="22">
        <f>SUMIF(Table1[SubscriptionStart],"&lt;="&amp;A6,Table1[TotalRevenue])</f>
        <v>1014.3</v>
      </c>
      <c r="I6" s="50">
        <f t="shared" si="1"/>
        <v>44592</v>
      </c>
      <c r="J6" s="49">
        <f t="shared" ca="1" si="2"/>
        <v>13.903225806451612</v>
      </c>
      <c r="K6" s="45" cm="1">
        <f t="array" aca="1" ref="K6" ca="1">SUMPRODUCT((Table1[SubscriptionStart] &lt;= $A6) * (Table1[EffectiveEndDate] &gt;= $A6) * (Table1[Region] = "England"))</f>
        <v>1</v>
      </c>
      <c r="L6" s="45" cm="1">
        <f t="array" aca="1" ref="L6" ca="1">SUMPRODUCT((Table1[SubscriptionStart] &lt;= $A6) * (Table1[EffectiveEndDate] &gt;= $A6) * (Table1[Region] = "Scotland"))</f>
        <v>1</v>
      </c>
      <c r="M6" s="45" cm="1">
        <f t="array" aca="1" ref="M6" ca="1">SUMPRODUCT((Table1[SubscriptionStart] &lt;= $A6) * (Table1[EffectiveEndDate] &gt;= $A6) * (Table1[Region] = "Wales"))</f>
        <v>0</v>
      </c>
      <c r="N6" s="45" cm="1">
        <f t="array" aca="1" ref="N6" ca="1">SUMPRODUCT((Table1[SubscriptionStart] &lt;= $A6) * (Table1[EffectiveEndDate] &gt;= $A6) * (Table1[Region] = "Northern Ireland"))</f>
        <v>2</v>
      </c>
      <c r="O6" s="45" cm="1">
        <f t="array" aca="1" ref="O6" ca="1">SUMPRODUCT((Table1[Gender]="Male")*(Table1[SubscriptionStart]&lt;=A6)*(Table1[EffectiveEndDate]&gt;=A6))</f>
        <v>2</v>
      </c>
      <c r="P6" s="45" cm="1">
        <f t="array" aca="1" ref="P6" ca="1">SUMPRODUCT((Table1[Gender]="Female")*(Table1[SubscriptionStart]&lt;=A6)*(Table1[EffectiveEndDate]&gt;=A6))</f>
        <v>2</v>
      </c>
    </row>
    <row r="7" spans="1:16">
      <c r="A7" s="48">
        <f t="shared" si="3"/>
        <v>44567</v>
      </c>
      <c r="B7" s="45" cm="1">
        <f t="array" aca="1" ref="B7" ca="1">SUMPRODUCT((Table1[SubscriptionStart]&lt;=A7)*(Table1[EffectiveEndDate]&gt;=A7))</f>
        <v>5</v>
      </c>
      <c r="C7" s="45">
        <f>COUNTIFS(Table1[SubscriptionStart], A7)</f>
        <v>1</v>
      </c>
      <c r="D7" s="45">
        <f>COUNTIFS(Table1[CancellationDate], A7)</f>
        <v>0</v>
      </c>
      <c r="E7" s="45">
        <f t="shared" si="0"/>
        <v>1</v>
      </c>
      <c r="F7" s="45">
        <f>SUM($C$2:C7)</f>
        <v>5</v>
      </c>
      <c r="G7" s="49" cm="1">
        <f t="array" aca="1" ref="G7" ca="1">IF(B7=0,"", SUMPRODUCT((Table1[SubscriptionStart]&lt;=A7)*(Table1[EffectiveEndDate]&gt;=A7)*Table1[Age]) / B7 )</f>
        <v>36</v>
      </c>
      <c r="H7" s="22">
        <f>SUMIF(Table1[SubscriptionStart],"&lt;="&amp;A7,Table1[TotalRevenue])</f>
        <v>1115.55</v>
      </c>
      <c r="I7" s="50">
        <f t="shared" si="1"/>
        <v>44592</v>
      </c>
      <c r="J7" s="49">
        <f t="shared" ca="1" si="2"/>
        <v>13.903225806451612</v>
      </c>
      <c r="K7" s="45" cm="1">
        <f t="array" aca="1" ref="K7" ca="1">SUMPRODUCT((Table1[SubscriptionStart] &lt;= $A7) * (Table1[EffectiveEndDate] &gt;= $A7) * (Table1[Region] = "England"))</f>
        <v>1</v>
      </c>
      <c r="L7" s="45" cm="1">
        <f t="array" aca="1" ref="L7" ca="1">SUMPRODUCT((Table1[SubscriptionStart] &lt;= $A7) * (Table1[EffectiveEndDate] &gt;= $A7) * (Table1[Region] = "Scotland"))</f>
        <v>1</v>
      </c>
      <c r="M7" s="45" cm="1">
        <f t="array" aca="1" ref="M7" ca="1">SUMPRODUCT((Table1[SubscriptionStart] &lt;= $A7) * (Table1[EffectiveEndDate] &gt;= $A7) * (Table1[Region] = "Wales"))</f>
        <v>1</v>
      </c>
      <c r="N7" s="45" cm="1">
        <f t="array" aca="1" ref="N7" ca="1">SUMPRODUCT((Table1[SubscriptionStart] &lt;= $A7) * (Table1[EffectiveEndDate] &gt;= $A7) * (Table1[Region] = "Northern Ireland"))</f>
        <v>2</v>
      </c>
      <c r="O7" s="45" cm="1">
        <f t="array" aca="1" ref="O7" ca="1">SUMPRODUCT((Table1[Gender]="Male")*(Table1[SubscriptionStart]&lt;=A7)*(Table1[EffectiveEndDate]&gt;=A7))</f>
        <v>2</v>
      </c>
      <c r="P7" s="45" cm="1">
        <f t="array" aca="1" ref="P7" ca="1">SUMPRODUCT((Table1[Gender]="Female")*(Table1[SubscriptionStart]&lt;=A7)*(Table1[EffectiveEndDate]&gt;=A7))</f>
        <v>3</v>
      </c>
    </row>
    <row r="8" spans="1:16">
      <c r="A8" s="48">
        <f t="shared" si="3"/>
        <v>44568</v>
      </c>
      <c r="B8" s="45" cm="1">
        <f t="array" aca="1" ref="B8" ca="1">SUMPRODUCT((Table1[SubscriptionStart]&lt;=A8)*(Table1[EffectiveEndDate]&gt;=A8))</f>
        <v>5</v>
      </c>
      <c r="C8" s="45">
        <f>COUNTIFS(Table1[SubscriptionStart], A8)</f>
        <v>0</v>
      </c>
      <c r="D8" s="45">
        <f>COUNTIFS(Table1[CancellationDate], A8)</f>
        <v>0</v>
      </c>
      <c r="E8" s="45">
        <f t="shared" si="0"/>
        <v>0</v>
      </c>
      <c r="F8" s="45">
        <f>SUM($C$2:C8)</f>
        <v>5</v>
      </c>
      <c r="G8" s="49" cm="1">
        <f t="array" aca="1" ref="G8" ca="1">IF(B8=0,"", SUMPRODUCT((Table1[SubscriptionStart]&lt;=A8)*(Table1[EffectiveEndDate]&gt;=A8)*Table1[Age]) / B8 )</f>
        <v>36</v>
      </c>
      <c r="H8" s="22">
        <f>SUMIF(Table1[SubscriptionStart],"&lt;="&amp;A8,Table1[TotalRevenue])</f>
        <v>1115.55</v>
      </c>
      <c r="I8" s="50">
        <f t="shared" si="1"/>
        <v>44592</v>
      </c>
      <c r="J8" s="49">
        <f t="shared" ca="1" si="2"/>
        <v>13.903225806451612</v>
      </c>
      <c r="K8" s="45" cm="1">
        <f t="array" aca="1" ref="K8" ca="1">SUMPRODUCT((Table1[SubscriptionStart] &lt;= $A8) * (Table1[EffectiveEndDate] &gt;= $A8) * (Table1[Region] = "England"))</f>
        <v>1</v>
      </c>
      <c r="L8" s="45" cm="1">
        <f t="array" aca="1" ref="L8" ca="1">SUMPRODUCT((Table1[SubscriptionStart] &lt;= $A8) * (Table1[EffectiveEndDate] &gt;= $A8) * (Table1[Region] = "Scotland"))</f>
        <v>1</v>
      </c>
      <c r="M8" s="45" cm="1">
        <f t="array" aca="1" ref="M8" ca="1">SUMPRODUCT((Table1[SubscriptionStart] &lt;= $A8) * (Table1[EffectiveEndDate] &gt;= $A8) * (Table1[Region] = "Wales"))</f>
        <v>1</v>
      </c>
      <c r="N8" s="45" cm="1">
        <f t="array" aca="1" ref="N8" ca="1">SUMPRODUCT((Table1[SubscriptionStart] &lt;= $A8) * (Table1[EffectiveEndDate] &gt;= $A8) * (Table1[Region] = "Northern Ireland"))</f>
        <v>2</v>
      </c>
      <c r="O8" s="45" cm="1">
        <f t="array" aca="1" ref="O8" ca="1">SUMPRODUCT((Table1[Gender]="Male")*(Table1[SubscriptionStart]&lt;=A8)*(Table1[EffectiveEndDate]&gt;=A8))</f>
        <v>2</v>
      </c>
      <c r="P8" s="45" cm="1">
        <f t="array" aca="1" ref="P8" ca="1">SUMPRODUCT((Table1[Gender]="Female")*(Table1[SubscriptionStart]&lt;=A8)*(Table1[EffectiveEndDate]&gt;=A8))</f>
        <v>3</v>
      </c>
    </row>
    <row r="9" spans="1:16">
      <c r="A9" s="48">
        <f t="shared" si="3"/>
        <v>44569</v>
      </c>
      <c r="B9" s="45" cm="1">
        <f t="array" aca="1" ref="B9" ca="1">SUMPRODUCT((Table1[SubscriptionStart]&lt;=A9)*(Table1[EffectiveEndDate]&gt;=A9))</f>
        <v>7</v>
      </c>
      <c r="C9" s="45">
        <f>COUNTIFS(Table1[SubscriptionStart], A9)</f>
        <v>2</v>
      </c>
      <c r="D9" s="45">
        <f>COUNTIFS(Table1[CancellationDate], A9)</f>
        <v>0</v>
      </c>
      <c r="E9" s="45">
        <f t="shared" si="0"/>
        <v>2</v>
      </c>
      <c r="F9" s="45">
        <f>SUM($C$2:C9)</f>
        <v>7</v>
      </c>
      <c r="G9" s="49" cm="1">
        <f t="array" aca="1" ref="G9" ca="1">IF(B9=0,"", SUMPRODUCT((Table1[SubscriptionStart]&lt;=A9)*(Table1[EffectiveEndDate]&gt;=A9)*Table1[Age]) / B9 )</f>
        <v>36.142857142857146</v>
      </c>
      <c r="H9" s="22">
        <f>SUMIF(Table1[SubscriptionStart],"&lt;="&amp;A9,Table1[TotalRevenue])</f>
        <v>1466.55</v>
      </c>
      <c r="I9" s="50">
        <f t="shared" si="1"/>
        <v>44592</v>
      </c>
      <c r="J9" s="49">
        <f t="shared" ca="1" si="2"/>
        <v>13.903225806451612</v>
      </c>
      <c r="K9" s="45" cm="1">
        <f t="array" aca="1" ref="K9" ca="1">SUMPRODUCT((Table1[SubscriptionStart] &lt;= $A9) * (Table1[EffectiveEndDate] &gt;= $A9) * (Table1[Region] = "England"))</f>
        <v>2</v>
      </c>
      <c r="L9" s="45" cm="1">
        <f t="array" aca="1" ref="L9" ca="1">SUMPRODUCT((Table1[SubscriptionStart] &lt;= $A9) * (Table1[EffectiveEndDate] &gt;= $A9) * (Table1[Region] = "Scotland"))</f>
        <v>1</v>
      </c>
      <c r="M9" s="45" cm="1">
        <f t="array" aca="1" ref="M9" ca="1">SUMPRODUCT((Table1[SubscriptionStart] &lt;= $A9) * (Table1[EffectiveEndDate] &gt;= $A9) * (Table1[Region] = "Wales"))</f>
        <v>1</v>
      </c>
      <c r="N9" s="45" cm="1">
        <f t="array" aca="1" ref="N9" ca="1">SUMPRODUCT((Table1[SubscriptionStart] &lt;= $A9) * (Table1[EffectiveEndDate] &gt;= $A9) * (Table1[Region] = "Northern Ireland"))</f>
        <v>3</v>
      </c>
      <c r="O9" s="45" cm="1">
        <f t="array" aca="1" ref="O9" ca="1">SUMPRODUCT((Table1[Gender]="Male")*(Table1[SubscriptionStart]&lt;=A9)*(Table1[EffectiveEndDate]&gt;=A9))</f>
        <v>3</v>
      </c>
      <c r="P9" s="45" cm="1">
        <f t="array" aca="1" ref="P9" ca="1">SUMPRODUCT((Table1[Gender]="Female")*(Table1[SubscriptionStart]&lt;=A9)*(Table1[EffectiveEndDate]&gt;=A9))</f>
        <v>4</v>
      </c>
    </row>
    <row r="10" spans="1:16">
      <c r="A10" s="48">
        <f t="shared" si="3"/>
        <v>44570</v>
      </c>
      <c r="B10" s="45" cm="1">
        <f t="array" aca="1" ref="B10" ca="1">SUMPRODUCT((Table1[SubscriptionStart]&lt;=A10)*(Table1[EffectiveEndDate]&gt;=A10))</f>
        <v>9</v>
      </c>
      <c r="C10" s="45">
        <f>COUNTIFS(Table1[SubscriptionStart], A10)</f>
        <v>2</v>
      </c>
      <c r="D10" s="45">
        <f>COUNTIFS(Table1[CancellationDate], A10)</f>
        <v>0</v>
      </c>
      <c r="E10" s="45">
        <f t="shared" si="0"/>
        <v>2</v>
      </c>
      <c r="F10" s="45">
        <f>SUM($C$2:C10)</f>
        <v>9</v>
      </c>
      <c r="G10" s="49" cm="1">
        <f t="array" aca="1" ref="G10" ca="1">IF(B10=0,"", SUMPRODUCT((Table1[SubscriptionStart]&lt;=A10)*(Table1[EffectiveEndDate]&gt;=A10)*Table1[Age]) / B10 )</f>
        <v>36.555555555555557</v>
      </c>
      <c r="H10" s="22">
        <f>SUMIF(Table1[SubscriptionStart],"&lt;="&amp;A10,Table1[TotalRevenue])</f>
        <v>2098.35</v>
      </c>
      <c r="I10" s="50">
        <f t="shared" si="1"/>
        <v>44592</v>
      </c>
      <c r="J10" s="49">
        <f t="shared" ca="1" si="2"/>
        <v>13.903225806451612</v>
      </c>
      <c r="K10" s="45" cm="1">
        <f t="array" aca="1" ref="K10" ca="1">SUMPRODUCT((Table1[SubscriptionStart] &lt;= $A10) * (Table1[EffectiveEndDate] &gt;= $A10) * (Table1[Region] = "England"))</f>
        <v>2</v>
      </c>
      <c r="L10" s="45" cm="1">
        <f t="array" aca="1" ref="L10" ca="1">SUMPRODUCT((Table1[SubscriptionStart] &lt;= $A10) * (Table1[EffectiveEndDate] &gt;= $A10) * (Table1[Region] = "Scotland"))</f>
        <v>3</v>
      </c>
      <c r="M10" s="45" cm="1">
        <f t="array" aca="1" ref="M10" ca="1">SUMPRODUCT((Table1[SubscriptionStart] &lt;= $A10) * (Table1[EffectiveEndDate] &gt;= $A10) * (Table1[Region] = "Wales"))</f>
        <v>1</v>
      </c>
      <c r="N10" s="45" cm="1">
        <f t="array" aca="1" ref="N10" ca="1">SUMPRODUCT((Table1[SubscriptionStart] &lt;= $A10) * (Table1[EffectiveEndDate] &gt;= $A10) * (Table1[Region] = "Northern Ireland"))</f>
        <v>3</v>
      </c>
      <c r="O10" s="45" cm="1">
        <f t="array" aca="1" ref="O10" ca="1">SUMPRODUCT((Table1[Gender]="Male")*(Table1[SubscriptionStart]&lt;=A10)*(Table1[EffectiveEndDate]&gt;=A10))</f>
        <v>5</v>
      </c>
      <c r="P10" s="45" cm="1">
        <f t="array" aca="1" ref="P10" ca="1">SUMPRODUCT((Table1[Gender]="Female")*(Table1[SubscriptionStart]&lt;=A10)*(Table1[EffectiveEndDate]&gt;=A10))</f>
        <v>4</v>
      </c>
    </row>
    <row r="11" spans="1:16">
      <c r="A11" s="48">
        <f t="shared" si="3"/>
        <v>44571</v>
      </c>
      <c r="B11" s="45" cm="1">
        <f t="array" aca="1" ref="B11" ca="1">SUMPRODUCT((Table1[SubscriptionStart]&lt;=A11)*(Table1[EffectiveEndDate]&gt;=A11))</f>
        <v>9</v>
      </c>
      <c r="C11" s="45">
        <f>COUNTIFS(Table1[SubscriptionStart], A11)</f>
        <v>0</v>
      </c>
      <c r="D11" s="45">
        <f>COUNTIFS(Table1[CancellationDate], A11)</f>
        <v>0</v>
      </c>
      <c r="E11" s="45">
        <f t="shared" si="0"/>
        <v>0</v>
      </c>
      <c r="F11" s="45">
        <f>SUM($C$2:C11)</f>
        <v>9</v>
      </c>
      <c r="G11" s="49" cm="1">
        <f t="array" aca="1" ref="G11" ca="1">IF(B11=0,"", SUMPRODUCT((Table1[SubscriptionStart]&lt;=A11)*(Table1[EffectiveEndDate]&gt;=A11)*Table1[Age]) / B11 )</f>
        <v>36.555555555555557</v>
      </c>
      <c r="H11" s="22">
        <f>SUMIF(Table1[SubscriptionStart],"&lt;="&amp;A11,Table1[TotalRevenue])</f>
        <v>2098.35</v>
      </c>
      <c r="I11" s="50">
        <f t="shared" si="1"/>
        <v>44592</v>
      </c>
      <c r="J11" s="49">
        <f t="shared" ca="1" si="2"/>
        <v>13.903225806451612</v>
      </c>
      <c r="K11" s="45" cm="1">
        <f t="array" aca="1" ref="K11" ca="1">SUMPRODUCT((Table1[SubscriptionStart] &lt;= $A11) * (Table1[EffectiveEndDate] &gt;= $A11) * (Table1[Region] = "England"))</f>
        <v>2</v>
      </c>
      <c r="L11" s="45" cm="1">
        <f t="array" aca="1" ref="L11" ca="1">SUMPRODUCT((Table1[SubscriptionStart] &lt;= $A11) * (Table1[EffectiveEndDate] &gt;= $A11) * (Table1[Region] = "Scotland"))</f>
        <v>3</v>
      </c>
      <c r="M11" s="45" cm="1">
        <f t="array" aca="1" ref="M11" ca="1">SUMPRODUCT((Table1[SubscriptionStart] &lt;= $A11) * (Table1[EffectiveEndDate] &gt;= $A11) * (Table1[Region] = "Wales"))</f>
        <v>1</v>
      </c>
      <c r="N11" s="45" cm="1">
        <f t="array" aca="1" ref="N11" ca="1">SUMPRODUCT((Table1[SubscriptionStart] &lt;= $A11) * (Table1[EffectiveEndDate] &gt;= $A11) * (Table1[Region] = "Northern Ireland"))</f>
        <v>3</v>
      </c>
      <c r="O11" s="45" cm="1">
        <f t="array" aca="1" ref="O11" ca="1">SUMPRODUCT((Table1[Gender]="Male")*(Table1[SubscriptionStart]&lt;=A11)*(Table1[EffectiveEndDate]&gt;=A11))</f>
        <v>5</v>
      </c>
      <c r="P11" s="45" cm="1">
        <f t="array" aca="1" ref="P11" ca="1">SUMPRODUCT((Table1[Gender]="Female")*(Table1[SubscriptionStart]&lt;=A11)*(Table1[EffectiveEndDate]&gt;=A11))</f>
        <v>4</v>
      </c>
    </row>
    <row r="12" spans="1:16">
      <c r="A12" s="48">
        <f t="shared" si="3"/>
        <v>44572</v>
      </c>
      <c r="B12" s="45" cm="1">
        <f t="array" aca="1" ref="B12" ca="1">SUMPRODUCT((Table1[SubscriptionStart]&lt;=A12)*(Table1[EffectiveEndDate]&gt;=A12))</f>
        <v>9</v>
      </c>
      <c r="C12" s="45">
        <f>COUNTIFS(Table1[SubscriptionStart], A12)</f>
        <v>0</v>
      </c>
      <c r="D12" s="45">
        <f>COUNTIFS(Table1[CancellationDate], A12)</f>
        <v>0</v>
      </c>
      <c r="E12" s="45">
        <f t="shared" si="0"/>
        <v>0</v>
      </c>
      <c r="F12" s="45">
        <f>SUM($C$2:C12)</f>
        <v>9</v>
      </c>
      <c r="G12" s="49" cm="1">
        <f t="array" aca="1" ref="G12" ca="1">IF(B12=0,"", SUMPRODUCT((Table1[SubscriptionStart]&lt;=A12)*(Table1[EffectiveEndDate]&gt;=A12)*Table1[Age]) / B12 )</f>
        <v>36.555555555555557</v>
      </c>
      <c r="H12" s="22">
        <f>SUMIF(Table1[SubscriptionStart],"&lt;="&amp;A12,Table1[TotalRevenue])</f>
        <v>2098.35</v>
      </c>
      <c r="I12" s="50">
        <f t="shared" si="1"/>
        <v>44592</v>
      </c>
      <c r="J12" s="49">
        <f t="shared" ca="1" si="2"/>
        <v>13.903225806451612</v>
      </c>
      <c r="K12" s="45" cm="1">
        <f t="array" aca="1" ref="K12" ca="1">SUMPRODUCT((Table1[SubscriptionStart] &lt;= $A12) * (Table1[EffectiveEndDate] &gt;= $A12) * (Table1[Region] = "England"))</f>
        <v>2</v>
      </c>
      <c r="L12" s="45" cm="1">
        <f t="array" aca="1" ref="L12" ca="1">SUMPRODUCT((Table1[SubscriptionStart] &lt;= $A12) * (Table1[EffectiveEndDate] &gt;= $A12) * (Table1[Region] = "Scotland"))</f>
        <v>3</v>
      </c>
      <c r="M12" s="45" cm="1">
        <f t="array" aca="1" ref="M12" ca="1">SUMPRODUCT((Table1[SubscriptionStart] &lt;= $A12) * (Table1[EffectiveEndDate] &gt;= $A12) * (Table1[Region] = "Wales"))</f>
        <v>1</v>
      </c>
      <c r="N12" s="45" cm="1">
        <f t="array" aca="1" ref="N12" ca="1">SUMPRODUCT((Table1[SubscriptionStart] &lt;= $A12) * (Table1[EffectiveEndDate] &gt;= $A12) * (Table1[Region] = "Northern Ireland"))</f>
        <v>3</v>
      </c>
      <c r="O12" s="45" cm="1">
        <f t="array" aca="1" ref="O12" ca="1">SUMPRODUCT((Table1[Gender]="Male")*(Table1[SubscriptionStart]&lt;=A12)*(Table1[EffectiveEndDate]&gt;=A12))</f>
        <v>5</v>
      </c>
      <c r="P12" s="45" cm="1">
        <f t="array" aca="1" ref="P12" ca="1">SUMPRODUCT((Table1[Gender]="Female")*(Table1[SubscriptionStart]&lt;=A12)*(Table1[EffectiveEndDate]&gt;=A12))</f>
        <v>4</v>
      </c>
    </row>
    <row r="13" spans="1:16">
      <c r="A13" s="48">
        <f t="shared" si="3"/>
        <v>44573</v>
      </c>
      <c r="B13" s="45" cm="1">
        <f t="array" aca="1" ref="B13" ca="1">SUMPRODUCT((Table1[SubscriptionStart]&lt;=A13)*(Table1[EffectiveEndDate]&gt;=A13))</f>
        <v>10</v>
      </c>
      <c r="C13" s="45">
        <f>COUNTIFS(Table1[SubscriptionStart], A13)</f>
        <v>1</v>
      </c>
      <c r="D13" s="45">
        <f>COUNTIFS(Table1[CancellationDate], A13)</f>
        <v>0</v>
      </c>
      <c r="E13" s="45">
        <f t="shared" si="0"/>
        <v>1</v>
      </c>
      <c r="F13" s="45">
        <f>SUM($C$2:C13)</f>
        <v>10</v>
      </c>
      <c r="G13" s="49" cm="1">
        <f t="array" aca="1" ref="G13" ca="1">IF(B13=0,"", SUMPRODUCT((Table1[SubscriptionStart]&lt;=A13)*(Table1[EffectiveEndDate]&gt;=A13)*Table1[Age]) / B13 )</f>
        <v>35.9</v>
      </c>
      <c r="H13" s="22">
        <f>SUMIF(Table1[SubscriptionStart],"&lt;="&amp;A13,Table1[TotalRevenue])</f>
        <v>2170.35</v>
      </c>
      <c r="I13" s="50">
        <f t="shared" si="1"/>
        <v>44592</v>
      </c>
      <c r="J13" s="49">
        <f t="shared" ca="1" si="2"/>
        <v>13.903225806451612</v>
      </c>
      <c r="K13" s="45" cm="1">
        <f t="array" aca="1" ref="K13" ca="1">SUMPRODUCT((Table1[SubscriptionStart] &lt;= $A13) * (Table1[EffectiveEndDate] &gt;= $A13) * (Table1[Region] = "England"))</f>
        <v>2</v>
      </c>
      <c r="L13" s="45" cm="1">
        <f t="array" aca="1" ref="L13" ca="1">SUMPRODUCT((Table1[SubscriptionStart] &lt;= $A13) * (Table1[EffectiveEndDate] &gt;= $A13) * (Table1[Region] = "Scotland"))</f>
        <v>3</v>
      </c>
      <c r="M13" s="45" cm="1">
        <f t="array" aca="1" ref="M13" ca="1">SUMPRODUCT((Table1[SubscriptionStart] &lt;= $A13) * (Table1[EffectiveEndDate] &gt;= $A13) * (Table1[Region] = "Wales"))</f>
        <v>2</v>
      </c>
      <c r="N13" s="45" cm="1">
        <f t="array" aca="1" ref="N13" ca="1">SUMPRODUCT((Table1[SubscriptionStart] &lt;= $A13) * (Table1[EffectiveEndDate] &gt;= $A13) * (Table1[Region] = "Northern Ireland"))</f>
        <v>3</v>
      </c>
      <c r="O13" s="45" cm="1">
        <f t="array" aca="1" ref="O13" ca="1">SUMPRODUCT((Table1[Gender]="Male")*(Table1[SubscriptionStart]&lt;=A13)*(Table1[EffectiveEndDate]&gt;=A13))</f>
        <v>5</v>
      </c>
      <c r="P13" s="45" cm="1">
        <f t="array" aca="1" ref="P13" ca="1">SUMPRODUCT((Table1[Gender]="Female")*(Table1[SubscriptionStart]&lt;=A13)*(Table1[EffectiveEndDate]&gt;=A13))</f>
        <v>5</v>
      </c>
    </row>
    <row r="14" spans="1:16">
      <c r="A14" s="48">
        <f t="shared" si="3"/>
        <v>44574</v>
      </c>
      <c r="B14" s="45" cm="1">
        <f t="array" aca="1" ref="B14" ca="1">SUMPRODUCT((Table1[SubscriptionStart]&lt;=A14)*(Table1[EffectiveEndDate]&gt;=A14))</f>
        <v>10</v>
      </c>
      <c r="C14" s="45">
        <f>COUNTIFS(Table1[SubscriptionStart], A14)</f>
        <v>0</v>
      </c>
      <c r="D14" s="45">
        <f>COUNTIFS(Table1[CancellationDate], A14)</f>
        <v>0</v>
      </c>
      <c r="E14" s="45">
        <f t="shared" si="0"/>
        <v>0</v>
      </c>
      <c r="F14" s="45">
        <f>SUM($C$2:C14)</f>
        <v>10</v>
      </c>
      <c r="G14" s="49" cm="1">
        <f t="array" aca="1" ref="G14" ca="1">IF(B14=0,"", SUMPRODUCT((Table1[SubscriptionStart]&lt;=A14)*(Table1[EffectiveEndDate]&gt;=A14)*Table1[Age]) / B14 )</f>
        <v>35.9</v>
      </c>
      <c r="H14" s="22">
        <f>SUMIF(Table1[SubscriptionStart],"&lt;="&amp;A14,Table1[TotalRevenue])</f>
        <v>2170.35</v>
      </c>
      <c r="I14" s="50">
        <f t="shared" si="1"/>
        <v>44592</v>
      </c>
      <c r="J14" s="49">
        <f t="shared" ca="1" si="2"/>
        <v>13.903225806451612</v>
      </c>
      <c r="K14" s="45" cm="1">
        <f t="array" aca="1" ref="K14" ca="1">SUMPRODUCT((Table1[SubscriptionStart] &lt;= $A14) * (Table1[EffectiveEndDate] &gt;= $A14) * (Table1[Region] = "England"))</f>
        <v>2</v>
      </c>
      <c r="L14" s="45" cm="1">
        <f t="array" aca="1" ref="L14" ca="1">SUMPRODUCT((Table1[SubscriptionStart] &lt;= $A14) * (Table1[EffectiveEndDate] &gt;= $A14) * (Table1[Region] = "Scotland"))</f>
        <v>3</v>
      </c>
      <c r="M14" s="45" cm="1">
        <f t="array" aca="1" ref="M14" ca="1">SUMPRODUCT((Table1[SubscriptionStart] &lt;= $A14) * (Table1[EffectiveEndDate] &gt;= $A14) * (Table1[Region] = "Wales"))</f>
        <v>2</v>
      </c>
      <c r="N14" s="45" cm="1">
        <f t="array" aca="1" ref="N14" ca="1">SUMPRODUCT((Table1[SubscriptionStart] &lt;= $A14) * (Table1[EffectiveEndDate] &gt;= $A14) * (Table1[Region] = "Northern Ireland"))</f>
        <v>3</v>
      </c>
      <c r="O14" s="45" cm="1">
        <f t="array" aca="1" ref="O14" ca="1">SUMPRODUCT((Table1[Gender]="Male")*(Table1[SubscriptionStart]&lt;=A14)*(Table1[EffectiveEndDate]&gt;=A14))</f>
        <v>5</v>
      </c>
      <c r="P14" s="45" cm="1">
        <f t="array" aca="1" ref="P14" ca="1">SUMPRODUCT((Table1[Gender]="Female")*(Table1[SubscriptionStart]&lt;=A14)*(Table1[EffectiveEndDate]&gt;=A14))</f>
        <v>5</v>
      </c>
    </row>
    <row r="15" spans="1:16">
      <c r="A15" s="48">
        <f t="shared" si="3"/>
        <v>44575</v>
      </c>
      <c r="B15" s="45" cm="1">
        <f t="array" aca="1" ref="B15" ca="1">SUMPRODUCT((Table1[SubscriptionStart]&lt;=A15)*(Table1[EffectiveEndDate]&gt;=A15))</f>
        <v>10</v>
      </c>
      <c r="C15" s="45">
        <f>COUNTIFS(Table1[SubscriptionStart], A15)</f>
        <v>0</v>
      </c>
      <c r="D15" s="45">
        <f>COUNTIFS(Table1[CancellationDate], A15)</f>
        <v>0</v>
      </c>
      <c r="E15" s="45">
        <f t="shared" si="0"/>
        <v>0</v>
      </c>
      <c r="F15" s="45">
        <f>SUM($C$2:C15)</f>
        <v>10</v>
      </c>
      <c r="G15" s="49" cm="1">
        <f t="array" aca="1" ref="G15" ca="1">IF(B15=0,"", SUMPRODUCT((Table1[SubscriptionStart]&lt;=A15)*(Table1[EffectiveEndDate]&gt;=A15)*Table1[Age]) / B15 )</f>
        <v>35.9</v>
      </c>
      <c r="H15" s="22">
        <f>SUMIF(Table1[SubscriptionStart],"&lt;="&amp;A15,Table1[TotalRevenue])</f>
        <v>2170.35</v>
      </c>
      <c r="I15" s="50">
        <f t="shared" si="1"/>
        <v>44592</v>
      </c>
      <c r="J15" s="49">
        <f t="shared" ca="1" si="2"/>
        <v>13.903225806451612</v>
      </c>
      <c r="K15" s="45" cm="1">
        <f t="array" aca="1" ref="K15" ca="1">SUMPRODUCT((Table1[SubscriptionStart] &lt;= $A15) * (Table1[EffectiveEndDate] &gt;= $A15) * (Table1[Region] = "England"))</f>
        <v>2</v>
      </c>
      <c r="L15" s="45" cm="1">
        <f t="array" aca="1" ref="L15" ca="1">SUMPRODUCT((Table1[SubscriptionStart] &lt;= $A15) * (Table1[EffectiveEndDate] &gt;= $A15) * (Table1[Region] = "Scotland"))</f>
        <v>3</v>
      </c>
      <c r="M15" s="45" cm="1">
        <f t="array" aca="1" ref="M15" ca="1">SUMPRODUCT((Table1[SubscriptionStart] &lt;= $A15) * (Table1[EffectiveEndDate] &gt;= $A15) * (Table1[Region] = "Wales"))</f>
        <v>2</v>
      </c>
      <c r="N15" s="45" cm="1">
        <f t="array" aca="1" ref="N15" ca="1">SUMPRODUCT((Table1[SubscriptionStart] &lt;= $A15) * (Table1[EffectiveEndDate] &gt;= $A15) * (Table1[Region] = "Northern Ireland"))</f>
        <v>3</v>
      </c>
      <c r="O15" s="45" cm="1">
        <f t="array" aca="1" ref="O15" ca="1">SUMPRODUCT((Table1[Gender]="Male")*(Table1[SubscriptionStart]&lt;=A15)*(Table1[EffectiveEndDate]&gt;=A15))</f>
        <v>5</v>
      </c>
      <c r="P15" s="45" cm="1">
        <f t="array" aca="1" ref="P15" ca="1">SUMPRODUCT((Table1[Gender]="Female")*(Table1[SubscriptionStart]&lt;=A15)*(Table1[EffectiveEndDate]&gt;=A15))</f>
        <v>5</v>
      </c>
    </row>
    <row r="16" spans="1:16">
      <c r="A16" s="48">
        <f t="shared" si="3"/>
        <v>44576</v>
      </c>
      <c r="B16" s="45" cm="1">
        <f t="array" aca="1" ref="B16" ca="1">SUMPRODUCT((Table1[SubscriptionStart]&lt;=A16)*(Table1[EffectiveEndDate]&gt;=A16))</f>
        <v>11</v>
      </c>
      <c r="C16" s="45">
        <f>COUNTIFS(Table1[SubscriptionStart], A16)</f>
        <v>1</v>
      </c>
      <c r="D16" s="45">
        <f>COUNTIFS(Table1[CancellationDate], A16)</f>
        <v>0</v>
      </c>
      <c r="E16" s="45">
        <f t="shared" si="0"/>
        <v>1</v>
      </c>
      <c r="F16" s="45">
        <f>SUM($C$2:C16)</f>
        <v>11</v>
      </c>
      <c r="G16" s="49" cm="1">
        <f t="array" aca="1" ref="G16" ca="1">IF(B16=0,"", SUMPRODUCT((Table1[SubscriptionStart]&lt;=A16)*(Table1[EffectiveEndDate]&gt;=A16)*Table1[Age]) / B16 )</f>
        <v>36.727272727272727</v>
      </c>
      <c r="H16" s="22">
        <f>SUMIF(Table1[SubscriptionStart],"&lt;="&amp;A16,Table1[TotalRevenue])</f>
        <v>2170.35</v>
      </c>
      <c r="I16" s="50">
        <f t="shared" si="1"/>
        <v>44592</v>
      </c>
      <c r="J16" s="49">
        <f t="shared" ca="1" si="2"/>
        <v>13.903225806451612</v>
      </c>
      <c r="K16" s="45" cm="1">
        <f t="array" aca="1" ref="K16" ca="1">SUMPRODUCT((Table1[SubscriptionStart] &lt;= $A16) * (Table1[EffectiveEndDate] &gt;= $A16) * (Table1[Region] = "England"))</f>
        <v>2</v>
      </c>
      <c r="L16" s="45" cm="1">
        <f t="array" aca="1" ref="L16" ca="1">SUMPRODUCT((Table1[SubscriptionStart] &lt;= $A16) * (Table1[EffectiveEndDate] &gt;= $A16) * (Table1[Region] = "Scotland"))</f>
        <v>3</v>
      </c>
      <c r="M16" s="45" cm="1">
        <f t="array" aca="1" ref="M16" ca="1">SUMPRODUCT((Table1[SubscriptionStart] &lt;= $A16) * (Table1[EffectiveEndDate] &gt;= $A16) * (Table1[Region] = "Wales"))</f>
        <v>3</v>
      </c>
      <c r="N16" s="45" cm="1">
        <f t="array" aca="1" ref="N16" ca="1">SUMPRODUCT((Table1[SubscriptionStart] &lt;= $A16) * (Table1[EffectiveEndDate] &gt;= $A16) * (Table1[Region] = "Northern Ireland"))</f>
        <v>3</v>
      </c>
      <c r="O16" s="45" cm="1">
        <f t="array" aca="1" ref="O16" ca="1">SUMPRODUCT((Table1[Gender]="Male")*(Table1[SubscriptionStart]&lt;=A16)*(Table1[EffectiveEndDate]&gt;=A16))</f>
        <v>5</v>
      </c>
      <c r="P16" s="45" cm="1">
        <f t="array" aca="1" ref="P16" ca="1">SUMPRODUCT((Table1[Gender]="Female")*(Table1[SubscriptionStart]&lt;=A16)*(Table1[EffectiveEndDate]&gt;=A16))</f>
        <v>6</v>
      </c>
    </row>
    <row r="17" spans="1:16">
      <c r="A17" s="48">
        <f t="shared" si="3"/>
        <v>44577</v>
      </c>
      <c r="B17" s="45" cm="1">
        <f t="array" aca="1" ref="B17" ca="1">SUMPRODUCT((Table1[SubscriptionStart]&lt;=A17)*(Table1[EffectiveEndDate]&gt;=A17))</f>
        <v>13</v>
      </c>
      <c r="C17" s="45">
        <f>COUNTIFS(Table1[SubscriptionStart], A17)</f>
        <v>2</v>
      </c>
      <c r="D17" s="45">
        <f>COUNTIFS(Table1[CancellationDate], A17)</f>
        <v>0</v>
      </c>
      <c r="E17" s="45">
        <f t="shared" si="0"/>
        <v>2</v>
      </c>
      <c r="F17" s="45">
        <f>SUM($C$2:C17)</f>
        <v>13</v>
      </c>
      <c r="G17" s="49" cm="1">
        <f t="array" aca="1" ref="G17" ca="1">IF(B17=0,"", SUMPRODUCT((Table1[SubscriptionStart]&lt;=A17)*(Table1[EffectiveEndDate]&gt;=A17)*Table1[Age]) / B17 )</f>
        <v>37.46153846153846</v>
      </c>
      <c r="H17" s="22">
        <f>SUMIF(Table1[SubscriptionStart],"&lt;="&amp;A17,Table1[TotalRevenue])</f>
        <v>2299.9499999999998</v>
      </c>
      <c r="I17" s="50">
        <f t="shared" si="1"/>
        <v>44592</v>
      </c>
      <c r="J17" s="49">
        <f t="shared" ca="1" si="2"/>
        <v>13.903225806451612</v>
      </c>
      <c r="K17" s="45" cm="1">
        <f t="array" aca="1" ref="K17" ca="1">SUMPRODUCT((Table1[SubscriptionStart] &lt;= $A17) * (Table1[EffectiveEndDate] &gt;= $A17) * (Table1[Region] = "England"))</f>
        <v>3</v>
      </c>
      <c r="L17" s="45" cm="1">
        <f t="array" aca="1" ref="L17" ca="1">SUMPRODUCT((Table1[SubscriptionStart] &lt;= $A17) * (Table1[EffectiveEndDate] &gt;= $A17) * (Table1[Region] = "Scotland"))</f>
        <v>4</v>
      </c>
      <c r="M17" s="45" cm="1">
        <f t="array" aca="1" ref="M17" ca="1">SUMPRODUCT((Table1[SubscriptionStart] &lt;= $A17) * (Table1[EffectiveEndDate] &gt;= $A17) * (Table1[Region] = "Wales"))</f>
        <v>3</v>
      </c>
      <c r="N17" s="45" cm="1">
        <f t="array" aca="1" ref="N17" ca="1">SUMPRODUCT((Table1[SubscriptionStart] &lt;= $A17) * (Table1[EffectiveEndDate] &gt;= $A17) * (Table1[Region] = "Northern Ireland"))</f>
        <v>3</v>
      </c>
      <c r="O17" s="45" cm="1">
        <f t="array" aca="1" ref="O17" ca="1">SUMPRODUCT((Table1[Gender]="Male")*(Table1[SubscriptionStart]&lt;=A17)*(Table1[EffectiveEndDate]&gt;=A17))</f>
        <v>7</v>
      </c>
      <c r="P17" s="45" cm="1">
        <f t="array" aca="1" ref="P17" ca="1">SUMPRODUCT((Table1[Gender]="Female")*(Table1[SubscriptionStart]&lt;=A17)*(Table1[EffectiveEndDate]&gt;=A17))</f>
        <v>6</v>
      </c>
    </row>
    <row r="18" spans="1:16">
      <c r="A18" s="48">
        <f t="shared" si="3"/>
        <v>44578</v>
      </c>
      <c r="B18" s="45" cm="1">
        <f t="array" aca="1" ref="B18" ca="1">SUMPRODUCT((Table1[SubscriptionStart]&lt;=A18)*(Table1[EffectiveEndDate]&gt;=A18))</f>
        <v>13</v>
      </c>
      <c r="C18" s="45">
        <f>COUNTIFS(Table1[SubscriptionStart], A18)</f>
        <v>0</v>
      </c>
      <c r="D18" s="45">
        <f>COUNTIFS(Table1[CancellationDate], A18)</f>
        <v>0</v>
      </c>
      <c r="E18" s="45">
        <f t="shared" si="0"/>
        <v>0</v>
      </c>
      <c r="F18" s="45">
        <f>SUM($C$2:C18)</f>
        <v>13</v>
      </c>
      <c r="G18" s="49" cm="1">
        <f t="array" aca="1" ref="G18" ca="1">IF(B18=0,"", SUMPRODUCT((Table1[SubscriptionStart]&lt;=A18)*(Table1[EffectiveEndDate]&gt;=A18)*Table1[Age]) / B18 )</f>
        <v>37.46153846153846</v>
      </c>
      <c r="H18" s="22">
        <f>SUMIF(Table1[SubscriptionStart],"&lt;="&amp;A18,Table1[TotalRevenue])</f>
        <v>2299.9499999999998</v>
      </c>
      <c r="I18" s="50">
        <f t="shared" si="1"/>
        <v>44592</v>
      </c>
      <c r="J18" s="49">
        <f t="shared" ca="1" si="2"/>
        <v>13.903225806451612</v>
      </c>
      <c r="K18" s="45" cm="1">
        <f t="array" aca="1" ref="K18" ca="1">SUMPRODUCT((Table1[SubscriptionStart] &lt;= $A18) * (Table1[EffectiveEndDate] &gt;= $A18) * (Table1[Region] = "England"))</f>
        <v>3</v>
      </c>
      <c r="L18" s="45" cm="1">
        <f t="array" aca="1" ref="L18" ca="1">SUMPRODUCT((Table1[SubscriptionStart] &lt;= $A18) * (Table1[EffectiveEndDate] &gt;= $A18) * (Table1[Region] = "Scotland"))</f>
        <v>4</v>
      </c>
      <c r="M18" s="45" cm="1">
        <f t="array" aca="1" ref="M18" ca="1">SUMPRODUCT((Table1[SubscriptionStart] &lt;= $A18) * (Table1[EffectiveEndDate] &gt;= $A18) * (Table1[Region] = "Wales"))</f>
        <v>3</v>
      </c>
      <c r="N18" s="45" cm="1">
        <f t="array" aca="1" ref="N18" ca="1">SUMPRODUCT((Table1[SubscriptionStart] &lt;= $A18) * (Table1[EffectiveEndDate] &gt;= $A18) * (Table1[Region] = "Northern Ireland"))</f>
        <v>3</v>
      </c>
      <c r="O18" s="45" cm="1">
        <f t="array" aca="1" ref="O18" ca="1">SUMPRODUCT((Table1[Gender]="Male")*(Table1[SubscriptionStart]&lt;=A18)*(Table1[EffectiveEndDate]&gt;=A18))</f>
        <v>7</v>
      </c>
      <c r="P18" s="45" cm="1">
        <f t="array" aca="1" ref="P18" ca="1">SUMPRODUCT((Table1[Gender]="Female")*(Table1[SubscriptionStart]&lt;=A18)*(Table1[EffectiveEndDate]&gt;=A18))</f>
        <v>6</v>
      </c>
    </row>
    <row r="19" spans="1:16">
      <c r="A19" s="48">
        <f t="shared" si="3"/>
        <v>44579</v>
      </c>
      <c r="B19" s="45" cm="1">
        <f t="array" aca="1" ref="B19" ca="1">SUMPRODUCT((Table1[SubscriptionStart]&lt;=A19)*(Table1[EffectiveEndDate]&gt;=A19))</f>
        <v>15</v>
      </c>
      <c r="C19" s="45">
        <f>COUNTIFS(Table1[SubscriptionStart], A19)</f>
        <v>2</v>
      </c>
      <c r="D19" s="45">
        <f>COUNTIFS(Table1[CancellationDate], A19)</f>
        <v>0</v>
      </c>
      <c r="E19" s="45">
        <f t="shared" si="0"/>
        <v>2</v>
      </c>
      <c r="F19" s="45">
        <f>SUM($C$2:C19)</f>
        <v>15</v>
      </c>
      <c r="G19" s="49" cm="1">
        <f t="array" aca="1" ref="G19" ca="1">IF(B19=0,"", SUMPRODUCT((Table1[SubscriptionStart]&lt;=A19)*(Table1[EffectiveEndDate]&gt;=A19)*Table1[Age]) / B19 )</f>
        <v>41</v>
      </c>
      <c r="H19" s="22">
        <f>SUMIF(Table1[SubscriptionStart],"&lt;="&amp;A19,Table1[TotalRevenue])</f>
        <v>2372.85</v>
      </c>
      <c r="I19" s="50">
        <f t="shared" si="1"/>
        <v>44592</v>
      </c>
      <c r="J19" s="49">
        <f t="shared" ca="1" si="2"/>
        <v>13.903225806451612</v>
      </c>
      <c r="K19" s="45" cm="1">
        <f t="array" aca="1" ref="K19" ca="1">SUMPRODUCT((Table1[SubscriptionStart] &lt;= $A19) * (Table1[EffectiveEndDate] &gt;= $A19) * (Table1[Region] = "England"))</f>
        <v>4</v>
      </c>
      <c r="L19" s="45" cm="1">
        <f t="array" aca="1" ref="L19" ca="1">SUMPRODUCT((Table1[SubscriptionStart] &lt;= $A19) * (Table1[EffectiveEndDate] &gt;= $A19) * (Table1[Region] = "Scotland"))</f>
        <v>4</v>
      </c>
      <c r="M19" s="45" cm="1">
        <f t="array" aca="1" ref="M19" ca="1">SUMPRODUCT((Table1[SubscriptionStart] &lt;= $A19) * (Table1[EffectiveEndDate] &gt;= $A19) * (Table1[Region] = "Wales"))</f>
        <v>3</v>
      </c>
      <c r="N19" s="45" cm="1">
        <f t="array" aca="1" ref="N19" ca="1">SUMPRODUCT((Table1[SubscriptionStart] &lt;= $A19) * (Table1[EffectiveEndDate] &gt;= $A19) * (Table1[Region] = "Northern Ireland"))</f>
        <v>4</v>
      </c>
      <c r="O19" s="45" cm="1">
        <f t="array" aca="1" ref="O19" ca="1">SUMPRODUCT((Table1[Gender]="Male")*(Table1[SubscriptionStart]&lt;=A19)*(Table1[EffectiveEndDate]&gt;=A19))</f>
        <v>8</v>
      </c>
      <c r="P19" s="45" cm="1">
        <f t="array" aca="1" ref="P19" ca="1">SUMPRODUCT((Table1[Gender]="Female")*(Table1[SubscriptionStart]&lt;=A19)*(Table1[EffectiveEndDate]&gt;=A19))</f>
        <v>7</v>
      </c>
    </row>
    <row r="20" spans="1:16">
      <c r="A20" s="48">
        <f t="shared" si="3"/>
        <v>44580</v>
      </c>
      <c r="B20" s="45" cm="1">
        <f t="array" aca="1" ref="B20" ca="1">SUMPRODUCT((Table1[SubscriptionStart]&lt;=A20)*(Table1[EffectiveEndDate]&gt;=A20))</f>
        <v>17</v>
      </c>
      <c r="C20" s="45">
        <f>COUNTIFS(Table1[SubscriptionStart], A20)</f>
        <v>2</v>
      </c>
      <c r="D20" s="45">
        <f>COUNTIFS(Table1[CancellationDate], A20)</f>
        <v>0</v>
      </c>
      <c r="E20" s="45">
        <f t="shared" si="0"/>
        <v>2</v>
      </c>
      <c r="F20" s="45">
        <f>SUM($C$2:C20)</f>
        <v>17</v>
      </c>
      <c r="G20" s="49" cm="1">
        <f t="array" aca="1" ref="G20" ca="1">IF(B20=0,"", SUMPRODUCT((Table1[SubscriptionStart]&lt;=A20)*(Table1[EffectiveEndDate]&gt;=A20)*Table1[Age]) / B20 )</f>
        <v>41.235294117647058</v>
      </c>
      <c r="H20" s="22">
        <f>SUMIF(Table1[SubscriptionStart],"&lt;="&amp;A20,Table1[TotalRevenue])</f>
        <v>2552.85</v>
      </c>
      <c r="I20" s="50">
        <f t="shared" si="1"/>
        <v>44592</v>
      </c>
      <c r="J20" s="49">
        <f t="shared" ca="1" si="2"/>
        <v>13.903225806451612</v>
      </c>
      <c r="K20" s="45" cm="1">
        <f t="array" aca="1" ref="K20" ca="1">SUMPRODUCT((Table1[SubscriptionStart] &lt;= $A20) * (Table1[EffectiveEndDate] &gt;= $A20) * (Table1[Region] = "England"))</f>
        <v>5</v>
      </c>
      <c r="L20" s="45" cm="1">
        <f t="array" aca="1" ref="L20" ca="1">SUMPRODUCT((Table1[SubscriptionStart] &lt;= $A20) * (Table1[EffectiveEndDate] &gt;= $A20) * (Table1[Region] = "Scotland"))</f>
        <v>4</v>
      </c>
      <c r="M20" s="45" cm="1">
        <f t="array" aca="1" ref="M20" ca="1">SUMPRODUCT((Table1[SubscriptionStart] &lt;= $A20) * (Table1[EffectiveEndDate] &gt;= $A20) * (Table1[Region] = "Wales"))</f>
        <v>4</v>
      </c>
      <c r="N20" s="45" cm="1">
        <f t="array" aca="1" ref="N20" ca="1">SUMPRODUCT((Table1[SubscriptionStart] &lt;= $A20) * (Table1[EffectiveEndDate] &gt;= $A20) * (Table1[Region] = "Northern Ireland"))</f>
        <v>4</v>
      </c>
      <c r="O20" s="45" cm="1">
        <f t="array" aca="1" ref="O20" ca="1">SUMPRODUCT((Table1[Gender]="Male")*(Table1[SubscriptionStart]&lt;=A20)*(Table1[EffectiveEndDate]&gt;=A20))</f>
        <v>9</v>
      </c>
      <c r="P20" s="45" cm="1">
        <f t="array" aca="1" ref="P20" ca="1">SUMPRODUCT((Table1[Gender]="Female")*(Table1[SubscriptionStart]&lt;=A20)*(Table1[EffectiveEndDate]&gt;=A20))</f>
        <v>8</v>
      </c>
    </row>
    <row r="21" spans="1:16">
      <c r="A21" s="48">
        <f t="shared" si="3"/>
        <v>44581</v>
      </c>
      <c r="B21" s="45" cm="1">
        <f t="array" aca="1" ref="B21" ca="1">SUMPRODUCT((Table1[SubscriptionStart]&lt;=A21)*(Table1[EffectiveEndDate]&gt;=A21))</f>
        <v>18</v>
      </c>
      <c r="C21" s="45">
        <f>COUNTIFS(Table1[SubscriptionStart], A21)</f>
        <v>1</v>
      </c>
      <c r="D21" s="45">
        <f>COUNTIFS(Table1[CancellationDate], A21)</f>
        <v>0</v>
      </c>
      <c r="E21" s="45">
        <f t="shared" si="0"/>
        <v>1</v>
      </c>
      <c r="F21" s="45">
        <f>SUM($C$2:C21)</f>
        <v>18</v>
      </c>
      <c r="G21" s="49" cm="1">
        <f t="array" aca="1" ref="G21" ca="1">IF(B21=0,"", SUMPRODUCT((Table1[SubscriptionStart]&lt;=A21)*(Table1[EffectiveEndDate]&gt;=A21)*Table1[Age]) / B21 )</f>
        <v>43</v>
      </c>
      <c r="H21" s="22">
        <f>SUMIF(Table1[SubscriptionStart],"&lt;="&amp;A21,Table1[TotalRevenue])</f>
        <v>2625.75</v>
      </c>
      <c r="I21" s="50">
        <f t="shared" si="1"/>
        <v>44592</v>
      </c>
      <c r="J21" s="49">
        <f t="shared" ca="1" si="2"/>
        <v>13.903225806451612</v>
      </c>
      <c r="K21" s="45" cm="1">
        <f t="array" aca="1" ref="K21" ca="1">SUMPRODUCT((Table1[SubscriptionStart] &lt;= $A21) * (Table1[EffectiveEndDate] &gt;= $A21) * (Table1[Region] = "England"))</f>
        <v>6</v>
      </c>
      <c r="L21" s="45" cm="1">
        <f t="array" aca="1" ref="L21" ca="1">SUMPRODUCT((Table1[SubscriptionStart] &lt;= $A21) * (Table1[EffectiveEndDate] &gt;= $A21) * (Table1[Region] = "Scotland"))</f>
        <v>4</v>
      </c>
      <c r="M21" s="45" cm="1">
        <f t="array" aca="1" ref="M21" ca="1">SUMPRODUCT((Table1[SubscriptionStart] &lt;= $A21) * (Table1[EffectiveEndDate] &gt;= $A21) * (Table1[Region] = "Wales"))</f>
        <v>4</v>
      </c>
      <c r="N21" s="45" cm="1">
        <f t="array" aca="1" ref="N21" ca="1">SUMPRODUCT((Table1[SubscriptionStart] &lt;= $A21) * (Table1[EffectiveEndDate] &gt;= $A21) * (Table1[Region] = "Northern Ireland"))</f>
        <v>4</v>
      </c>
      <c r="O21" s="45" cm="1">
        <f t="array" aca="1" ref="O21" ca="1">SUMPRODUCT((Table1[Gender]="Male")*(Table1[SubscriptionStart]&lt;=A21)*(Table1[EffectiveEndDate]&gt;=A21))</f>
        <v>9</v>
      </c>
      <c r="P21" s="45" cm="1">
        <f t="array" aca="1" ref="P21" ca="1">SUMPRODUCT((Table1[Gender]="Female")*(Table1[SubscriptionStart]&lt;=A21)*(Table1[EffectiveEndDate]&gt;=A21))</f>
        <v>9</v>
      </c>
    </row>
    <row r="22" spans="1:16">
      <c r="A22" s="48">
        <f t="shared" si="3"/>
        <v>44582</v>
      </c>
      <c r="B22" s="45" cm="1">
        <f t="array" aca="1" ref="B22" ca="1">SUMPRODUCT((Table1[SubscriptionStart]&lt;=A22)*(Table1[EffectiveEndDate]&gt;=A22))</f>
        <v>18</v>
      </c>
      <c r="C22" s="45">
        <f>COUNTIFS(Table1[SubscriptionStart], A22)</f>
        <v>0</v>
      </c>
      <c r="D22" s="45">
        <f>COUNTIFS(Table1[CancellationDate], A22)</f>
        <v>0</v>
      </c>
      <c r="E22" s="45">
        <f t="shared" si="0"/>
        <v>0</v>
      </c>
      <c r="F22" s="45">
        <f>SUM($C$2:C22)</f>
        <v>18</v>
      </c>
      <c r="G22" s="49" cm="1">
        <f t="array" aca="1" ref="G22" ca="1">IF(B22=0,"", SUMPRODUCT((Table1[SubscriptionStart]&lt;=A22)*(Table1[EffectiveEndDate]&gt;=A22)*Table1[Age]) / B22 )</f>
        <v>43</v>
      </c>
      <c r="H22" s="22">
        <f>SUMIF(Table1[SubscriptionStart],"&lt;="&amp;A22,Table1[TotalRevenue])</f>
        <v>2625.75</v>
      </c>
      <c r="I22" s="50">
        <f t="shared" si="1"/>
        <v>44592</v>
      </c>
      <c r="J22" s="49">
        <f t="shared" ca="1" si="2"/>
        <v>13.903225806451612</v>
      </c>
      <c r="K22" s="45" cm="1">
        <f t="array" aca="1" ref="K22" ca="1">SUMPRODUCT((Table1[SubscriptionStart] &lt;= $A22) * (Table1[EffectiveEndDate] &gt;= $A22) * (Table1[Region] = "England"))</f>
        <v>6</v>
      </c>
      <c r="L22" s="45" cm="1">
        <f t="array" aca="1" ref="L22" ca="1">SUMPRODUCT((Table1[SubscriptionStart] &lt;= $A22) * (Table1[EffectiveEndDate] &gt;= $A22) * (Table1[Region] = "Scotland"))</f>
        <v>4</v>
      </c>
      <c r="M22" s="45" cm="1">
        <f t="array" aca="1" ref="M22" ca="1">SUMPRODUCT((Table1[SubscriptionStart] &lt;= $A22) * (Table1[EffectiveEndDate] &gt;= $A22) * (Table1[Region] = "Wales"))</f>
        <v>4</v>
      </c>
      <c r="N22" s="45" cm="1">
        <f t="array" aca="1" ref="N22" ca="1">SUMPRODUCT((Table1[SubscriptionStart] &lt;= $A22) * (Table1[EffectiveEndDate] &gt;= $A22) * (Table1[Region] = "Northern Ireland"))</f>
        <v>4</v>
      </c>
      <c r="O22" s="45" cm="1">
        <f t="array" aca="1" ref="O22" ca="1">SUMPRODUCT((Table1[Gender]="Male")*(Table1[SubscriptionStart]&lt;=A22)*(Table1[EffectiveEndDate]&gt;=A22))</f>
        <v>9</v>
      </c>
      <c r="P22" s="45" cm="1">
        <f t="array" aca="1" ref="P22" ca="1">SUMPRODUCT((Table1[Gender]="Female")*(Table1[SubscriptionStart]&lt;=A22)*(Table1[EffectiveEndDate]&gt;=A22))</f>
        <v>9</v>
      </c>
    </row>
    <row r="23" spans="1:16">
      <c r="A23" s="48">
        <f t="shared" si="3"/>
        <v>44583</v>
      </c>
      <c r="B23" s="45" cm="1">
        <f t="array" aca="1" ref="B23" ca="1">SUMPRODUCT((Table1[SubscriptionStart]&lt;=A23)*(Table1[EffectiveEndDate]&gt;=A23))</f>
        <v>20</v>
      </c>
      <c r="C23" s="45">
        <f>COUNTIFS(Table1[SubscriptionStart], A23)</f>
        <v>2</v>
      </c>
      <c r="D23" s="45">
        <f>COUNTIFS(Table1[CancellationDate], A23)</f>
        <v>0</v>
      </c>
      <c r="E23" s="45">
        <f t="shared" si="0"/>
        <v>2</v>
      </c>
      <c r="F23" s="45">
        <f>SUM($C$2:C23)</f>
        <v>20</v>
      </c>
      <c r="G23" s="49" cm="1">
        <f t="array" aca="1" ref="G23" ca="1">IF(B23=0,"", SUMPRODUCT((Table1[SubscriptionStart]&lt;=A23)*(Table1[EffectiveEndDate]&gt;=A23)*Table1[Age]) / B23 )</f>
        <v>42.5</v>
      </c>
      <c r="H23" s="22">
        <f>SUMIF(Table1[SubscriptionStart],"&lt;="&amp;A23,Table1[TotalRevenue])</f>
        <v>2769.75</v>
      </c>
      <c r="I23" s="50">
        <f t="shared" si="1"/>
        <v>44592</v>
      </c>
      <c r="J23" s="49">
        <f t="shared" ca="1" si="2"/>
        <v>13.903225806451612</v>
      </c>
      <c r="K23" s="45" cm="1">
        <f t="array" aca="1" ref="K23" ca="1">SUMPRODUCT((Table1[SubscriptionStart] &lt;= $A23) * (Table1[EffectiveEndDate] &gt;= $A23) * (Table1[Region] = "England"))</f>
        <v>6</v>
      </c>
      <c r="L23" s="45" cm="1">
        <f t="array" aca="1" ref="L23" ca="1">SUMPRODUCT((Table1[SubscriptionStart] &lt;= $A23) * (Table1[EffectiveEndDate] &gt;= $A23) * (Table1[Region] = "Scotland"))</f>
        <v>5</v>
      </c>
      <c r="M23" s="45" cm="1">
        <f t="array" aca="1" ref="M23" ca="1">SUMPRODUCT((Table1[SubscriptionStart] &lt;= $A23) * (Table1[EffectiveEndDate] &gt;= $A23) * (Table1[Region] = "Wales"))</f>
        <v>5</v>
      </c>
      <c r="N23" s="45" cm="1">
        <f t="array" aca="1" ref="N23" ca="1">SUMPRODUCT((Table1[SubscriptionStart] &lt;= $A23) * (Table1[EffectiveEndDate] &gt;= $A23) * (Table1[Region] = "Northern Ireland"))</f>
        <v>4</v>
      </c>
      <c r="O23" s="45" cm="1">
        <f t="array" aca="1" ref="O23" ca="1">SUMPRODUCT((Table1[Gender]="Male")*(Table1[SubscriptionStart]&lt;=A23)*(Table1[EffectiveEndDate]&gt;=A23))</f>
        <v>9</v>
      </c>
      <c r="P23" s="45" cm="1">
        <f t="array" aca="1" ref="P23" ca="1">SUMPRODUCT((Table1[Gender]="Female")*(Table1[SubscriptionStart]&lt;=A23)*(Table1[EffectiveEndDate]&gt;=A23))</f>
        <v>11</v>
      </c>
    </row>
    <row r="24" spans="1:16">
      <c r="A24" s="48">
        <f t="shared" si="3"/>
        <v>44584</v>
      </c>
      <c r="B24" s="45" cm="1">
        <f t="array" aca="1" ref="B24" ca="1">SUMPRODUCT((Table1[SubscriptionStart]&lt;=A24)*(Table1[EffectiveEndDate]&gt;=A24))</f>
        <v>20</v>
      </c>
      <c r="C24" s="45">
        <f>COUNTIFS(Table1[SubscriptionStart], A24)</f>
        <v>0</v>
      </c>
      <c r="D24" s="45">
        <f>COUNTIFS(Table1[CancellationDate], A24)</f>
        <v>0</v>
      </c>
      <c r="E24" s="45">
        <f t="shared" si="0"/>
        <v>0</v>
      </c>
      <c r="F24" s="45">
        <f>SUM($C$2:C24)</f>
        <v>20</v>
      </c>
      <c r="G24" s="49" cm="1">
        <f t="array" aca="1" ref="G24" ca="1">IF(B24=0,"", SUMPRODUCT((Table1[SubscriptionStart]&lt;=A24)*(Table1[EffectiveEndDate]&gt;=A24)*Table1[Age]) / B24 )</f>
        <v>42.5</v>
      </c>
      <c r="H24" s="22">
        <f>SUMIF(Table1[SubscriptionStart],"&lt;="&amp;A24,Table1[TotalRevenue])</f>
        <v>2769.75</v>
      </c>
      <c r="I24" s="50">
        <f t="shared" si="1"/>
        <v>44592</v>
      </c>
      <c r="J24" s="49">
        <f t="shared" ca="1" si="2"/>
        <v>13.903225806451612</v>
      </c>
      <c r="K24" s="45" cm="1">
        <f t="array" aca="1" ref="K24" ca="1">SUMPRODUCT((Table1[SubscriptionStart] &lt;= $A24) * (Table1[EffectiveEndDate] &gt;= $A24) * (Table1[Region] = "England"))</f>
        <v>6</v>
      </c>
      <c r="L24" s="45" cm="1">
        <f t="array" aca="1" ref="L24" ca="1">SUMPRODUCT((Table1[SubscriptionStart] &lt;= $A24) * (Table1[EffectiveEndDate] &gt;= $A24) * (Table1[Region] = "Scotland"))</f>
        <v>5</v>
      </c>
      <c r="M24" s="45" cm="1">
        <f t="array" aca="1" ref="M24" ca="1">SUMPRODUCT((Table1[SubscriptionStart] &lt;= $A24) * (Table1[EffectiveEndDate] &gt;= $A24) * (Table1[Region] = "Wales"))</f>
        <v>5</v>
      </c>
      <c r="N24" s="45" cm="1">
        <f t="array" aca="1" ref="N24" ca="1">SUMPRODUCT((Table1[SubscriptionStart] &lt;= $A24) * (Table1[EffectiveEndDate] &gt;= $A24) * (Table1[Region] = "Northern Ireland"))</f>
        <v>4</v>
      </c>
      <c r="O24" s="45" cm="1">
        <f t="array" aca="1" ref="O24" ca="1">SUMPRODUCT((Table1[Gender]="Male")*(Table1[SubscriptionStart]&lt;=A24)*(Table1[EffectiveEndDate]&gt;=A24))</f>
        <v>9</v>
      </c>
      <c r="P24" s="45" cm="1">
        <f t="array" aca="1" ref="P24" ca="1">SUMPRODUCT((Table1[Gender]="Female")*(Table1[SubscriptionStart]&lt;=A24)*(Table1[EffectiveEndDate]&gt;=A24))</f>
        <v>11</v>
      </c>
    </row>
    <row r="25" spans="1:16">
      <c r="A25" s="48">
        <f t="shared" si="3"/>
        <v>44585</v>
      </c>
      <c r="B25" s="45" cm="1">
        <f t="array" aca="1" ref="B25" ca="1">SUMPRODUCT((Table1[SubscriptionStart]&lt;=A25)*(Table1[EffectiveEndDate]&gt;=A25))</f>
        <v>22</v>
      </c>
      <c r="C25" s="45">
        <f>COUNTIFS(Table1[SubscriptionStart], A25)</f>
        <v>2</v>
      </c>
      <c r="D25" s="45">
        <f>COUNTIFS(Table1[CancellationDate], A25)</f>
        <v>0</v>
      </c>
      <c r="E25" s="45">
        <f t="shared" si="0"/>
        <v>2</v>
      </c>
      <c r="F25" s="45">
        <f>SUM($C$2:C25)</f>
        <v>22</v>
      </c>
      <c r="G25" s="49" cm="1">
        <f t="array" aca="1" ref="G25" ca="1">IF(B25=0,"", SUMPRODUCT((Table1[SubscriptionStart]&lt;=A25)*(Table1[EffectiveEndDate]&gt;=A25)*Table1[Age]) / B25 )</f>
        <v>43.090909090909093</v>
      </c>
      <c r="H25" s="22">
        <f>SUMIF(Table1[SubscriptionStart],"&lt;="&amp;A25,Table1[TotalRevenue])</f>
        <v>3211.35</v>
      </c>
      <c r="I25" s="50">
        <f t="shared" si="1"/>
        <v>44592</v>
      </c>
      <c r="J25" s="49">
        <f t="shared" ca="1" si="2"/>
        <v>13.903225806451612</v>
      </c>
      <c r="K25" s="45" cm="1">
        <f t="array" aca="1" ref="K25" ca="1">SUMPRODUCT((Table1[SubscriptionStart] &lt;= $A25) * (Table1[EffectiveEndDate] &gt;= $A25) * (Table1[Region] = "England"))</f>
        <v>6</v>
      </c>
      <c r="L25" s="45" cm="1">
        <f t="array" aca="1" ref="L25" ca="1">SUMPRODUCT((Table1[SubscriptionStart] &lt;= $A25) * (Table1[EffectiveEndDate] &gt;= $A25) * (Table1[Region] = "Scotland"))</f>
        <v>5</v>
      </c>
      <c r="M25" s="45" cm="1">
        <f t="array" aca="1" ref="M25" ca="1">SUMPRODUCT((Table1[SubscriptionStart] &lt;= $A25) * (Table1[EffectiveEndDate] &gt;= $A25) * (Table1[Region] = "Wales"))</f>
        <v>6</v>
      </c>
      <c r="N25" s="45" cm="1">
        <f t="array" aca="1" ref="N25" ca="1">SUMPRODUCT((Table1[SubscriptionStart] &lt;= $A25) * (Table1[EffectiveEndDate] &gt;= $A25) * (Table1[Region] = "Northern Ireland"))</f>
        <v>5</v>
      </c>
      <c r="O25" s="45" cm="1">
        <f t="array" aca="1" ref="O25" ca="1">SUMPRODUCT((Table1[Gender]="Male")*(Table1[SubscriptionStart]&lt;=A25)*(Table1[EffectiveEndDate]&gt;=A25))</f>
        <v>9</v>
      </c>
      <c r="P25" s="45" cm="1">
        <f t="array" aca="1" ref="P25" ca="1">SUMPRODUCT((Table1[Gender]="Female")*(Table1[SubscriptionStart]&lt;=A25)*(Table1[EffectiveEndDate]&gt;=A25))</f>
        <v>13</v>
      </c>
    </row>
    <row r="26" spans="1:16">
      <c r="A26" s="48">
        <f t="shared" si="3"/>
        <v>44586</v>
      </c>
      <c r="B26" s="45" cm="1">
        <f t="array" aca="1" ref="B26" ca="1">SUMPRODUCT((Table1[SubscriptionStart]&lt;=A26)*(Table1[EffectiveEndDate]&gt;=A26))</f>
        <v>22</v>
      </c>
      <c r="C26" s="45">
        <f>COUNTIFS(Table1[SubscriptionStart], A26)</f>
        <v>0</v>
      </c>
      <c r="D26" s="45">
        <f>COUNTIFS(Table1[CancellationDate], A26)</f>
        <v>0</v>
      </c>
      <c r="E26" s="45">
        <f t="shared" si="0"/>
        <v>0</v>
      </c>
      <c r="F26" s="45">
        <f>SUM($C$2:C26)</f>
        <v>22</v>
      </c>
      <c r="G26" s="49" cm="1">
        <f t="array" aca="1" ref="G26" ca="1">IF(B26=0,"", SUMPRODUCT((Table1[SubscriptionStart]&lt;=A26)*(Table1[EffectiveEndDate]&gt;=A26)*Table1[Age]) / B26 )</f>
        <v>43.090909090909093</v>
      </c>
      <c r="H26" s="22">
        <f>SUMIF(Table1[SubscriptionStart],"&lt;="&amp;A26,Table1[TotalRevenue])</f>
        <v>3211.35</v>
      </c>
      <c r="I26" s="50">
        <f t="shared" si="1"/>
        <v>44592</v>
      </c>
      <c r="J26" s="49">
        <f t="shared" ca="1" si="2"/>
        <v>13.903225806451612</v>
      </c>
      <c r="K26" s="45" cm="1">
        <f t="array" aca="1" ref="K26" ca="1">SUMPRODUCT((Table1[SubscriptionStart] &lt;= $A26) * (Table1[EffectiveEndDate] &gt;= $A26) * (Table1[Region] = "England"))</f>
        <v>6</v>
      </c>
      <c r="L26" s="45" cm="1">
        <f t="array" aca="1" ref="L26" ca="1">SUMPRODUCT((Table1[SubscriptionStart] &lt;= $A26) * (Table1[EffectiveEndDate] &gt;= $A26) * (Table1[Region] = "Scotland"))</f>
        <v>5</v>
      </c>
      <c r="M26" s="45" cm="1">
        <f t="array" aca="1" ref="M26" ca="1">SUMPRODUCT((Table1[SubscriptionStart] &lt;= $A26) * (Table1[EffectiveEndDate] &gt;= $A26) * (Table1[Region] = "Wales"))</f>
        <v>6</v>
      </c>
      <c r="N26" s="45" cm="1">
        <f t="array" aca="1" ref="N26" ca="1">SUMPRODUCT((Table1[SubscriptionStart] &lt;= $A26) * (Table1[EffectiveEndDate] &gt;= $A26) * (Table1[Region] = "Northern Ireland"))</f>
        <v>5</v>
      </c>
      <c r="O26" s="45" cm="1">
        <f t="array" aca="1" ref="O26" ca="1">SUMPRODUCT((Table1[Gender]="Male")*(Table1[SubscriptionStart]&lt;=A26)*(Table1[EffectiveEndDate]&gt;=A26))</f>
        <v>9</v>
      </c>
      <c r="P26" s="45" cm="1">
        <f t="array" aca="1" ref="P26" ca="1">SUMPRODUCT((Table1[Gender]="Female")*(Table1[SubscriptionStart]&lt;=A26)*(Table1[EffectiveEndDate]&gt;=A26))</f>
        <v>13</v>
      </c>
    </row>
    <row r="27" spans="1:16">
      <c r="A27" s="48">
        <f t="shared" si="3"/>
        <v>44587</v>
      </c>
      <c r="B27" s="45" cm="1">
        <f t="array" aca="1" ref="B27" ca="1">SUMPRODUCT((Table1[SubscriptionStart]&lt;=A27)*(Table1[EffectiveEndDate]&gt;=A27))</f>
        <v>23</v>
      </c>
      <c r="C27" s="45">
        <f>COUNTIFS(Table1[SubscriptionStart], A27)</f>
        <v>1</v>
      </c>
      <c r="D27" s="45">
        <f>COUNTIFS(Table1[CancellationDate], A27)</f>
        <v>0</v>
      </c>
      <c r="E27" s="45">
        <f t="shared" si="0"/>
        <v>1</v>
      </c>
      <c r="F27" s="45">
        <f>SUM($C$2:C27)</f>
        <v>23</v>
      </c>
      <c r="G27" s="49" cm="1">
        <f t="array" aca="1" ref="G27" ca="1">IF(B27=0,"", SUMPRODUCT((Table1[SubscriptionStart]&lt;=A27)*(Table1[EffectiveEndDate]&gt;=A27)*Table1[Age]) / B27 )</f>
        <v>44.086956521739133</v>
      </c>
      <c r="H27" s="22">
        <f>SUMIF(Table1[SubscriptionStart],"&lt;="&amp;A27,Table1[TotalRevenue])</f>
        <v>3211.35</v>
      </c>
      <c r="I27" s="50">
        <f t="shared" si="1"/>
        <v>44592</v>
      </c>
      <c r="J27" s="49">
        <f t="shared" ca="1" si="2"/>
        <v>13.903225806451612</v>
      </c>
      <c r="K27" s="45" cm="1">
        <f t="array" aca="1" ref="K27" ca="1">SUMPRODUCT((Table1[SubscriptionStart] &lt;= $A27) * (Table1[EffectiveEndDate] &gt;= $A27) * (Table1[Region] = "England"))</f>
        <v>7</v>
      </c>
      <c r="L27" s="45" cm="1">
        <f t="array" aca="1" ref="L27" ca="1">SUMPRODUCT((Table1[SubscriptionStart] &lt;= $A27) * (Table1[EffectiveEndDate] &gt;= $A27) * (Table1[Region] = "Scotland"))</f>
        <v>5</v>
      </c>
      <c r="M27" s="45" cm="1">
        <f t="array" aca="1" ref="M27" ca="1">SUMPRODUCT((Table1[SubscriptionStart] &lt;= $A27) * (Table1[EffectiveEndDate] &gt;= $A27) * (Table1[Region] = "Wales"))</f>
        <v>6</v>
      </c>
      <c r="N27" s="45" cm="1">
        <f t="array" aca="1" ref="N27" ca="1">SUMPRODUCT((Table1[SubscriptionStart] &lt;= $A27) * (Table1[EffectiveEndDate] &gt;= $A27) * (Table1[Region] = "Northern Ireland"))</f>
        <v>5</v>
      </c>
      <c r="O27" s="45" cm="1">
        <f t="array" aca="1" ref="O27" ca="1">SUMPRODUCT((Table1[Gender]="Male")*(Table1[SubscriptionStart]&lt;=A27)*(Table1[EffectiveEndDate]&gt;=A27))</f>
        <v>9</v>
      </c>
      <c r="P27" s="45" cm="1">
        <f t="array" aca="1" ref="P27" ca="1">SUMPRODUCT((Table1[Gender]="Female")*(Table1[SubscriptionStart]&lt;=A27)*(Table1[EffectiveEndDate]&gt;=A27))</f>
        <v>14</v>
      </c>
    </row>
    <row r="28" spans="1:16">
      <c r="A28" s="48">
        <f t="shared" si="3"/>
        <v>44588</v>
      </c>
      <c r="B28" s="45" cm="1">
        <f t="array" aca="1" ref="B28" ca="1">SUMPRODUCT((Table1[SubscriptionStart]&lt;=A28)*(Table1[EffectiveEndDate]&gt;=A28))</f>
        <v>23</v>
      </c>
      <c r="C28" s="45">
        <f>COUNTIFS(Table1[SubscriptionStart], A28)</f>
        <v>0</v>
      </c>
      <c r="D28" s="45">
        <f>COUNTIFS(Table1[CancellationDate], A28)</f>
        <v>0</v>
      </c>
      <c r="E28" s="45">
        <f t="shared" si="0"/>
        <v>0</v>
      </c>
      <c r="F28" s="45">
        <f>SUM($C$2:C28)</f>
        <v>23</v>
      </c>
      <c r="G28" s="49" cm="1">
        <f t="array" aca="1" ref="G28" ca="1">IF(B28=0,"", SUMPRODUCT((Table1[SubscriptionStart]&lt;=A28)*(Table1[EffectiveEndDate]&gt;=A28)*Table1[Age]) / B28 )</f>
        <v>44.086956521739133</v>
      </c>
      <c r="H28" s="22">
        <f>SUMIF(Table1[SubscriptionStart],"&lt;="&amp;A28,Table1[TotalRevenue])</f>
        <v>3211.35</v>
      </c>
      <c r="I28" s="50">
        <f t="shared" si="1"/>
        <v>44592</v>
      </c>
      <c r="J28" s="49">
        <f t="shared" ca="1" si="2"/>
        <v>13.903225806451612</v>
      </c>
      <c r="K28" s="45" cm="1">
        <f t="array" aca="1" ref="K28" ca="1">SUMPRODUCT((Table1[SubscriptionStart] &lt;= $A28) * (Table1[EffectiveEndDate] &gt;= $A28) * (Table1[Region] = "England"))</f>
        <v>7</v>
      </c>
      <c r="L28" s="45" cm="1">
        <f t="array" aca="1" ref="L28" ca="1">SUMPRODUCT((Table1[SubscriptionStart] &lt;= $A28) * (Table1[EffectiveEndDate] &gt;= $A28) * (Table1[Region] = "Scotland"))</f>
        <v>5</v>
      </c>
      <c r="M28" s="45" cm="1">
        <f t="array" aca="1" ref="M28" ca="1">SUMPRODUCT((Table1[SubscriptionStart] &lt;= $A28) * (Table1[EffectiveEndDate] &gt;= $A28) * (Table1[Region] = "Wales"))</f>
        <v>6</v>
      </c>
      <c r="N28" s="45" cm="1">
        <f t="array" aca="1" ref="N28" ca="1">SUMPRODUCT((Table1[SubscriptionStart] &lt;= $A28) * (Table1[EffectiveEndDate] &gt;= $A28) * (Table1[Region] = "Northern Ireland"))</f>
        <v>5</v>
      </c>
      <c r="O28" s="45" cm="1">
        <f t="array" aca="1" ref="O28" ca="1">SUMPRODUCT((Table1[Gender]="Male")*(Table1[SubscriptionStart]&lt;=A28)*(Table1[EffectiveEndDate]&gt;=A28))</f>
        <v>9</v>
      </c>
      <c r="P28" s="45" cm="1">
        <f t="array" aca="1" ref="P28" ca="1">SUMPRODUCT((Table1[Gender]="Female")*(Table1[SubscriptionStart]&lt;=A28)*(Table1[EffectiveEndDate]&gt;=A28))</f>
        <v>14</v>
      </c>
    </row>
    <row r="29" spans="1:16">
      <c r="A29" s="48">
        <f t="shared" si="3"/>
        <v>44589</v>
      </c>
      <c r="B29" s="45" cm="1">
        <f t="array" aca="1" ref="B29" ca="1">SUMPRODUCT((Table1[SubscriptionStart]&lt;=A29)*(Table1[EffectiveEndDate]&gt;=A29))</f>
        <v>25</v>
      </c>
      <c r="C29" s="45">
        <f>COUNTIFS(Table1[SubscriptionStart], A29)</f>
        <v>2</v>
      </c>
      <c r="D29" s="45">
        <f>COUNTIFS(Table1[CancellationDate], A29)</f>
        <v>0</v>
      </c>
      <c r="E29" s="45">
        <f t="shared" si="0"/>
        <v>2</v>
      </c>
      <c r="F29" s="45">
        <f>SUM($C$2:C29)</f>
        <v>25</v>
      </c>
      <c r="G29" s="49" cm="1">
        <f t="array" aca="1" ref="G29" ca="1">IF(B29=0,"", SUMPRODUCT((Table1[SubscriptionStart]&lt;=A29)*(Table1[EffectiveEndDate]&gt;=A29)*Table1[Age]) / B29 )</f>
        <v>44</v>
      </c>
      <c r="H29" s="22">
        <f>SUMIF(Table1[SubscriptionStart],"&lt;="&amp;A29,Table1[TotalRevenue])</f>
        <v>3355.35</v>
      </c>
      <c r="I29" s="50">
        <f t="shared" si="1"/>
        <v>44592</v>
      </c>
      <c r="J29" s="49">
        <f t="shared" ca="1" si="2"/>
        <v>13.903225806451612</v>
      </c>
      <c r="K29" s="45" cm="1">
        <f t="array" aca="1" ref="K29" ca="1">SUMPRODUCT((Table1[SubscriptionStart] &lt;= $A29) * (Table1[EffectiveEndDate] &gt;= $A29) * (Table1[Region] = "England"))</f>
        <v>8</v>
      </c>
      <c r="L29" s="45" cm="1">
        <f t="array" aca="1" ref="L29" ca="1">SUMPRODUCT((Table1[SubscriptionStart] &lt;= $A29) * (Table1[EffectiveEndDate] &gt;= $A29) * (Table1[Region] = "Scotland"))</f>
        <v>5</v>
      </c>
      <c r="M29" s="45" cm="1">
        <f t="array" aca="1" ref="M29" ca="1">SUMPRODUCT((Table1[SubscriptionStart] &lt;= $A29) * (Table1[EffectiveEndDate] &gt;= $A29) * (Table1[Region] = "Wales"))</f>
        <v>6</v>
      </c>
      <c r="N29" s="45" cm="1">
        <f t="array" aca="1" ref="N29" ca="1">SUMPRODUCT((Table1[SubscriptionStart] &lt;= $A29) * (Table1[EffectiveEndDate] &gt;= $A29) * (Table1[Region] = "Northern Ireland"))</f>
        <v>6</v>
      </c>
      <c r="O29" s="45" cm="1">
        <f t="array" aca="1" ref="O29" ca="1">SUMPRODUCT((Table1[Gender]="Male")*(Table1[SubscriptionStart]&lt;=A29)*(Table1[EffectiveEndDate]&gt;=A29))</f>
        <v>11</v>
      </c>
      <c r="P29" s="45" cm="1">
        <f t="array" aca="1" ref="P29" ca="1">SUMPRODUCT((Table1[Gender]="Female")*(Table1[SubscriptionStart]&lt;=A29)*(Table1[EffectiveEndDate]&gt;=A29))</f>
        <v>14</v>
      </c>
    </row>
    <row r="30" spans="1:16">
      <c r="A30" s="48">
        <f t="shared" si="3"/>
        <v>44590</v>
      </c>
      <c r="B30" s="45" cm="1">
        <f t="array" aca="1" ref="B30" ca="1">SUMPRODUCT((Table1[SubscriptionStart]&lt;=A30)*(Table1[EffectiveEndDate]&gt;=A30))</f>
        <v>25</v>
      </c>
      <c r="C30" s="45">
        <f>COUNTIFS(Table1[SubscriptionStart], A30)</f>
        <v>0</v>
      </c>
      <c r="D30" s="45">
        <f>COUNTIFS(Table1[CancellationDate], A30)</f>
        <v>0</v>
      </c>
      <c r="E30" s="45">
        <f t="shared" si="0"/>
        <v>0</v>
      </c>
      <c r="F30" s="45">
        <f>SUM($C$2:C30)</f>
        <v>25</v>
      </c>
      <c r="G30" s="49" cm="1">
        <f t="array" aca="1" ref="G30" ca="1">IF(B30=0,"", SUMPRODUCT((Table1[SubscriptionStart]&lt;=A30)*(Table1[EffectiveEndDate]&gt;=A30)*Table1[Age]) / B30 )</f>
        <v>44</v>
      </c>
      <c r="H30" s="22">
        <f>SUMIF(Table1[SubscriptionStart],"&lt;="&amp;A30,Table1[TotalRevenue])</f>
        <v>3355.35</v>
      </c>
      <c r="I30" s="50">
        <f t="shared" si="1"/>
        <v>44592</v>
      </c>
      <c r="J30" s="49">
        <f t="shared" ca="1" si="2"/>
        <v>13.903225806451612</v>
      </c>
      <c r="K30" s="45" cm="1">
        <f t="array" aca="1" ref="K30" ca="1">SUMPRODUCT((Table1[SubscriptionStart] &lt;= $A30) * (Table1[EffectiveEndDate] &gt;= $A30) * (Table1[Region] = "England"))</f>
        <v>8</v>
      </c>
      <c r="L30" s="45" cm="1">
        <f t="array" aca="1" ref="L30" ca="1">SUMPRODUCT((Table1[SubscriptionStart] &lt;= $A30) * (Table1[EffectiveEndDate] &gt;= $A30) * (Table1[Region] = "Scotland"))</f>
        <v>5</v>
      </c>
      <c r="M30" s="45" cm="1">
        <f t="array" aca="1" ref="M30" ca="1">SUMPRODUCT((Table1[SubscriptionStart] &lt;= $A30) * (Table1[EffectiveEndDate] &gt;= $A30) * (Table1[Region] = "Wales"))</f>
        <v>6</v>
      </c>
      <c r="N30" s="45" cm="1">
        <f t="array" aca="1" ref="N30" ca="1">SUMPRODUCT((Table1[SubscriptionStart] &lt;= $A30) * (Table1[EffectiveEndDate] &gt;= $A30) * (Table1[Region] = "Northern Ireland"))</f>
        <v>6</v>
      </c>
      <c r="O30" s="45" cm="1">
        <f t="array" aca="1" ref="O30" ca="1">SUMPRODUCT((Table1[Gender]="Male")*(Table1[SubscriptionStart]&lt;=A30)*(Table1[EffectiveEndDate]&gt;=A30))</f>
        <v>11</v>
      </c>
      <c r="P30" s="45" cm="1">
        <f t="array" aca="1" ref="P30" ca="1">SUMPRODUCT((Table1[Gender]="Female")*(Table1[SubscriptionStart]&lt;=A30)*(Table1[EffectiveEndDate]&gt;=A30))</f>
        <v>14</v>
      </c>
    </row>
    <row r="31" spans="1:16">
      <c r="A31" s="48">
        <f t="shared" si="3"/>
        <v>44591</v>
      </c>
      <c r="B31" s="45" cm="1">
        <f t="array" aca="1" ref="B31" ca="1">SUMPRODUCT((Table1[SubscriptionStart]&lt;=A31)*(Table1[EffectiveEndDate]&gt;=A31))</f>
        <v>26</v>
      </c>
      <c r="C31" s="45">
        <f>COUNTIFS(Table1[SubscriptionStart], A31)</f>
        <v>1</v>
      </c>
      <c r="D31" s="45">
        <f>COUNTIFS(Table1[CancellationDate], A31)</f>
        <v>0</v>
      </c>
      <c r="E31" s="45">
        <f t="shared" si="0"/>
        <v>1</v>
      </c>
      <c r="F31" s="45">
        <f>SUM($C$2:C31)</f>
        <v>26</v>
      </c>
      <c r="G31" s="49" cm="1">
        <f t="array" aca="1" ref="G31" ca="1">IF(B31=0,"", SUMPRODUCT((Table1[SubscriptionStart]&lt;=A31)*(Table1[EffectiveEndDate]&gt;=A31)*Table1[Age]) / B31 )</f>
        <v>43.53846153846154</v>
      </c>
      <c r="H31" s="22">
        <f>SUMIF(Table1[SubscriptionStart],"&lt;="&amp;A31,Table1[TotalRevenue])</f>
        <v>3395.85</v>
      </c>
      <c r="I31" s="50">
        <f t="shared" si="1"/>
        <v>44592</v>
      </c>
      <c r="J31" s="49">
        <f t="shared" ca="1" si="2"/>
        <v>13.903225806451612</v>
      </c>
      <c r="K31" s="45" cm="1">
        <f t="array" aca="1" ref="K31" ca="1">SUMPRODUCT((Table1[SubscriptionStart] &lt;= $A31) * (Table1[EffectiveEndDate] &gt;= $A31) * (Table1[Region] = "England"))</f>
        <v>8</v>
      </c>
      <c r="L31" s="45" cm="1">
        <f t="array" aca="1" ref="L31" ca="1">SUMPRODUCT((Table1[SubscriptionStart] &lt;= $A31) * (Table1[EffectiveEndDate] &gt;= $A31) * (Table1[Region] = "Scotland"))</f>
        <v>5</v>
      </c>
      <c r="M31" s="45" cm="1">
        <f t="array" aca="1" ref="M31" ca="1">SUMPRODUCT((Table1[SubscriptionStart] &lt;= $A31) * (Table1[EffectiveEndDate] &gt;= $A31) * (Table1[Region] = "Wales"))</f>
        <v>7</v>
      </c>
      <c r="N31" s="45" cm="1">
        <f t="array" aca="1" ref="N31" ca="1">SUMPRODUCT((Table1[SubscriptionStart] &lt;= $A31) * (Table1[EffectiveEndDate] &gt;= $A31) * (Table1[Region] = "Northern Ireland"))</f>
        <v>6</v>
      </c>
      <c r="O31" s="45" cm="1">
        <f t="array" aca="1" ref="O31" ca="1">SUMPRODUCT((Table1[Gender]="Male")*(Table1[SubscriptionStart]&lt;=A31)*(Table1[EffectiveEndDate]&gt;=A31))</f>
        <v>11</v>
      </c>
      <c r="P31" s="45" cm="1">
        <f t="array" aca="1" ref="P31" ca="1">SUMPRODUCT((Table1[Gender]="Female")*(Table1[SubscriptionStart]&lt;=A31)*(Table1[EffectiveEndDate]&gt;=A31))</f>
        <v>15</v>
      </c>
    </row>
    <row r="32" spans="1:16">
      <c r="A32" s="48">
        <f t="shared" si="3"/>
        <v>44592</v>
      </c>
      <c r="B32" s="45" cm="1">
        <f t="array" aca="1" ref="B32" ca="1">SUMPRODUCT((Table1[SubscriptionStart]&lt;=A32)*(Table1[EffectiveEndDate]&gt;=A32))</f>
        <v>27</v>
      </c>
      <c r="C32" s="45">
        <f>COUNTIFS(Table1[SubscriptionStart], A32)</f>
        <v>1</v>
      </c>
      <c r="D32" s="45">
        <f>COUNTIFS(Table1[CancellationDate], A32)</f>
        <v>0</v>
      </c>
      <c r="E32" s="45">
        <f t="shared" si="0"/>
        <v>1</v>
      </c>
      <c r="F32" s="45">
        <f>SUM($C$2:C32)</f>
        <v>27</v>
      </c>
      <c r="G32" s="49" cm="1">
        <f t="array" aca="1" ref="G32" ca="1">IF(B32=0,"", SUMPRODUCT((Table1[SubscriptionStart]&lt;=A32)*(Table1[EffectiveEndDate]&gt;=A32)*Table1[Age]) / B32 )</f>
        <v>44.148148148148145</v>
      </c>
      <c r="H32" s="22">
        <f>SUMIF(Table1[SubscriptionStart],"&lt;="&amp;A32,Table1[TotalRevenue])</f>
        <v>3525.45</v>
      </c>
      <c r="I32" s="50">
        <f t="shared" si="1"/>
        <v>44592</v>
      </c>
      <c r="J32" s="49">
        <f t="shared" ca="1" si="2"/>
        <v>13.903225806451612</v>
      </c>
      <c r="K32" s="45" cm="1">
        <f t="array" aca="1" ref="K32" ca="1">SUMPRODUCT((Table1[SubscriptionStart] &lt;= $A32) * (Table1[EffectiveEndDate] &gt;= $A32) * (Table1[Region] = "England"))</f>
        <v>8</v>
      </c>
      <c r="L32" s="45" cm="1">
        <f t="array" aca="1" ref="L32" ca="1">SUMPRODUCT((Table1[SubscriptionStart] &lt;= $A32) * (Table1[EffectiveEndDate] &gt;= $A32) * (Table1[Region] = "Scotland"))</f>
        <v>5</v>
      </c>
      <c r="M32" s="45" cm="1">
        <f t="array" aca="1" ref="M32" ca="1">SUMPRODUCT((Table1[SubscriptionStart] &lt;= $A32) * (Table1[EffectiveEndDate] &gt;= $A32) * (Table1[Region] = "Wales"))</f>
        <v>8</v>
      </c>
      <c r="N32" s="45" cm="1">
        <f t="array" aca="1" ref="N32" ca="1">SUMPRODUCT((Table1[SubscriptionStart] &lt;= $A32) * (Table1[EffectiveEndDate] &gt;= $A32) * (Table1[Region] = "Northern Ireland"))</f>
        <v>6</v>
      </c>
      <c r="O32" s="45" cm="1">
        <f t="array" aca="1" ref="O32" ca="1">SUMPRODUCT((Table1[Gender]="Male")*(Table1[SubscriptionStart]&lt;=A32)*(Table1[EffectiveEndDate]&gt;=A32))</f>
        <v>11</v>
      </c>
      <c r="P32" s="45" cm="1">
        <f t="array" aca="1" ref="P32" ca="1">SUMPRODUCT((Table1[Gender]="Female")*(Table1[SubscriptionStart]&lt;=A32)*(Table1[EffectiveEndDate]&gt;=A32))</f>
        <v>16</v>
      </c>
    </row>
    <row r="33" spans="1:16">
      <c r="A33" s="48">
        <f t="shared" si="3"/>
        <v>44593</v>
      </c>
      <c r="B33" s="45" cm="1">
        <f t="array" aca="1" ref="B33" ca="1">SUMPRODUCT((Table1[SubscriptionStart]&lt;=A33)*(Table1[EffectiveEndDate]&gt;=A33))</f>
        <v>27</v>
      </c>
      <c r="C33" s="45">
        <f>COUNTIFS(Table1[SubscriptionStart], A33)</f>
        <v>0</v>
      </c>
      <c r="D33" s="45">
        <f>COUNTIFS(Table1[CancellationDate], A33)</f>
        <v>0</v>
      </c>
      <c r="E33" s="45">
        <f t="shared" si="0"/>
        <v>0</v>
      </c>
      <c r="F33" s="45">
        <f>SUM($C$2:C33)</f>
        <v>27</v>
      </c>
      <c r="G33" s="49" cm="1">
        <f t="array" aca="1" ref="G33" ca="1">IF(B33=0,"", SUMPRODUCT((Table1[SubscriptionStart]&lt;=A33)*(Table1[EffectiveEndDate]&gt;=A33)*Table1[Age]) / B33 )</f>
        <v>44.148148148148145</v>
      </c>
      <c r="H33" s="22">
        <f>SUMIF(Table1[SubscriptionStart],"&lt;="&amp;A33,Table1[TotalRevenue])</f>
        <v>3525.45</v>
      </c>
      <c r="I33" s="50">
        <f t="shared" si="1"/>
        <v>44620</v>
      </c>
      <c r="J33" s="49">
        <f t="shared" ca="1" si="2"/>
        <v>36.714285714285715</v>
      </c>
      <c r="K33" s="45" cm="1">
        <f t="array" aca="1" ref="K33" ca="1">SUMPRODUCT((Table1[SubscriptionStart] &lt;= $A33) * (Table1[EffectiveEndDate] &gt;= $A33) * (Table1[Region] = "England"))</f>
        <v>8</v>
      </c>
      <c r="L33" s="45" cm="1">
        <f t="array" aca="1" ref="L33" ca="1">SUMPRODUCT((Table1[SubscriptionStart] &lt;= $A33) * (Table1[EffectiveEndDate] &gt;= $A33) * (Table1[Region] = "Scotland"))</f>
        <v>5</v>
      </c>
      <c r="M33" s="45" cm="1">
        <f t="array" aca="1" ref="M33" ca="1">SUMPRODUCT((Table1[SubscriptionStart] &lt;= $A33) * (Table1[EffectiveEndDate] &gt;= $A33) * (Table1[Region] = "Wales"))</f>
        <v>8</v>
      </c>
      <c r="N33" s="45" cm="1">
        <f t="array" aca="1" ref="N33" ca="1">SUMPRODUCT((Table1[SubscriptionStart] &lt;= $A33) * (Table1[EffectiveEndDate] &gt;= $A33) * (Table1[Region] = "Northern Ireland"))</f>
        <v>6</v>
      </c>
      <c r="O33" s="45" cm="1">
        <f t="array" aca="1" ref="O33" ca="1">SUMPRODUCT((Table1[Gender]="Male")*(Table1[SubscriptionStart]&lt;=A33)*(Table1[EffectiveEndDate]&gt;=A33))</f>
        <v>11</v>
      </c>
      <c r="P33" s="45" cm="1">
        <f t="array" aca="1" ref="P33" ca="1">SUMPRODUCT((Table1[Gender]="Female")*(Table1[SubscriptionStart]&lt;=A33)*(Table1[EffectiveEndDate]&gt;=A33))</f>
        <v>16</v>
      </c>
    </row>
    <row r="34" spans="1:16">
      <c r="A34" s="48">
        <f t="shared" si="3"/>
        <v>44594</v>
      </c>
      <c r="B34" s="45" cm="1">
        <f t="array" aca="1" ref="B34" ca="1">SUMPRODUCT((Table1[SubscriptionStart]&lt;=A34)*(Table1[EffectiveEndDate]&gt;=A34))</f>
        <v>28</v>
      </c>
      <c r="C34" s="45">
        <f>COUNTIFS(Table1[SubscriptionStart], A34)</f>
        <v>1</v>
      </c>
      <c r="D34" s="45">
        <f>COUNTIFS(Table1[CancellationDate], A34)</f>
        <v>0</v>
      </c>
      <c r="E34" s="45">
        <f t="shared" si="0"/>
        <v>1</v>
      </c>
      <c r="F34" s="45">
        <f>SUM($C$2:C34)</f>
        <v>28</v>
      </c>
      <c r="G34" s="49" cm="1">
        <f t="array" aca="1" ref="G34" ca="1">IF(B34=0,"", SUMPRODUCT((Table1[SubscriptionStart]&lt;=A34)*(Table1[EffectiveEndDate]&gt;=A34)*Table1[Age]) / B34 )</f>
        <v>44.5</v>
      </c>
      <c r="H34" s="22">
        <f>SUMIF(Table1[SubscriptionStart],"&lt;="&amp;A34,Table1[TotalRevenue])</f>
        <v>3876.45</v>
      </c>
      <c r="I34" s="50">
        <f t="shared" si="1"/>
        <v>44620</v>
      </c>
      <c r="J34" s="49">
        <f t="shared" ca="1" si="2"/>
        <v>36.714285714285715</v>
      </c>
      <c r="K34" s="45" cm="1">
        <f t="array" aca="1" ref="K34" ca="1">SUMPRODUCT((Table1[SubscriptionStart] &lt;= $A34) * (Table1[EffectiveEndDate] &gt;= $A34) * (Table1[Region] = "England"))</f>
        <v>8</v>
      </c>
      <c r="L34" s="45" cm="1">
        <f t="array" aca="1" ref="L34" ca="1">SUMPRODUCT((Table1[SubscriptionStart] &lt;= $A34) * (Table1[EffectiveEndDate] &gt;= $A34) * (Table1[Region] = "Scotland"))</f>
        <v>5</v>
      </c>
      <c r="M34" s="45" cm="1">
        <f t="array" aca="1" ref="M34" ca="1">SUMPRODUCT((Table1[SubscriptionStart] &lt;= $A34) * (Table1[EffectiveEndDate] &gt;= $A34) * (Table1[Region] = "Wales"))</f>
        <v>8</v>
      </c>
      <c r="N34" s="45" cm="1">
        <f t="array" aca="1" ref="N34" ca="1">SUMPRODUCT((Table1[SubscriptionStart] &lt;= $A34) * (Table1[EffectiveEndDate] &gt;= $A34) * (Table1[Region] = "Northern Ireland"))</f>
        <v>7</v>
      </c>
      <c r="O34" s="45" cm="1">
        <f t="array" aca="1" ref="O34" ca="1">SUMPRODUCT((Table1[Gender]="Male")*(Table1[SubscriptionStart]&lt;=A34)*(Table1[EffectiveEndDate]&gt;=A34))</f>
        <v>11</v>
      </c>
      <c r="P34" s="45" cm="1">
        <f t="array" aca="1" ref="P34" ca="1">SUMPRODUCT((Table1[Gender]="Female")*(Table1[SubscriptionStart]&lt;=A34)*(Table1[EffectiveEndDate]&gt;=A34))</f>
        <v>17</v>
      </c>
    </row>
    <row r="35" spans="1:16">
      <c r="A35" s="48">
        <f t="shared" si="3"/>
        <v>44595</v>
      </c>
      <c r="B35" s="45" cm="1">
        <f t="array" aca="1" ref="B35" ca="1">SUMPRODUCT((Table1[SubscriptionStart]&lt;=A35)*(Table1[EffectiveEndDate]&gt;=A35))</f>
        <v>28</v>
      </c>
      <c r="C35" s="45">
        <f>COUNTIFS(Table1[SubscriptionStart], A35)</f>
        <v>0</v>
      </c>
      <c r="D35" s="45">
        <f>COUNTIFS(Table1[CancellationDate], A35)</f>
        <v>0</v>
      </c>
      <c r="E35" s="45">
        <f t="shared" si="0"/>
        <v>0</v>
      </c>
      <c r="F35" s="45">
        <f>SUM($C$2:C35)</f>
        <v>28</v>
      </c>
      <c r="G35" s="49" cm="1">
        <f t="array" aca="1" ref="G35" ca="1">IF(B35=0,"", SUMPRODUCT((Table1[SubscriptionStart]&lt;=A35)*(Table1[EffectiveEndDate]&gt;=A35)*Table1[Age]) / B35 )</f>
        <v>44.5</v>
      </c>
      <c r="H35" s="22">
        <f>SUMIF(Table1[SubscriptionStart],"&lt;="&amp;A35,Table1[TotalRevenue])</f>
        <v>3876.45</v>
      </c>
      <c r="I35" s="50">
        <f t="shared" si="1"/>
        <v>44620</v>
      </c>
      <c r="J35" s="49">
        <f t="shared" ca="1" si="2"/>
        <v>36.714285714285715</v>
      </c>
      <c r="K35" s="45" cm="1">
        <f t="array" aca="1" ref="K35" ca="1">SUMPRODUCT((Table1[SubscriptionStart] &lt;= $A35) * (Table1[EffectiveEndDate] &gt;= $A35) * (Table1[Region] = "England"))</f>
        <v>8</v>
      </c>
      <c r="L35" s="45" cm="1">
        <f t="array" aca="1" ref="L35" ca="1">SUMPRODUCT((Table1[SubscriptionStart] &lt;= $A35) * (Table1[EffectiveEndDate] &gt;= $A35) * (Table1[Region] = "Scotland"))</f>
        <v>5</v>
      </c>
      <c r="M35" s="45" cm="1">
        <f t="array" aca="1" ref="M35" ca="1">SUMPRODUCT((Table1[SubscriptionStart] &lt;= $A35) * (Table1[EffectiveEndDate] &gt;= $A35) * (Table1[Region] = "Wales"))</f>
        <v>8</v>
      </c>
      <c r="N35" s="45" cm="1">
        <f t="array" aca="1" ref="N35" ca="1">SUMPRODUCT((Table1[SubscriptionStart] &lt;= $A35) * (Table1[EffectiveEndDate] &gt;= $A35) * (Table1[Region] = "Northern Ireland"))</f>
        <v>7</v>
      </c>
      <c r="O35" s="45" cm="1">
        <f t="array" aca="1" ref="O35" ca="1">SUMPRODUCT((Table1[Gender]="Male")*(Table1[SubscriptionStart]&lt;=A35)*(Table1[EffectiveEndDate]&gt;=A35))</f>
        <v>11</v>
      </c>
      <c r="P35" s="45" cm="1">
        <f t="array" aca="1" ref="P35" ca="1">SUMPRODUCT((Table1[Gender]="Female")*(Table1[SubscriptionStart]&lt;=A35)*(Table1[EffectiveEndDate]&gt;=A35))</f>
        <v>17</v>
      </c>
    </row>
    <row r="36" spans="1:16">
      <c r="A36" s="48">
        <f t="shared" si="3"/>
        <v>44596</v>
      </c>
      <c r="B36" s="45" cm="1">
        <f t="array" aca="1" ref="B36" ca="1">SUMPRODUCT((Table1[SubscriptionStart]&lt;=A36)*(Table1[EffectiveEndDate]&gt;=A36))</f>
        <v>30</v>
      </c>
      <c r="C36" s="45">
        <f>COUNTIFS(Table1[SubscriptionStart], A36)</f>
        <v>2</v>
      </c>
      <c r="D36" s="45">
        <f>COUNTIFS(Table1[CancellationDate], A36)</f>
        <v>0</v>
      </c>
      <c r="E36" s="45">
        <f t="shared" si="0"/>
        <v>2</v>
      </c>
      <c r="F36" s="45">
        <f>SUM($C$2:C36)</f>
        <v>30</v>
      </c>
      <c r="G36" s="49" cm="1">
        <f t="array" aca="1" ref="G36" ca="1">IF(B36=0,"", SUMPRODUCT((Table1[SubscriptionStart]&lt;=A36)*(Table1[EffectiveEndDate]&gt;=A36)*Table1[Age]) / B36 )</f>
        <v>43.833333333333336</v>
      </c>
      <c r="H36" s="22">
        <f>SUMIF(Table1[SubscriptionStart],"&lt;="&amp;A36,Table1[TotalRevenue])</f>
        <v>4046.5499999999997</v>
      </c>
      <c r="I36" s="50">
        <f t="shared" si="1"/>
        <v>44620</v>
      </c>
      <c r="J36" s="49">
        <f t="shared" ca="1" si="2"/>
        <v>36.714285714285715</v>
      </c>
      <c r="K36" s="45" cm="1">
        <f t="array" aca="1" ref="K36" ca="1">SUMPRODUCT((Table1[SubscriptionStart] &lt;= $A36) * (Table1[EffectiveEndDate] &gt;= $A36) * (Table1[Region] = "England"))</f>
        <v>9</v>
      </c>
      <c r="L36" s="45" cm="1">
        <f t="array" aca="1" ref="L36" ca="1">SUMPRODUCT((Table1[SubscriptionStart] &lt;= $A36) * (Table1[EffectiveEndDate] &gt;= $A36) * (Table1[Region] = "Scotland"))</f>
        <v>5</v>
      </c>
      <c r="M36" s="45" cm="1">
        <f t="array" aca="1" ref="M36" ca="1">SUMPRODUCT((Table1[SubscriptionStart] &lt;= $A36) * (Table1[EffectiveEndDate] &gt;= $A36) * (Table1[Region] = "Wales"))</f>
        <v>8</v>
      </c>
      <c r="N36" s="45" cm="1">
        <f t="array" aca="1" ref="N36" ca="1">SUMPRODUCT((Table1[SubscriptionStart] &lt;= $A36) * (Table1[EffectiveEndDate] &gt;= $A36) * (Table1[Region] = "Northern Ireland"))</f>
        <v>8</v>
      </c>
      <c r="O36" s="45" cm="1">
        <f t="array" aca="1" ref="O36" ca="1">SUMPRODUCT((Table1[Gender]="Male")*(Table1[SubscriptionStart]&lt;=A36)*(Table1[EffectiveEndDate]&gt;=A36))</f>
        <v>12</v>
      </c>
      <c r="P36" s="45" cm="1">
        <f t="array" aca="1" ref="P36" ca="1">SUMPRODUCT((Table1[Gender]="Female")*(Table1[SubscriptionStart]&lt;=A36)*(Table1[EffectiveEndDate]&gt;=A36))</f>
        <v>18</v>
      </c>
    </row>
    <row r="37" spans="1:16">
      <c r="A37" s="48">
        <f t="shared" si="3"/>
        <v>44597</v>
      </c>
      <c r="B37" s="45" cm="1">
        <f t="array" aca="1" ref="B37" ca="1">SUMPRODUCT((Table1[SubscriptionStart]&lt;=A37)*(Table1[EffectiveEndDate]&gt;=A37))</f>
        <v>31</v>
      </c>
      <c r="C37" s="45">
        <f>COUNTIFS(Table1[SubscriptionStart], A37)</f>
        <v>1</v>
      </c>
      <c r="D37" s="45">
        <f>COUNTIFS(Table1[CancellationDate], A37)</f>
        <v>0</v>
      </c>
      <c r="E37" s="45">
        <f t="shared" si="0"/>
        <v>1</v>
      </c>
      <c r="F37" s="45">
        <f>SUM($C$2:C37)</f>
        <v>31</v>
      </c>
      <c r="G37" s="49" cm="1">
        <f t="array" aca="1" ref="G37" ca="1">IF(B37=0,"", SUMPRODUCT((Table1[SubscriptionStart]&lt;=A37)*(Table1[EffectiveEndDate]&gt;=A37)*Table1[Age]) / B37 )</f>
        <v>43.064516129032256</v>
      </c>
      <c r="H37" s="22">
        <f>SUMIF(Table1[SubscriptionStart],"&lt;="&amp;A37,Table1[TotalRevenue])</f>
        <v>4176.1499999999996</v>
      </c>
      <c r="I37" s="50">
        <f t="shared" si="1"/>
        <v>44620</v>
      </c>
      <c r="J37" s="49">
        <f t="shared" ca="1" si="2"/>
        <v>36.714285714285715</v>
      </c>
      <c r="K37" s="45" cm="1">
        <f t="array" aca="1" ref="K37" ca="1">SUMPRODUCT((Table1[SubscriptionStart] &lt;= $A37) * (Table1[EffectiveEndDate] &gt;= $A37) * (Table1[Region] = "England"))</f>
        <v>9</v>
      </c>
      <c r="L37" s="45" cm="1">
        <f t="array" aca="1" ref="L37" ca="1">SUMPRODUCT((Table1[SubscriptionStart] &lt;= $A37) * (Table1[EffectiveEndDate] &gt;= $A37) * (Table1[Region] = "Scotland"))</f>
        <v>6</v>
      </c>
      <c r="M37" s="45" cm="1">
        <f t="array" aca="1" ref="M37" ca="1">SUMPRODUCT((Table1[SubscriptionStart] &lt;= $A37) * (Table1[EffectiveEndDate] &gt;= $A37) * (Table1[Region] = "Wales"))</f>
        <v>8</v>
      </c>
      <c r="N37" s="45" cm="1">
        <f t="array" aca="1" ref="N37" ca="1">SUMPRODUCT((Table1[SubscriptionStart] &lt;= $A37) * (Table1[EffectiveEndDate] &gt;= $A37) * (Table1[Region] = "Northern Ireland"))</f>
        <v>8</v>
      </c>
      <c r="O37" s="45" cm="1">
        <f t="array" aca="1" ref="O37" ca="1">SUMPRODUCT((Table1[Gender]="Male")*(Table1[SubscriptionStart]&lt;=A37)*(Table1[EffectiveEndDate]&gt;=A37))</f>
        <v>13</v>
      </c>
      <c r="P37" s="45" cm="1">
        <f t="array" aca="1" ref="P37" ca="1">SUMPRODUCT((Table1[Gender]="Female")*(Table1[SubscriptionStart]&lt;=A37)*(Table1[EffectiveEndDate]&gt;=A37))</f>
        <v>18</v>
      </c>
    </row>
    <row r="38" spans="1:16">
      <c r="A38" s="48">
        <f t="shared" si="3"/>
        <v>44598</v>
      </c>
      <c r="B38" s="45" cm="1">
        <f t="array" aca="1" ref="B38" ca="1">SUMPRODUCT((Table1[SubscriptionStart]&lt;=A38)*(Table1[EffectiveEndDate]&gt;=A38))</f>
        <v>31</v>
      </c>
      <c r="C38" s="45">
        <f>COUNTIFS(Table1[SubscriptionStart], A38)</f>
        <v>0</v>
      </c>
      <c r="D38" s="45">
        <f>COUNTIFS(Table1[CancellationDate], A38)</f>
        <v>0</v>
      </c>
      <c r="E38" s="45">
        <f t="shared" si="0"/>
        <v>0</v>
      </c>
      <c r="F38" s="45">
        <f>SUM($C$2:C38)</f>
        <v>31</v>
      </c>
      <c r="G38" s="49" cm="1">
        <f t="array" aca="1" ref="G38" ca="1">IF(B38=0,"", SUMPRODUCT((Table1[SubscriptionStart]&lt;=A38)*(Table1[EffectiveEndDate]&gt;=A38)*Table1[Age]) / B38 )</f>
        <v>43.064516129032256</v>
      </c>
      <c r="H38" s="22">
        <f>SUMIF(Table1[SubscriptionStart],"&lt;="&amp;A38,Table1[TotalRevenue])</f>
        <v>4176.1499999999996</v>
      </c>
      <c r="I38" s="50">
        <f t="shared" si="1"/>
        <v>44620</v>
      </c>
      <c r="J38" s="49">
        <f t="shared" ca="1" si="2"/>
        <v>36.714285714285715</v>
      </c>
      <c r="K38" s="45" cm="1">
        <f t="array" aca="1" ref="K38" ca="1">SUMPRODUCT((Table1[SubscriptionStart] &lt;= $A38) * (Table1[EffectiveEndDate] &gt;= $A38) * (Table1[Region] = "England"))</f>
        <v>9</v>
      </c>
      <c r="L38" s="45" cm="1">
        <f t="array" aca="1" ref="L38" ca="1">SUMPRODUCT((Table1[SubscriptionStart] &lt;= $A38) * (Table1[EffectiveEndDate] &gt;= $A38) * (Table1[Region] = "Scotland"))</f>
        <v>6</v>
      </c>
      <c r="M38" s="45" cm="1">
        <f t="array" aca="1" ref="M38" ca="1">SUMPRODUCT((Table1[SubscriptionStart] &lt;= $A38) * (Table1[EffectiveEndDate] &gt;= $A38) * (Table1[Region] = "Wales"))</f>
        <v>8</v>
      </c>
      <c r="N38" s="45" cm="1">
        <f t="array" aca="1" ref="N38" ca="1">SUMPRODUCT((Table1[SubscriptionStart] &lt;= $A38) * (Table1[EffectiveEndDate] &gt;= $A38) * (Table1[Region] = "Northern Ireland"))</f>
        <v>8</v>
      </c>
      <c r="O38" s="45" cm="1">
        <f t="array" aca="1" ref="O38" ca="1">SUMPRODUCT((Table1[Gender]="Male")*(Table1[SubscriptionStart]&lt;=A38)*(Table1[EffectiveEndDate]&gt;=A38))</f>
        <v>13</v>
      </c>
      <c r="P38" s="45" cm="1">
        <f t="array" aca="1" ref="P38" ca="1">SUMPRODUCT((Table1[Gender]="Female")*(Table1[SubscriptionStart]&lt;=A38)*(Table1[EffectiveEndDate]&gt;=A38))</f>
        <v>18</v>
      </c>
    </row>
    <row r="39" spans="1:16">
      <c r="A39" s="48">
        <f t="shared" si="3"/>
        <v>44599</v>
      </c>
      <c r="B39" s="45" cm="1">
        <f t="array" aca="1" ref="B39" ca="1">SUMPRODUCT((Table1[SubscriptionStart]&lt;=A39)*(Table1[EffectiveEndDate]&gt;=A39))</f>
        <v>33</v>
      </c>
      <c r="C39" s="45">
        <f>COUNTIFS(Table1[SubscriptionStart], A39)</f>
        <v>2</v>
      </c>
      <c r="D39" s="45">
        <f>COUNTIFS(Table1[CancellationDate], A39)</f>
        <v>1</v>
      </c>
      <c r="E39" s="45">
        <f t="shared" si="0"/>
        <v>1</v>
      </c>
      <c r="F39" s="45">
        <f>SUM($C$2:C39)</f>
        <v>33</v>
      </c>
      <c r="G39" s="49" cm="1">
        <f t="array" aca="1" ref="G39" ca="1">IF(B39=0,"", SUMPRODUCT((Table1[SubscriptionStart]&lt;=A39)*(Table1[EffectiveEndDate]&gt;=A39)*Table1[Age]) / B39 )</f>
        <v>42.090909090909093</v>
      </c>
      <c r="H39" s="22">
        <f>SUMIF(Table1[SubscriptionStart],"&lt;="&amp;A39,Table1[TotalRevenue])</f>
        <v>4485.75</v>
      </c>
      <c r="I39" s="50">
        <f t="shared" si="1"/>
        <v>44620</v>
      </c>
      <c r="J39" s="49">
        <f t="shared" ca="1" si="2"/>
        <v>36.714285714285715</v>
      </c>
      <c r="K39" s="45" cm="1">
        <f t="array" aca="1" ref="K39" ca="1">SUMPRODUCT((Table1[SubscriptionStart] &lt;= $A39) * (Table1[EffectiveEndDate] &gt;= $A39) * (Table1[Region] = "England"))</f>
        <v>9</v>
      </c>
      <c r="L39" s="45" cm="1">
        <f t="array" aca="1" ref="L39" ca="1">SUMPRODUCT((Table1[SubscriptionStart] &lt;= $A39) * (Table1[EffectiveEndDate] &gt;= $A39) * (Table1[Region] = "Scotland"))</f>
        <v>6</v>
      </c>
      <c r="M39" s="45" cm="1">
        <f t="array" aca="1" ref="M39" ca="1">SUMPRODUCT((Table1[SubscriptionStart] &lt;= $A39) * (Table1[EffectiveEndDate] &gt;= $A39) * (Table1[Region] = "Wales"))</f>
        <v>9</v>
      </c>
      <c r="N39" s="45" cm="1">
        <f t="array" aca="1" ref="N39" ca="1">SUMPRODUCT((Table1[SubscriptionStart] &lt;= $A39) * (Table1[EffectiveEndDate] &gt;= $A39) * (Table1[Region] = "Northern Ireland"))</f>
        <v>9</v>
      </c>
      <c r="O39" s="45" cm="1">
        <f t="array" aca="1" ref="O39" ca="1">SUMPRODUCT((Table1[Gender]="Male")*(Table1[SubscriptionStart]&lt;=A39)*(Table1[EffectiveEndDate]&gt;=A39))</f>
        <v>14</v>
      </c>
      <c r="P39" s="45" cm="1">
        <f t="array" aca="1" ref="P39" ca="1">SUMPRODUCT((Table1[Gender]="Female")*(Table1[SubscriptionStart]&lt;=A39)*(Table1[EffectiveEndDate]&gt;=A39))</f>
        <v>19</v>
      </c>
    </row>
    <row r="40" spans="1:16">
      <c r="A40" s="48">
        <f t="shared" si="3"/>
        <v>44600</v>
      </c>
      <c r="B40" s="45" cm="1">
        <f t="array" aca="1" ref="B40" ca="1">SUMPRODUCT((Table1[SubscriptionStart]&lt;=A40)*(Table1[EffectiveEndDate]&gt;=A40))</f>
        <v>33</v>
      </c>
      <c r="C40" s="45">
        <f>COUNTIFS(Table1[SubscriptionStart], A40)</f>
        <v>1</v>
      </c>
      <c r="D40" s="45">
        <f>COUNTIFS(Table1[CancellationDate], A40)</f>
        <v>1</v>
      </c>
      <c r="E40" s="45">
        <f t="shared" si="0"/>
        <v>0</v>
      </c>
      <c r="F40" s="45">
        <f>SUM($C$2:C40)</f>
        <v>34</v>
      </c>
      <c r="G40" s="49" cm="1">
        <f t="array" aca="1" ref="G40" ca="1">IF(B40=0,"", SUMPRODUCT((Table1[SubscriptionStart]&lt;=A40)*(Table1[EffectiveEndDate]&gt;=A40)*Table1[Age]) / B40 )</f>
        <v>42</v>
      </c>
      <c r="H40" s="22">
        <f>SUMIF(Table1[SubscriptionStart],"&lt;="&amp;A40,Table1[TotalRevenue])</f>
        <v>4526.25</v>
      </c>
      <c r="I40" s="50">
        <f t="shared" si="1"/>
        <v>44620</v>
      </c>
      <c r="J40" s="49">
        <f t="shared" ca="1" si="2"/>
        <v>36.714285714285715</v>
      </c>
      <c r="K40" s="45" cm="1">
        <f t="array" aca="1" ref="K40" ca="1">SUMPRODUCT((Table1[SubscriptionStart] &lt;= $A40) * (Table1[EffectiveEndDate] &gt;= $A40) * (Table1[Region] = "England"))</f>
        <v>8</v>
      </c>
      <c r="L40" s="45" cm="1">
        <f t="array" aca="1" ref="L40" ca="1">SUMPRODUCT((Table1[SubscriptionStart] &lt;= $A40) * (Table1[EffectiveEndDate] &gt;= $A40) * (Table1[Region] = "Scotland"))</f>
        <v>6</v>
      </c>
      <c r="M40" s="45" cm="1">
        <f t="array" aca="1" ref="M40" ca="1">SUMPRODUCT((Table1[SubscriptionStart] &lt;= $A40) * (Table1[EffectiveEndDate] &gt;= $A40) * (Table1[Region] = "Wales"))</f>
        <v>9</v>
      </c>
      <c r="N40" s="45" cm="1">
        <f t="array" aca="1" ref="N40" ca="1">SUMPRODUCT((Table1[SubscriptionStart] &lt;= $A40) * (Table1[EffectiveEndDate] &gt;= $A40) * (Table1[Region] = "Northern Ireland"))</f>
        <v>10</v>
      </c>
      <c r="O40" s="45" cm="1">
        <f t="array" aca="1" ref="O40" ca="1">SUMPRODUCT((Table1[Gender]="Male")*(Table1[SubscriptionStart]&lt;=A40)*(Table1[EffectiveEndDate]&gt;=A40))</f>
        <v>14</v>
      </c>
      <c r="P40" s="45" cm="1">
        <f t="array" aca="1" ref="P40" ca="1">SUMPRODUCT((Table1[Gender]="Female")*(Table1[SubscriptionStart]&lt;=A40)*(Table1[EffectiveEndDate]&gt;=A40))</f>
        <v>19</v>
      </c>
    </row>
    <row r="41" spans="1:16">
      <c r="A41" s="48">
        <f t="shared" si="3"/>
        <v>44601</v>
      </c>
      <c r="B41" s="45" cm="1">
        <f t="array" aca="1" ref="B41" ca="1">SUMPRODUCT((Table1[SubscriptionStart]&lt;=A41)*(Table1[EffectiveEndDate]&gt;=A41))</f>
        <v>33</v>
      </c>
      <c r="C41" s="45">
        <f>COUNTIFS(Table1[SubscriptionStart], A41)</f>
        <v>1</v>
      </c>
      <c r="D41" s="45">
        <f>COUNTIFS(Table1[CancellationDate], A41)</f>
        <v>0</v>
      </c>
      <c r="E41" s="45">
        <f t="shared" si="0"/>
        <v>1</v>
      </c>
      <c r="F41" s="45">
        <f>SUM($C$2:C41)</f>
        <v>35</v>
      </c>
      <c r="G41" s="49" cm="1">
        <f t="array" aca="1" ref="G41" ca="1">IF(B41=0,"", SUMPRODUCT((Table1[SubscriptionStart]&lt;=A41)*(Table1[EffectiveEndDate]&gt;=A41)*Table1[Age]) / B41 )</f>
        <v>42.060606060606062</v>
      </c>
      <c r="H41" s="22">
        <f>SUMIF(Table1[SubscriptionStart],"&lt;="&amp;A41,Table1[TotalRevenue])</f>
        <v>4627.5</v>
      </c>
      <c r="I41" s="50">
        <f t="shared" si="1"/>
        <v>44620</v>
      </c>
      <c r="J41" s="49">
        <f t="shared" ca="1" si="2"/>
        <v>36.714285714285715</v>
      </c>
      <c r="K41" s="45" cm="1">
        <f t="array" aca="1" ref="K41" ca="1">SUMPRODUCT((Table1[SubscriptionStart] &lt;= $A41) * (Table1[EffectiveEndDate] &gt;= $A41) * (Table1[Region] = "England"))</f>
        <v>9</v>
      </c>
      <c r="L41" s="45" cm="1">
        <f t="array" aca="1" ref="L41" ca="1">SUMPRODUCT((Table1[SubscriptionStart] &lt;= $A41) * (Table1[EffectiveEndDate] &gt;= $A41) * (Table1[Region] = "Scotland"))</f>
        <v>5</v>
      </c>
      <c r="M41" s="45" cm="1">
        <f t="array" aca="1" ref="M41" ca="1">SUMPRODUCT((Table1[SubscriptionStart] &lt;= $A41) * (Table1[EffectiveEndDate] &gt;= $A41) * (Table1[Region] = "Wales"))</f>
        <v>9</v>
      </c>
      <c r="N41" s="45" cm="1">
        <f t="array" aca="1" ref="N41" ca="1">SUMPRODUCT((Table1[SubscriptionStart] &lt;= $A41) * (Table1[EffectiveEndDate] &gt;= $A41) * (Table1[Region] = "Northern Ireland"))</f>
        <v>10</v>
      </c>
      <c r="O41" s="45" cm="1">
        <f t="array" aca="1" ref="O41" ca="1">SUMPRODUCT((Table1[Gender]="Male")*(Table1[SubscriptionStart]&lt;=A41)*(Table1[EffectiveEndDate]&gt;=A41))</f>
        <v>13</v>
      </c>
      <c r="P41" s="45" cm="1">
        <f t="array" aca="1" ref="P41" ca="1">SUMPRODUCT((Table1[Gender]="Female")*(Table1[SubscriptionStart]&lt;=A41)*(Table1[EffectiveEndDate]&gt;=A41))</f>
        <v>20</v>
      </c>
    </row>
    <row r="42" spans="1:16">
      <c r="A42" s="48">
        <f t="shared" si="3"/>
        <v>44602</v>
      </c>
      <c r="B42" s="45" cm="1">
        <f t="array" aca="1" ref="B42" ca="1">SUMPRODUCT((Table1[SubscriptionStart]&lt;=A42)*(Table1[EffectiveEndDate]&gt;=A42))</f>
        <v>33</v>
      </c>
      <c r="C42" s="45">
        <f>COUNTIFS(Table1[SubscriptionStart], A42)</f>
        <v>0</v>
      </c>
      <c r="D42" s="45">
        <f>COUNTIFS(Table1[CancellationDate], A42)</f>
        <v>0</v>
      </c>
      <c r="E42" s="45">
        <f t="shared" si="0"/>
        <v>0</v>
      </c>
      <c r="F42" s="45">
        <f>SUM($C$2:C42)</f>
        <v>35</v>
      </c>
      <c r="G42" s="49" cm="1">
        <f t="array" aca="1" ref="G42" ca="1">IF(B42=0,"", SUMPRODUCT((Table1[SubscriptionStart]&lt;=A42)*(Table1[EffectiveEndDate]&gt;=A42)*Table1[Age]) / B42 )</f>
        <v>42.060606060606062</v>
      </c>
      <c r="H42" s="22">
        <f>SUMIF(Table1[SubscriptionStart],"&lt;="&amp;A42,Table1[TotalRevenue])</f>
        <v>4627.5</v>
      </c>
      <c r="I42" s="50">
        <f t="shared" si="1"/>
        <v>44620</v>
      </c>
      <c r="J42" s="49">
        <f t="shared" ca="1" si="2"/>
        <v>36.714285714285715</v>
      </c>
      <c r="K42" s="45" cm="1">
        <f t="array" aca="1" ref="K42" ca="1">SUMPRODUCT((Table1[SubscriptionStart] &lt;= $A42) * (Table1[EffectiveEndDate] &gt;= $A42) * (Table1[Region] = "England"))</f>
        <v>9</v>
      </c>
      <c r="L42" s="45" cm="1">
        <f t="array" aca="1" ref="L42" ca="1">SUMPRODUCT((Table1[SubscriptionStart] &lt;= $A42) * (Table1[EffectiveEndDate] &gt;= $A42) * (Table1[Region] = "Scotland"))</f>
        <v>5</v>
      </c>
      <c r="M42" s="45" cm="1">
        <f t="array" aca="1" ref="M42" ca="1">SUMPRODUCT((Table1[SubscriptionStart] &lt;= $A42) * (Table1[EffectiveEndDate] &gt;= $A42) * (Table1[Region] = "Wales"))</f>
        <v>9</v>
      </c>
      <c r="N42" s="45" cm="1">
        <f t="array" aca="1" ref="N42" ca="1">SUMPRODUCT((Table1[SubscriptionStart] &lt;= $A42) * (Table1[EffectiveEndDate] &gt;= $A42) * (Table1[Region] = "Northern Ireland"))</f>
        <v>10</v>
      </c>
      <c r="O42" s="45" cm="1">
        <f t="array" aca="1" ref="O42" ca="1">SUMPRODUCT((Table1[Gender]="Male")*(Table1[SubscriptionStart]&lt;=A42)*(Table1[EffectiveEndDate]&gt;=A42))</f>
        <v>13</v>
      </c>
      <c r="P42" s="45" cm="1">
        <f t="array" aca="1" ref="P42" ca="1">SUMPRODUCT((Table1[Gender]="Female")*(Table1[SubscriptionStart]&lt;=A42)*(Table1[EffectiveEndDate]&gt;=A42))</f>
        <v>20</v>
      </c>
    </row>
    <row r="43" spans="1:16">
      <c r="A43" s="48">
        <f t="shared" si="3"/>
        <v>44603</v>
      </c>
      <c r="B43" s="45" cm="1">
        <f t="array" aca="1" ref="B43" ca="1">SUMPRODUCT((Table1[SubscriptionStart]&lt;=A43)*(Table1[EffectiveEndDate]&gt;=A43))</f>
        <v>34</v>
      </c>
      <c r="C43" s="45">
        <f>COUNTIFS(Table1[SubscriptionStart], A43)</f>
        <v>1</v>
      </c>
      <c r="D43" s="45">
        <f>COUNTIFS(Table1[CancellationDate], A43)</f>
        <v>0</v>
      </c>
      <c r="E43" s="45">
        <f t="shared" si="0"/>
        <v>1</v>
      </c>
      <c r="F43" s="45">
        <f>SUM($C$2:C43)</f>
        <v>36</v>
      </c>
      <c r="G43" s="49" cm="1">
        <f t="array" aca="1" ref="G43" ca="1">IF(B43=0,"", SUMPRODUCT((Table1[SubscriptionStart]&lt;=A43)*(Table1[EffectiveEndDate]&gt;=A43)*Table1[Age]) / B43 )</f>
        <v>42.382352941176471</v>
      </c>
      <c r="H43" s="22">
        <f>SUMIF(Table1[SubscriptionStart],"&lt;="&amp;A43,Table1[TotalRevenue])</f>
        <v>4757.1000000000004</v>
      </c>
      <c r="I43" s="50">
        <f t="shared" si="1"/>
        <v>44620</v>
      </c>
      <c r="J43" s="49">
        <f t="shared" ca="1" si="2"/>
        <v>36.714285714285715</v>
      </c>
      <c r="K43" s="45" cm="1">
        <f t="array" aca="1" ref="K43" ca="1">SUMPRODUCT((Table1[SubscriptionStart] &lt;= $A43) * (Table1[EffectiveEndDate] &gt;= $A43) * (Table1[Region] = "England"))</f>
        <v>9</v>
      </c>
      <c r="L43" s="45" cm="1">
        <f t="array" aca="1" ref="L43" ca="1">SUMPRODUCT((Table1[SubscriptionStart] &lt;= $A43) * (Table1[EffectiveEndDate] &gt;= $A43) * (Table1[Region] = "Scotland"))</f>
        <v>6</v>
      </c>
      <c r="M43" s="45" cm="1">
        <f t="array" aca="1" ref="M43" ca="1">SUMPRODUCT((Table1[SubscriptionStart] &lt;= $A43) * (Table1[EffectiveEndDate] &gt;= $A43) * (Table1[Region] = "Wales"))</f>
        <v>9</v>
      </c>
      <c r="N43" s="45" cm="1">
        <f t="array" aca="1" ref="N43" ca="1">SUMPRODUCT((Table1[SubscriptionStart] &lt;= $A43) * (Table1[EffectiveEndDate] &gt;= $A43) * (Table1[Region] = "Northern Ireland"))</f>
        <v>10</v>
      </c>
      <c r="O43" s="45" cm="1">
        <f t="array" aca="1" ref="O43" ca="1">SUMPRODUCT((Table1[Gender]="Male")*(Table1[SubscriptionStart]&lt;=A43)*(Table1[EffectiveEndDate]&gt;=A43))</f>
        <v>14</v>
      </c>
      <c r="P43" s="45" cm="1">
        <f t="array" aca="1" ref="P43" ca="1">SUMPRODUCT((Table1[Gender]="Female")*(Table1[SubscriptionStart]&lt;=A43)*(Table1[EffectiveEndDate]&gt;=A43))</f>
        <v>20</v>
      </c>
    </row>
    <row r="44" spans="1:16">
      <c r="A44" s="48">
        <f t="shared" si="3"/>
        <v>44604</v>
      </c>
      <c r="B44" s="45" cm="1">
        <f t="array" aca="1" ref="B44" ca="1">SUMPRODUCT((Table1[SubscriptionStart]&lt;=A44)*(Table1[EffectiveEndDate]&gt;=A44))</f>
        <v>34</v>
      </c>
      <c r="C44" s="45">
        <f>COUNTIFS(Table1[SubscriptionStart], A44)</f>
        <v>0</v>
      </c>
      <c r="D44" s="45">
        <f>COUNTIFS(Table1[CancellationDate], A44)</f>
        <v>0</v>
      </c>
      <c r="E44" s="45">
        <f t="shared" si="0"/>
        <v>0</v>
      </c>
      <c r="F44" s="45">
        <f>SUM($C$2:C44)</f>
        <v>36</v>
      </c>
      <c r="G44" s="49" cm="1">
        <f t="array" aca="1" ref="G44" ca="1">IF(B44=0,"", SUMPRODUCT((Table1[SubscriptionStart]&lt;=A44)*(Table1[EffectiveEndDate]&gt;=A44)*Table1[Age]) / B44 )</f>
        <v>42.382352941176471</v>
      </c>
      <c r="H44" s="22">
        <f>SUMIF(Table1[SubscriptionStart],"&lt;="&amp;A44,Table1[TotalRevenue])</f>
        <v>4757.1000000000004</v>
      </c>
      <c r="I44" s="50">
        <f t="shared" si="1"/>
        <v>44620</v>
      </c>
      <c r="J44" s="49">
        <f t="shared" ca="1" si="2"/>
        <v>36.714285714285715</v>
      </c>
      <c r="K44" s="45" cm="1">
        <f t="array" aca="1" ref="K44" ca="1">SUMPRODUCT((Table1[SubscriptionStart] &lt;= $A44) * (Table1[EffectiveEndDate] &gt;= $A44) * (Table1[Region] = "England"))</f>
        <v>9</v>
      </c>
      <c r="L44" s="45" cm="1">
        <f t="array" aca="1" ref="L44" ca="1">SUMPRODUCT((Table1[SubscriptionStart] &lt;= $A44) * (Table1[EffectiveEndDate] &gt;= $A44) * (Table1[Region] = "Scotland"))</f>
        <v>6</v>
      </c>
      <c r="M44" s="45" cm="1">
        <f t="array" aca="1" ref="M44" ca="1">SUMPRODUCT((Table1[SubscriptionStart] &lt;= $A44) * (Table1[EffectiveEndDate] &gt;= $A44) * (Table1[Region] = "Wales"))</f>
        <v>9</v>
      </c>
      <c r="N44" s="45" cm="1">
        <f t="array" aca="1" ref="N44" ca="1">SUMPRODUCT((Table1[SubscriptionStart] &lt;= $A44) * (Table1[EffectiveEndDate] &gt;= $A44) * (Table1[Region] = "Northern Ireland"))</f>
        <v>10</v>
      </c>
      <c r="O44" s="45" cm="1">
        <f t="array" aca="1" ref="O44" ca="1">SUMPRODUCT((Table1[Gender]="Male")*(Table1[SubscriptionStart]&lt;=A44)*(Table1[EffectiveEndDate]&gt;=A44))</f>
        <v>14</v>
      </c>
      <c r="P44" s="45" cm="1">
        <f t="array" aca="1" ref="P44" ca="1">SUMPRODUCT((Table1[Gender]="Female")*(Table1[SubscriptionStart]&lt;=A44)*(Table1[EffectiveEndDate]&gt;=A44))</f>
        <v>20</v>
      </c>
    </row>
    <row r="45" spans="1:16">
      <c r="A45" s="48">
        <f t="shared" si="3"/>
        <v>44605</v>
      </c>
      <c r="B45" s="45" cm="1">
        <f t="array" aca="1" ref="B45" ca="1">SUMPRODUCT((Table1[SubscriptionStart]&lt;=A45)*(Table1[EffectiveEndDate]&gt;=A45))</f>
        <v>34</v>
      </c>
      <c r="C45" s="45">
        <f>COUNTIFS(Table1[SubscriptionStart], A45)</f>
        <v>0</v>
      </c>
      <c r="D45" s="45">
        <f>COUNTIFS(Table1[CancellationDate], A45)</f>
        <v>0</v>
      </c>
      <c r="E45" s="45">
        <f t="shared" si="0"/>
        <v>0</v>
      </c>
      <c r="F45" s="45">
        <f>SUM($C$2:C45)</f>
        <v>36</v>
      </c>
      <c r="G45" s="49" cm="1">
        <f t="array" aca="1" ref="G45" ca="1">IF(B45=0,"", SUMPRODUCT((Table1[SubscriptionStart]&lt;=A45)*(Table1[EffectiveEndDate]&gt;=A45)*Table1[Age]) / B45 )</f>
        <v>42.382352941176471</v>
      </c>
      <c r="H45" s="22">
        <f>SUMIF(Table1[SubscriptionStart],"&lt;="&amp;A45,Table1[TotalRevenue])</f>
        <v>4757.1000000000004</v>
      </c>
      <c r="I45" s="50">
        <f t="shared" si="1"/>
        <v>44620</v>
      </c>
      <c r="J45" s="49">
        <f t="shared" ca="1" si="2"/>
        <v>36.714285714285715</v>
      </c>
      <c r="K45" s="45" cm="1">
        <f t="array" aca="1" ref="K45" ca="1">SUMPRODUCT((Table1[SubscriptionStart] &lt;= $A45) * (Table1[EffectiveEndDate] &gt;= $A45) * (Table1[Region] = "England"))</f>
        <v>9</v>
      </c>
      <c r="L45" s="45" cm="1">
        <f t="array" aca="1" ref="L45" ca="1">SUMPRODUCT((Table1[SubscriptionStart] &lt;= $A45) * (Table1[EffectiveEndDate] &gt;= $A45) * (Table1[Region] = "Scotland"))</f>
        <v>6</v>
      </c>
      <c r="M45" s="45" cm="1">
        <f t="array" aca="1" ref="M45" ca="1">SUMPRODUCT((Table1[SubscriptionStart] &lt;= $A45) * (Table1[EffectiveEndDate] &gt;= $A45) * (Table1[Region] = "Wales"))</f>
        <v>9</v>
      </c>
      <c r="N45" s="45" cm="1">
        <f t="array" aca="1" ref="N45" ca="1">SUMPRODUCT((Table1[SubscriptionStart] &lt;= $A45) * (Table1[EffectiveEndDate] &gt;= $A45) * (Table1[Region] = "Northern Ireland"))</f>
        <v>10</v>
      </c>
      <c r="O45" s="45" cm="1">
        <f t="array" aca="1" ref="O45" ca="1">SUMPRODUCT((Table1[Gender]="Male")*(Table1[SubscriptionStart]&lt;=A45)*(Table1[EffectiveEndDate]&gt;=A45))</f>
        <v>14</v>
      </c>
      <c r="P45" s="45" cm="1">
        <f t="array" aca="1" ref="P45" ca="1">SUMPRODUCT((Table1[Gender]="Female")*(Table1[SubscriptionStart]&lt;=A45)*(Table1[EffectiveEndDate]&gt;=A45))</f>
        <v>20</v>
      </c>
    </row>
    <row r="46" spans="1:16">
      <c r="A46" s="48">
        <f t="shared" si="3"/>
        <v>44606</v>
      </c>
      <c r="B46" s="45" cm="1">
        <f t="array" aca="1" ref="B46" ca="1">SUMPRODUCT((Table1[SubscriptionStart]&lt;=A46)*(Table1[EffectiveEndDate]&gt;=A46))</f>
        <v>36</v>
      </c>
      <c r="C46" s="45">
        <f>COUNTIFS(Table1[SubscriptionStart], A46)</f>
        <v>2</v>
      </c>
      <c r="D46" s="45">
        <f>COUNTIFS(Table1[CancellationDate], A46)</f>
        <v>1</v>
      </c>
      <c r="E46" s="45">
        <f t="shared" si="0"/>
        <v>1</v>
      </c>
      <c r="F46" s="45">
        <f>SUM($C$2:C46)</f>
        <v>38</v>
      </c>
      <c r="G46" s="49" cm="1">
        <f t="array" aca="1" ref="G46" ca="1">IF(B46=0,"", SUMPRODUCT((Table1[SubscriptionStart]&lt;=A46)*(Table1[EffectiveEndDate]&gt;=A46)*Table1[Age]) / B46 )</f>
        <v>43.333333333333336</v>
      </c>
      <c r="H46" s="22">
        <f>SUMIF(Table1[SubscriptionStart],"&lt;="&amp;A46,Table1[TotalRevenue])</f>
        <v>5237.7000000000007</v>
      </c>
      <c r="I46" s="50">
        <f t="shared" si="1"/>
        <v>44620</v>
      </c>
      <c r="J46" s="49">
        <f t="shared" ca="1" si="2"/>
        <v>36.714285714285715</v>
      </c>
      <c r="K46" s="45" cm="1">
        <f t="array" aca="1" ref="K46" ca="1">SUMPRODUCT((Table1[SubscriptionStart] &lt;= $A46) * (Table1[EffectiveEndDate] &gt;= $A46) * (Table1[Region] = "England"))</f>
        <v>10</v>
      </c>
      <c r="L46" s="45" cm="1">
        <f t="array" aca="1" ref="L46" ca="1">SUMPRODUCT((Table1[SubscriptionStart] &lt;= $A46) * (Table1[EffectiveEndDate] &gt;= $A46) * (Table1[Region] = "Scotland"))</f>
        <v>6</v>
      </c>
      <c r="M46" s="45" cm="1">
        <f t="array" aca="1" ref="M46" ca="1">SUMPRODUCT((Table1[SubscriptionStart] &lt;= $A46) * (Table1[EffectiveEndDate] &gt;= $A46) * (Table1[Region] = "Wales"))</f>
        <v>10</v>
      </c>
      <c r="N46" s="45" cm="1">
        <f t="array" aca="1" ref="N46" ca="1">SUMPRODUCT((Table1[SubscriptionStart] &lt;= $A46) * (Table1[EffectiveEndDate] &gt;= $A46) * (Table1[Region] = "Northern Ireland"))</f>
        <v>10</v>
      </c>
      <c r="O46" s="45" cm="1">
        <f t="array" aca="1" ref="O46" ca="1">SUMPRODUCT((Table1[Gender]="Male")*(Table1[SubscriptionStart]&lt;=A46)*(Table1[EffectiveEndDate]&gt;=A46))</f>
        <v>16</v>
      </c>
      <c r="P46" s="45" cm="1">
        <f t="array" aca="1" ref="P46" ca="1">SUMPRODUCT((Table1[Gender]="Female")*(Table1[SubscriptionStart]&lt;=A46)*(Table1[EffectiveEndDate]&gt;=A46))</f>
        <v>20</v>
      </c>
    </row>
    <row r="47" spans="1:16">
      <c r="A47" s="48">
        <f t="shared" si="3"/>
        <v>44607</v>
      </c>
      <c r="B47" s="45" cm="1">
        <f t="array" aca="1" ref="B47" ca="1">SUMPRODUCT((Table1[SubscriptionStart]&lt;=A47)*(Table1[EffectiveEndDate]&gt;=A47))</f>
        <v>37</v>
      </c>
      <c r="C47" s="45">
        <f>COUNTIFS(Table1[SubscriptionStart], A47)</f>
        <v>2</v>
      </c>
      <c r="D47" s="45">
        <f>COUNTIFS(Table1[CancellationDate], A47)</f>
        <v>1</v>
      </c>
      <c r="E47" s="45">
        <f t="shared" si="0"/>
        <v>1</v>
      </c>
      <c r="F47" s="45">
        <f>SUM($C$2:C47)</f>
        <v>40</v>
      </c>
      <c r="G47" s="49" cm="1">
        <f t="array" aca="1" ref="G47" ca="1">IF(B47=0,"", SUMPRODUCT((Table1[SubscriptionStart]&lt;=A47)*(Table1[EffectiveEndDate]&gt;=A47)*Table1[Age]) / B47 )</f>
        <v>42.297297297297298</v>
      </c>
      <c r="H47" s="22">
        <f>SUMIF(Table1[SubscriptionStart],"&lt;="&amp;A47,Table1[TotalRevenue])</f>
        <v>6118.9500000000007</v>
      </c>
      <c r="I47" s="50">
        <f t="shared" si="1"/>
        <v>44620</v>
      </c>
      <c r="J47" s="49">
        <f t="shared" ca="1" si="2"/>
        <v>36.714285714285715</v>
      </c>
      <c r="K47" s="45" cm="1">
        <f t="array" aca="1" ref="K47" ca="1">SUMPRODUCT((Table1[SubscriptionStart] &lt;= $A47) * (Table1[EffectiveEndDate] &gt;= $A47) * (Table1[Region] = "England"))</f>
        <v>11</v>
      </c>
      <c r="L47" s="45" cm="1">
        <f t="array" aca="1" ref="L47" ca="1">SUMPRODUCT((Table1[SubscriptionStart] &lt;= $A47) * (Table1[EffectiveEndDate] &gt;= $A47) * (Table1[Region] = "Scotland"))</f>
        <v>6</v>
      </c>
      <c r="M47" s="45" cm="1">
        <f t="array" aca="1" ref="M47" ca="1">SUMPRODUCT((Table1[SubscriptionStart] &lt;= $A47) * (Table1[EffectiveEndDate] &gt;= $A47) * (Table1[Region] = "Wales"))</f>
        <v>10</v>
      </c>
      <c r="N47" s="45" cm="1">
        <f t="array" aca="1" ref="N47" ca="1">SUMPRODUCT((Table1[SubscriptionStart] &lt;= $A47) * (Table1[EffectiveEndDate] &gt;= $A47) * (Table1[Region] = "Northern Ireland"))</f>
        <v>10</v>
      </c>
      <c r="O47" s="45" cm="1">
        <f t="array" aca="1" ref="O47" ca="1">SUMPRODUCT((Table1[Gender]="Male")*(Table1[SubscriptionStart]&lt;=A47)*(Table1[EffectiveEndDate]&gt;=A47))</f>
        <v>18</v>
      </c>
      <c r="P47" s="45" cm="1">
        <f t="array" aca="1" ref="P47" ca="1">SUMPRODUCT((Table1[Gender]="Female")*(Table1[SubscriptionStart]&lt;=A47)*(Table1[EffectiveEndDate]&gt;=A47))</f>
        <v>19</v>
      </c>
    </row>
    <row r="48" spans="1:16">
      <c r="A48" s="48">
        <f t="shared" si="3"/>
        <v>44608</v>
      </c>
      <c r="B48" s="45" cm="1">
        <f t="array" aca="1" ref="B48" ca="1">SUMPRODUCT((Table1[SubscriptionStart]&lt;=A48)*(Table1[EffectiveEndDate]&gt;=A48))</f>
        <v>38</v>
      </c>
      <c r="C48" s="45">
        <f>COUNTIFS(Table1[SubscriptionStart], A48)</f>
        <v>2</v>
      </c>
      <c r="D48" s="45">
        <f>COUNTIFS(Table1[CancellationDate], A48)</f>
        <v>0</v>
      </c>
      <c r="E48" s="45">
        <f t="shared" si="0"/>
        <v>2</v>
      </c>
      <c r="F48" s="45">
        <f>SUM($C$2:C48)</f>
        <v>42</v>
      </c>
      <c r="G48" s="49" cm="1">
        <f t="array" aca="1" ref="G48" ca="1">IF(B48=0,"", SUMPRODUCT((Table1[SubscriptionStart]&lt;=A48)*(Table1[EffectiveEndDate]&gt;=A48)*Table1[Age]) / B48 )</f>
        <v>42.815789473684212</v>
      </c>
      <c r="H48" s="22">
        <f>SUMIF(Table1[SubscriptionStart],"&lt;="&amp;A48,Table1[TotalRevenue])</f>
        <v>6159.4500000000007</v>
      </c>
      <c r="I48" s="50">
        <f t="shared" si="1"/>
        <v>44620</v>
      </c>
      <c r="J48" s="49">
        <f t="shared" ca="1" si="2"/>
        <v>36.714285714285715</v>
      </c>
      <c r="K48" s="45" cm="1">
        <f t="array" aca="1" ref="K48" ca="1">SUMPRODUCT((Table1[SubscriptionStart] &lt;= $A48) * (Table1[EffectiveEndDate] &gt;= $A48) * (Table1[Region] = "England"))</f>
        <v>11</v>
      </c>
      <c r="L48" s="45" cm="1">
        <f t="array" aca="1" ref="L48" ca="1">SUMPRODUCT((Table1[SubscriptionStart] &lt;= $A48) * (Table1[EffectiveEndDate] &gt;= $A48) * (Table1[Region] = "Scotland"))</f>
        <v>6</v>
      </c>
      <c r="M48" s="45" cm="1">
        <f t="array" aca="1" ref="M48" ca="1">SUMPRODUCT((Table1[SubscriptionStart] &lt;= $A48) * (Table1[EffectiveEndDate] &gt;= $A48) * (Table1[Region] = "Wales"))</f>
        <v>10</v>
      </c>
      <c r="N48" s="45" cm="1">
        <f t="array" aca="1" ref="N48" ca="1">SUMPRODUCT((Table1[SubscriptionStart] &lt;= $A48) * (Table1[EffectiveEndDate] &gt;= $A48) * (Table1[Region] = "Northern Ireland"))</f>
        <v>11</v>
      </c>
      <c r="O48" s="45" cm="1">
        <f t="array" aca="1" ref="O48" ca="1">SUMPRODUCT((Table1[Gender]="Male")*(Table1[SubscriptionStart]&lt;=A48)*(Table1[EffectiveEndDate]&gt;=A48))</f>
        <v>19</v>
      </c>
      <c r="P48" s="45" cm="1">
        <f t="array" aca="1" ref="P48" ca="1">SUMPRODUCT((Table1[Gender]="Female")*(Table1[SubscriptionStart]&lt;=A48)*(Table1[EffectiveEndDate]&gt;=A48))</f>
        <v>19</v>
      </c>
    </row>
    <row r="49" spans="1:16">
      <c r="A49" s="48">
        <f t="shared" si="3"/>
        <v>44609</v>
      </c>
      <c r="B49" s="45" cm="1">
        <f t="array" aca="1" ref="B49" ca="1">SUMPRODUCT((Table1[SubscriptionStart]&lt;=A49)*(Table1[EffectiveEndDate]&gt;=A49))</f>
        <v>39</v>
      </c>
      <c r="C49" s="45">
        <f>COUNTIFS(Table1[SubscriptionStart], A49)</f>
        <v>1</v>
      </c>
      <c r="D49" s="45">
        <f>COUNTIFS(Table1[CancellationDate], A49)</f>
        <v>1</v>
      </c>
      <c r="E49" s="45">
        <f t="shared" si="0"/>
        <v>0</v>
      </c>
      <c r="F49" s="45">
        <f>SUM($C$2:C49)</f>
        <v>43</v>
      </c>
      <c r="G49" s="49" cm="1">
        <f t="array" aca="1" ref="G49" ca="1">IF(B49=0,"", SUMPRODUCT((Table1[SubscriptionStart]&lt;=A49)*(Table1[EffectiveEndDate]&gt;=A49)*Table1[Age]) / B49 )</f>
        <v>42.794871794871796</v>
      </c>
      <c r="H49" s="22">
        <f>SUMIF(Table1[SubscriptionStart],"&lt;="&amp;A49,Table1[TotalRevenue])</f>
        <v>7256.9500000000007</v>
      </c>
      <c r="I49" s="50">
        <f t="shared" si="1"/>
        <v>44620</v>
      </c>
      <c r="J49" s="49">
        <f t="shared" ca="1" si="2"/>
        <v>36.714285714285715</v>
      </c>
      <c r="K49" s="45" cm="1">
        <f t="array" aca="1" ref="K49" ca="1">SUMPRODUCT((Table1[SubscriptionStart] &lt;= $A49) * (Table1[EffectiveEndDate] &gt;= $A49) * (Table1[Region] = "England"))</f>
        <v>11</v>
      </c>
      <c r="L49" s="45" cm="1">
        <f t="array" aca="1" ref="L49" ca="1">SUMPRODUCT((Table1[SubscriptionStart] &lt;= $A49) * (Table1[EffectiveEndDate] &gt;= $A49) * (Table1[Region] = "Scotland"))</f>
        <v>6</v>
      </c>
      <c r="M49" s="45" cm="1">
        <f t="array" aca="1" ref="M49" ca="1">SUMPRODUCT((Table1[SubscriptionStart] &lt;= $A49) * (Table1[EffectiveEndDate] &gt;= $A49) * (Table1[Region] = "Wales"))</f>
        <v>11</v>
      </c>
      <c r="N49" s="45" cm="1">
        <f t="array" aca="1" ref="N49" ca="1">SUMPRODUCT((Table1[SubscriptionStart] &lt;= $A49) * (Table1[EffectiveEndDate] &gt;= $A49) * (Table1[Region] = "Northern Ireland"))</f>
        <v>11</v>
      </c>
      <c r="O49" s="45" cm="1">
        <f t="array" aca="1" ref="O49" ca="1">SUMPRODUCT((Table1[Gender]="Male")*(Table1[SubscriptionStart]&lt;=A49)*(Table1[EffectiveEndDate]&gt;=A49))</f>
        <v>19</v>
      </c>
      <c r="P49" s="45" cm="1">
        <f t="array" aca="1" ref="P49" ca="1">SUMPRODUCT((Table1[Gender]="Female")*(Table1[SubscriptionStart]&lt;=A49)*(Table1[EffectiveEndDate]&gt;=A49))</f>
        <v>20</v>
      </c>
    </row>
    <row r="50" spans="1:16">
      <c r="A50" s="48">
        <f t="shared" si="3"/>
        <v>44610</v>
      </c>
      <c r="B50" s="45" cm="1">
        <f t="array" aca="1" ref="B50" ca="1">SUMPRODUCT((Table1[SubscriptionStart]&lt;=A50)*(Table1[EffectiveEndDate]&gt;=A50))</f>
        <v>41</v>
      </c>
      <c r="C50" s="45">
        <f>COUNTIFS(Table1[SubscriptionStart], A50)</f>
        <v>3</v>
      </c>
      <c r="D50" s="45">
        <f>COUNTIFS(Table1[CancellationDate], A50)</f>
        <v>1</v>
      </c>
      <c r="E50" s="45">
        <f t="shared" si="0"/>
        <v>2</v>
      </c>
      <c r="F50" s="45">
        <f>SUM($C$2:C50)</f>
        <v>46</v>
      </c>
      <c r="G50" s="49" cm="1">
        <f t="array" aca="1" ref="G50" ca="1">IF(B50=0,"", SUMPRODUCT((Table1[SubscriptionStart]&lt;=A50)*(Table1[EffectiveEndDate]&gt;=A50)*Table1[Age]) / B50 )</f>
        <v>43.024390243902438</v>
      </c>
      <c r="H50" s="22">
        <f>SUMIF(Table1[SubscriptionStart],"&lt;="&amp;A50,Table1[TotalRevenue])</f>
        <v>8389.4500000000007</v>
      </c>
      <c r="I50" s="50">
        <f t="shared" si="1"/>
        <v>44620</v>
      </c>
      <c r="J50" s="49">
        <f t="shared" ca="1" si="2"/>
        <v>36.714285714285715</v>
      </c>
      <c r="K50" s="45" cm="1">
        <f t="array" aca="1" ref="K50" ca="1">SUMPRODUCT((Table1[SubscriptionStart] &lt;= $A50) * (Table1[EffectiveEndDate] &gt;= $A50) * (Table1[Region] = "England"))</f>
        <v>12</v>
      </c>
      <c r="L50" s="45" cm="1">
        <f t="array" aca="1" ref="L50" ca="1">SUMPRODUCT((Table1[SubscriptionStart] &lt;= $A50) * (Table1[EffectiveEndDate] &gt;= $A50) * (Table1[Region] = "Scotland"))</f>
        <v>6</v>
      </c>
      <c r="M50" s="45" cm="1">
        <f t="array" aca="1" ref="M50" ca="1">SUMPRODUCT((Table1[SubscriptionStart] &lt;= $A50) * (Table1[EffectiveEndDate] &gt;= $A50) * (Table1[Region] = "Wales"))</f>
        <v>12</v>
      </c>
      <c r="N50" s="45" cm="1">
        <f t="array" aca="1" ref="N50" ca="1">SUMPRODUCT((Table1[SubscriptionStart] &lt;= $A50) * (Table1[EffectiveEndDate] &gt;= $A50) * (Table1[Region] = "Northern Ireland"))</f>
        <v>11</v>
      </c>
      <c r="O50" s="45" cm="1">
        <f t="array" aca="1" ref="O50" ca="1">SUMPRODUCT((Table1[Gender]="Male")*(Table1[SubscriptionStart]&lt;=A50)*(Table1[EffectiveEndDate]&gt;=A50))</f>
        <v>19</v>
      </c>
      <c r="P50" s="45" cm="1">
        <f t="array" aca="1" ref="P50" ca="1">SUMPRODUCT((Table1[Gender]="Female")*(Table1[SubscriptionStart]&lt;=A50)*(Table1[EffectiveEndDate]&gt;=A50))</f>
        <v>22</v>
      </c>
    </row>
    <row r="51" spans="1:16">
      <c r="A51" s="48">
        <f t="shared" si="3"/>
        <v>44611</v>
      </c>
      <c r="B51" s="45" cm="1">
        <f t="array" aca="1" ref="B51" ca="1">SUMPRODUCT((Table1[SubscriptionStart]&lt;=A51)*(Table1[EffectiveEndDate]&gt;=A51))</f>
        <v>40</v>
      </c>
      <c r="C51" s="45">
        <f>COUNTIFS(Table1[SubscriptionStart], A51)</f>
        <v>0</v>
      </c>
      <c r="D51" s="45">
        <f>COUNTIFS(Table1[CancellationDate], A51)</f>
        <v>0</v>
      </c>
      <c r="E51" s="45">
        <f t="shared" si="0"/>
        <v>0</v>
      </c>
      <c r="F51" s="45">
        <f>SUM($C$2:C51)</f>
        <v>46</v>
      </c>
      <c r="G51" s="49" cm="1">
        <f t="array" aca="1" ref="G51" ca="1">IF(B51=0,"", SUMPRODUCT((Table1[SubscriptionStart]&lt;=A51)*(Table1[EffectiveEndDate]&gt;=A51)*Table1[Age]) / B51 )</f>
        <v>43</v>
      </c>
      <c r="H51" s="22">
        <f>SUMIF(Table1[SubscriptionStart],"&lt;="&amp;A51,Table1[TotalRevenue])</f>
        <v>8389.4500000000007</v>
      </c>
      <c r="I51" s="50">
        <f t="shared" si="1"/>
        <v>44620</v>
      </c>
      <c r="J51" s="49">
        <f t="shared" ca="1" si="2"/>
        <v>36.714285714285715</v>
      </c>
      <c r="K51" s="45" cm="1">
        <f t="array" aca="1" ref="K51" ca="1">SUMPRODUCT((Table1[SubscriptionStart] &lt;= $A51) * (Table1[EffectiveEndDate] &gt;= $A51) * (Table1[Region] = "England"))</f>
        <v>12</v>
      </c>
      <c r="L51" s="45" cm="1">
        <f t="array" aca="1" ref="L51" ca="1">SUMPRODUCT((Table1[SubscriptionStart] &lt;= $A51) * (Table1[EffectiveEndDate] &gt;= $A51) * (Table1[Region] = "Scotland"))</f>
        <v>6</v>
      </c>
      <c r="M51" s="45" cm="1">
        <f t="array" aca="1" ref="M51" ca="1">SUMPRODUCT((Table1[SubscriptionStart] &lt;= $A51) * (Table1[EffectiveEndDate] &gt;= $A51) * (Table1[Region] = "Wales"))</f>
        <v>11</v>
      </c>
      <c r="N51" s="45" cm="1">
        <f t="array" aca="1" ref="N51" ca="1">SUMPRODUCT((Table1[SubscriptionStart] &lt;= $A51) * (Table1[EffectiveEndDate] &gt;= $A51) * (Table1[Region] = "Northern Ireland"))</f>
        <v>11</v>
      </c>
      <c r="O51" s="45" cm="1">
        <f t="array" aca="1" ref="O51" ca="1">SUMPRODUCT((Table1[Gender]="Male")*(Table1[SubscriptionStart]&lt;=A51)*(Table1[EffectiveEndDate]&gt;=A51))</f>
        <v>18</v>
      </c>
      <c r="P51" s="45" cm="1">
        <f t="array" aca="1" ref="P51" ca="1">SUMPRODUCT((Table1[Gender]="Female")*(Table1[SubscriptionStart]&lt;=A51)*(Table1[EffectiveEndDate]&gt;=A51))</f>
        <v>22</v>
      </c>
    </row>
    <row r="52" spans="1:16">
      <c r="A52" s="48">
        <f t="shared" si="3"/>
        <v>44612</v>
      </c>
      <c r="B52" s="45" cm="1">
        <f t="array" aca="1" ref="B52" ca="1">SUMPRODUCT((Table1[SubscriptionStart]&lt;=A52)*(Table1[EffectiveEndDate]&gt;=A52))</f>
        <v>40</v>
      </c>
      <c r="C52" s="45">
        <f>COUNTIFS(Table1[SubscriptionStart], A52)</f>
        <v>0</v>
      </c>
      <c r="D52" s="45">
        <f>COUNTIFS(Table1[CancellationDate], A52)</f>
        <v>0</v>
      </c>
      <c r="E52" s="45">
        <f t="shared" si="0"/>
        <v>0</v>
      </c>
      <c r="F52" s="45">
        <f>SUM($C$2:C52)</f>
        <v>46</v>
      </c>
      <c r="G52" s="49" cm="1">
        <f t="array" aca="1" ref="G52" ca="1">IF(B52=0,"", SUMPRODUCT((Table1[SubscriptionStart]&lt;=A52)*(Table1[EffectiveEndDate]&gt;=A52)*Table1[Age]) / B52 )</f>
        <v>43</v>
      </c>
      <c r="H52" s="22">
        <f>SUMIF(Table1[SubscriptionStart],"&lt;="&amp;A52,Table1[TotalRevenue])</f>
        <v>8389.4500000000007</v>
      </c>
      <c r="I52" s="50">
        <f t="shared" si="1"/>
        <v>44620</v>
      </c>
      <c r="J52" s="49">
        <f t="shared" ca="1" si="2"/>
        <v>36.714285714285715</v>
      </c>
      <c r="K52" s="45" cm="1">
        <f t="array" aca="1" ref="K52" ca="1">SUMPRODUCT((Table1[SubscriptionStart] &lt;= $A52) * (Table1[EffectiveEndDate] &gt;= $A52) * (Table1[Region] = "England"))</f>
        <v>12</v>
      </c>
      <c r="L52" s="45" cm="1">
        <f t="array" aca="1" ref="L52" ca="1">SUMPRODUCT((Table1[SubscriptionStart] &lt;= $A52) * (Table1[EffectiveEndDate] &gt;= $A52) * (Table1[Region] = "Scotland"))</f>
        <v>6</v>
      </c>
      <c r="M52" s="45" cm="1">
        <f t="array" aca="1" ref="M52" ca="1">SUMPRODUCT((Table1[SubscriptionStart] &lt;= $A52) * (Table1[EffectiveEndDate] &gt;= $A52) * (Table1[Region] = "Wales"))</f>
        <v>11</v>
      </c>
      <c r="N52" s="45" cm="1">
        <f t="array" aca="1" ref="N52" ca="1">SUMPRODUCT((Table1[SubscriptionStart] &lt;= $A52) * (Table1[EffectiveEndDate] &gt;= $A52) * (Table1[Region] = "Northern Ireland"))</f>
        <v>11</v>
      </c>
      <c r="O52" s="45" cm="1">
        <f t="array" aca="1" ref="O52" ca="1">SUMPRODUCT((Table1[Gender]="Male")*(Table1[SubscriptionStart]&lt;=A52)*(Table1[EffectiveEndDate]&gt;=A52))</f>
        <v>18</v>
      </c>
      <c r="P52" s="45" cm="1">
        <f t="array" aca="1" ref="P52" ca="1">SUMPRODUCT((Table1[Gender]="Female")*(Table1[SubscriptionStart]&lt;=A52)*(Table1[EffectiveEndDate]&gt;=A52))</f>
        <v>22</v>
      </c>
    </row>
    <row r="53" spans="1:16">
      <c r="A53" s="48">
        <f t="shared" si="3"/>
        <v>44613</v>
      </c>
      <c r="B53" s="45" cm="1">
        <f t="array" aca="1" ref="B53" ca="1">SUMPRODUCT((Table1[SubscriptionStart]&lt;=A53)*(Table1[EffectiveEndDate]&gt;=A53))</f>
        <v>40</v>
      </c>
      <c r="C53" s="45">
        <f>COUNTIFS(Table1[SubscriptionStart], A53)</f>
        <v>0</v>
      </c>
      <c r="D53" s="45">
        <f>COUNTIFS(Table1[CancellationDate], A53)</f>
        <v>0</v>
      </c>
      <c r="E53" s="45">
        <f t="shared" si="0"/>
        <v>0</v>
      </c>
      <c r="F53" s="45">
        <f>SUM($C$2:C53)</f>
        <v>46</v>
      </c>
      <c r="G53" s="49" cm="1">
        <f t="array" aca="1" ref="G53" ca="1">IF(B53=0,"", SUMPRODUCT((Table1[SubscriptionStart]&lt;=A53)*(Table1[EffectiveEndDate]&gt;=A53)*Table1[Age]) / B53 )</f>
        <v>43</v>
      </c>
      <c r="H53" s="22">
        <f>SUMIF(Table1[SubscriptionStart],"&lt;="&amp;A53,Table1[TotalRevenue])</f>
        <v>8389.4500000000007</v>
      </c>
      <c r="I53" s="50">
        <f t="shared" si="1"/>
        <v>44620</v>
      </c>
      <c r="J53" s="49">
        <f t="shared" ca="1" si="2"/>
        <v>36.714285714285715</v>
      </c>
      <c r="K53" s="45" cm="1">
        <f t="array" aca="1" ref="K53" ca="1">SUMPRODUCT((Table1[SubscriptionStart] &lt;= $A53) * (Table1[EffectiveEndDate] &gt;= $A53) * (Table1[Region] = "England"))</f>
        <v>12</v>
      </c>
      <c r="L53" s="45" cm="1">
        <f t="array" aca="1" ref="L53" ca="1">SUMPRODUCT((Table1[SubscriptionStart] &lt;= $A53) * (Table1[EffectiveEndDate] &gt;= $A53) * (Table1[Region] = "Scotland"))</f>
        <v>6</v>
      </c>
      <c r="M53" s="45" cm="1">
        <f t="array" aca="1" ref="M53" ca="1">SUMPRODUCT((Table1[SubscriptionStart] &lt;= $A53) * (Table1[EffectiveEndDate] &gt;= $A53) * (Table1[Region] = "Wales"))</f>
        <v>11</v>
      </c>
      <c r="N53" s="45" cm="1">
        <f t="array" aca="1" ref="N53" ca="1">SUMPRODUCT((Table1[SubscriptionStart] &lt;= $A53) * (Table1[EffectiveEndDate] &gt;= $A53) * (Table1[Region] = "Northern Ireland"))</f>
        <v>11</v>
      </c>
      <c r="O53" s="45" cm="1">
        <f t="array" aca="1" ref="O53" ca="1">SUMPRODUCT((Table1[Gender]="Male")*(Table1[SubscriptionStart]&lt;=A53)*(Table1[EffectiveEndDate]&gt;=A53))</f>
        <v>18</v>
      </c>
      <c r="P53" s="45" cm="1">
        <f t="array" aca="1" ref="P53" ca="1">SUMPRODUCT((Table1[Gender]="Female")*(Table1[SubscriptionStart]&lt;=A53)*(Table1[EffectiveEndDate]&gt;=A53))</f>
        <v>22</v>
      </c>
    </row>
    <row r="54" spans="1:16">
      <c r="A54" s="48">
        <f t="shared" si="3"/>
        <v>44614</v>
      </c>
      <c r="B54" s="45" cm="1">
        <f t="array" aca="1" ref="B54" ca="1">SUMPRODUCT((Table1[SubscriptionStart]&lt;=A54)*(Table1[EffectiveEndDate]&gt;=A54))</f>
        <v>40</v>
      </c>
      <c r="C54" s="45">
        <f>COUNTIFS(Table1[SubscriptionStart], A54)</f>
        <v>0</v>
      </c>
      <c r="D54" s="45">
        <f>COUNTIFS(Table1[CancellationDate], A54)</f>
        <v>0</v>
      </c>
      <c r="E54" s="45">
        <f t="shared" si="0"/>
        <v>0</v>
      </c>
      <c r="F54" s="45">
        <f>SUM($C$2:C54)</f>
        <v>46</v>
      </c>
      <c r="G54" s="49" cm="1">
        <f t="array" aca="1" ref="G54" ca="1">IF(B54=0,"", SUMPRODUCT((Table1[SubscriptionStart]&lt;=A54)*(Table1[EffectiveEndDate]&gt;=A54)*Table1[Age]) / B54 )</f>
        <v>43</v>
      </c>
      <c r="H54" s="22">
        <f>SUMIF(Table1[SubscriptionStart],"&lt;="&amp;A54,Table1[TotalRevenue])</f>
        <v>8389.4500000000007</v>
      </c>
      <c r="I54" s="50">
        <f t="shared" si="1"/>
        <v>44620</v>
      </c>
      <c r="J54" s="49">
        <f t="shared" ca="1" si="2"/>
        <v>36.714285714285715</v>
      </c>
      <c r="K54" s="45" cm="1">
        <f t="array" aca="1" ref="K54" ca="1">SUMPRODUCT((Table1[SubscriptionStart] &lt;= $A54) * (Table1[EffectiveEndDate] &gt;= $A54) * (Table1[Region] = "England"))</f>
        <v>12</v>
      </c>
      <c r="L54" s="45" cm="1">
        <f t="array" aca="1" ref="L54" ca="1">SUMPRODUCT((Table1[SubscriptionStart] &lt;= $A54) * (Table1[EffectiveEndDate] &gt;= $A54) * (Table1[Region] = "Scotland"))</f>
        <v>6</v>
      </c>
      <c r="M54" s="45" cm="1">
        <f t="array" aca="1" ref="M54" ca="1">SUMPRODUCT((Table1[SubscriptionStart] &lt;= $A54) * (Table1[EffectiveEndDate] &gt;= $A54) * (Table1[Region] = "Wales"))</f>
        <v>11</v>
      </c>
      <c r="N54" s="45" cm="1">
        <f t="array" aca="1" ref="N54" ca="1">SUMPRODUCT((Table1[SubscriptionStart] &lt;= $A54) * (Table1[EffectiveEndDate] &gt;= $A54) * (Table1[Region] = "Northern Ireland"))</f>
        <v>11</v>
      </c>
      <c r="O54" s="45" cm="1">
        <f t="array" aca="1" ref="O54" ca="1">SUMPRODUCT((Table1[Gender]="Male")*(Table1[SubscriptionStart]&lt;=A54)*(Table1[EffectiveEndDate]&gt;=A54))</f>
        <v>18</v>
      </c>
      <c r="P54" s="45" cm="1">
        <f t="array" aca="1" ref="P54" ca="1">SUMPRODUCT((Table1[Gender]="Female")*(Table1[SubscriptionStart]&lt;=A54)*(Table1[EffectiveEndDate]&gt;=A54))</f>
        <v>22</v>
      </c>
    </row>
    <row r="55" spans="1:16">
      <c r="A55" s="48">
        <f t="shared" si="3"/>
        <v>44615</v>
      </c>
      <c r="B55" s="45" cm="1">
        <f t="array" aca="1" ref="B55" ca="1">SUMPRODUCT((Table1[SubscriptionStart]&lt;=A55)*(Table1[EffectiveEndDate]&gt;=A55))</f>
        <v>41</v>
      </c>
      <c r="C55" s="45">
        <f>COUNTIFS(Table1[SubscriptionStart], A55)</f>
        <v>1</v>
      </c>
      <c r="D55" s="45">
        <f>COUNTIFS(Table1[CancellationDate], A55)</f>
        <v>0</v>
      </c>
      <c r="E55" s="45">
        <f t="shared" si="0"/>
        <v>1</v>
      </c>
      <c r="F55" s="45">
        <f>SUM($C$2:C55)</f>
        <v>47</v>
      </c>
      <c r="G55" s="49" cm="1">
        <f t="array" aca="1" ref="G55" ca="1">IF(B55=0,"", SUMPRODUCT((Table1[SubscriptionStart]&lt;=A55)*(Table1[EffectiveEndDate]&gt;=A55)*Table1[Age]) / B55 )</f>
        <v>43.390243902439025</v>
      </c>
      <c r="H55" s="22">
        <f>SUMIF(Table1[SubscriptionStart],"&lt;="&amp;A55,Table1[TotalRevenue])</f>
        <v>8519.0500000000011</v>
      </c>
      <c r="I55" s="50">
        <f t="shared" si="1"/>
        <v>44620</v>
      </c>
      <c r="J55" s="49">
        <f t="shared" ca="1" si="2"/>
        <v>36.714285714285715</v>
      </c>
      <c r="K55" s="45" cm="1">
        <f t="array" aca="1" ref="K55" ca="1">SUMPRODUCT((Table1[SubscriptionStart] &lt;= $A55) * (Table1[EffectiveEndDate] &gt;= $A55) * (Table1[Region] = "England"))</f>
        <v>13</v>
      </c>
      <c r="L55" s="45" cm="1">
        <f t="array" aca="1" ref="L55" ca="1">SUMPRODUCT((Table1[SubscriptionStart] &lt;= $A55) * (Table1[EffectiveEndDate] &gt;= $A55) * (Table1[Region] = "Scotland"))</f>
        <v>6</v>
      </c>
      <c r="M55" s="45" cm="1">
        <f t="array" aca="1" ref="M55" ca="1">SUMPRODUCT((Table1[SubscriptionStart] &lt;= $A55) * (Table1[EffectiveEndDate] &gt;= $A55) * (Table1[Region] = "Wales"))</f>
        <v>11</v>
      </c>
      <c r="N55" s="45" cm="1">
        <f t="array" aca="1" ref="N55" ca="1">SUMPRODUCT((Table1[SubscriptionStart] &lt;= $A55) * (Table1[EffectiveEndDate] &gt;= $A55) * (Table1[Region] = "Northern Ireland"))</f>
        <v>11</v>
      </c>
      <c r="O55" s="45" cm="1">
        <f t="array" aca="1" ref="O55" ca="1">SUMPRODUCT((Table1[Gender]="Male")*(Table1[SubscriptionStart]&lt;=A55)*(Table1[EffectiveEndDate]&gt;=A55))</f>
        <v>19</v>
      </c>
      <c r="P55" s="45" cm="1">
        <f t="array" aca="1" ref="P55" ca="1">SUMPRODUCT((Table1[Gender]="Female")*(Table1[SubscriptionStart]&lt;=A55)*(Table1[EffectiveEndDate]&gt;=A55))</f>
        <v>22</v>
      </c>
    </row>
    <row r="56" spans="1:16">
      <c r="A56" s="48">
        <f t="shared" si="3"/>
        <v>44616</v>
      </c>
      <c r="B56" s="45" cm="1">
        <f t="array" aca="1" ref="B56" ca="1">SUMPRODUCT((Table1[SubscriptionStart]&lt;=A56)*(Table1[EffectiveEndDate]&gt;=A56))</f>
        <v>43</v>
      </c>
      <c r="C56" s="45">
        <f>COUNTIFS(Table1[SubscriptionStart], A56)</f>
        <v>2</v>
      </c>
      <c r="D56" s="45">
        <f>COUNTIFS(Table1[CancellationDate], A56)</f>
        <v>0</v>
      </c>
      <c r="E56" s="45">
        <f t="shared" si="0"/>
        <v>2</v>
      </c>
      <c r="F56" s="45">
        <f>SUM($C$2:C56)</f>
        <v>49</v>
      </c>
      <c r="G56" s="49" cm="1">
        <f t="array" aca="1" ref="G56" ca="1">IF(B56=0,"", SUMPRODUCT((Table1[SubscriptionStart]&lt;=A56)*(Table1[EffectiveEndDate]&gt;=A56)*Table1[Age]) / B56 )</f>
        <v>43.232558139534881</v>
      </c>
      <c r="H56" s="22">
        <f>SUMIF(Table1[SubscriptionStart],"&lt;="&amp;A56,Table1[TotalRevenue])</f>
        <v>8828.6500000000015</v>
      </c>
      <c r="I56" s="50">
        <f t="shared" si="1"/>
        <v>44620</v>
      </c>
      <c r="J56" s="49">
        <f t="shared" ca="1" si="2"/>
        <v>36.714285714285715</v>
      </c>
      <c r="K56" s="45" cm="1">
        <f t="array" aca="1" ref="K56" ca="1">SUMPRODUCT((Table1[SubscriptionStart] &lt;= $A56) * (Table1[EffectiveEndDate] &gt;= $A56) * (Table1[Region] = "England"))</f>
        <v>13</v>
      </c>
      <c r="L56" s="45" cm="1">
        <f t="array" aca="1" ref="L56" ca="1">SUMPRODUCT((Table1[SubscriptionStart] &lt;= $A56) * (Table1[EffectiveEndDate] &gt;= $A56) * (Table1[Region] = "Scotland"))</f>
        <v>7</v>
      </c>
      <c r="M56" s="45" cm="1">
        <f t="array" aca="1" ref="M56" ca="1">SUMPRODUCT((Table1[SubscriptionStart] &lt;= $A56) * (Table1[EffectiveEndDate] &gt;= $A56) * (Table1[Region] = "Wales"))</f>
        <v>12</v>
      </c>
      <c r="N56" s="45" cm="1">
        <f t="array" aca="1" ref="N56" ca="1">SUMPRODUCT((Table1[SubscriptionStart] &lt;= $A56) * (Table1[EffectiveEndDate] &gt;= $A56) * (Table1[Region] = "Northern Ireland"))</f>
        <v>11</v>
      </c>
      <c r="O56" s="45" cm="1">
        <f t="array" aca="1" ref="O56" ca="1">SUMPRODUCT((Table1[Gender]="Male")*(Table1[SubscriptionStart]&lt;=A56)*(Table1[EffectiveEndDate]&gt;=A56))</f>
        <v>21</v>
      </c>
      <c r="P56" s="45" cm="1">
        <f t="array" aca="1" ref="P56" ca="1">SUMPRODUCT((Table1[Gender]="Female")*(Table1[SubscriptionStart]&lt;=A56)*(Table1[EffectiveEndDate]&gt;=A56))</f>
        <v>22</v>
      </c>
    </row>
    <row r="57" spans="1:16">
      <c r="A57" s="48">
        <f t="shared" si="3"/>
        <v>44617</v>
      </c>
      <c r="B57" s="45" cm="1">
        <f t="array" aca="1" ref="B57" ca="1">SUMPRODUCT((Table1[SubscriptionStart]&lt;=A57)*(Table1[EffectiveEndDate]&gt;=A57))</f>
        <v>45</v>
      </c>
      <c r="C57" s="45">
        <f>COUNTIFS(Table1[SubscriptionStart], A57)</f>
        <v>2</v>
      </c>
      <c r="D57" s="45">
        <f>COUNTIFS(Table1[CancellationDate], A57)</f>
        <v>1</v>
      </c>
      <c r="E57" s="45">
        <f t="shared" si="0"/>
        <v>1</v>
      </c>
      <c r="F57" s="45">
        <f>SUM($C$2:C57)</f>
        <v>51</v>
      </c>
      <c r="G57" s="49" cm="1">
        <f t="array" aca="1" ref="G57" ca="1">IF(B57=0,"", SUMPRODUCT((Table1[SubscriptionStart]&lt;=A57)*(Table1[EffectiveEndDate]&gt;=A57)*Table1[Age]) / B57 )</f>
        <v>42.666666666666664</v>
      </c>
      <c r="H57" s="22">
        <f>SUMIF(Table1[SubscriptionStart],"&lt;="&amp;A57,Table1[TotalRevenue])</f>
        <v>9138.2500000000018</v>
      </c>
      <c r="I57" s="50">
        <f t="shared" si="1"/>
        <v>44620</v>
      </c>
      <c r="J57" s="49">
        <f t="shared" ca="1" si="2"/>
        <v>36.714285714285715</v>
      </c>
      <c r="K57" s="45" cm="1">
        <f t="array" aca="1" ref="K57" ca="1">SUMPRODUCT((Table1[SubscriptionStart] &lt;= $A57) * (Table1[EffectiveEndDate] &gt;= $A57) * (Table1[Region] = "England"))</f>
        <v>14</v>
      </c>
      <c r="L57" s="45" cm="1">
        <f t="array" aca="1" ref="L57" ca="1">SUMPRODUCT((Table1[SubscriptionStart] &lt;= $A57) * (Table1[EffectiveEndDate] &gt;= $A57) * (Table1[Region] = "Scotland"))</f>
        <v>7</v>
      </c>
      <c r="M57" s="45" cm="1">
        <f t="array" aca="1" ref="M57" ca="1">SUMPRODUCT((Table1[SubscriptionStart] &lt;= $A57) * (Table1[EffectiveEndDate] &gt;= $A57) * (Table1[Region] = "Wales"))</f>
        <v>12</v>
      </c>
      <c r="N57" s="45" cm="1">
        <f t="array" aca="1" ref="N57" ca="1">SUMPRODUCT((Table1[SubscriptionStart] &lt;= $A57) * (Table1[EffectiveEndDate] &gt;= $A57) * (Table1[Region] = "Northern Ireland"))</f>
        <v>12</v>
      </c>
      <c r="O57" s="45" cm="1">
        <f t="array" aca="1" ref="O57" ca="1">SUMPRODUCT((Table1[Gender]="Male")*(Table1[SubscriptionStart]&lt;=A57)*(Table1[EffectiveEndDate]&gt;=A57))</f>
        <v>23</v>
      </c>
      <c r="P57" s="45" cm="1">
        <f t="array" aca="1" ref="P57" ca="1">SUMPRODUCT((Table1[Gender]="Female")*(Table1[SubscriptionStart]&lt;=A57)*(Table1[EffectiveEndDate]&gt;=A57))</f>
        <v>22</v>
      </c>
    </row>
    <row r="58" spans="1:16">
      <c r="A58" s="48">
        <f t="shared" si="3"/>
        <v>44618</v>
      </c>
      <c r="B58" s="45" cm="1">
        <f t="array" aca="1" ref="B58" ca="1">SUMPRODUCT((Table1[SubscriptionStart]&lt;=A58)*(Table1[EffectiveEndDate]&gt;=A58))</f>
        <v>45</v>
      </c>
      <c r="C58" s="45">
        <f>COUNTIFS(Table1[SubscriptionStart], A58)</f>
        <v>1</v>
      </c>
      <c r="D58" s="45">
        <f>COUNTIFS(Table1[CancellationDate], A58)</f>
        <v>0</v>
      </c>
      <c r="E58" s="45">
        <f t="shared" si="0"/>
        <v>1</v>
      </c>
      <c r="F58" s="45">
        <f>SUM($C$2:C58)</f>
        <v>52</v>
      </c>
      <c r="G58" s="49" cm="1">
        <f t="array" aca="1" ref="G58" ca="1">IF(B58=0,"", SUMPRODUCT((Table1[SubscriptionStart]&lt;=A58)*(Table1[EffectiveEndDate]&gt;=A58)*Table1[Age]) / B58 )</f>
        <v>41.888888888888886</v>
      </c>
      <c r="H58" s="22">
        <f>SUMIF(Table1[SubscriptionStart],"&lt;="&amp;A58,Table1[TotalRevenue])</f>
        <v>9138.2500000000018</v>
      </c>
      <c r="I58" s="50">
        <f t="shared" si="1"/>
        <v>44620</v>
      </c>
      <c r="J58" s="49">
        <f t="shared" ca="1" si="2"/>
        <v>36.714285714285715</v>
      </c>
      <c r="K58" s="45" cm="1">
        <f t="array" aca="1" ref="K58" ca="1">SUMPRODUCT((Table1[SubscriptionStart] &lt;= $A58) * (Table1[EffectiveEndDate] &gt;= $A58) * (Table1[Region] = "England"))</f>
        <v>13</v>
      </c>
      <c r="L58" s="45" cm="1">
        <f t="array" aca="1" ref="L58" ca="1">SUMPRODUCT((Table1[SubscriptionStart] &lt;= $A58) * (Table1[EffectiveEndDate] &gt;= $A58) * (Table1[Region] = "Scotland"))</f>
        <v>8</v>
      </c>
      <c r="M58" s="45" cm="1">
        <f t="array" aca="1" ref="M58" ca="1">SUMPRODUCT((Table1[SubscriptionStart] &lt;= $A58) * (Table1[EffectiveEndDate] &gt;= $A58) * (Table1[Region] = "Wales"))</f>
        <v>12</v>
      </c>
      <c r="N58" s="45" cm="1">
        <f t="array" aca="1" ref="N58" ca="1">SUMPRODUCT((Table1[SubscriptionStart] &lt;= $A58) * (Table1[EffectiveEndDate] &gt;= $A58) * (Table1[Region] = "Northern Ireland"))</f>
        <v>12</v>
      </c>
      <c r="O58" s="45" cm="1">
        <f t="array" aca="1" ref="O58" ca="1">SUMPRODUCT((Table1[Gender]="Male")*(Table1[SubscriptionStart]&lt;=A58)*(Table1[EffectiveEndDate]&gt;=A58))</f>
        <v>23</v>
      </c>
      <c r="P58" s="45" cm="1">
        <f t="array" aca="1" ref="P58" ca="1">SUMPRODUCT((Table1[Gender]="Female")*(Table1[SubscriptionStart]&lt;=A58)*(Table1[EffectiveEndDate]&gt;=A58))</f>
        <v>22</v>
      </c>
    </row>
    <row r="59" spans="1:16">
      <c r="A59" s="48">
        <f t="shared" si="3"/>
        <v>44619</v>
      </c>
      <c r="B59" s="45" cm="1">
        <f t="array" aca="1" ref="B59" ca="1">SUMPRODUCT((Table1[SubscriptionStart]&lt;=A59)*(Table1[EffectiveEndDate]&gt;=A59))</f>
        <v>47</v>
      </c>
      <c r="C59" s="45">
        <f>COUNTIFS(Table1[SubscriptionStart], A59)</f>
        <v>2</v>
      </c>
      <c r="D59" s="45">
        <f>COUNTIFS(Table1[CancellationDate], A59)</f>
        <v>0</v>
      </c>
      <c r="E59" s="45">
        <f t="shared" si="0"/>
        <v>2</v>
      </c>
      <c r="F59" s="45">
        <f>SUM($C$2:C59)</f>
        <v>54</v>
      </c>
      <c r="G59" s="49" cm="1">
        <f t="array" aca="1" ref="G59" ca="1">IF(B59=0,"", SUMPRODUCT((Table1[SubscriptionStart]&lt;=A59)*(Table1[EffectiveEndDate]&gt;=A59)*Table1[Age]) / B59 )</f>
        <v>42.234042553191486</v>
      </c>
      <c r="H59" s="22">
        <f>SUMIF(Table1[SubscriptionStart],"&lt;="&amp;A59,Table1[TotalRevenue])</f>
        <v>9918.2500000000018</v>
      </c>
      <c r="I59" s="50">
        <f t="shared" si="1"/>
        <v>44620</v>
      </c>
      <c r="J59" s="49">
        <f t="shared" ca="1" si="2"/>
        <v>36.714285714285715</v>
      </c>
      <c r="K59" s="45" cm="1">
        <f t="array" aca="1" ref="K59" ca="1">SUMPRODUCT((Table1[SubscriptionStart] &lt;= $A59) * (Table1[EffectiveEndDate] &gt;= $A59) * (Table1[Region] = "England"))</f>
        <v>13</v>
      </c>
      <c r="L59" s="45" cm="1">
        <f t="array" aca="1" ref="L59" ca="1">SUMPRODUCT((Table1[SubscriptionStart] &lt;= $A59) * (Table1[EffectiveEndDate] &gt;= $A59) * (Table1[Region] = "Scotland"))</f>
        <v>8</v>
      </c>
      <c r="M59" s="45" cm="1">
        <f t="array" aca="1" ref="M59" ca="1">SUMPRODUCT((Table1[SubscriptionStart] &lt;= $A59) * (Table1[EffectiveEndDate] &gt;= $A59) * (Table1[Region] = "Wales"))</f>
        <v>13</v>
      </c>
      <c r="N59" s="45" cm="1">
        <f t="array" aca="1" ref="N59" ca="1">SUMPRODUCT((Table1[SubscriptionStart] &lt;= $A59) * (Table1[EffectiveEndDate] &gt;= $A59) * (Table1[Region] = "Northern Ireland"))</f>
        <v>13</v>
      </c>
      <c r="O59" s="45" cm="1">
        <f t="array" aca="1" ref="O59" ca="1">SUMPRODUCT((Table1[Gender]="Male")*(Table1[SubscriptionStart]&lt;=A59)*(Table1[EffectiveEndDate]&gt;=A59))</f>
        <v>25</v>
      </c>
      <c r="P59" s="45" cm="1">
        <f t="array" aca="1" ref="P59" ca="1">SUMPRODUCT((Table1[Gender]="Female")*(Table1[SubscriptionStart]&lt;=A59)*(Table1[EffectiveEndDate]&gt;=A59))</f>
        <v>22</v>
      </c>
    </row>
    <row r="60" spans="1:16">
      <c r="A60" s="48">
        <f t="shared" si="3"/>
        <v>44620</v>
      </c>
      <c r="B60" s="45" cm="1">
        <f t="array" aca="1" ref="B60" ca="1">SUMPRODUCT((Table1[SubscriptionStart]&lt;=A60)*(Table1[EffectiveEndDate]&gt;=A60))</f>
        <v>47</v>
      </c>
      <c r="C60" s="45">
        <f>COUNTIFS(Table1[SubscriptionStart], A60)</f>
        <v>0</v>
      </c>
      <c r="D60" s="45">
        <f>COUNTIFS(Table1[CancellationDate], A60)</f>
        <v>0</v>
      </c>
      <c r="E60" s="45">
        <f t="shared" si="0"/>
        <v>0</v>
      </c>
      <c r="F60" s="45">
        <f>SUM($C$2:C60)</f>
        <v>54</v>
      </c>
      <c r="G60" s="49" cm="1">
        <f t="array" aca="1" ref="G60" ca="1">IF(B60=0,"", SUMPRODUCT((Table1[SubscriptionStart]&lt;=A60)*(Table1[EffectiveEndDate]&gt;=A60)*Table1[Age]) / B60 )</f>
        <v>42.234042553191486</v>
      </c>
      <c r="H60" s="22">
        <f>SUMIF(Table1[SubscriptionStart],"&lt;="&amp;A60,Table1[TotalRevenue])</f>
        <v>9918.2500000000018</v>
      </c>
      <c r="I60" s="50">
        <f t="shared" si="1"/>
        <v>44620</v>
      </c>
      <c r="J60" s="49">
        <f t="shared" ca="1" si="2"/>
        <v>36.714285714285715</v>
      </c>
      <c r="K60" s="45" cm="1">
        <f t="array" aca="1" ref="K60" ca="1">SUMPRODUCT((Table1[SubscriptionStart] &lt;= $A60) * (Table1[EffectiveEndDate] &gt;= $A60) * (Table1[Region] = "England"))</f>
        <v>13</v>
      </c>
      <c r="L60" s="45" cm="1">
        <f t="array" aca="1" ref="L60" ca="1">SUMPRODUCT((Table1[SubscriptionStart] &lt;= $A60) * (Table1[EffectiveEndDate] &gt;= $A60) * (Table1[Region] = "Scotland"))</f>
        <v>8</v>
      </c>
      <c r="M60" s="45" cm="1">
        <f t="array" aca="1" ref="M60" ca="1">SUMPRODUCT((Table1[SubscriptionStart] &lt;= $A60) * (Table1[EffectiveEndDate] &gt;= $A60) * (Table1[Region] = "Wales"))</f>
        <v>13</v>
      </c>
      <c r="N60" s="45" cm="1">
        <f t="array" aca="1" ref="N60" ca="1">SUMPRODUCT((Table1[SubscriptionStart] &lt;= $A60) * (Table1[EffectiveEndDate] &gt;= $A60) * (Table1[Region] = "Northern Ireland"))</f>
        <v>13</v>
      </c>
      <c r="O60" s="45" cm="1">
        <f t="array" aca="1" ref="O60" ca="1">SUMPRODUCT((Table1[Gender]="Male")*(Table1[SubscriptionStart]&lt;=A60)*(Table1[EffectiveEndDate]&gt;=A60))</f>
        <v>25</v>
      </c>
      <c r="P60" s="45" cm="1">
        <f t="array" aca="1" ref="P60" ca="1">SUMPRODUCT((Table1[Gender]="Female")*(Table1[SubscriptionStart]&lt;=A60)*(Table1[EffectiveEndDate]&gt;=A60))</f>
        <v>22</v>
      </c>
    </row>
    <row r="61" spans="1:16">
      <c r="A61" s="48">
        <f t="shared" si="3"/>
        <v>44621</v>
      </c>
      <c r="B61" s="45" cm="1">
        <f t="array" aca="1" ref="B61" ca="1">SUMPRODUCT((Table1[SubscriptionStart]&lt;=A61)*(Table1[EffectiveEndDate]&gt;=A61))</f>
        <v>48</v>
      </c>
      <c r="C61" s="45">
        <f>COUNTIFS(Table1[SubscriptionStart], A61)</f>
        <v>1</v>
      </c>
      <c r="D61" s="45">
        <f>COUNTIFS(Table1[CancellationDate], A61)</f>
        <v>0</v>
      </c>
      <c r="E61" s="45">
        <f t="shared" si="0"/>
        <v>1</v>
      </c>
      <c r="F61" s="45">
        <f>SUM($C$2:C61)</f>
        <v>55</v>
      </c>
      <c r="G61" s="49" cm="1">
        <f t="array" aca="1" ref="G61" ca="1">IF(B61=0,"", SUMPRODUCT((Table1[SubscriptionStart]&lt;=A61)*(Table1[EffectiveEndDate]&gt;=A61)*Table1[Age]) / B61 )</f>
        <v>41.729166666666664</v>
      </c>
      <c r="H61" s="22">
        <f>SUMIF(Table1[SubscriptionStart],"&lt;="&amp;A61,Table1[TotalRevenue])</f>
        <v>10357.250000000002</v>
      </c>
      <c r="I61" s="50">
        <f t="shared" si="1"/>
        <v>44651</v>
      </c>
      <c r="J61" s="49">
        <f t="shared" ca="1" si="2"/>
        <v>60.258064516129032</v>
      </c>
      <c r="K61" s="45" cm="1">
        <f t="array" aca="1" ref="K61" ca="1">SUMPRODUCT((Table1[SubscriptionStart] &lt;= $A61) * (Table1[EffectiveEndDate] &gt;= $A61) * (Table1[Region] = "England"))</f>
        <v>13</v>
      </c>
      <c r="L61" s="45" cm="1">
        <f t="array" aca="1" ref="L61" ca="1">SUMPRODUCT((Table1[SubscriptionStart] &lt;= $A61) * (Table1[EffectiveEndDate] &gt;= $A61) * (Table1[Region] = "Scotland"))</f>
        <v>8</v>
      </c>
      <c r="M61" s="45" cm="1">
        <f t="array" aca="1" ref="M61" ca="1">SUMPRODUCT((Table1[SubscriptionStart] &lt;= $A61) * (Table1[EffectiveEndDate] &gt;= $A61) * (Table1[Region] = "Wales"))</f>
        <v>13</v>
      </c>
      <c r="N61" s="45" cm="1">
        <f t="array" aca="1" ref="N61" ca="1">SUMPRODUCT((Table1[SubscriptionStart] &lt;= $A61) * (Table1[EffectiveEndDate] &gt;= $A61) * (Table1[Region] = "Northern Ireland"))</f>
        <v>14</v>
      </c>
      <c r="O61" s="45" cm="1">
        <f t="array" aca="1" ref="O61" ca="1">SUMPRODUCT((Table1[Gender]="Male")*(Table1[SubscriptionStart]&lt;=A61)*(Table1[EffectiveEndDate]&gt;=A61))</f>
        <v>26</v>
      </c>
      <c r="P61" s="45" cm="1">
        <f t="array" aca="1" ref="P61" ca="1">SUMPRODUCT((Table1[Gender]="Female")*(Table1[SubscriptionStart]&lt;=A61)*(Table1[EffectiveEndDate]&gt;=A61))</f>
        <v>22</v>
      </c>
    </row>
    <row r="62" spans="1:16">
      <c r="A62" s="48">
        <f t="shared" si="3"/>
        <v>44622</v>
      </c>
      <c r="B62" s="45" cm="1">
        <f t="array" aca="1" ref="B62" ca="1">SUMPRODUCT((Table1[SubscriptionStart]&lt;=A62)*(Table1[EffectiveEndDate]&gt;=A62))</f>
        <v>48</v>
      </c>
      <c r="C62" s="45">
        <f>COUNTIFS(Table1[SubscriptionStart], A62)</f>
        <v>0</v>
      </c>
      <c r="D62" s="45">
        <f>COUNTIFS(Table1[CancellationDate], A62)</f>
        <v>0</v>
      </c>
      <c r="E62" s="45">
        <f t="shared" si="0"/>
        <v>0</v>
      </c>
      <c r="F62" s="45">
        <f>SUM($C$2:C62)</f>
        <v>55</v>
      </c>
      <c r="G62" s="49" cm="1">
        <f t="array" aca="1" ref="G62" ca="1">IF(B62=0,"", SUMPRODUCT((Table1[SubscriptionStart]&lt;=A62)*(Table1[EffectiveEndDate]&gt;=A62)*Table1[Age]) / B62 )</f>
        <v>41.729166666666664</v>
      </c>
      <c r="H62" s="22">
        <f>SUMIF(Table1[SubscriptionStart],"&lt;="&amp;A62,Table1[TotalRevenue])</f>
        <v>10357.250000000002</v>
      </c>
      <c r="I62" s="50">
        <f t="shared" si="1"/>
        <v>44651</v>
      </c>
      <c r="J62" s="49">
        <f t="shared" ca="1" si="2"/>
        <v>60.258064516129032</v>
      </c>
      <c r="K62" s="45" cm="1">
        <f t="array" aca="1" ref="K62" ca="1">SUMPRODUCT((Table1[SubscriptionStart] &lt;= $A62) * (Table1[EffectiveEndDate] &gt;= $A62) * (Table1[Region] = "England"))</f>
        <v>13</v>
      </c>
      <c r="L62" s="45" cm="1">
        <f t="array" aca="1" ref="L62" ca="1">SUMPRODUCT((Table1[SubscriptionStart] &lt;= $A62) * (Table1[EffectiveEndDate] &gt;= $A62) * (Table1[Region] = "Scotland"))</f>
        <v>8</v>
      </c>
      <c r="M62" s="45" cm="1">
        <f t="array" aca="1" ref="M62" ca="1">SUMPRODUCT((Table1[SubscriptionStart] &lt;= $A62) * (Table1[EffectiveEndDate] &gt;= $A62) * (Table1[Region] = "Wales"))</f>
        <v>13</v>
      </c>
      <c r="N62" s="45" cm="1">
        <f t="array" aca="1" ref="N62" ca="1">SUMPRODUCT((Table1[SubscriptionStart] &lt;= $A62) * (Table1[EffectiveEndDate] &gt;= $A62) * (Table1[Region] = "Northern Ireland"))</f>
        <v>14</v>
      </c>
      <c r="O62" s="45" cm="1">
        <f t="array" aca="1" ref="O62" ca="1">SUMPRODUCT((Table1[Gender]="Male")*(Table1[SubscriptionStart]&lt;=A62)*(Table1[EffectiveEndDate]&gt;=A62))</f>
        <v>26</v>
      </c>
      <c r="P62" s="45" cm="1">
        <f t="array" aca="1" ref="P62" ca="1">SUMPRODUCT((Table1[Gender]="Female")*(Table1[SubscriptionStart]&lt;=A62)*(Table1[EffectiveEndDate]&gt;=A62))</f>
        <v>22</v>
      </c>
    </row>
    <row r="63" spans="1:16">
      <c r="A63" s="48">
        <f t="shared" si="3"/>
        <v>44623</v>
      </c>
      <c r="B63" s="45" cm="1">
        <f t="array" aca="1" ref="B63" ca="1">SUMPRODUCT((Table1[SubscriptionStart]&lt;=A63)*(Table1[EffectiveEndDate]&gt;=A63))</f>
        <v>48</v>
      </c>
      <c r="C63" s="45">
        <f>COUNTIFS(Table1[SubscriptionStart], A63)</f>
        <v>0</v>
      </c>
      <c r="D63" s="45">
        <f>COUNTIFS(Table1[CancellationDate], A63)</f>
        <v>0</v>
      </c>
      <c r="E63" s="45">
        <f t="shared" si="0"/>
        <v>0</v>
      </c>
      <c r="F63" s="45">
        <f>SUM($C$2:C63)</f>
        <v>55</v>
      </c>
      <c r="G63" s="49" cm="1">
        <f t="array" aca="1" ref="G63" ca="1">IF(B63=0,"", SUMPRODUCT((Table1[SubscriptionStart]&lt;=A63)*(Table1[EffectiveEndDate]&gt;=A63)*Table1[Age]) / B63 )</f>
        <v>41.729166666666664</v>
      </c>
      <c r="H63" s="22">
        <f>SUMIF(Table1[SubscriptionStart],"&lt;="&amp;A63,Table1[TotalRevenue])</f>
        <v>10357.250000000002</v>
      </c>
      <c r="I63" s="50">
        <f t="shared" si="1"/>
        <v>44651</v>
      </c>
      <c r="J63" s="49">
        <f t="shared" ca="1" si="2"/>
        <v>60.258064516129032</v>
      </c>
      <c r="K63" s="45" cm="1">
        <f t="array" aca="1" ref="K63" ca="1">SUMPRODUCT((Table1[SubscriptionStart] &lt;= $A63) * (Table1[EffectiveEndDate] &gt;= $A63) * (Table1[Region] = "England"))</f>
        <v>13</v>
      </c>
      <c r="L63" s="45" cm="1">
        <f t="array" aca="1" ref="L63" ca="1">SUMPRODUCT((Table1[SubscriptionStart] &lt;= $A63) * (Table1[EffectiveEndDate] &gt;= $A63) * (Table1[Region] = "Scotland"))</f>
        <v>8</v>
      </c>
      <c r="M63" s="45" cm="1">
        <f t="array" aca="1" ref="M63" ca="1">SUMPRODUCT((Table1[SubscriptionStart] &lt;= $A63) * (Table1[EffectiveEndDate] &gt;= $A63) * (Table1[Region] = "Wales"))</f>
        <v>13</v>
      </c>
      <c r="N63" s="45" cm="1">
        <f t="array" aca="1" ref="N63" ca="1">SUMPRODUCT((Table1[SubscriptionStart] &lt;= $A63) * (Table1[EffectiveEndDate] &gt;= $A63) * (Table1[Region] = "Northern Ireland"))</f>
        <v>14</v>
      </c>
      <c r="O63" s="45" cm="1">
        <f t="array" aca="1" ref="O63" ca="1">SUMPRODUCT((Table1[Gender]="Male")*(Table1[SubscriptionStart]&lt;=A63)*(Table1[EffectiveEndDate]&gt;=A63))</f>
        <v>26</v>
      </c>
      <c r="P63" s="45" cm="1">
        <f t="array" aca="1" ref="P63" ca="1">SUMPRODUCT((Table1[Gender]="Female")*(Table1[SubscriptionStart]&lt;=A63)*(Table1[EffectiveEndDate]&gt;=A63))</f>
        <v>22</v>
      </c>
    </row>
    <row r="64" spans="1:16">
      <c r="A64" s="48">
        <f t="shared" si="3"/>
        <v>44624</v>
      </c>
      <c r="B64" s="45" cm="1">
        <f t="array" aca="1" ref="B64" ca="1">SUMPRODUCT((Table1[SubscriptionStart]&lt;=A64)*(Table1[EffectiveEndDate]&gt;=A64))</f>
        <v>49</v>
      </c>
      <c r="C64" s="45">
        <f>COUNTIFS(Table1[SubscriptionStart], A64)</f>
        <v>1</v>
      </c>
      <c r="D64" s="45">
        <f>COUNTIFS(Table1[CancellationDate], A64)</f>
        <v>0</v>
      </c>
      <c r="E64" s="45">
        <f t="shared" si="0"/>
        <v>1</v>
      </c>
      <c r="F64" s="45">
        <f>SUM($C$2:C64)</f>
        <v>56</v>
      </c>
      <c r="G64" s="49" cm="1">
        <f t="array" aca="1" ref="G64" ca="1">IF(B64=0,"", SUMPRODUCT((Table1[SubscriptionStart]&lt;=A64)*(Table1[EffectiveEndDate]&gt;=A64)*Table1[Age]) / B64 )</f>
        <v>41.306122448979593</v>
      </c>
      <c r="H64" s="22">
        <f>SUMIF(Table1[SubscriptionStart],"&lt;="&amp;A64,Table1[TotalRevenue])</f>
        <v>10537.250000000002</v>
      </c>
      <c r="I64" s="50">
        <f t="shared" si="1"/>
        <v>44651</v>
      </c>
      <c r="J64" s="49">
        <f t="shared" ca="1" si="2"/>
        <v>60.258064516129032</v>
      </c>
      <c r="K64" s="45" cm="1">
        <f t="array" aca="1" ref="K64" ca="1">SUMPRODUCT((Table1[SubscriptionStart] &lt;= $A64) * (Table1[EffectiveEndDate] &gt;= $A64) * (Table1[Region] = "England"))</f>
        <v>13</v>
      </c>
      <c r="L64" s="45" cm="1">
        <f t="array" aca="1" ref="L64" ca="1">SUMPRODUCT((Table1[SubscriptionStart] &lt;= $A64) * (Table1[EffectiveEndDate] &gt;= $A64) * (Table1[Region] = "Scotland"))</f>
        <v>9</v>
      </c>
      <c r="M64" s="45" cm="1">
        <f t="array" aca="1" ref="M64" ca="1">SUMPRODUCT((Table1[SubscriptionStart] &lt;= $A64) * (Table1[EffectiveEndDate] &gt;= $A64) * (Table1[Region] = "Wales"))</f>
        <v>13</v>
      </c>
      <c r="N64" s="45" cm="1">
        <f t="array" aca="1" ref="N64" ca="1">SUMPRODUCT((Table1[SubscriptionStart] &lt;= $A64) * (Table1[EffectiveEndDate] &gt;= $A64) * (Table1[Region] = "Northern Ireland"))</f>
        <v>14</v>
      </c>
      <c r="O64" s="45" cm="1">
        <f t="array" aca="1" ref="O64" ca="1">SUMPRODUCT((Table1[Gender]="Male")*(Table1[SubscriptionStart]&lt;=A64)*(Table1[EffectiveEndDate]&gt;=A64))</f>
        <v>26</v>
      </c>
      <c r="P64" s="45" cm="1">
        <f t="array" aca="1" ref="P64" ca="1">SUMPRODUCT((Table1[Gender]="Female")*(Table1[SubscriptionStart]&lt;=A64)*(Table1[EffectiveEndDate]&gt;=A64))</f>
        <v>23</v>
      </c>
    </row>
    <row r="65" spans="1:16">
      <c r="A65" s="48">
        <f t="shared" si="3"/>
        <v>44625</v>
      </c>
      <c r="B65" s="45" cm="1">
        <f t="array" aca="1" ref="B65" ca="1">SUMPRODUCT((Table1[SubscriptionStart]&lt;=A65)*(Table1[EffectiveEndDate]&gt;=A65))</f>
        <v>49</v>
      </c>
      <c r="C65" s="45">
        <f>COUNTIFS(Table1[SubscriptionStart], A65)</f>
        <v>0</v>
      </c>
      <c r="D65" s="45">
        <f>COUNTIFS(Table1[CancellationDate], A65)</f>
        <v>0</v>
      </c>
      <c r="E65" s="45">
        <f t="shared" si="0"/>
        <v>0</v>
      </c>
      <c r="F65" s="45">
        <f>SUM($C$2:C65)</f>
        <v>56</v>
      </c>
      <c r="G65" s="49" cm="1">
        <f t="array" aca="1" ref="G65" ca="1">IF(B65=0,"", SUMPRODUCT((Table1[SubscriptionStart]&lt;=A65)*(Table1[EffectiveEndDate]&gt;=A65)*Table1[Age]) / B65 )</f>
        <v>41.306122448979593</v>
      </c>
      <c r="H65" s="22">
        <f>SUMIF(Table1[SubscriptionStart],"&lt;="&amp;A65,Table1[TotalRevenue])</f>
        <v>10537.250000000002</v>
      </c>
      <c r="I65" s="50">
        <f t="shared" si="1"/>
        <v>44651</v>
      </c>
      <c r="J65" s="49">
        <f t="shared" ca="1" si="2"/>
        <v>60.258064516129032</v>
      </c>
      <c r="K65" s="45" cm="1">
        <f t="array" aca="1" ref="K65" ca="1">SUMPRODUCT((Table1[SubscriptionStart] &lt;= $A65) * (Table1[EffectiveEndDate] &gt;= $A65) * (Table1[Region] = "England"))</f>
        <v>13</v>
      </c>
      <c r="L65" s="45" cm="1">
        <f t="array" aca="1" ref="L65" ca="1">SUMPRODUCT((Table1[SubscriptionStart] &lt;= $A65) * (Table1[EffectiveEndDate] &gt;= $A65) * (Table1[Region] = "Scotland"))</f>
        <v>9</v>
      </c>
      <c r="M65" s="45" cm="1">
        <f t="array" aca="1" ref="M65" ca="1">SUMPRODUCT((Table1[SubscriptionStart] &lt;= $A65) * (Table1[EffectiveEndDate] &gt;= $A65) * (Table1[Region] = "Wales"))</f>
        <v>13</v>
      </c>
      <c r="N65" s="45" cm="1">
        <f t="array" aca="1" ref="N65" ca="1">SUMPRODUCT((Table1[SubscriptionStart] &lt;= $A65) * (Table1[EffectiveEndDate] &gt;= $A65) * (Table1[Region] = "Northern Ireland"))</f>
        <v>14</v>
      </c>
      <c r="O65" s="45" cm="1">
        <f t="array" aca="1" ref="O65" ca="1">SUMPRODUCT((Table1[Gender]="Male")*(Table1[SubscriptionStart]&lt;=A65)*(Table1[EffectiveEndDate]&gt;=A65))</f>
        <v>26</v>
      </c>
      <c r="P65" s="45" cm="1">
        <f t="array" aca="1" ref="P65" ca="1">SUMPRODUCT((Table1[Gender]="Female")*(Table1[SubscriptionStart]&lt;=A65)*(Table1[EffectiveEndDate]&gt;=A65))</f>
        <v>23</v>
      </c>
    </row>
    <row r="66" spans="1:16">
      <c r="A66" s="48">
        <f t="shared" si="3"/>
        <v>44626</v>
      </c>
      <c r="B66" s="45" cm="1">
        <f t="array" aca="1" ref="B66" ca="1">SUMPRODUCT((Table1[SubscriptionStart]&lt;=A66)*(Table1[EffectiveEndDate]&gt;=A66))</f>
        <v>50</v>
      </c>
      <c r="C66" s="45">
        <f>COUNTIFS(Table1[SubscriptionStart], A66)</f>
        <v>1</v>
      </c>
      <c r="D66" s="45">
        <f>COUNTIFS(Table1[CancellationDate], A66)</f>
        <v>0</v>
      </c>
      <c r="E66" s="45">
        <f t="shared" ref="E66:E129" si="4" xml:space="preserve"> C66 - D66</f>
        <v>1</v>
      </c>
      <c r="F66" s="45">
        <f>SUM($C$2:C66)</f>
        <v>57</v>
      </c>
      <c r="G66" s="49" cm="1">
        <f t="array" aca="1" ref="G66" ca="1">IF(B66=0,"", SUMPRODUCT((Table1[SubscriptionStart]&lt;=A66)*(Table1[EffectiveEndDate]&gt;=A66)*Table1[Age]) / B66 )</f>
        <v>41.06</v>
      </c>
      <c r="H66" s="22">
        <f>SUMIF(Table1[SubscriptionStart],"&lt;="&amp;A66,Table1[TotalRevenue])</f>
        <v>10610.150000000001</v>
      </c>
      <c r="I66" s="50">
        <f t="shared" ref="I66:I129" si="5">EOMONTH(A66,0)</f>
        <v>44651</v>
      </c>
      <c r="J66" s="49">
        <f t="shared" ref="J66:J129" ca="1" si="6">AVERAGEIFS(B:B, I:I, I66)</f>
        <v>60.258064516129032</v>
      </c>
      <c r="K66" s="45" cm="1">
        <f t="array" aca="1" ref="K66" ca="1">SUMPRODUCT((Table1[SubscriptionStart] &lt;= $A66) * (Table1[EffectiveEndDate] &gt;= $A66) * (Table1[Region] = "England"))</f>
        <v>13</v>
      </c>
      <c r="L66" s="45" cm="1">
        <f t="array" aca="1" ref="L66" ca="1">SUMPRODUCT((Table1[SubscriptionStart] &lt;= $A66) * (Table1[EffectiveEndDate] &gt;= $A66) * (Table1[Region] = "Scotland"))</f>
        <v>9</v>
      </c>
      <c r="M66" s="45" cm="1">
        <f t="array" aca="1" ref="M66" ca="1">SUMPRODUCT((Table1[SubscriptionStart] &lt;= $A66) * (Table1[EffectiveEndDate] &gt;= $A66) * (Table1[Region] = "Wales"))</f>
        <v>13</v>
      </c>
      <c r="N66" s="45" cm="1">
        <f t="array" aca="1" ref="N66" ca="1">SUMPRODUCT((Table1[SubscriptionStart] &lt;= $A66) * (Table1[EffectiveEndDate] &gt;= $A66) * (Table1[Region] = "Northern Ireland"))</f>
        <v>15</v>
      </c>
      <c r="O66" s="45" cm="1">
        <f t="array" aca="1" ref="O66" ca="1">SUMPRODUCT((Table1[Gender]="Male")*(Table1[SubscriptionStart]&lt;=A66)*(Table1[EffectiveEndDate]&gt;=A66))</f>
        <v>27</v>
      </c>
      <c r="P66" s="45" cm="1">
        <f t="array" aca="1" ref="P66" ca="1">SUMPRODUCT((Table1[Gender]="Female")*(Table1[SubscriptionStart]&lt;=A66)*(Table1[EffectiveEndDate]&gt;=A66))</f>
        <v>23</v>
      </c>
    </row>
    <row r="67" spans="1:16">
      <c r="A67" s="48">
        <f t="shared" si="3"/>
        <v>44627</v>
      </c>
      <c r="B67" s="45" cm="1">
        <f t="array" aca="1" ref="B67" ca="1">SUMPRODUCT((Table1[SubscriptionStart]&lt;=A67)*(Table1[EffectiveEndDate]&gt;=A67))</f>
        <v>52</v>
      </c>
      <c r="C67" s="45">
        <f>COUNTIFS(Table1[SubscriptionStart], A67)</f>
        <v>2</v>
      </c>
      <c r="D67" s="45">
        <f>COUNTIFS(Table1[CancellationDate], A67)</f>
        <v>0</v>
      </c>
      <c r="E67" s="45">
        <f t="shared" si="4"/>
        <v>2</v>
      </c>
      <c r="F67" s="45">
        <f>SUM($C$2:C67)</f>
        <v>59</v>
      </c>
      <c r="G67" s="49" cm="1">
        <f t="array" aca="1" ref="G67" ca="1">IF(B67=0,"", SUMPRODUCT((Table1[SubscriptionStart]&lt;=A67)*(Table1[EffectiveEndDate]&gt;=A67)*Table1[Age]) / B67 )</f>
        <v>41.230769230769234</v>
      </c>
      <c r="H67" s="22">
        <f>SUMIF(Table1[SubscriptionStart],"&lt;="&amp;A67,Table1[TotalRevenue])</f>
        <v>12339.45</v>
      </c>
      <c r="I67" s="50">
        <f t="shared" si="5"/>
        <v>44651</v>
      </c>
      <c r="J67" s="49">
        <f t="shared" ca="1" si="6"/>
        <v>60.258064516129032</v>
      </c>
      <c r="K67" s="45" cm="1">
        <f t="array" aca="1" ref="K67" ca="1">SUMPRODUCT((Table1[SubscriptionStart] &lt;= $A67) * (Table1[EffectiveEndDate] &gt;= $A67) * (Table1[Region] = "England"))</f>
        <v>13</v>
      </c>
      <c r="L67" s="45" cm="1">
        <f t="array" aca="1" ref="L67" ca="1">SUMPRODUCT((Table1[SubscriptionStart] &lt;= $A67) * (Table1[EffectiveEndDate] &gt;= $A67) * (Table1[Region] = "Scotland"))</f>
        <v>10</v>
      </c>
      <c r="M67" s="45" cm="1">
        <f t="array" aca="1" ref="M67" ca="1">SUMPRODUCT((Table1[SubscriptionStart] &lt;= $A67) * (Table1[EffectiveEndDate] &gt;= $A67) * (Table1[Region] = "Wales"))</f>
        <v>13</v>
      </c>
      <c r="N67" s="45" cm="1">
        <f t="array" aca="1" ref="N67" ca="1">SUMPRODUCT((Table1[SubscriptionStart] &lt;= $A67) * (Table1[EffectiveEndDate] &gt;= $A67) * (Table1[Region] = "Northern Ireland"))</f>
        <v>16</v>
      </c>
      <c r="O67" s="45" cm="1">
        <f t="array" aca="1" ref="O67" ca="1">SUMPRODUCT((Table1[Gender]="Male")*(Table1[SubscriptionStart]&lt;=A67)*(Table1[EffectiveEndDate]&gt;=A67))</f>
        <v>27</v>
      </c>
      <c r="P67" s="45" cm="1">
        <f t="array" aca="1" ref="P67" ca="1">SUMPRODUCT((Table1[Gender]="Female")*(Table1[SubscriptionStart]&lt;=A67)*(Table1[EffectiveEndDate]&gt;=A67))</f>
        <v>25</v>
      </c>
    </row>
    <row r="68" spans="1:16">
      <c r="A68" s="48">
        <f t="shared" ref="A68:A131" si="7">A67+1</f>
        <v>44628</v>
      </c>
      <c r="B68" s="45" cm="1">
        <f t="array" aca="1" ref="B68" ca="1">SUMPRODUCT((Table1[SubscriptionStart]&lt;=A68)*(Table1[EffectiveEndDate]&gt;=A68))</f>
        <v>53</v>
      </c>
      <c r="C68" s="45">
        <f>COUNTIFS(Table1[SubscriptionStart], A68)</f>
        <v>1</v>
      </c>
      <c r="D68" s="45">
        <f>COUNTIFS(Table1[CancellationDate], A68)</f>
        <v>0</v>
      </c>
      <c r="E68" s="45">
        <f t="shared" si="4"/>
        <v>1</v>
      </c>
      <c r="F68" s="45">
        <f>SUM($C$2:C68)</f>
        <v>60</v>
      </c>
      <c r="G68" s="49" cm="1">
        <f t="array" aca="1" ref="G68" ca="1">IF(B68=0,"", SUMPRODUCT((Table1[SubscriptionStart]&lt;=A68)*(Table1[EffectiveEndDate]&gt;=A68)*Table1[Age]) / B68 )</f>
        <v>41.132075471698116</v>
      </c>
      <c r="H68" s="22">
        <f>SUMIF(Table1[SubscriptionStart],"&lt;="&amp;A68,Table1[TotalRevenue])</f>
        <v>12411.45</v>
      </c>
      <c r="I68" s="50">
        <f t="shared" si="5"/>
        <v>44651</v>
      </c>
      <c r="J68" s="49">
        <f t="shared" ca="1" si="6"/>
        <v>60.258064516129032</v>
      </c>
      <c r="K68" s="45" cm="1">
        <f t="array" aca="1" ref="K68" ca="1">SUMPRODUCT((Table1[SubscriptionStart] &lt;= $A68) * (Table1[EffectiveEndDate] &gt;= $A68) * (Table1[Region] = "England"))</f>
        <v>14</v>
      </c>
      <c r="L68" s="45" cm="1">
        <f t="array" aca="1" ref="L68" ca="1">SUMPRODUCT((Table1[SubscriptionStart] &lt;= $A68) * (Table1[EffectiveEndDate] &gt;= $A68) * (Table1[Region] = "Scotland"))</f>
        <v>10</v>
      </c>
      <c r="M68" s="45" cm="1">
        <f t="array" aca="1" ref="M68" ca="1">SUMPRODUCT((Table1[SubscriptionStart] &lt;= $A68) * (Table1[EffectiveEndDate] &gt;= $A68) * (Table1[Region] = "Wales"))</f>
        <v>13</v>
      </c>
      <c r="N68" s="45" cm="1">
        <f t="array" aca="1" ref="N68" ca="1">SUMPRODUCT((Table1[SubscriptionStart] &lt;= $A68) * (Table1[EffectiveEndDate] &gt;= $A68) * (Table1[Region] = "Northern Ireland"))</f>
        <v>16</v>
      </c>
      <c r="O68" s="45" cm="1">
        <f t="array" aca="1" ref="O68" ca="1">SUMPRODUCT((Table1[Gender]="Male")*(Table1[SubscriptionStart]&lt;=A68)*(Table1[EffectiveEndDate]&gt;=A68))</f>
        <v>28</v>
      </c>
      <c r="P68" s="45" cm="1">
        <f t="array" aca="1" ref="P68" ca="1">SUMPRODUCT((Table1[Gender]="Female")*(Table1[SubscriptionStart]&lt;=A68)*(Table1[EffectiveEndDate]&gt;=A68))</f>
        <v>25</v>
      </c>
    </row>
    <row r="69" spans="1:16">
      <c r="A69" s="48">
        <f t="shared" si="7"/>
        <v>44629</v>
      </c>
      <c r="B69" s="45" cm="1">
        <f t="array" aca="1" ref="B69" ca="1">SUMPRODUCT((Table1[SubscriptionStart]&lt;=A69)*(Table1[EffectiveEndDate]&gt;=A69))</f>
        <v>54</v>
      </c>
      <c r="C69" s="45">
        <f>COUNTIFS(Table1[SubscriptionStart], A69)</f>
        <v>1</v>
      </c>
      <c r="D69" s="45">
        <f>COUNTIFS(Table1[CancellationDate], A69)</f>
        <v>0</v>
      </c>
      <c r="E69" s="45">
        <f t="shared" si="4"/>
        <v>1</v>
      </c>
      <c r="F69" s="45">
        <f>SUM($C$2:C69)</f>
        <v>61</v>
      </c>
      <c r="G69" s="49" cm="1">
        <f t="array" aca="1" ref="G69" ca="1">IF(B69=0,"", SUMPRODUCT((Table1[SubscriptionStart]&lt;=A69)*(Table1[EffectiveEndDate]&gt;=A69)*Table1[Age]) / B69 )</f>
        <v>40.796296296296298</v>
      </c>
      <c r="H69" s="22">
        <f>SUMIF(Table1[SubscriptionStart],"&lt;="&amp;A69,Table1[TotalRevenue])</f>
        <v>12723.45</v>
      </c>
      <c r="I69" s="50">
        <f t="shared" si="5"/>
        <v>44651</v>
      </c>
      <c r="J69" s="49">
        <f t="shared" ca="1" si="6"/>
        <v>60.258064516129032</v>
      </c>
      <c r="K69" s="45" cm="1">
        <f t="array" aca="1" ref="K69" ca="1">SUMPRODUCT((Table1[SubscriptionStart] &lt;= $A69) * (Table1[EffectiveEndDate] &gt;= $A69) * (Table1[Region] = "England"))</f>
        <v>14</v>
      </c>
      <c r="L69" s="45" cm="1">
        <f t="array" aca="1" ref="L69" ca="1">SUMPRODUCT((Table1[SubscriptionStart] &lt;= $A69) * (Table1[EffectiveEndDate] &gt;= $A69) * (Table1[Region] = "Scotland"))</f>
        <v>11</v>
      </c>
      <c r="M69" s="45" cm="1">
        <f t="array" aca="1" ref="M69" ca="1">SUMPRODUCT((Table1[SubscriptionStart] &lt;= $A69) * (Table1[EffectiveEndDate] &gt;= $A69) * (Table1[Region] = "Wales"))</f>
        <v>13</v>
      </c>
      <c r="N69" s="45" cm="1">
        <f t="array" aca="1" ref="N69" ca="1">SUMPRODUCT((Table1[SubscriptionStart] &lt;= $A69) * (Table1[EffectiveEndDate] &gt;= $A69) * (Table1[Region] = "Northern Ireland"))</f>
        <v>16</v>
      </c>
      <c r="O69" s="45" cm="1">
        <f t="array" aca="1" ref="O69" ca="1">SUMPRODUCT((Table1[Gender]="Male")*(Table1[SubscriptionStart]&lt;=A69)*(Table1[EffectiveEndDate]&gt;=A69))</f>
        <v>29</v>
      </c>
      <c r="P69" s="45" cm="1">
        <f t="array" aca="1" ref="P69" ca="1">SUMPRODUCT((Table1[Gender]="Female")*(Table1[SubscriptionStart]&lt;=A69)*(Table1[EffectiveEndDate]&gt;=A69))</f>
        <v>25</v>
      </c>
    </row>
    <row r="70" spans="1:16">
      <c r="A70" s="48">
        <f t="shared" si="7"/>
        <v>44630</v>
      </c>
      <c r="B70" s="45" cm="1">
        <f t="array" aca="1" ref="B70" ca="1">SUMPRODUCT((Table1[SubscriptionStart]&lt;=A70)*(Table1[EffectiveEndDate]&gt;=A70))</f>
        <v>56</v>
      </c>
      <c r="C70" s="45">
        <f>COUNTIFS(Table1[SubscriptionStart], A70)</f>
        <v>2</v>
      </c>
      <c r="D70" s="45">
        <f>COUNTIFS(Table1[CancellationDate], A70)</f>
        <v>0</v>
      </c>
      <c r="E70" s="45">
        <f t="shared" si="4"/>
        <v>2</v>
      </c>
      <c r="F70" s="45">
        <f>SUM($C$2:C70)</f>
        <v>63</v>
      </c>
      <c r="G70" s="49" cm="1">
        <f t="array" aca="1" ref="G70" ca="1">IF(B70=0,"", SUMPRODUCT((Table1[SubscriptionStart]&lt;=A70)*(Table1[EffectiveEndDate]&gt;=A70)*Table1[Age]) / B70 )</f>
        <v>40.5</v>
      </c>
      <c r="H70" s="22">
        <f>SUMIF(Table1[SubscriptionStart],"&lt;="&amp;A70,Table1[TotalRevenue])</f>
        <v>14039.95</v>
      </c>
      <c r="I70" s="50">
        <f t="shared" si="5"/>
        <v>44651</v>
      </c>
      <c r="J70" s="49">
        <f t="shared" ca="1" si="6"/>
        <v>60.258064516129032</v>
      </c>
      <c r="K70" s="45" cm="1">
        <f t="array" aca="1" ref="K70" ca="1">SUMPRODUCT((Table1[SubscriptionStart] &lt;= $A70) * (Table1[EffectiveEndDate] &gt;= $A70) * (Table1[Region] = "England"))</f>
        <v>16</v>
      </c>
      <c r="L70" s="45" cm="1">
        <f t="array" aca="1" ref="L70" ca="1">SUMPRODUCT((Table1[SubscriptionStart] &lt;= $A70) * (Table1[EffectiveEndDate] &gt;= $A70) * (Table1[Region] = "Scotland"))</f>
        <v>11</v>
      </c>
      <c r="M70" s="45" cm="1">
        <f t="array" aca="1" ref="M70" ca="1">SUMPRODUCT((Table1[SubscriptionStart] &lt;= $A70) * (Table1[EffectiveEndDate] &gt;= $A70) * (Table1[Region] = "Wales"))</f>
        <v>13</v>
      </c>
      <c r="N70" s="45" cm="1">
        <f t="array" aca="1" ref="N70" ca="1">SUMPRODUCT((Table1[SubscriptionStart] &lt;= $A70) * (Table1[EffectiveEndDate] &gt;= $A70) * (Table1[Region] = "Northern Ireland"))</f>
        <v>16</v>
      </c>
      <c r="O70" s="45" cm="1">
        <f t="array" aca="1" ref="O70" ca="1">SUMPRODUCT((Table1[Gender]="Male")*(Table1[SubscriptionStart]&lt;=A70)*(Table1[EffectiveEndDate]&gt;=A70))</f>
        <v>30</v>
      </c>
      <c r="P70" s="45" cm="1">
        <f t="array" aca="1" ref="P70" ca="1">SUMPRODUCT((Table1[Gender]="Female")*(Table1[SubscriptionStart]&lt;=A70)*(Table1[EffectiveEndDate]&gt;=A70))</f>
        <v>26</v>
      </c>
    </row>
    <row r="71" spans="1:16">
      <c r="A71" s="48">
        <f t="shared" si="7"/>
        <v>44631</v>
      </c>
      <c r="B71" s="45" cm="1">
        <f t="array" aca="1" ref="B71" ca="1">SUMPRODUCT((Table1[SubscriptionStart]&lt;=A71)*(Table1[EffectiveEndDate]&gt;=A71))</f>
        <v>57</v>
      </c>
      <c r="C71" s="45">
        <f>COUNTIFS(Table1[SubscriptionStart], A71)</f>
        <v>1</v>
      </c>
      <c r="D71" s="45">
        <f>COUNTIFS(Table1[CancellationDate], A71)</f>
        <v>0</v>
      </c>
      <c r="E71" s="45">
        <f t="shared" si="4"/>
        <v>1</v>
      </c>
      <c r="F71" s="45">
        <f>SUM($C$2:C71)</f>
        <v>64</v>
      </c>
      <c r="G71" s="49" cm="1">
        <f t="array" aca="1" ref="G71" ca="1">IF(B71=0,"", SUMPRODUCT((Table1[SubscriptionStart]&lt;=A71)*(Table1[EffectiveEndDate]&gt;=A71)*Table1[Age]) / B71 )</f>
        <v>40.561403508771932</v>
      </c>
      <c r="H71" s="22">
        <f>SUMIF(Table1[SubscriptionStart],"&lt;="&amp;A71,Table1[TotalRevenue])</f>
        <v>14219.95</v>
      </c>
      <c r="I71" s="50">
        <f t="shared" si="5"/>
        <v>44651</v>
      </c>
      <c r="J71" s="49">
        <f t="shared" ca="1" si="6"/>
        <v>60.258064516129032</v>
      </c>
      <c r="K71" s="45" cm="1">
        <f t="array" aca="1" ref="K71" ca="1">SUMPRODUCT((Table1[SubscriptionStart] &lt;= $A71) * (Table1[EffectiveEndDate] &gt;= $A71) * (Table1[Region] = "England"))</f>
        <v>16</v>
      </c>
      <c r="L71" s="45" cm="1">
        <f t="array" aca="1" ref="L71" ca="1">SUMPRODUCT((Table1[SubscriptionStart] &lt;= $A71) * (Table1[EffectiveEndDate] &gt;= $A71) * (Table1[Region] = "Scotland"))</f>
        <v>11</v>
      </c>
      <c r="M71" s="45" cm="1">
        <f t="array" aca="1" ref="M71" ca="1">SUMPRODUCT((Table1[SubscriptionStart] &lt;= $A71) * (Table1[EffectiveEndDate] &gt;= $A71) * (Table1[Region] = "Wales"))</f>
        <v>13</v>
      </c>
      <c r="N71" s="45" cm="1">
        <f t="array" aca="1" ref="N71" ca="1">SUMPRODUCT((Table1[SubscriptionStart] &lt;= $A71) * (Table1[EffectiveEndDate] &gt;= $A71) * (Table1[Region] = "Northern Ireland"))</f>
        <v>17</v>
      </c>
      <c r="O71" s="45" cm="1">
        <f t="array" aca="1" ref="O71" ca="1">SUMPRODUCT((Table1[Gender]="Male")*(Table1[SubscriptionStart]&lt;=A71)*(Table1[EffectiveEndDate]&gt;=A71))</f>
        <v>31</v>
      </c>
      <c r="P71" s="45" cm="1">
        <f t="array" aca="1" ref="P71" ca="1">SUMPRODUCT((Table1[Gender]="Female")*(Table1[SubscriptionStart]&lt;=A71)*(Table1[EffectiveEndDate]&gt;=A71))</f>
        <v>26</v>
      </c>
    </row>
    <row r="72" spans="1:16">
      <c r="A72" s="48">
        <f t="shared" si="7"/>
        <v>44632</v>
      </c>
      <c r="B72" s="45" cm="1">
        <f t="array" aca="1" ref="B72" ca="1">SUMPRODUCT((Table1[SubscriptionStart]&lt;=A72)*(Table1[EffectiveEndDate]&gt;=A72))</f>
        <v>58</v>
      </c>
      <c r="C72" s="45">
        <f>COUNTIFS(Table1[SubscriptionStart], A72)</f>
        <v>1</v>
      </c>
      <c r="D72" s="45">
        <f>COUNTIFS(Table1[CancellationDate], A72)</f>
        <v>0</v>
      </c>
      <c r="E72" s="45">
        <f t="shared" si="4"/>
        <v>1</v>
      </c>
      <c r="F72" s="45">
        <f>SUM($C$2:C72)</f>
        <v>65</v>
      </c>
      <c r="G72" s="49" cm="1">
        <f t="array" aca="1" ref="G72" ca="1">IF(B72=0,"", SUMPRODUCT((Table1[SubscriptionStart]&lt;=A72)*(Table1[EffectiveEndDate]&gt;=A72)*Table1[Age]) / B72 )</f>
        <v>41.017241379310342</v>
      </c>
      <c r="H72" s="22">
        <f>SUMIF(Table1[SubscriptionStart],"&lt;="&amp;A72,Table1[TotalRevenue])</f>
        <v>14291.95</v>
      </c>
      <c r="I72" s="50">
        <f t="shared" si="5"/>
        <v>44651</v>
      </c>
      <c r="J72" s="49">
        <f t="shared" ca="1" si="6"/>
        <v>60.258064516129032</v>
      </c>
      <c r="K72" s="45" cm="1">
        <f t="array" aca="1" ref="K72" ca="1">SUMPRODUCT((Table1[SubscriptionStart] &lt;= $A72) * (Table1[EffectiveEndDate] &gt;= $A72) * (Table1[Region] = "England"))</f>
        <v>16</v>
      </c>
      <c r="L72" s="45" cm="1">
        <f t="array" aca="1" ref="L72" ca="1">SUMPRODUCT((Table1[SubscriptionStart] &lt;= $A72) * (Table1[EffectiveEndDate] &gt;= $A72) * (Table1[Region] = "Scotland"))</f>
        <v>12</v>
      </c>
      <c r="M72" s="45" cm="1">
        <f t="array" aca="1" ref="M72" ca="1">SUMPRODUCT((Table1[SubscriptionStart] &lt;= $A72) * (Table1[EffectiveEndDate] &gt;= $A72) * (Table1[Region] = "Wales"))</f>
        <v>13</v>
      </c>
      <c r="N72" s="45" cm="1">
        <f t="array" aca="1" ref="N72" ca="1">SUMPRODUCT((Table1[SubscriptionStart] &lt;= $A72) * (Table1[EffectiveEndDate] &gt;= $A72) * (Table1[Region] = "Northern Ireland"))</f>
        <v>17</v>
      </c>
      <c r="O72" s="45" cm="1">
        <f t="array" aca="1" ref="O72" ca="1">SUMPRODUCT((Table1[Gender]="Male")*(Table1[SubscriptionStart]&lt;=A72)*(Table1[EffectiveEndDate]&gt;=A72))</f>
        <v>32</v>
      </c>
      <c r="P72" s="45" cm="1">
        <f t="array" aca="1" ref="P72" ca="1">SUMPRODUCT((Table1[Gender]="Female")*(Table1[SubscriptionStart]&lt;=A72)*(Table1[EffectiveEndDate]&gt;=A72))</f>
        <v>26</v>
      </c>
    </row>
    <row r="73" spans="1:16">
      <c r="A73" s="48">
        <f t="shared" si="7"/>
        <v>44633</v>
      </c>
      <c r="B73" s="45" cm="1">
        <f t="array" aca="1" ref="B73" ca="1">SUMPRODUCT((Table1[SubscriptionStart]&lt;=A73)*(Table1[EffectiveEndDate]&gt;=A73))</f>
        <v>59</v>
      </c>
      <c r="C73" s="45">
        <f>COUNTIFS(Table1[SubscriptionStart], A73)</f>
        <v>1</v>
      </c>
      <c r="D73" s="45">
        <f>COUNTIFS(Table1[CancellationDate], A73)</f>
        <v>0</v>
      </c>
      <c r="E73" s="45">
        <f t="shared" si="4"/>
        <v>1</v>
      </c>
      <c r="F73" s="45">
        <f>SUM($C$2:C73)</f>
        <v>66</v>
      </c>
      <c r="G73" s="49" cm="1">
        <f t="array" aca="1" ref="G73" ca="1">IF(B73=0,"", SUMPRODUCT((Table1[SubscriptionStart]&lt;=A73)*(Table1[EffectiveEndDate]&gt;=A73)*Table1[Age]) / B73 )</f>
        <v>41.271186440677965</v>
      </c>
      <c r="H73" s="22">
        <f>SUMIF(Table1[SubscriptionStart],"&lt;="&amp;A73,Table1[TotalRevenue])</f>
        <v>14363.95</v>
      </c>
      <c r="I73" s="50">
        <f t="shared" si="5"/>
        <v>44651</v>
      </c>
      <c r="J73" s="49">
        <f t="shared" ca="1" si="6"/>
        <v>60.258064516129032</v>
      </c>
      <c r="K73" s="45" cm="1">
        <f t="array" aca="1" ref="K73" ca="1">SUMPRODUCT((Table1[SubscriptionStart] &lt;= $A73) * (Table1[EffectiveEndDate] &gt;= $A73) * (Table1[Region] = "England"))</f>
        <v>16</v>
      </c>
      <c r="L73" s="45" cm="1">
        <f t="array" aca="1" ref="L73" ca="1">SUMPRODUCT((Table1[SubscriptionStart] &lt;= $A73) * (Table1[EffectiveEndDate] &gt;= $A73) * (Table1[Region] = "Scotland"))</f>
        <v>13</v>
      </c>
      <c r="M73" s="45" cm="1">
        <f t="array" aca="1" ref="M73" ca="1">SUMPRODUCT((Table1[SubscriptionStart] &lt;= $A73) * (Table1[EffectiveEndDate] &gt;= $A73) * (Table1[Region] = "Wales"))</f>
        <v>13</v>
      </c>
      <c r="N73" s="45" cm="1">
        <f t="array" aca="1" ref="N73" ca="1">SUMPRODUCT((Table1[SubscriptionStart] &lt;= $A73) * (Table1[EffectiveEndDate] &gt;= $A73) * (Table1[Region] = "Northern Ireland"))</f>
        <v>17</v>
      </c>
      <c r="O73" s="45" cm="1">
        <f t="array" aca="1" ref="O73" ca="1">SUMPRODUCT((Table1[Gender]="Male")*(Table1[SubscriptionStart]&lt;=A73)*(Table1[EffectiveEndDate]&gt;=A73))</f>
        <v>32</v>
      </c>
      <c r="P73" s="45" cm="1">
        <f t="array" aca="1" ref="P73" ca="1">SUMPRODUCT((Table1[Gender]="Female")*(Table1[SubscriptionStart]&lt;=A73)*(Table1[EffectiveEndDate]&gt;=A73))</f>
        <v>27</v>
      </c>
    </row>
    <row r="74" spans="1:16">
      <c r="A74" s="48">
        <f t="shared" si="7"/>
        <v>44634</v>
      </c>
      <c r="B74" s="45" cm="1">
        <f t="array" aca="1" ref="B74" ca="1">SUMPRODUCT((Table1[SubscriptionStart]&lt;=A74)*(Table1[EffectiveEndDate]&gt;=A74))</f>
        <v>59</v>
      </c>
      <c r="C74" s="45">
        <f>COUNTIFS(Table1[SubscriptionStart], A74)</f>
        <v>0</v>
      </c>
      <c r="D74" s="45">
        <f>COUNTIFS(Table1[CancellationDate], A74)</f>
        <v>0</v>
      </c>
      <c r="E74" s="45">
        <f t="shared" si="4"/>
        <v>0</v>
      </c>
      <c r="F74" s="45">
        <f>SUM($C$2:C74)</f>
        <v>66</v>
      </c>
      <c r="G74" s="49" cm="1">
        <f t="array" aca="1" ref="G74" ca="1">IF(B74=0,"", SUMPRODUCT((Table1[SubscriptionStart]&lt;=A74)*(Table1[EffectiveEndDate]&gt;=A74)*Table1[Age]) / B74 )</f>
        <v>41.271186440677965</v>
      </c>
      <c r="H74" s="22">
        <f>SUMIF(Table1[SubscriptionStart],"&lt;="&amp;A74,Table1[TotalRevenue])</f>
        <v>14363.95</v>
      </c>
      <c r="I74" s="50">
        <f t="shared" si="5"/>
        <v>44651</v>
      </c>
      <c r="J74" s="49">
        <f t="shared" ca="1" si="6"/>
        <v>60.258064516129032</v>
      </c>
      <c r="K74" s="45" cm="1">
        <f t="array" aca="1" ref="K74" ca="1">SUMPRODUCT((Table1[SubscriptionStart] &lt;= $A74) * (Table1[EffectiveEndDate] &gt;= $A74) * (Table1[Region] = "England"))</f>
        <v>16</v>
      </c>
      <c r="L74" s="45" cm="1">
        <f t="array" aca="1" ref="L74" ca="1">SUMPRODUCT((Table1[SubscriptionStart] &lt;= $A74) * (Table1[EffectiveEndDate] &gt;= $A74) * (Table1[Region] = "Scotland"))</f>
        <v>13</v>
      </c>
      <c r="M74" s="45" cm="1">
        <f t="array" aca="1" ref="M74" ca="1">SUMPRODUCT((Table1[SubscriptionStart] &lt;= $A74) * (Table1[EffectiveEndDate] &gt;= $A74) * (Table1[Region] = "Wales"))</f>
        <v>13</v>
      </c>
      <c r="N74" s="45" cm="1">
        <f t="array" aca="1" ref="N74" ca="1">SUMPRODUCT((Table1[SubscriptionStart] &lt;= $A74) * (Table1[EffectiveEndDate] &gt;= $A74) * (Table1[Region] = "Northern Ireland"))</f>
        <v>17</v>
      </c>
      <c r="O74" s="45" cm="1">
        <f t="array" aca="1" ref="O74" ca="1">SUMPRODUCT((Table1[Gender]="Male")*(Table1[SubscriptionStart]&lt;=A74)*(Table1[EffectiveEndDate]&gt;=A74))</f>
        <v>32</v>
      </c>
      <c r="P74" s="45" cm="1">
        <f t="array" aca="1" ref="P74" ca="1">SUMPRODUCT((Table1[Gender]="Female")*(Table1[SubscriptionStart]&lt;=A74)*(Table1[EffectiveEndDate]&gt;=A74))</f>
        <v>27</v>
      </c>
    </row>
    <row r="75" spans="1:16">
      <c r="A75" s="48">
        <f t="shared" si="7"/>
        <v>44635</v>
      </c>
      <c r="B75" s="45" cm="1">
        <f t="array" aca="1" ref="B75" ca="1">SUMPRODUCT((Table1[SubscriptionStart]&lt;=A75)*(Table1[EffectiveEndDate]&gt;=A75))</f>
        <v>61</v>
      </c>
      <c r="C75" s="45">
        <f>COUNTIFS(Table1[SubscriptionStart], A75)</f>
        <v>2</v>
      </c>
      <c r="D75" s="45">
        <f>COUNTIFS(Table1[CancellationDate], A75)</f>
        <v>0</v>
      </c>
      <c r="E75" s="45">
        <f t="shared" si="4"/>
        <v>2</v>
      </c>
      <c r="F75" s="45">
        <f>SUM($C$2:C75)</f>
        <v>68</v>
      </c>
      <c r="G75" s="49" cm="1">
        <f t="array" aca="1" ref="G75" ca="1">IF(B75=0,"", SUMPRODUCT((Table1[SubscriptionStart]&lt;=A75)*(Table1[EffectiveEndDate]&gt;=A75)*Table1[Age]) / B75 )</f>
        <v>40.868852459016395</v>
      </c>
      <c r="H75" s="22">
        <f>SUMIF(Table1[SubscriptionStart],"&lt;="&amp;A75,Table1[TotalRevenue])</f>
        <v>14508.85</v>
      </c>
      <c r="I75" s="50">
        <f t="shared" si="5"/>
        <v>44651</v>
      </c>
      <c r="J75" s="49">
        <f t="shared" ca="1" si="6"/>
        <v>60.258064516129032</v>
      </c>
      <c r="K75" s="45" cm="1">
        <f t="array" aca="1" ref="K75" ca="1">SUMPRODUCT((Table1[SubscriptionStart] &lt;= $A75) * (Table1[EffectiveEndDate] &gt;= $A75) * (Table1[Region] = "England"))</f>
        <v>16</v>
      </c>
      <c r="L75" s="45" cm="1">
        <f t="array" aca="1" ref="L75" ca="1">SUMPRODUCT((Table1[SubscriptionStart] &lt;= $A75) * (Table1[EffectiveEndDate] &gt;= $A75) * (Table1[Region] = "Scotland"))</f>
        <v>13</v>
      </c>
      <c r="M75" s="45" cm="1">
        <f t="array" aca="1" ref="M75" ca="1">SUMPRODUCT((Table1[SubscriptionStart] &lt;= $A75) * (Table1[EffectiveEndDate] &gt;= $A75) * (Table1[Region] = "Wales"))</f>
        <v>13</v>
      </c>
      <c r="N75" s="45" cm="1">
        <f t="array" aca="1" ref="N75" ca="1">SUMPRODUCT((Table1[SubscriptionStart] &lt;= $A75) * (Table1[EffectiveEndDate] &gt;= $A75) * (Table1[Region] = "Northern Ireland"))</f>
        <v>19</v>
      </c>
      <c r="O75" s="45" cm="1">
        <f t="array" aca="1" ref="O75" ca="1">SUMPRODUCT((Table1[Gender]="Male")*(Table1[SubscriptionStart]&lt;=A75)*(Table1[EffectiveEndDate]&gt;=A75))</f>
        <v>32</v>
      </c>
      <c r="P75" s="45" cm="1">
        <f t="array" aca="1" ref="P75" ca="1">SUMPRODUCT((Table1[Gender]="Female")*(Table1[SubscriptionStart]&lt;=A75)*(Table1[EffectiveEndDate]&gt;=A75))</f>
        <v>29</v>
      </c>
    </row>
    <row r="76" spans="1:16">
      <c r="A76" s="48">
        <f t="shared" si="7"/>
        <v>44636</v>
      </c>
      <c r="B76" s="45" cm="1">
        <f t="array" aca="1" ref="B76" ca="1">SUMPRODUCT((Table1[SubscriptionStart]&lt;=A76)*(Table1[EffectiveEndDate]&gt;=A76))</f>
        <v>62</v>
      </c>
      <c r="C76" s="45">
        <f>COUNTIFS(Table1[SubscriptionStart], A76)</f>
        <v>1</v>
      </c>
      <c r="D76" s="45">
        <f>COUNTIFS(Table1[CancellationDate], A76)</f>
        <v>0</v>
      </c>
      <c r="E76" s="45">
        <f t="shared" si="4"/>
        <v>1</v>
      </c>
      <c r="F76" s="45">
        <f>SUM($C$2:C76)</f>
        <v>69</v>
      </c>
      <c r="G76" s="49" cm="1">
        <f t="array" aca="1" ref="G76" ca="1">IF(B76=0,"", SUMPRODUCT((Table1[SubscriptionStart]&lt;=A76)*(Table1[EffectiveEndDate]&gt;=A76)*Table1[Age]) / B76 )</f>
        <v>40.79032258064516</v>
      </c>
      <c r="H76" s="22">
        <f>SUMIF(Table1[SubscriptionStart],"&lt;="&amp;A76,Table1[TotalRevenue])</f>
        <v>14549.35</v>
      </c>
      <c r="I76" s="50">
        <f t="shared" si="5"/>
        <v>44651</v>
      </c>
      <c r="J76" s="49">
        <f t="shared" ca="1" si="6"/>
        <v>60.258064516129032</v>
      </c>
      <c r="K76" s="45" cm="1">
        <f t="array" aca="1" ref="K76" ca="1">SUMPRODUCT((Table1[SubscriptionStart] &lt;= $A76) * (Table1[EffectiveEndDate] &gt;= $A76) * (Table1[Region] = "England"))</f>
        <v>16</v>
      </c>
      <c r="L76" s="45" cm="1">
        <f t="array" aca="1" ref="L76" ca="1">SUMPRODUCT((Table1[SubscriptionStart] &lt;= $A76) * (Table1[EffectiveEndDate] &gt;= $A76) * (Table1[Region] = "Scotland"))</f>
        <v>14</v>
      </c>
      <c r="M76" s="45" cm="1">
        <f t="array" aca="1" ref="M76" ca="1">SUMPRODUCT((Table1[SubscriptionStart] &lt;= $A76) * (Table1[EffectiveEndDate] &gt;= $A76) * (Table1[Region] = "Wales"))</f>
        <v>13</v>
      </c>
      <c r="N76" s="45" cm="1">
        <f t="array" aca="1" ref="N76" ca="1">SUMPRODUCT((Table1[SubscriptionStart] &lt;= $A76) * (Table1[EffectiveEndDate] &gt;= $A76) * (Table1[Region] = "Northern Ireland"))</f>
        <v>19</v>
      </c>
      <c r="O76" s="45" cm="1">
        <f t="array" aca="1" ref="O76" ca="1">SUMPRODUCT((Table1[Gender]="Male")*(Table1[SubscriptionStart]&lt;=A76)*(Table1[EffectiveEndDate]&gt;=A76))</f>
        <v>32</v>
      </c>
      <c r="P76" s="45" cm="1">
        <f t="array" aca="1" ref="P76" ca="1">SUMPRODUCT((Table1[Gender]="Female")*(Table1[SubscriptionStart]&lt;=A76)*(Table1[EffectiveEndDate]&gt;=A76))</f>
        <v>30</v>
      </c>
    </row>
    <row r="77" spans="1:16">
      <c r="A77" s="48">
        <f t="shared" si="7"/>
        <v>44637</v>
      </c>
      <c r="B77" s="45" cm="1">
        <f t="array" aca="1" ref="B77" ca="1">SUMPRODUCT((Table1[SubscriptionStart]&lt;=A77)*(Table1[EffectiveEndDate]&gt;=A77))</f>
        <v>62</v>
      </c>
      <c r="C77" s="45">
        <f>COUNTIFS(Table1[SubscriptionStart], A77)</f>
        <v>0</v>
      </c>
      <c r="D77" s="45">
        <f>COUNTIFS(Table1[CancellationDate], A77)</f>
        <v>0</v>
      </c>
      <c r="E77" s="45">
        <f t="shared" si="4"/>
        <v>0</v>
      </c>
      <c r="F77" s="45">
        <f>SUM($C$2:C77)</f>
        <v>69</v>
      </c>
      <c r="G77" s="49" cm="1">
        <f t="array" aca="1" ref="G77" ca="1">IF(B77=0,"", SUMPRODUCT((Table1[SubscriptionStart]&lt;=A77)*(Table1[EffectiveEndDate]&gt;=A77)*Table1[Age]) / B77 )</f>
        <v>40.79032258064516</v>
      </c>
      <c r="H77" s="22">
        <f>SUMIF(Table1[SubscriptionStart],"&lt;="&amp;A77,Table1[TotalRevenue])</f>
        <v>14549.35</v>
      </c>
      <c r="I77" s="50">
        <f t="shared" si="5"/>
        <v>44651</v>
      </c>
      <c r="J77" s="49">
        <f t="shared" ca="1" si="6"/>
        <v>60.258064516129032</v>
      </c>
      <c r="K77" s="45" cm="1">
        <f t="array" aca="1" ref="K77" ca="1">SUMPRODUCT((Table1[SubscriptionStart] &lt;= $A77) * (Table1[EffectiveEndDate] &gt;= $A77) * (Table1[Region] = "England"))</f>
        <v>16</v>
      </c>
      <c r="L77" s="45" cm="1">
        <f t="array" aca="1" ref="L77" ca="1">SUMPRODUCT((Table1[SubscriptionStart] &lt;= $A77) * (Table1[EffectiveEndDate] &gt;= $A77) * (Table1[Region] = "Scotland"))</f>
        <v>14</v>
      </c>
      <c r="M77" s="45" cm="1">
        <f t="array" aca="1" ref="M77" ca="1">SUMPRODUCT((Table1[SubscriptionStart] &lt;= $A77) * (Table1[EffectiveEndDate] &gt;= $A77) * (Table1[Region] = "Wales"))</f>
        <v>13</v>
      </c>
      <c r="N77" s="45" cm="1">
        <f t="array" aca="1" ref="N77" ca="1">SUMPRODUCT((Table1[SubscriptionStart] &lt;= $A77) * (Table1[EffectiveEndDate] &gt;= $A77) * (Table1[Region] = "Northern Ireland"))</f>
        <v>19</v>
      </c>
      <c r="O77" s="45" cm="1">
        <f t="array" aca="1" ref="O77" ca="1">SUMPRODUCT((Table1[Gender]="Male")*(Table1[SubscriptionStart]&lt;=A77)*(Table1[EffectiveEndDate]&gt;=A77))</f>
        <v>32</v>
      </c>
      <c r="P77" s="45" cm="1">
        <f t="array" aca="1" ref="P77" ca="1">SUMPRODUCT((Table1[Gender]="Female")*(Table1[SubscriptionStart]&lt;=A77)*(Table1[EffectiveEndDate]&gt;=A77))</f>
        <v>30</v>
      </c>
    </row>
    <row r="78" spans="1:16">
      <c r="A78" s="48">
        <f t="shared" si="7"/>
        <v>44638</v>
      </c>
      <c r="B78" s="45" cm="1">
        <f t="array" aca="1" ref="B78" ca="1">SUMPRODUCT((Table1[SubscriptionStart]&lt;=A78)*(Table1[EffectiveEndDate]&gt;=A78))</f>
        <v>64</v>
      </c>
      <c r="C78" s="45">
        <f>COUNTIFS(Table1[SubscriptionStart], A78)</f>
        <v>2</v>
      </c>
      <c r="D78" s="45">
        <f>COUNTIFS(Table1[CancellationDate], A78)</f>
        <v>1</v>
      </c>
      <c r="E78" s="45">
        <f t="shared" si="4"/>
        <v>1</v>
      </c>
      <c r="F78" s="45">
        <f>SUM($C$2:C78)</f>
        <v>71</v>
      </c>
      <c r="G78" s="49" cm="1">
        <f t="array" aca="1" ref="G78" ca="1">IF(B78=0,"", SUMPRODUCT((Table1[SubscriptionStart]&lt;=A78)*(Table1[EffectiveEndDate]&gt;=A78)*Table1[Age]) / B78 )</f>
        <v>40.390625</v>
      </c>
      <c r="H78" s="22">
        <f>SUMIF(Table1[SubscriptionStart],"&lt;="&amp;A78,Table1[TotalRevenue])</f>
        <v>15393.550000000001</v>
      </c>
      <c r="I78" s="50">
        <f t="shared" si="5"/>
        <v>44651</v>
      </c>
      <c r="J78" s="49">
        <f t="shared" ca="1" si="6"/>
        <v>60.258064516129032</v>
      </c>
      <c r="K78" s="45" cm="1">
        <f t="array" aca="1" ref="K78" ca="1">SUMPRODUCT((Table1[SubscriptionStart] &lt;= $A78) * (Table1[EffectiveEndDate] &gt;= $A78) * (Table1[Region] = "England"))</f>
        <v>16</v>
      </c>
      <c r="L78" s="45" cm="1">
        <f t="array" aca="1" ref="L78" ca="1">SUMPRODUCT((Table1[SubscriptionStart] &lt;= $A78) * (Table1[EffectiveEndDate] &gt;= $A78) * (Table1[Region] = "Scotland"))</f>
        <v>15</v>
      </c>
      <c r="M78" s="45" cm="1">
        <f t="array" aca="1" ref="M78" ca="1">SUMPRODUCT((Table1[SubscriptionStart] &lt;= $A78) * (Table1[EffectiveEndDate] &gt;= $A78) * (Table1[Region] = "Wales"))</f>
        <v>13</v>
      </c>
      <c r="N78" s="45" cm="1">
        <f t="array" aca="1" ref="N78" ca="1">SUMPRODUCT((Table1[SubscriptionStart] &lt;= $A78) * (Table1[EffectiveEndDate] &gt;= $A78) * (Table1[Region] = "Northern Ireland"))</f>
        <v>20</v>
      </c>
      <c r="O78" s="45" cm="1">
        <f t="array" aca="1" ref="O78" ca="1">SUMPRODUCT((Table1[Gender]="Male")*(Table1[SubscriptionStart]&lt;=A78)*(Table1[EffectiveEndDate]&gt;=A78))</f>
        <v>34</v>
      </c>
      <c r="P78" s="45" cm="1">
        <f t="array" aca="1" ref="P78" ca="1">SUMPRODUCT((Table1[Gender]="Female")*(Table1[SubscriptionStart]&lt;=A78)*(Table1[EffectiveEndDate]&gt;=A78))</f>
        <v>30</v>
      </c>
    </row>
    <row r="79" spans="1:16">
      <c r="A79" s="48">
        <f t="shared" si="7"/>
        <v>44639</v>
      </c>
      <c r="B79" s="45" cm="1">
        <f t="array" aca="1" ref="B79" ca="1">SUMPRODUCT((Table1[SubscriptionStart]&lt;=A79)*(Table1[EffectiveEndDate]&gt;=A79))</f>
        <v>63</v>
      </c>
      <c r="C79" s="45">
        <f>COUNTIFS(Table1[SubscriptionStart], A79)</f>
        <v>0</v>
      </c>
      <c r="D79" s="45">
        <f>COUNTIFS(Table1[CancellationDate], A79)</f>
        <v>0</v>
      </c>
      <c r="E79" s="45">
        <f t="shared" si="4"/>
        <v>0</v>
      </c>
      <c r="F79" s="45">
        <f>SUM($C$2:C79)</f>
        <v>71</v>
      </c>
      <c r="G79" s="49" cm="1">
        <f t="array" aca="1" ref="G79" ca="1">IF(B79=0,"", SUMPRODUCT((Table1[SubscriptionStart]&lt;=A79)*(Table1[EffectiveEndDate]&gt;=A79)*Table1[Age]) / B79 )</f>
        <v>40.365079365079367</v>
      </c>
      <c r="H79" s="22">
        <f>SUMIF(Table1[SubscriptionStart],"&lt;="&amp;A79,Table1[TotalRevenue])</f>
        <v>15393.550000000001</v>
      </c>
      <c r="I79" s="50">
        <f t="shared" si="5"/>
        <v>44651</v>
      </c>
      <c r="J79" s="49">
        <f t="shared" ca="1" si="6"/>
        <v>60.258064516129032</v>
      </c>
      <c r="K79" s="45" cm="1">
        <f t="array" aca="1" ref="K79" ca="1">SUMPRODUCT((Table1[SubscriptionStart] &lt;= $A79) * (Table1[EffectiveEndDate] &gt;= $A79) * (Table1[Region] = "England"))</f>
        <v>16</v>
      </c>
      <c r="L79" s="45" cm="1">
        <f t="array" aca="1" ref="L79" ca="1">SUMPRODUCT((Table1[SubscriptionStart] &lt;= $A79) * (Table1[EffectiveEndDate] &gt;= $A79) * (Table1[Region] = "Scotland"))</f>
        <v>14</v>
      </c>
      <c r="M79" s="45" cm="1">
        <f t="array" aca="1" ref="M79" ca="1">SUMPRODUCT((Table1[SubscriptionStart] &lt;= $A79) * (Table1[EffectiveEndDate] &gt;= $A79) * (Table1[Region] = "Wales"))</f>
        <v>13</v>
      </c>
      <c r="N79" s="45" cm="1">
        <f t="array" aca="1" ref="N79" ca="1">SUMPRODUCT((Table1[SubscriptionStart] &lt;= $A79) * (Table1[EffectiveEndDate] &gt;= $A79) * (Table1[Region] = "Northern Ireland"))</f>
        <v>20</v>
      </c>
      <c r="O79" s="45" cm="1">
        <f t="array" aca="1" ref="O79" ca="1">SUMPRODUCT((Table1[Gender]="Male")*(Table1[SubscriptionStart]&lt;=A79)*(Table1[EffectiveEndDate]&gt;=A79))</f>
        <v>33</v>
      </c>
      <c r="P79" s="45" cm="1">
        <f t="array" aca="1" ref="P79" ca="1">SUMPRODUCT((Table1[Gender]="Female")*(Table1[SubscriptionStart]&lt;=A79)*(Table1[EffectiveEndDate]&gt;=A79))</f>
        <v>30</v>
      </c>
    </row>
    <row r="80" spans="1:16">
      <c r="A80" s="48">
        <f t="shared" si="7"/>
        <v>44640</v>
      </c>
      <c r="B80" s="45" cm="1">
        <f t="array" aca="1" ref="B80" ca="1">SUMPRODUCT((Table1[SubscriptionStart]&lt;=A80)*(Table1[EffectiveEndDate]&gt;=A80))</f>
        <v>63</v>
      </c>
      <c r="C80" s="45">
        <f>COUNTIFS(Table1[SubscriptionStart], A80)</f>
        <v>0</v>
      </c>
      <c r="D80" s="45">
        <f>COUNTIFS(Table1[CancellationDate], A80)</f>
        <v>0</v>
      </c>
      <c r="E80" s="45">
        <f t="shared" si="4"/>
        <v>0</v>
      </c>
      <c r="F80" s="45">
        <f>SUM($C$2:C80)</f>
        <v>71</v>
      </c>
      <c r="G80" s="49" cm="1">
        <f t="array" aca="1" ref="G80" ca="1">IF(B80=0,"", SUMPRODUCT((Table1[SubscriptionStart]&lt;=A80)*(Table1[EffectiveEndDate]&gt;=A80)*Table1[Age]) / B80 )</f>
        <v>40.365079365079367</v>
      </c>
      <c r="H80" s="22">
        <f>SUMIF(Table1[SubscriptionStart],"&lt;="&amp;A80,Table1[TotalRevenue])</f>
        <v>15393.550000000001</v>
      </c>
      <c r="I80" s="50">
        <f t="shared" si="5"/>
        <v>44651</v>
      </c>
      <c r="J80" s="49">
        <f t="shared" ca="1" si="6"/>
        <v>60.258064516129032</v>
      </c>
      <c r="K80" s="45" cm="1">
        <f t="array" aca="1" ref="K80" ca="1">SUMPRODUCT((Table1[SubscriptionStart] &lt;= $A80) * (Table1[EffectiveEndDate] &gt;= $A80) * (Table1[Region] = "England"))</f>
        <v>16</v>
      </c>
      <c r="L80" s="45" cm="1">
        <f t="array" aca="1" ref="L80" ca="1">SUMPRODUCT((Table1[SubscriptionStart] &lt;= $A80) * (Table1[EffectiveEndDate] &gt;= $A80) * (Table1[Region] = "Scotland"))</f>
        <v>14</v>
      </c>
      <c r="M80" s="45" cm="1">
        <f t="array" aca="1" ref="M80" ca="1">SUMPRODUCT((Table1[SubscriptionStart] &lt;= $A80) * (Table1[EffectiveEndDate] &gt;= $A80) * (Table1[Region] = "Wales"))</f>
        <v>13</v>
      </c>
      <c r="N80" s="45" cm="1">
        <f t="array" aca="1" ref="N80" ca="1">SUMPRODUCT((Table1[SubscriptionStart] &lt;= $A80) * (Table1[EffectiveEndDate] &gt;= $A80) * (Table1[Region] = "Northern Ireland"))</f>
        <v>20</v>
      </c>
      <c r="O80" s="45" cm="1">
        <f t="array" aca="1" ref="O80" ca="1">SUMPRODUCT((Table1[Gender]="Male")*(Table1[SubscriptionStart]&lt;=A80)*(Table1[EffectiveEndDate]&gt;=A80))</f>
        <v>33</v>
      </c>
      <c r="P80" s="45" cm="1">
        <f t="array" aca="1" ref="P80" ca="1">SUMPRODUCT((Table1[Gender]="Female")*(Table1[SubscriptionStart]&lt;=A80)*(Table1[EffectiveEndDate]&gt;=A80))</f>
        <v>30</v>
      </c>
    </row>
    <row r="81" spans="1:16">
      <c r="A81" s="48">
        <f t="shared" si="7"/>
        <v>44641</v>
      </c>
      <c r="B81" s="45" cm="1">
        <f t="array" aca="1" ref="B81" ca="1">SUMPRODUCT((Table1[SubscriptionStart]&lt;=A81)*(Table1[EffectiveEndDate]&gt;=A81))</f>
        <v>63</v>
      </c>
      <c r="C81" s="45">
        <f>COUNTIFS(Table1[SubscriptionStart], A81)</f>
        <v>0</v>
      </c>
      <c r="D81" s="45">
        <f>COUNTIFS(Table1[CancellationDate], A81)</f>
        <v>0</v>
      </c>
      <c r="E81" s="45">
        <f t="shared" si="4"/>
        <v>0</v>
      </c>
      <c r="F81" s="45">
        <f>SUM($C$2:C81)</f>
        <v>71</v>
      </c>
      <c r="G81" s="49" cm="1">
        <f t="array" aca="1" ref="G81" ca="1">IF(B81=0,"", SUMPRODUCT((Table1[SubscriptionStart]&lt;=A81)*(Table1[EffectiveEndDate]&gt;=A81)*Table1[Age]) / B81 )</f>
        <v>40.365079365079367</v>
      </c>
      <c r="H81" s="22">
        <f>SUMIF(Table1[SubscriptionStart],"&lt;="&amp;A81,Table1[TotalRevenue])</f>
        <v>15393.550000000001</v>
      </c>
      <c r="I81" s="50">
        <f t="shared" si="5"/>
        <v>44651</v>
      </c>
      <c r="J81" s="49">
        <f t="shared" ca="1" si="6"/>
        <v>60.258064516129032</v>
      </c>
      <c r="K81" s="45" cm="1">
        <f t="array" aca="1" ref="K81" ca="1">SUMPRODUCT((Table1[SubscriptionStart] &lt;= $A81) * (Table1[EffectiveEndDate] &gt;= $A81) * (Table1[Region] = "England"))</f>
        <v>16</v>
      </c>
      <c r="L81" s="45" cm="1">
        <f t="array" aca="1" ref="L81" ca="1">SUMPRODUCT((Table1[SubscriptionStart] &lt;= $A81) * (Table1[EffectiveEndDate] &gt;= $A81) * (Table1[Region] = "Scotland"))</f>
        <v>14</v>
      </c>
      <c r="M81" s="45" cm="1">
        <f t="array" aca="1" ref="M81" ca="1">SUMPRODUCT((Table1[SubscriptionStart] &lt;= $A81) * (Table1[EffectiveEndDate] &gt;= $A81) * (Table1[Region] = "Wales"))</f>
        <v>13</v>
      </c>
      <c r="N81" s="45" cm="1">
        <f t="array" aca="1" ref="N81" ca="1">SUMPRODUCT((Table1[SubscriptionStart] &lt;= $A81) * (Table1[EffectiveEndDate] &gt;= $A81) * (Table1[Region] = "Northern Ireland"))</f>
        <v>20</v>
      </c>
      <c r="O81" s="45" cm="1">
        <f t="array" aca="1" ref="O81" ca="1">SUMPRODUCT((Table1[Gender]="Male")*(Table1[SubscriptionStart]&lt;=A81)*(Table1[EffectiveEndDate]&gt;=A81))</f>
        <v>33</v>
      </c>
      <c r="P81" s="45" cm="1">
        <f t="array" aca="1" ref="P81" ca="1">SUMPRODUCT((Table1[Gender]="Female")*(Table1[SubscriptionStart]&lt;=A81)*(Table1[EffectiveEndDate]&gt;=A81))</f>
        <v>30</v>
      </c>
    </row>
    <row r="82" spans="1:16">
      <c r="A82" s="48">
        <f t="shared" si="7"/>
        <v>44642</v>
      </c>
      <c r="B82" s="45" cm="1">
        <f t="array" aca="1" ref="B82" ca="1">SUMPRODUCT((Table1[SubscriptionStart]&lt;=A82)*(Table1[EffectiveEndDate]&gt;=A82))</f>
        <v>64</v>
      </c>
      <c r="C82" s="45">
        <f>COUNTIFS(Table1[SubscriptionStart], A82)</f>
        <v>1</v>
      </c>
      <c r="D82" s="45">
        <f>COUNTIFS(Table1[CancellationDate], A82)</f>
        <v>0</v>
      </c>
      <c r="E82" s="45">
        <f t="shared" si="4"/>
        <v>1</v>
      </c>
      <c r="F82" s="45">
        <f>SUM($C$2:C82)</f>
        <v>72</v>
      </c>
      <c r="G82" s="49" cm="1">
        <f t="array" aca="1" ref="G82" ca="1">IF(B82=0,"", SUMPRODUCT((Table1[SubscriptionStart]&lt;=A82)*(Table1[EffectiveEndDate]&gt;=A82)*Table1[Age]) / B82 )</f>
        <v>40.359375</v>
      </c>
      <c r="H82" s="22">
        <f>SUMIF(Table1[SubscriptionStart],"&lt;="&amp;A82,Table1[TotalRevenue])</f>
        <v>15465.550000000001</v>
      </c>
      <c r="I82" s="50">
        <f t="shared" si="5"/>
        <v>44651</v>
      </c>
      <c r="J82" s="49">
        <f t="shared" ca="1" si="6"/>
        <v>60.258064516129032</v>
      </c>
      <c r="K82" s="45" cm="1">
        <f t="array" aca="1" ref="K82" ca="1">SUMPRODUCT((Table1[SubscriptionStart] &lt;= $A82) * (Table1[EffectiveEndDate] &gt;= $A82) * (Table1[Region] = "England"))</f>
        <v>16</v>
      </c>
      <c r="L82" s="45" cm="1">
        <f t="array" aca="1" ref="L82" ca="1">SUMPRODUCT((Table1[SubscriptionStart] &lt;= $A82) * (Table1[EffectiveEndDate] &gt;= $A82) * (Table1[Region] = "Scotland"))</f>
        <v>14</v>
      </c>
      <c r="M82" s="45" cm="1">
        <f t="array" aca="1" ref="M82" ca="1">SUMPRODUCT((Table1[SubscriptionStart] &lt;= $A82) * (Table1[EffectiveEndDate] &gt;= $A82) * (Table1[Region] = "Wales"))</f>
        <v>14</v>
      </c>
      <c r="N82" s="45" cm="1">
        <f t="array" aca="1" ref="N82" ca="1">SUMPRODUCT((Table1[SubscriptionStart] &lt;= $A82) * (Table1[EffectiveEndDate] &gt;= $A82) * (Table1[Region] = "Northern Ireland"))</f>
        <v>20</v>
      </c>
      <c r="O82" s="45" cm="1">
        <f t="array" aca="1" ref="O82" ca="1">SUMPRODUCT((Table1[Gender]="Male")*(Table1[SubscriptionStart]&lt;=A82)*(Table1[EffectiveEndDate]&gt;=A82))</f>
        <v>33</v>
      </c>
      <c r="P82" s="45" cm="1">
        <f t="array" aca="1" ref="P82" ca="1">SUMPRODUCT((Table1[Gender]="Female")*(Table1[SubscriptionStart]&lt;=A82)*(Table1[EffectiveEndDate]&gt;=A82))</f>
        <v>31</v>
      </c>
    </row>
    <row r="83" spans="1:16">
      <c r="A83" s="48">
        <f t="shared" si="7"/>
        <v>44643</v>
      </c>
      <c r="B83" s="45" cm="1">
        <f t="array" aca="1" ref="B83" ca="1">SUMPRODUCT((Table1[SubscriptionStart]&lt;=A83)*(Table1[EffectiveEndDate]&gt;=A83))</f>
        <v>64</v>
      </c>
      <c r="C83" s="45">
        <f>COUNTIFS(Table1[SubscriptionStart], A83)</f>
        <v>0</v>
      </c>
      <c r="D83" s="45">
        <f>COUNTIFS(Table1[CancellationDate], A83)</f>
        <v>0</v>
      </c>
      <c r="E83" s="45">
        <f t="shared" si="4"/>
        <v>0</v>
      </c>
      <c r="F83" s="45">
        <f>SUM($C$2:C83)</f>
        <v>72</v>
      </c>
      <c r="G83" s="49" cm="1">
        <f t="array" aca="1" ref="G83" ca="1">IF(B83=0,"", SUMPRODUCT((Table1[SubscriptionStart]&lt;=A83)*(Table1[EffectiveEndDate]&gt;=A83)*Table1[Age]) / B83 )</f>
        <v>40.359375</v>
      </c>
      <c r="H83" s="22">
        <f>SUMIF(Table1[SubscriptionStart],"&lt;="&amp;A83,Table1[TotalRevenue])</f>
        <v>15465.550000000001</v>
      </c>
      <c r="I83" s="50">
        <f t="shared" si="5"/>
        <v>44651</v>
      </c>
      <c r="J83" s="49">
        <f t="shared" ca="1" si="6"/>
        <v>60.258064516129032</v>
      </c>
      <c r="K83" s="45" cm="1">
        <f t="array" aca="1" ref="K83" ca="1">SUMPRODUCT((Table1[SubscriptionStart] &lt;= $A83) * (Table1[EffectiveEndDate] &gt;= $A83) * (Table1[Region] = "England"))</f>
        <v>16</v>
      </c>
      <c r="L83" s="45" cm="1">
        <f t="array" aca="1" ref="L83" ca="1">SUMPRODUCT((Table1[SubscriptionStart] &lt;= $A83) * (Table1[EffectiveEndDate] &gt;= $A83) * (Table1[Region] = "Scotland"))</f>
        <v>14</v>
      </c>
      <c r="M83" s="45" cm="1">
        <f t="array" aca="1" ref="M83" ca="1">SUMPRODUCT((Table1[SubscriptionStart] &lt;= $A83) * (Table1[EffectiveEndDate] &gt;= $A83) * (Table1[Region] = "Wales"))</f>
        <v>14</v>
      </c>
      <c r="N83" s="45" cm="1">
        <f t="array" aca="1" ref="N83" ca="1">SUMPRODUCT((Table1[SubscriptionStart] &lt;= $A83) * (Table1[EffectiveEndDate] &gt;= $A83) * (Table1[Region] = "Northern Ireland"))</f>
        <v>20</v>
      </c>
      <c r="O83" s="45" cm="1">
        <f t="array" aca="1" ref="O83" ca="1">SUMPRODUCT((Table1[Gender]="Male")*(Table1[SubscriptionStart]&lt;=A83)*(Table1[EffectiveEndDate]&gt;=A83))</f>
        <v>33</v>
      </c>
      <c r="P83" s="45" cm="1">
        <f t="array" aca="1" ref="P83" ca="1">SUMPRODUCT((Table1[Gender]="Female")*(Table1[SubscriptionStart]&lt;=A83)*(Table1[EffectiveEndDate]&gt;=A83))</f>
        <v>31</v>
      </c>
    </row>
    <row r="84" spans="1:16">
      <c r="A84" s="48">
        <f t="shared" si="7"/>
        <v>44644</v>
      </c>
      <c r="B84" s="45" cm="1">
        <f t="array" aca="1" ref="B84" ca="1">SUMPRODUCT((Table1[SubscriptionStart]&lt;=A84)*(Table1[EffectiveEndDate]&gt;=A84))</f>
        <v>65</v>
      </c>
      <c r="C84" s="45">
        <f>COUNTIFS(Table1[SubscriptionStart], A84)</f>
        <v>1</v>
      </c>
      <c r="D84" s="45">
        <f>COUNTIFS(Table1[CancellationDate], A84)</f>
        <v>0</v>
      </c>
      <c r="E84" s="45">
        <f t="shared" si="4"/>
        <v>1</v>
      </c>
      <c r="F84" s="45">
        <f>SUM($C$2:C84)</f>
        <v>73</v>
      </c>
      <c r="G84" s="49" cm="1">
        <f t="array" aca="1" ref="G84" ca="1">IF(B84=0,"", SUMPRODUCT((Table1[SubscriptionStart]&lt;=A84)*(Table1[EffectiveEndDate]&gt;=A84)*Table1[Age]) / B84 )</f>
        <v>40.615384615384613</v>
      </c>
      <c r="H84" s="22">
        <f>SUMIF(Table1[SubscriptionStart],"&lt;="&amp;A84,Table1[TotalRevenue])</f>
        <v>15645.550000000001</v>
      </c>
      <c r="I84" s="50">
        <f t="shared" si="5"/>
        <v>44651</v>
      </c>
      <c r="J84" s="49">
        <f t="shared" ca="1" si="6"/>
        <v>60.258064516129032</v>
      </c>
      <c r="K84" s="45" cm="1">
        <f t="array" aca="1" ref="K84" ca="1">SUMPRODUCT((Table1[SubscriptionStart] &lt;= $A84) * (Table1[EffectiveEndDate] &gt;= $A84) * (Table1[Region] = "England"))</f>
        <v>16</v>
      </c>
      <c r="L84" s="45" cm="1">
        <f t="array" aca="1" ref="L84" ca="1">SUMPRODUCT((Table1[SubscriptionStart] &lt;= $A84) * (Table1[EffectiveEndDate] &gt;= $A84) * (Table1[Region] = "Scotland"))</f>
        <v>14</v>
      </c>
      <c r="M84" s="45" cm="1">
        <f t="array" aca="1" ref="M84" ca="1">SUMPRODUCT((Table1[SubscriptionStart] &lt;= $A84) * (Table1[EffectiveEndDate] &gt;= $A84) * (Table1[Region] = "Wales"))</f>
        <v>14</v>
      </c>
      <c r="N84" s="45" cm="1">
        <f t="array" aca="1" ref="N84" ca="1">SUMPRODUCT((Table1[SubscriptionStart] &lt;= $A84) * (Table1[EffectiveEndDate] &gt;= $A84) * (Table1[Region] = "Northern Ireland"))</f>
        <v>21</v>
      </c>
      <c r="O84" s="45" cm="1">
        <f t="array" aca="1" ref="O84" ca="1">SUMPRODUCT((Table1[Gender]="Male")*(Table1[SubscriptionStart]&lt;=A84)*(Table1[EffectiveEndDate]&gt;=A84))</f>
        <v>34</v>
      </c>
      <c r="P84" s="45" cm="1">
        <f t="array" aca="1" ref="P84" ca="1">SUMPRODUCT((Table1[Gender]="Female")*(Table1[SubscriptionStart]&lt;=A84)*(Table1[EffectiveEndDate]&gt;=A84))</f>
        <v>31</v>
      </c>
    </row>
    <row r="85" spans="1:16">
      <c r="A85" s="48">
        <f t="shared" si="7"/>
        <v>44645</v>
      </c>
      <c r="B85" s="45" cm="1">
        <f t="array" aca="1" ref="B85" ca="1">SUMPRODUCT((Table1[SubscriptionStart]&lt;=A85)*(Table1[EffectiveEndDate]&gt;=A85))</f>
        <v>67</v>
      </c>
      <c r="C85" s="45">
        <f>COUNTIFS(Table1[SubscriptionStart], A85)</f>
        <v>2</v>
      </c>
      <c r="D85" s="45">
        <f>COUNTIFS(Table1[CancellationDate], A85)</f>
        <v>0</v>
      </c>
      <c r="E85" s="45">
        <f t="shared" si="4"/>
        <v>2</v>
      </c>
      <c r="F85" s="45">
        <f>SUM($C$2:C85)</f>
        <v>75</v>
      </c>
      <c r="G85" s="49" cm="1">
        <f t="array" aca="1" ref="G85" ca="1">IF(B85=0,"", SUMPRODUCT((Table1[SubscriptionStart]&lt;=A85)*(Table1[EffectiveEndDate]&gt;=A85)*Table1[Age]) / B85 )</f>
        <v>41.059701492537314</v>
      </c>
      <c r="H85" s="22">
        <f>SUMIF(Table1[SubscriptionStart],"&lt;="&amp;A85,Table1[TotalRevenue])</f>
        <v>16247.650000000001</v>
      </c>
      <c r="I85" s="50">
        <f t="shared" si="5"/>
        <v>44651</v>
      </c>
      <c r="J85" s="49">
        <f t="shared" ca="1" si="6"/>
        <v>60.258064516129032</v>
      </c>
      <c r="K85" s="45" cm="1">
        <f t="array" aca="1" ref="K85" ca="1">SUMPRODUCT((Table1[SubscriptionStart] &lt;= $A85) * (Table1[EffectiveEndDate] &gt;= $A85) * (Table1[Region] = "England"))</f>
        <v>16</v>
      </c>
      <c r="L85" s="45" cm="1">
        <f t="array" aca="1" ref="L85" ca="1">SUMPRODUCT((Table1[SubscriptionStart] &lt;= $A85) * (Table1[EffectiveEndDate] &gt;= $A85) * (Table1[Region] = "Scotland"))</f>
        <v>15</v>
      </c>
      <c r="M85" s="45" cm="1">
        <f t="array" aca="1" ref="M85" ca="1">SUMPRODUCT((Table1[SubscriptionStart] &lt;= $A85) * (Table1[EffectiveEndDate] &gt;= $A85) * (Table1[Region] = "Wales"))</f>
        <v>14</v>
      </c>
      <c r="N85" s="45" cm="1">
        <f t="array" aca="1" ref="N85" ca="1">SUMPRODUCT((Table1[SubscriptionStart] &lt;= $A85) * (Table1[EffectiveEndDate] &gt;= $A85) * (Table1[Region] = "Northern Ireland"))</f>
        <v>22</v>
      </c>
      <c r="O85" s="45" cm="1">
        <f t="array" aca="1" ref="O85" ca="1">SUMPRODUCT((Table1[Gender]="Male")*(Table1[SubscriptionStart]&lt;=A85)*(Table1[EffectiveEndDate]&gt;=A85))</f>
        <v>34</v>
      </c>
      <c r="P85" s="45" cm="1">
        <f t="array" aca="1" ref="P85" ca="1">SUMPRODUCT((Table1[Gender]="Female")*(Table1[SubscriptionStart]&lt;=A85)*(Table1[EffectiveEndDate]&gt;=A85))</f>
        <v>33</v>
      </c>
    </row>
    <row r="86" spans="1:16">
      <c r="A86" s="48">
        <f t="shared" si="7"/>
        <v>44646</v>
      </c>
      <c r="B86" s="45" cm="1">
        <f t="array" aca="1" ref="B86" ca="1">SUMPRODUCT((Table1[SubscriptionStart]&lt;=A86)*(Table1[EffectiveEndDate]&gt;=A86))</f>
        <v>69</v>
      </c>
      <c r="C86" s="45">
        <f>COUNTIFS(Table1[SubscriptionStart], A86)</f>
        <v>2</v>
      </c>
      <c r="D86" s="45">
        <f>COUNTIFS(Table1[CancellationDate], A86)</f>
        <v>0</v>
      </c>
      <c r="E86" s="45">
        <f t="shared" si="4"/>
        <v>2</v>
      </c>
      <c r="F86" s="45">
        <f>SUM($C$2:C86)</f>
        <v>77</v>
      </c>
      <c r="G86" s="49" cm="1">
        <f t="array" aca="1" ref="G86" ca="1">IF(B86=0,"", SUMPRODUCT((Table1[SubscriptionStart]&lt;=A86)*(Table1[EffectiveEndDate]&gt;=A86)*Table1[Age]) / B86 )</f>
        <v>41.391304347826086</v>
      </c>
      <c r="H86" s="22">
        <f>SUMIF(Table1[SubscriptionStart],"&lt;="&amp;A86,Table1[TotalRevenue])</f>
        <v>16499.650000000001</v>
      </c>
      <c r="I86" s="50">
        <f t="shared" si="5"/>
        <v>44651</v>
      </c>
      <c r="J86" s="49">
        <f t="shared" ca="1" si="6"/>
        <v>60.258064516129032</v>
      </c>
      <c r="K86" s="45" cm="1">
        <f t="array" aca="1" ref="K86" ca="1">SUMPRODUCT((Table1[SubscriptionStart] &lt;= $A86) * (Table1[EffectiveEndDate] &gt;= $A86) * (Table1[Region] = "England"))</f>
        <v>16</v>
      </c>
      <c r="L86" s="45" cm="1">
        <f t="array" aca="1" ref="L86" ca="1">SUMPRODUCT((Table1[SubscriptionStart] &lt;= $A86) * (Table1[EffectiveEndDate] &gt;= $A86) * (Table1[Region] = "Scotland"))</f>
        <v>15</v>
      </c>
      <c r="M86" s="45" cm="1">
        <f t="array" aca="1" ref="M86" ca="1">SUMPRODUCT((Table1[SubscriptionStart] &lt;= $A86) * (Table1[EffectiveEndDate] &gt;= $A86) * (Table1[Region] = "Wales"))</f>
        <v>14</v>
      </c>
      <c r="N86" s="45" cm="1">
        <f t="array" aca="1" ref="N86" ca="1">SUMPRODUCT((Table1[SubscriptionStart] &lt;= $A86) * (Table1[EffectiveEndDate] &gt;= $A86) * (Table1[Region] = "Northern Ireland"))</f>
        <v>24</v>
      </c>
      <c r="O86" s="45" cm="1">
        <f t="array" aca="1" ref="O86" ca="1">SUMPRODUCT((Table1[Gender]="Male")*(Table1[SubscriptionStart]&lt;=A86)*(Table1[EffectiveEndDate]&gt;=A86))</f>
        <v>35</v>
      </c>
      <c r="P86" s="45" cm="1">
        <f t="array" aca="1" ref="P86" ca="1">SUMPRODUCT((Table1[Gender]="Female")*(Table1[SubscriptionStart]&lt;=A86)*(Table1[EffectiveEndDate]&gt;=A86))</f>
        <v>34</v>
      </c>
    </row>
    <row r="87" spans="1:16">
      <c r="A87" s="48">
        <f t="shared" si="7"/>
        <v>44647</v>
      </c>
      <c r="B87" s="45" cm="1">
        <f t="array" aca="1" ref="B87" ca="1">SUMPRODUCT((Table1[SubscriptionStart]&lt;=A87)*(Table1[EffectiveEndDate]&gt;=A87))</f>
        <v>70</v>
      </c>
      <c r="C87" s="45">
        <f>COUNTIFS(Table1[SubscriptionStart], A87)</f>
        <v>1</v>
      </c>
      <c r="D87" s="45">
        <f>COUNTIFS(Table1[CancellationDate], A87)</f>
        <v>0</v>
      </c>
      <c r="E87" s="45">
        <f t="shared" si="4"/>
        <v>1</v>
      </c>
      <c r="F87" s="45">
        <f>SUM($C$2:C87)</f>
        <v>78</v>
      </c>
      <c r="G87" s="49" cm="1">
        <f t="array" aca="1" ref="G87" ca="1">IF(B87=0,"", SUMPRODUCT((Table1[SubscriptionStart]&lt;=A87)*(Table1[EffectiveEndDate]&gt;=A87)*Table1[Age]) / B87 )</f>
        <v>41.542857142857144</v>
      </c>
      <c r="H87" s="22">
        <f>SUMIF(Table1[SubscriptionStart],"&lt;="&amp;A87,Table1[TotalRevenue])</f>
        <v>17572.150000000001</v>
      </c>
      <c r="I87" s="50">
        <f t="shared" si="5"/>
        <v>44651</v>
      </c>
      <c r="J87" s="49">
        <f t="shared" ca="1" si="6"/>
        <v>60.258064516129032</v>
      </c>
      <c r="K87" s="45" cm="1">
        <f t="array" aca="1" ref="K87" ca="1">SUMPRODUCT((Table1[SubscriptionStart] &lt;= $A87) * (Table1[EffectiveEndDate] &gt;= $A87) * (Table1[Region] = "England"))</f>
        <v>16</v>
      </c>
      <c r="L87" s="45" cm="1">
        <f t="array" aca="1" ref="L87" ca="1">SUMPRODUCT((Table1[SubscriptionStart] &lt;= $A87) * (Table1[EffectiveEndDate] &gt;= $A87) * (Table1[Region] = "Scotland"))</f>
        <v>15</v>
      </c>
      <c r="M87" s="45" cm="1">
        <f t="array" aca="1" ref="M87" ca="1">SUMPRODUCT((Table1[SubscriptionStart] &lt;= $A87) * (Table1[EffectiveEndDate] &gt;= $A87) * (Table1[Region] = "Wales"))</f>
        <v>14</v>
      </c>
      <c r="N87" s="45" cm="1">
        <f t="array" aca="1" ref="N87" ca="1">SUMPRODUCT((Table1[SubscriptionStart] &lt;= $A87) * (Table1[EffectiveEndDate] &gt;= $A87) * (Table1[Region] = "Northern Ireland"))</f>
        <v>25</v>
      </c>
      <c r="O87" s="45" cm="1">
        <f t="array" aca="1" ref="O87" ca="1">SUMPRODUCT((Table1[Gender]="Male")*(Table1[SubscriptionStart]&lt;=A87)*(Table1[EffectiveEndDate]&gt;=A87))</f>
        <v>35</v>
      </c>
      <c r="P87" s="45" cm="1">
        <f t="array" aca="1" ref="P87" ca="1">SUMPRODUCT((Table1[Gender]="Female")*(Table1[SubscriptionStart]&lt;=A87)*(Table1[EffectiveEndDate]&gt;=A87))</f>
        <v>35</v>
      </c>
    </row>
    <row r="88" spans="1:16">
      <c r="A88" s="48">
        <f t="shared" si="7"/>
        <v>44648</v>
      </c>
      <c r="B88" s="45" cm="1">
        <f t="array" aca="1" ref="B88" ca="1">SUMPRODUCT((Table1[SubscriptionStart]&lt;=A88)*(Table1[EffectiveEndDate]&gt;=A88))</f>
        <v>73</v>
      </c>
      <c r="C88" s="45">
        <f>COUNTIFS(Table1[SubscriptionStart], A88)</f>
        <v>3</v>
      </c>
      <c r="D88" s="45">
        <f>COUNTIFS(Table1[CancellationDate], A88)</f>
        <v>1</v>
      </c>
      <c r="E88" s="45">
        <f t="shared" si="4"/>
        <v>2</v>
      </c>
      <c r="F88" s="45">
        <f>SUM($C$2:C88)</f>
        <v>81</v>
      </c>
      <c r="G88" s="49" cm="1">
        <f t="array" aca="1" ref="G88" ca="1">IF(B88=0,"", SUMPRODUCT((Table1[SubscriptionStart]&lt;=A88)*(Table1[EffectiveEndDate]&gt;=A88)*Table1[Age]) / B88 )</f>
        <v>41.575342465753423</v>
      </c>
      <c r="H88" s="22">
        <f>SUMIF(Table1[SubscriptionStart],"&lt;="&amp;A88,Table1[TotalRevenue])</f>
        <v>18004.150000000001</v>
      </c>
      <c r="I88" s="50">
        <f t="shared" si="5"/>
        <v>44651</v>
      </c>
      <c r="J88" s="49">
        <f t="shared" ca="1" si="6"/>
        <v>60.258064516129032</v>
      </c>
      <c r="K88" s="45" cm="1">
        <f t="array" aca="1" ref="K88" ca="1">SUMPRODUCT((Table1[SubscriptionStart] &lt;= $A88) * (Table1[EffectiveEndDate] &gt;= $A88) * (Table1[Region] = "England"))</f>
        <v>17</v>
      </c>
      <c r="L88" s="45" cm="1">
        <f t="array" aca="1" ref="L88" ca="1">SUMPRODUCT((Table1[SubscriptionStart] &lt;= $A88) * (Table1[EffectiveEndDate] &gt;= $A88) * (Table1[Region] = "Scotland"))</f>
        <v>15</v>
      </c>
      <c r="M88" s="45" cm="1">
        <f t="array" aca="1" ref="M88" ca="1">SUMPRODUCT((Table1[SubscriptionStart] &lt;= $A88) * (Table1[EffectiveEndDate] &gt;= $A88) * (Table1[Region] = "Wales"))</f>
        <v>14</v>
      </c>
      <c r="N88" s="45" cm="1">
        <f t="array" aca="1" ref="N88" ca="1">SUMPRODUCT((Table1[SubscriptionStart] &lt;= $A88) * (Table1[EffectiveEndDate] &gt;= $A88) * (Table1[Region] = "Northern Ireland"))</f>
        <v>27</v>
      </c>
      <c r="O88" s="45" cm="1">
        <f t="array" aca="1" ref="O88" ca="1">SUMPRODUCT((Table1[Gender]="Male")*(Table1[SubscriptionStart]&lt;=A88)*(Table1[EffectiveEndDate]&gt;=A88))</f>
        <v>36</v>
      </c>
      <c r="P88" s="45" cm="1">
        <f t="array" aca="1" ref="P88" ca="1">SUMPRODUCT((Table1[Gender]="Female")*(Table1[SubscriptionStart]&lt;=A88)*(Table1[EffectiveEndDate]&gt;=A88))</f>
        <v>37</v>
      </c>
    </row>
    <row r="89" spans="1:16">
      <c r="A89" s="48">
        <f t="shared" si="7"/>
        <v>44649</v>
      </c>
      <c r="B89" s="45" cm="1">
        <f t="array" aca="1" ref="B89" ca="1">SUMPRODUCT((Table1[SubscriptionStart]&lt;=A89)*(Table1[EffectiveEndDate]&gt;=A89))</f>
        <v>73</v>
      </c>
      <c r="C89" s="45">
        <f>COUNTIFS(Table1[SubscriptionStart], A89)</f>
        <v>1</v>
      </c>
      <c r="D89" s="45">
        <f>COUNTIFS(Table1[CancellationDate], A89)</f>
        <v>1</v>
      </c>
      <c r="E89" s="45">
        <f t="shared" si="4"/>
        <v>0</v>
      </c>
      <c r="F89" s="45">
        <f>SUM($C$2:C89)</f>
        <v>82</v>
      </c>
      <c r="G89" s="49" cm="1">
        <f t="array" aca="1" ref="G89" ca="1">IF(B89=0,"", SUMPRODUCT((Table1[SubscriptionStart]&lt;=A89)*(Table1[EffectiveEndDate]&gt;=A89)*Table1[Age]) / B89 )</f>
        <v>41.945205479452056</v>
      </c>
      <c r="H89" s="22">
        <f>SUMIF(Table1[SubscriptionStart],"&lt;="&amp;A89,Table1[TotalRevenue])</f>
        <v>18355.150000000001</v>
      </c>
      <c r="I89" s="50">
        <f t="shared" si="5"/>
        <v>44651</v>
      </c>
      <c r="J89" s="49">
        <f t="shared" ca="1" si="6"/>
        <v>60.258064516129032</v>
      </c>
      <c r="K89" s="45" cm="1">
        <f t="array" aca="1" ref="K89" ca="1">SUMPRODUCT((Table1[SubscriptionStart] &lt;= $A89) * (Table1[EffectiveEndDate] &gt;= $A89) * (Table1[Region] = "England"))</f>
        <v>17</v>
      </c>
      <c r="L89" s="45" cm="1">
        <f t="array" aca="1" ref="L89" ca="1">SUMPRODUCT((Table1[SubscriptionStart] &lt;= $A89) * (Table1[EffectiveEndDate] &gt;= $A89) * (Table1[Region] = "Scotland"))</f>
        <v>15</v>
      </c>
      <c r="M89" s="45" cm="1">
        <f t="array" aca="1" ref="M89" ca="1">SUMPRODUCT((Table1[SubscriptionStart] &lt;= $A89) * (Table1[EffectiveEndDate] &gt;= $A89) * (Table1[Region] = "Wales"))</f>
        <v>14</v>
      </c>
      <c r="N89" s="45" cm="1">
        <f t="array" aca="1" ref="N89" ca="1">SUMPRODUCT((Table1[SubscriptionStart] &lt;= $A89) * (Table1[EffectiveEndDate] &gt;= $A89) * (Table1[Region] = "Northern Ireland"))</f>
        <v>27</v>
      </c>
      <c r="O89" s="45" cm="1">
        <f t="array" aca="1" ref="O89" ca="1">SUMPRODUCT((Table1[Gender]="Male")*(Table1[SubscriptionStart]&lt;=A89)*(Table1[EffectiveEndDate]&gt;=A89))</f>
        <v>37</v>
      </c>
      <c r="P89" s="45" cm="1">
        <f t="array" aca="1" ref="P89" ca="1">SUMPRODUCT((Table1[Gender]="Female")*(Table1[SubscriptionStart]&lt;=A89)*(Table1[EffectiveEndDate]&gt;=A89))</f>
        <v>36</v>
      </c>
    </row>
    <row r="90" spans="1:16">
      <c r="A90" s="48">
        <f t="shared" si="7"/>
        <v>44650</v>
      </c>
      <c r="B90" s="45" cm="1">
        <f t="array" aca="1" ref="B90" ca="1">SUMPRODUCT((Table1[SubscriptionStart]&lt;=A90)*(Table1[EffectiveEndDate]&gt;=A90))</f>
        <v>72</v>
      </c>
      <c r="C90" s="45">
        <f>COUNTIFS(Table1[SubscriptionStart], A90)</f>
        <v>0</v>
      </c>
      <c r="D90" s="45">
        <f>COUNTIFS(Table1[CancellationDate], A90)</f>
        <v>0</v>
      </c>
      <c r="E90" s="45">
        <f t="shared" si="4"/>
        <v>0</v>
      </c>
      <c r="F90" s="45">
        <f>SUM($C$2:C90)</f>
        <v>82</v>
      </c>
      <c r="G90" s="49" cm="1">
        <f t="array" aca="1" ref="G90" ca="1">IF(B90=0,"", SUMPRODUCT((Table1[SubscriptionStart]&lt;=A90)*(Table1[EffectiveEndDate]&gt;=A90)*Table1[Age]) / B90 )</f>
        <v>42</v>
      </c>
      <c r="H90" s="22">
        <f>SUMIF(Table1[SubscriptionStart],"&lt;="&amp;A90,Table1[TotalRevenue])</f>
        <v>18355.150000000001</v>
      </c>
      <c r="I90" s="50">
        <f t="shared" si="5"/>
        <v>44651</v>
      </c>
      <c r="J90" s="49">
        <f t="shared" ca="1" si="6"/>
        <v>60.258064516129032</v>
      </c>
      <c r="K90" s="45" cm="1">
        <f t="array" aca="1" ref="K90" ca="1">SUMPRODUCT((Table1[SubscriptionStart] &lt;= $A90) * (Table1[EffectiveEndDate] &gt;= $A90) * (Table1[Region] = "England"))</f>
        <v>17</v>
      </c>
      <c r="L90" s="45" cm="1">
        <f t="array" aca="1" ref="L90" ca="1">SUMPRODUCT((Table1[SubscriptionStart] &lt;= $A90) * (Table1[EffectiveEndDate] &gt;= $A90) * (Table1[Region] = "Scotland"))</f>
        <v>15</v>
      </c>
      <c r="M90" s="45" cm="1">
        <f t="array" aca="1" ref="M90" ca="1">SUMPRODUCT((Table1[SubscriptionStart] &lt;= $A90) * (Table1[EffectiveEndDate] &gt;= $A90) * (Table1[Region] = "Wales"))</f>
        <v>14</v>
      </c>
      <c r="N90" s="45" cm="1">
        <f t="array" aca="1" ref="N90" ca="1">SUMPRODUCT((Table1[SubscriptionStart] &lt;= $A90) * (Table1[EffectiveEndDate] &gt;= $A90) * (Table1[Region] = "Northern Ireland"))</f>
        <v>26</v>
      </c>
      <c r="O90" s="45" cm="1">
        <f t="array" aca="1" ref="O90" ca="1">SUMPRODUCT((Table1[Gender]="Male")*(Table1[SubscriptionStart]&lt;=A90)*(Table1[EffectiveEndDate]&gt;=A90))</f>
        <v>36</v>
      </c>
      <c r="P90" s="45" cm="1">
        <f t="array" aca="1" ref="P90" ca="1">SUMPRODUCT((Table1[Gender]="Female")*(Table1[SubscriptionStart]&lt;=A90)*(Table1[EffectiveEndDate]&gt;=A90))</f>
        <v>36</v>
      </c>
    </row>
    <row r="91" spans="1:16">
      <c r="A91" s="48">
        <f t="shared" si="7"/>
        <v>44651</v>
      </c>
      <c r="B91" s="45" cm="1">
        <f t="array" aca="1" ref="B91" ca="1">SUMPRODUCT((Table1[SubscriptionStart]&lt;=A91)*(Table1[EffectiveEndDate]&gt;=A91))</f>
        <v>73</v>
      </c>
      <c r="C91" s="45">
        <f>COUNTIFS(Table1[SubscriptionStart], A91)</f>
        <v>1</v>
      </c>
      <c r="D91" s="45">
        <f>COUNTIFS(Table1[CancellationDate], A91)</f>
        <v>0</v>
      </c>
      <c r="E91" s="45">
        <f t="shared" si="4"/>
        <v>1</v>
      </c>
      <c r="F91" s="45">
        <f>SUM($C$2:C91)</f>
        <v>83</v>
      </c>
      <c r="G91" s="49" cm="1">
        <f t="array" aca="1" ref="G91" ca="1">IF(B91=0,"", SUMPRODUCT((Table1[SubscriptionStart]&lt;=A91)*(Table1[EffectiveEndDate]&gt;=A91)*Table1[Age]) / B91 )</f>
        <v>41.863013698630134</v>
      </c>
      <c r="H91" s="22">
        <f>SUMIF(Table1[SubscriptionStart],"&lt;="&amp;A91,Table1[TotalRevenue])</f>
        <v>18456.400000000001</v>
      </c>
      <c r="I91" s="50">
        <f t="shared" si="5"/>
        <v>44651</v>
      </c>
      <c r="J91" s="49">
        <f t="shared" ca="1" si="6"/>
        <v>60.258064516129032</v>
      </c>
      <c r="K91" s="45" cm="1">
        <f t="array" aca="1" ref="K91" ca="1">SUMPRODUCT((Table1[SubscriptionStart] &lt;= $A91) * (Table1[EffectiveEndDate] &gt;= $A91) * (Table1[Region] = "England"))</f>
        <v>17</v>
      </c>
      <c r="L91" s="45" cm="1">
        <f t="array" aca="1" ref="L91" ca="1">SUMPRODUCT((Table1[SubscriptionStart] &lt;= $A91) * (Table1[EffectiveEndDate] &gt;= $A91) * (Table1[Region] = "Scotland"))</f>
        <v>16</v>
      </c>
      <c r="M91" s="45" cm="1">
        <f t="array" aca="1" ref="M91" ca="1">SUMPRODUCT((Table1[SubscriptionStart] &lt;= $A91) * (Table1[EffectiveEndDate] &gt;= $A91) * (Table1[Region] = "Wales"))</f>
        <v>14</v>
      </c>
      <c r="N91" s="45" cm="1">
        <f t="array" aca="1" ref="N91" ca="1">SUMPRODUCT((Table1[SubscriptionStart] &lt;= $A91) * (Table1[EffectiveEndDate] &gt;= $A91) * (Table1[Region] = "Northern Ireland"))</f>
        <v>26</v>
      </c>
      <c r="O91" s="45" cm="1">
        <f t="array" aca="1" ref="O91" ca="1">SUMPRODUCT((Table1[Gender]="Male")*(Table1[SubscriptionStart]&lt;=A91)*(Table1[EffectiveEndDate]&gt;=A91))</f>
        <v>36</v>
      </c>
      <c r="P91" s="45" cm="1">
        <f t="array" aca="1" ref="P91" ca="1">SUMPRODUCT((Table1[Gender]="Female")*(Table1[SubscriptionStart]&lt;=A91)*(Table1[EffectiveEndDate]&gt;=A91))</f>
        <v>37</v>
      </c>
    </row>
    <row r="92" spans="1:16">
      <c r="A92" s="48">
        <f t="shared" si="7"/>
        <v>44652</v>
      </c>
      <c r="B92" s="45" cm="1">
        <f t="array" aca="1" ref="B92" ca="1">SUMPRODUCT((Table1[SubscriptionStart]&lt;=A92)*(Table1[EffectiveEndDate]&gt;=A92))</f>
        <v>75</v>
      </c>
      <c r="C92" s="45">
        <f>COUNTIFS(Table1[SubscriptionStart], A92)</f>
        <v>2</v>
      </c>
      <c r="D92" s="45">
        <f>COUNTIFS(Table1[CancellationDate], A92)</f>
        <v>0</v>
      </c>
      <c r="E92" s="45">
        <f t="shared" si="4"/>
        <v>2</v>
      </c>
      <c r="F92" s="45">
        <f>SUM($C$2:C92)</f>
        <v>85</v>
      </c>
      <c r="G92" s="49" cm="1">
        <f t="array" aca="1" ref="G92" ca="1">IF(B92=0,"", SUMPRODUCT((Table1[SubscriptionStart]&lt;=A92)*(Table1[EffectiveEndDate]&gt;=A92)*Table1[Age]) / B92 )</f>
        <v>42.106666666666669</v>
      </c>
      <c r="H92" s="22">
        <f>SUMIF(Table1[SubscriptionStart],"&lt;="&amp;A92,Table1[TotalRevenue])</f>
        <v>18766</v>
      </c>
      <c r="I92" s="50">
        <f t="shared" si="5"/>
        <v>44681</v>
      </c>
      <c r="J92" s="49">
        <f t="shared" ca="1" si="6"/>
        <v>85.4</v>
      </c>
      <c r="K92" s="45" cm="1">
        <f t="array" aca="1" ref="K92" ca="1">SUMPRODUCT((Table1[SubscriptionStart] &lt;= $A92) * (Table1[EffectiveEndDate] &gt;= $A92) * (Table1[Region] = "England"))</f>
        <v>17</v>
      </c>
      <c r="L92" s="45" cm="1">
        <f t="array" aca="1" ref="L92" ca="1">SUMPRODUCT((Table1[SubscriptionStart] &lt;= $A92) * (Table1[EffectiveEndDate] &gt;= $A92) * (Table1[Region] = "Scotland"))</f>
        <v>16</v>
      </c>
      <c r="M92" s="45" cm="1">
        <f t="array" aca="1" ref="M92" ca="1">SUMPRODUCT((Table1[SubscriptionStart] &lt;= $A92) * (Table1[EffectiveEndDate] &gt;= $A92) * (Table1[Region] = "Wales"))</f>
        <v>15</v>
      </c>
      <c r="N92" s="45" cm="1">
        <f t="array" aca="1" ref="N92" ca="1">SUMPRODUCT((Table1[SubscriptionStart] &lt;= $A92) * (Table1[EffectiveEndDate] &gt;= $A92) * (Table1[Region] = "Northern Ireland"))</f>
        <v>27</v>
      </c>
      <c r="O92" s="45" cm="1">
        <f t="array" aca="1" ref="O92" ca="1">SUMPRODUCT((Table1[Gender]="Male")*(Table1[SubscriptionStart]&lt;=A92)*(Table1[EffectiveEndDate]&gt;=A92))</f>
        <v>37</v>
      </c>
      <c r="P92" s="45" cm="1">
        <f t="array" aca="1" ref="P92" ca="1">SUMPRODUCT((Table1[Gender]="Female")*(Table1[SubscriptionStart]&lt;=A92)*(Table1[EffectiveEndDate]&gt;=A92))</f>
        <v>38</v>
      </c>
    </row>
    <row r="93" spans="1:16">
      <c r="A93" s="48">
        <f t="shared" si="7"/>
        <v>44653</v>
      </c>
      <c r="B93" s="45" cm="1">
        <f t="array" aca="1" ref="B93" ca="1">SUMPRODUCT((Table1[SubscriptionStart]&lt;=A93)*(Table1[EffectiveEndDate]&gt;=A93))</f>
        <v>76</v>
      </c>
      <c r="C93" s="45">
        <f>COUNTIFS(Table1[SubscriptionStart], A93)</f>
        <v>1</v>
      </c>
      <c r="D93" s="45">
        <f>COUNTIFS(Table1[CancellationDate], A93)</f>
        <v>0</v>
      </c>
      <c r="E93" s="45">
        <f t="shared" si="4"/>
        <v>1</v>
      </c>
      <c r="F93" s="45">
        <f>SUM($C$2:C93)</f>
        <v>86</v>
      </c>
      <c r="G93" s="49" cm="1">
        <f t="array" aca="1" ref="G93" ca="1">IF(B93=0,"", SUMPRODUCT((Table1[SubscriptionStart]&lt;=A93)*(Table1[EffectiveEndDate]&gt;=A93)*Table1[Age]) / B93 )</f>
        <v>42.013157894736842</v>
      </c>
      <c r="H93" s="22">
        <f>SUMIF(Table1[SubscriptionStart],"&lt;="&amp;A93,Table1[TotalRevenue])</f>
        <v>18946</v>
      </c>
      <c r="I93" s="50">
        <f t="shared" si="5"/>
        <v>44681</v>
      </c>
      <c r="J93" s="49">
        <f t="shared" ca="1" si="6"/>
        <v>85.4</v>
      </c>
      <c r="K93" s="45" cm="1">
        <f t="array" aca="1" ref="K93" ca="1">SUMPRODUCT((Table1[SubscriptionStart] &lt;= $A93) * (Table1[EffectiveEndDate] &gt;= $A93) * (Table1[Region] = "England"))</f>
        <v>17</v>
      </c>
      <c r="L93" s="45" cm="1">
        <f t="array" aca="1" ref="L93" ca="1">SUMPRODUCT((Table1[SubscriptionStart] &lt;= $A93) * (Table1[EffectiveEndDate] &gt;= $A93) * (Table1[Region] = "Scotland"))</f>
        <v>16</v>
      </c>
      <c r="M93" s="45" cm="1">
        <f t="array" aca="1" ref="M93" ca="1">SUMPRODUCT((Table1[SubscriptionStart] &lt;= $A93) * (Table1[EffectiveEndDate] &gt;= $A93) * (Table1[Region] = "Wales"))</f>
        <v>16</v>
      </c>
      <c r="N93" s="45" cm="1">
        <f t="array" aca="1" ref="N93" ca="1">SUMPRODUCT((Table1[SubscriptionStart] &lt;= $A93) * (Table1[EffectiveEndDate] &gt;= $A93) * (Table1[Region] = "Northern Ireland"))</f>
        <v>27</v>
      </c>
      <c r="O93" s="45" cm="1">
        <f t="array" aca="1" ref="O93" ca="1">SUMPRODUCT((Table1[Gender]="Male")*(Table1[SubscriptionStart]&lt;=A93)*(Table1[EffectiveEndDate]&gt;=A93))</f>
        <v>37</v>
      </c>
      <c r="P93" s="45" cm="1">
        <f t="array" aca="1" ref="P93" ca="1">SUMPRODUCT((Table1[Gender]="Female")*(Table1[SubscriptionStart]&lt;=A93)*(Table1[EffectiveEndDate]&gt;=A93))</f>
        <v>39</v>
      </c>
    </row>
    <row r="94" spans="1:16">
      <c r="A94" s="48">
        <f t="shared" si="7"/>
        <v>44654</v>
      </c>
      <c r="B94" s="45" cm="1">
        <f t="array" aca="1" ref="B94" ca="1">SUMPRODUCT((Table1[SubscriptionStart]&lt;=A94)*(Table1[EffectiveEndDate]&gt;=A94))</f>
        <v>76</v>
      </c>
      <c r="C94" s="45">
        <f>COUNTIFS(Table1[SubscriptionStart], A94)</f>
        <v>0</v>
      </c>
      <c r="D94" s="45">
        <f>COUNTIFS(Table1[CancellationDate], A94)</f>
        <v>0</v>
      </c>
      <c r="E94" s="45">
        <f t="shared" si="4"/>
        <v>0</v>
      </c>
      <c r="F94" s="45">
        <f>SUM($C$2:C94)</f>
        <v>86</v>
      </c>
      <c r="G94" s="49" cm="1">
        <f t="array" aca="1" ref="G94" ca="1">IF(B94=0,"", SUMPRODUCT((Table1[SubscriptionStart]&lt;=A94)*(Table1[EffectiveEndDate]&gt;=A94)*Table1[Age]) / B94 )</f>
        <v>42.013157894736842</v>
      </c>
      <c r="H94" s="22">
        <f>SUMIF(Table1[SubscriptionStart],"&lt;="&amp;A94,Table1[TotalRevenue])</f>
        <v>18946</v>
      </c>
      <c r="I94" s="50">
        <f t="shared" si="5"/>
        <v>44681</v>
      </c>
      <c r="J94" s="49">
        <f t="shared" ca="1" si="6"/>
        <v>85.4</v>
      </c>
      <c r="K94" s="45" cm="1">
        <f t="array" aca="1" ref="K94" ca="1">SUMPRODUCT((Table1[SubscriptionStart] &lt;= $A94) * (Table1[EffectiveEndDate] &gt;= $A94) * (Table1[Region] = "England"))</f>
        <v>17</v>
      </c>
      <c r="L94" s="45" cm="1">
        <f t="array" aca="1" ref="L94" ca="1">SUMPRODUCT((Table1[SubscriptionStart] &lt;= $A94) * (Table1[EffectiveEndDate] &gt;= $A94) * (Table1[Region] = "Scotland"))</f>
        <v>16</v>
      </c>
      <c r="M94" s="45" cm="1">
        <f t="array" aca="1" ref="M94" ca="1">SUMPRODUCT((Table1[SubscriptionStart] &lt;= $A94) * (Table1[EffectiveEndDate] &gt;= $A94) * (Table1[Region] = "Wales"))</f>
        <v>16</v>
      </c>
      <c r="N94" s="45" cm="1">
        <f t="array" aca="1" ref="N94" ca="1">SUMPRODUCT((Table1[SubscriptionStart] &lt;= $A94) * (Table1[EffectiveEndDate] &gt;= $A94) * (Table1[Region] = "Northern Ireland"))</f>
        <v>27</v>
      </c>
      <c r="O94" s="45" cm="1">
        <f t="array" aca="1" ref="O94" ca="1">SUMPRODUCT((Table1[Gender]="Male")*(Table1[SubscriptionStart]&lt;=A94)*(Table1[EffectiveEndDate]&gt;=A94))</f>
        <v>37</v>
      </c>
      <c r="P94" s="45" cm="1">
        <f t="array" aca="1" ref="P94" ca="1">SUMPRODUCT((Table1[Gender]="Female")*(Table1[SubscriptionStart]&lt;=A94)*(Table1[EffectiveEndDate]&gt;=A94))</f>
        <v>39</v>
      </c>
    </row>
    <row r="95" spans="1:16">
      <c r="A95" s="48">
        <f t="shared" si="7"/>
        <v>44655</v>
      </c>
      <c r="B95" s="45" cm="1">
        <f t="array" aca="1" ref="B95" ca="1">SUMPRODUCT((Table1[SubscriptionStart]&lt;=A95)*(Table1[EffectiveEndDate]&gt;=A95))</f>
        <v>77</v>
      </c>
      <c r="C95" s="45">
        <f>COUNTIFS(Table1[SubscriptionStart], A95)</f>
        <v>1</v>
      </c>
      <c r="D95" s="45">
        <f>COUNTIFS(Table1[CancellationDate], A95)</f>
        <v>0</v>
      </c>
      <c r="E95" s="45">
        <f t="shared" si="4"/>
        <v>1</v>
      </c>
      <c r="F95" s="45">
        <f>SUM($C$2:C95)</f>
        <v>87</v>
      </c>
      <c r="G95" s="49" cm="1">
        <f t="array" aca="1" ref="G95" ca="1">IF(B95=0,"", SUMPRODUCT((Table1[SubscriptionStart]&lt;=A95)*(Table1[EffectiveEndDate]&gt;=A95)*Table1[Age]) / B95 )</f>
        <v>41.831168831168831</v>
      </c>
      <c r="H95" s="22">
        <f>SUMIF(Table1[SubscriptionStart],"&lt;="&amp;A95,Table1[TotalRevenue])</f>
        <v>19018.900000000001</v>
      </c>
      <c r="I95" s="50">
        <f t="shared" si="5"/>
        <v>44681</v>
      </c>
      <c r="J95" s="49">
        <f t="shared" ca="1" si="6"/>
        <v>85.4</v>
      </c>
      <c r="K95" s="45" cm="1">
        <f t="array" aca="1" ref="K95" ca="1">SUMPRODUCT((Table1[SubscriptionStart] &lt;= $A95) * (Table1[EffectiveEndDate] &gt;= $A95) * (Table1[Region] = "England"))</f>
        <v>17</v>
      </c>
      <c r="L95" s="45" cm="1">
        <f t="array" aca="1" ref="L95" ca="1">SUMPRODUCT((Table1[SubscriptionStart] &lt;= $A95) * (Table1[EffectiveEndDate] &gt;= $A95) * (Table1[Region] = "Scotland"))</f>
        <v>17</v>
      </c>
      <c r="M95" s="45" cm="1">
        <f t="array" aca="1" ref="M95" ca="1">SUMPRODUCT((Table1[SubscriptionStart] &lt;= $A95) * (Table1[EffectiveEndDate] &gt;= $A95) * (Table1[Region] = "Wales"))</f>
        <v>16</v>
      </c>
      <c r="N95" s="45" cm="1">
        <f t="array" aca="1" ref="N95" ca="1">SUMPRODUCT((Table1[SubscriptionStart] &lt;= $A95) * (Table1[EffectiveEndDate] &gt;= $A95) * (Table1[Region] = "Northern Ireland"))</f>
        <v>27</v>
      </c>
      <c r="O95" s="45" cm="1">
        <f t="array" aca="1" ref="O95" ca="1">SUMPRODUCT((Table1[Gender]="Male")*(Table1[SubscriptionStart]&lt;=A95)*(Table1[EffectiveEndDate]&gt;=A95))</f>
        <v>38</v>
      </c>
      <c r="P95" s="45" cm="1">
        <f t="array" aca="1" ref="P95" ca="1">SUMPRODUCT((Table1[Gender]="Female")*(Table1[SubscriptionStart]&lt;=A95)*(Table1[EffectiveEndDate]&gt;=A95))</f>
        <v>39</v>
      </c>
    </row>
    <row r="96" spans="1:16">
      <c r="A96" s="48">
        <f t="shared" si="7"/>
        <v>44656</v>
      </c>
      <c r="B96" s="45" cm="1">
        <f t="array" aca="1" ref="B96" ca="1">SUMPRODUCT((Table1[SubscriptionStart]&lt;=A96)*(Table1[EffectiveEndDate]&gt;=A96))</f>
        <v>78</v>
      </c>
      <c r="C96" s="45">
        <f>COUNTIFS(Table1[SubscriptionStart], A96)</f>
        <v>1</v>
      </c>
      <c r="D96" s="45">
        <f>COUNTIFS(Table1[CancellationDate], A96)</f>
        <v>0</v>
      </c>
      <c r="E96" s="45">
        <f t="shared" si="4"/>
        <v>1</v>
      </c>
      <c r="F96" s="45">
        <f>SUM($C$2:C96)</f>
        <v>88</v>
      </c>
      <c r="G96" s="49" cm="1">
        <f t="array" aca="1" ref="G96" ca="1">IF(B96=0,"", SUMPRODUCT((Table1[SubscriptionStart]&lt;=A96)*(Table1[EffectiveEndDate]&gt;=A96)*Table1[Age]) / B96 )</f>
        <v>41.846153846153847</v>
      </c>
      <c r="H96" s="22">
        <f>SUMIF(Table1[SubscriptionStart],"&lt;="&amp;A96,Table1[TotalRevenue])</f>
        <v>19198.900000000001</v>
      </c>
      <c r="I96" s="50">
        <f t="shared" si="5"/>
        <v>44681</v>
      </c>
      <c r="J96" s="49">
        <f t="shared" ca="1" si="6"/>
        <v>85.4</v>
      </c>
      <c r="K96" s="45" cm="1">
        <f t="array" aca="1" ref="K96" ca="1">SUMPRODUCT((Table1[SubscriptionStart] &lt;= $A96) * (Table1[EffectiveEndDate] &gt;= $A96) * (Table1[Region] = "England"))</f>
        <v>17</v>
      </c>
      <c r="L96" s="45" cm="1">
        <f t="array" aca="1" ref="L96" ca="1">SUMPRODUCT((Table1[SubscriptionStart] &lt;= $A96) * (Table1[EffectiveEndDate] &gt;= $A96) * (Table1[Region] = "Scotland"))</f>
        <v>18</v>
      </c>
      <c r="M96" s="45" cm="1">
        <f t="array" aca="1" ref="M96" ca="1">SUMPRODUCT((Table1[SubscriptionStart] &lt;= $A96) * (Table1[EffectiveEndDate] &gt;= $A96) * (Table1[Region] = "Wales"))</f>
        <v>16</v>
      </c>
      <c r="N96" s="45" cm="1">
        <f t="array" aca="1" ref="N96" ca="1">SUMPRODUCT((Table1[SubscriptionStart] &lt;= $A96) * (Table1[EffectiveEndDate] &gt;= $A96) * (Table1[Region] = "Northern Ireland"))</f>
        <v>27</v>
      </c>
      <c r="O96" s="45" cm="1">
        <f t="array" aca="1" ref="O96" ca="1">SUMPRODUCT((Table1[Gender]="Male")*(Table1[SubscriptionStart]&lt;=A96)*(Table1[EffectiveEndDate]&gt;=A96))</f>
        <v>39</v>
      </c>
      <c r="P96" s="45" cm="1">
        <f t="array" aca="1" ref="P96" ca="1">SUMPRODUCT((Table1[Gender]="Female")*(Table1[SubscriptionStart]&lt;=A96)*(Table1[EffectiveEndDate]&gt;=A96))</f>
        <v>39</v>
      </c>
    </row>
    <row r="97" spans="1:16">
      <c r="A97" s="48">
        <f t="shared" si="7"/>
        <v>44657</v>
      </c>
      <c r="B97" s="45" cm="1">
        <f t="array" aca="1" ref="B97" ca="1">SUMPRODUCT((Table1[SubscriptionStart]&lt;=A97)*(Table1[EffectiveEndDate]&gt;=A97))</f>
        <v>79</v>
      </c>
      <c r="C97" s="45">
        <f>COUNTIFS(Table1[SubscriptionStart], A97)</f>
        <v>1</v>
      </c>
      <c r="D97" s="45">
        <f>COUNTIFS(Table1[CancellationDate], A97)</f>
        <v>0</v>
      </c>
      <c r="E97" s="45">
        <f t="shared" si="4"/>
        <v>1</v>
      </c>
      <c r="F97" s="45">
        <f>SUM($C$2:C97)</f>
        <v>89</v>
      </c>
      <c r="G97" s="49" cm="1">
        <f t="array" aca="1" ref="G97" ca="1">IF(B97=0,"", SUMPRODUCT((Table1[SubscriptionStart]&lt;=A97)*(Table1[EffectiveEndDate]&gt;=A97)*Table1[Age]) / B97 )</f>
        <v>42.253164556962027</v>
      </c>
      <c r="H97" s="22">
        <f>SUMIF(Table1[SubscriptionStart],"&lt;="&amp;A97,Table1[TotalRevenue])</f>
        <v>19198.900000000001</v>
      </c>
      <c r="I97" s="50">
        <f t="shared" si="5"/>
        <v>44681</v>
      </c>
      <c r="J97" s="49">
        <f t="shared" ca="1" si="6"/>
        <v>85.4</v>
      </c>
      <c r="K97" s="45" cm="1">
        <f t="array" aca="1" ref="K97" ca="1">SUMPRODUCT((Table1[SubscriptionStart] &lt;= $A97) * (Table1[EffectiveEndDate] &gt;= $A97) * (Table1[Region] = "England"))</f>
        <v>17</v>
      </c>
      <c r="L97" s="45" cm="1">
        <f t="array" aca="1" ref="L97" ca="1">SUMPRODUCT((Table1[SubscriptionStart] &lt;= $A97) * (Table1[EffectiveEndDate] &gt;= $A97) * (Table1[Region] = "Scotland"))</f>
        <v>18</v>
      </c>
      <c r="M97" s="45" cm="1">
        <f t="array" aca="1" ref="M97" ca="1">SUMPRODUCT((Table1[SubscriptionStart] &lt;= $A97) * (Table1[EffectiveEndDate] &gt;= $A97) * (Table1[Region] = "Wales"))</f>
        <v>16</v>
      </c>
      <c r="N97" s="45" cm="1">
        <f t="array" aca="1" ref="N97" ca="1">SUMPRODUCT((Table1[SubscriptionStart] &lt;= $A97) * (Table1[EffectiveEndDate] &gt;= $A97) * (Table1[Region] = "Northern Ireland"))</f>
        <v>28</v>
      </c>
      <c r="O97" s="45" cm="1">
        <f t="array" aca="1" ref="O97" ca="1">SUMPRODUCT((Table1[Gender]="Male")*(Table1[SubscriptionStart]&lt;=A97)*(Table1[EffectiveEndDate]&gt;=A97))</f>
        <v>39</v>
      </c>
      <c r="P97" s="45" cm="1">
        <f t="array" aca="1" ref="P97" ca="1">SUMPRODUCT((Table1[Gender]="Female")*(Table1[SubscriptionStart]&lt;=A97)*(Table1[EffectiveEndDate]&gt;=A97))</f>
        <v>40</v>
      </c>
    </row>
    <row r="98" spans="1:16">
      <c r="A98" s="48">
        <f t="shared" si="7"/>
        <v>44658</v>
      </c>
      <c r="B98" s="45" cm="1">
        <f t="array" aca="1" ref="B98" ca="1">SUMPRODUCT((Table1[SubscriptionStart]&lt;=A98)*(Table1[EffectiveEndDate]&gt;=A98))</f>
        <v>81</v>
      </c>
      <c r="C98" s="45">
        <f>COUNTIFS(Table1[SubscriptionStart], A98)</f>
        <v>2</v>
      </c>
      <c r="D98" s="45">
        <f>COUNTIFS(Table1[CancellationDate], A98)</f>
        <v>0</v>
      </c>
      <c r="E98" s="45">
        <f t="shared" si="4"/>
        <v>2</v>
      </c>
      <c r="F98" s="45">
        <f>SUM($C$2:C98)</f>
        <v>91</v>
      </c>
      <c r="G98" s="49" cm="1">
        <f t="array" aca="1" ref="G98" ca="1">IF(B98=0,"", SUMPRODUCT((Table1[SubscriptionStart]&lt;=A98)*(Table1[EffectiveEndDate]&gt;=A98)*Table1[Age]) / B98 )</f>
        <v>42.172839506172842</v>
      </c>
      <c r="H98" s="22">
        <f>SUMIF(Table1[SubscriptionStart],"&lt;="&amp;A98,Table1[TotalRevenue])</f>
        <v>20451.400000000001</v>
      </c>
      <c r="I98" s="50">
        <f t="shared" si="5"/>
        <v>44681</v>
      </c>
      <c r="J98" s="49">
        <f t="shared" ca="1" si="6"/>
        <v>85.4</v>
      </c>
      <c r="K98" s="45" cm="1">
        <f t="array" aca="1" ref="K98" ca="1">SUMPRODUCT((Table1[SubscriptionStart] &lt;= $A98) * (Table1[EffectiveEndDate] &gt;= $A98) * (Table1[Region] = "England"))</f>
        <v>17</v>
      </c>
      <c r="L98" s="45" cm="1">
        <f t="array" aca="1" ref="L98" ca="1">SUMPRODUCT((Table1[SubscriptionStart] &lt;= $A98) * (Table1[EffectiveEndDate] &gt;= $A98) * (Table1[Region] = "Scotland"))</f>
        <v>19</v>
      </c>
      <c r="M98" s="45" cm="1">
        <f t="array" aca="1" ref="M98" ca="1">SUMPRODUCT((Table1[SubscriptionStart] &lt;= $A98) * (Table1[EffectiveEndDate] &gt;= $A98) * (Table1[Region] = "Wales"))</f>
        <v>17</v>
      </c>
      <c r="N98" s="45" cm="1">
        <f t="array" aca="1" ref="N98" ca="1">SUMPRODUCT((Table1[SubscriptionStart] &lt;= $A98) * (Table1[EffectiveEndDate] &gt;= $A98) * (Table1[Region] = "Northern Ireland"))</f>
        <v>28</v>
      </c>
      <c r="O98" s="45" cm="1">
        <f t="array" aca="1" ref="O98" ca="1">SUMPRODUCT((Table1[Gender]="Male")*(Table1[SubscriptionStart]&lt;=A98)*(Table1[EffectiveEndDate]&gt;=A98))</f>
        <v>41</v>
      </c>
      <c r="P98" s="45" cm="1">
        <f t="array" aca="1" ref="P98" ca="1">SUMPRODUCT((Table1[Gender]="Female")*(Table1[SubscriptionStart]&lt;=A98)*(Table1[EffectiveEndDate]&gt;=A98))</f>
        <v>40</v>
      </c>
    </row>
    <row r="99" spans="1:16">
      <c r="A99" s="48">
        <f t="shared" si="7"/>
        <v>44659</v>
      </c>
      <c r="B99" s="45" cm="1">
        <f t="array" aca="1" ref="B99" ca="1">SUMPRODUCT((Table1[SubscriptionStart]&lt;=A99)*(Table1[EffectiveEndDate]&gt;=A99))</f>
        <v>82</v>
      </c>
      <c r="C99" s="45">
        <f>COUNTIFS(Table1[SubscriptionStart], A99)</f>
        <v>1</v>
      </c>
      <c r="D99" s="45">
        <f>COUNTIFS(Table1[CancellationDate], A99)</f>
        <v>0</v>
      </c>
      <c r="E99" s="45">
        <f t="shared" si="4"/>
        <v>1</v>
      </c>
      <c r="F99" s="45">
        <f>SUM($C$2:C99)</f>
        <v>92</v>
      </c>
      <c r="G99" s="49" cm="1">
        <f t="array" aca="1" ref="G99" ca="1">IF(B99=0,"", SUMPRODUCT((Table1[SubscriptionStart]&lt;=A99)*(Table1[EffectiveEndDate]&gt;=A99)*Table1[Age]) / B99 )</f>
        <v>42</v>
      </c>
      <c r="H99" s="22">
        <f>SUMIF(Table1[SubscriptionStart],"&lt;="&amp;A99,Table1[TotalRevenue])</f>
        <v>21231.4</v>
      </c>
      <c r="I99" s="50">
        <f t="shared" si="5"/>
        <v>44681</v>
      </c>
      <c r="J99" s="49">
        <f t="shared" ca="1" si="6"/>
        <v>85.4</v>
      </c>
      <c r="K99" s="45" cm="1">
        <f t="array" aca="1" ref="K99" ca="1">SUMPRODUCT((Table1[SubscriptionStart] &lt;= $A99) * (Table1[EffectiveEndDate] &gt;= $A99) * (Table1[Region] = "England"))</f>
        <v>17</v>
      </c>
      <c r="L99" s="45" cm="1">
        <f t="array" aca="1" ref="L99" ca="1">SUMPRODUCT((Table1[SubscriptionStart] &lt;= $A99) * (Table1[EffectiveEndDate] &gt;= $A99) * (Table1[Region] = "Scotland"))</f>
        <v>20</v>
      </c>
      <c r="M99" s="45" cm="1">
        <f t="array" aca="1" ref="M99" ca="1">SUMPRODUCT((Table1[SubscriptionStart] &lt;= $A99) * (Table1[EffectiveEndDate] &gt;= $A99) * (Table1[Region] = "Wales"))</f>
        <v>17</v>
      </c>
      <c r="N99" s="45" cm="1">
        <f t="array" aca="1" ref="N99" ca="1">SUMPRODUCT((Table1[SubscriptionStart] &lt;= $A99) * (Table1[EffectiveEndDate] &gt;= $A99) * (Table1[Region] = "Northern Ireland"))</f>
        <v>28</v>
      </c>
      <c r="O99" s="45" cm="1">
        <f t="array" aca="1" ref="O99" ca="1">SUMPRODUCT((Table1[Gender]="Male")*(Table1[SubscriptionStart]&lt;=A99)*(Table1[EffectiveEndDate]&gt;=A99))</f>
        <v>41</v>
      </c>
      <c r="P99" s="45" cm="1">
        <f t="array" aca="1" ref="P99" ca="1">SUMPRODUCT((Table1[Gender]="Female")*(Table1[SubscriptionStart]&lt;=A99)*(Table1[EffectiveEndDate]&gt;=A99))</f>
        <v>41</v>
      </c>
    </row>
    <row r="100" spans="1:16">
      <c r="A100" s="48">
        <f t="shared" si="7"/>
        <v>44660</v>
      </c>
      <c r="B100" s="45" cm="1">
        <f t="array" aca="1" ref="B100" ca="1">SUMPRODUCT((Table1[SubscriptionStart]&lt;=A100)*(Table1[EffectiveEndDate]&gt;=A100))</f>
        <v>82</v>
      </c>
      <c r="C100" s="45">
        <f>COUNTIFS(Table1[SubscriptionStart], A100)</f>
        <v>0</v>
      </c>
      <c r="D100" s="45">
        <f>COUNTIFS(Table1[CancellationDate], A100)</f>
        <v>0</v>
      </c>
      <c r="E100" s="45">
        <f t="shared" si="4"/>
        <v>0</v>
      </c>
      <c r="F100" s="45">
        <f>SUM($C$2:C100)</f>
        <v>92</v>
      </c>
      <c r="G100" s="49" cm="1">
        <f t="array" aca="1" ref="G100" ca="1">IF(B100=0,"", SUMPRODUCT((Table1[SubscriptionStart]&lt;=A100)*(Table1[EffectiveEndDate]&gt;=A100)*Table1[Age]) / B100 )</f>
        <v>42</v>
      </c>
      <c r="H100" s="22">
        <f>SUMIF(Table1[SubscriptionStart],"&lt;="&amp;A100,Table1[TotalRevenue])</f>
        <v>21231.4</v>
      </c>
      <c r="I100" s="50">
        <f t="shared" si="5"/>
        <v>44681</v>
      </c>
      <c r="J100" s="49">
        <f t="shared" ca="1" si="6"/>
        <v>85.4</v>
      </c>
      <c r="K100" s="45" cm="1">
        <f t="array" aca="1" ref="K100" ca="1">SUMPRODUCT((Table1[SubscriptionStart] &lt;= $A100) * (Table1[EffectiveEndDate] &gt;= $A100) * (Table1[Region] = "England"))</f>
        <v>17</v>
      </c>
      <c r="L100" s="45" cm="1">
        <f t="array" aca="1" ref="L100" ca="1">SUMPRODUCT((Table1[SubscriptionStart] &lt;= $A100) * (Table1[EffectiveEndDate] &gt;= $A100) * (Table1[Region] = "Scotland"))</f>
        <v>20</v>
      </c>
      <c r="M100" s="45" cm="1">
        <f t="array" aca="1" ref="M100" ca="1">SUMPRODUCT((Table1[SubscriptionStart] &lt;= $A100) * (Table1[EffectiveEndDate] &gt;= $A100) * (Table1[Region] = "Wales"))</f>
        <v>17</v>
      </c>
      <c r="N100" s="45" cm="1">
        <f t="array" aca="1" ref="N100" ca="1">SUMPRODUCT((Table1[SubscriptionStart] &lt;= $A100) * (Table1[EffectiveEndDate] &gt;= $A100) * (Table1[Region] = "Northern Ireland"))</f>
        <v>28</v>
      </c>
      <c r="O100" s="45" cm="1">
        <f t="array" aca="1" ref="O100" ca="1">SUMPRODUCT((Table1[Gender]="Male")*(Table1[SubscriptionStart]&lt;=A100)*(Table1[EffectiveEndDate]&gt;=A100))</f>
        <v>41</v>
      </c>
      <c r="P100" s="45" cm="1">
        <f t="array" aca="1" ref="P100" ca="1">SUMPRODUCT((Table1[Gender]="Female")*(Table1[SubscriptionStart]&lt;=A100)*(Table1[EffectiveEndDate]&gt;=A100))</f>
        <v>41</v>
      </c>
    </row>
    <row r="101" spans="1:16">
      <c r="A101" s="48">
        <f t="shared" si="7"/>
        <v>44661</v>
      </c>
      <c r="B101" s="45" cm="1">
        <f t="array" aca="1" ref="B101" ca="1">SUMPRODUCT((Table1[SubscriptionStart]&lt;=A101)*(Table1[EffectiveEndDate]&gt;=A101))</f>
        <v>82</v>
      </c>
      <c r="C101" s="45">
        <f>COUNTIFS(Table1[SubscriptionStart], A101)</f>
        <v>0</v>
      </c>
      <c r="D101" s="45">
        <f>COUNTIFS(Table1[CancellationDate], A101)</f>
        <v>0</v>
      </c>
      <c r="E101" s="45">
        <f t="shared" si="4"/>
        <v>0</v>
      </c>
      <c r="F101" s="45">
        <f>SUM($C$2:C101)</f>
        <v>92</v>
      </c>
      <c r="G101" s="49" cm="1">
        <f t="array" aca="1" ref="G101" ca="1">IF(B101=0,"", SUMPRODUCT((Table1[SubscriptionStart]&lt;=A101)*(Table1[EffectiveEndDate]&gt;=A101)*Table1[Age]) / B101 )</f>
        <v>42</v>
      </c>
      <c r="H101" s="22">
        <f>SUMIF(Table1[SubscriptionStart],"&lt;="&amp;A101,Table1[TotalRevenue])</f>
        <v>21231.4</v>
      </c>
      <c r="I101" s="50">
        <f t="shared" si="5"/>
        <v>44681</v>
      </c>
      <c r="J101" s="49">
        <f t="shared" ca="1" si="6"/>
        <v>85.4</v>
      </c>
      <c r="K101" s="45" cm="1">
        <f t="array" aca="1" ref="K101" ca="1">SUMPRODUCT((Table1[SubscriptionStart] &lt;= $A101) * (Table1[EffectiveEndDate] &gt;= $A101) * (Table1[Region] = "England"))</f>
        <v>17</v>
      </c>
      <c r="L101" s="45" cm="1">
        <f t="array" aca="1" ref="L101" ca="1">SUMPRODUCT((Table1[SubscriptionStart] &lt;= $A101) * (Table1[EffectiveEndDate] &gt;= $A101) * (Table1[Region] = "Scotland"))</f>
        <v>20</v>
      </c>
      <c r="M101" s="45" cm="1">
        <f t="array" aca="1" ref="M101" ca="1">SUMPRODUCT((Table1[SubscriptionStart] &lt;= $A101) * (Table1[EffectiveEndDate] &gt;= $A101) * (Table1[Region] = "Wales"))</f>
        <v>17</v>
      </c>
      <c r="N101" s="45" cm="1">
        <f t="array" aca="1" ref="N101" ca="1">SUMPRODUCT((Table1[SubscriptionStart] &lt;= $A101) * (Table1[EffectiveEndDate] &gt;= $A101) * (Table1[Region] = "Northern Ireland"))</f>
        <v>28</v>
      </c>
      <c r="O101" s="45" cm="1">
        <f t="array" aca="1" ref="O101" ca="1">SUMPRODUCT((Table1[Gender]="Male")*(Table1[SubscriptionStart]&lt;=A101)*(Table1[EffectiveEndDate]&gt;=A101))</f>
        <v>41</v>
      </c>
      <c r="P101" s="45" cm="1">
        <f t="array" aca="1" ref="P101" ca="1">SUMPRODUCT((Table1[Gender]="Female")*(Table1[SubscriptionStart]&lt;=A101)*(Table1[EffectiveEndDate]&gt;=A101))</f>
        <v>41</v>
      </c>
    </row>
    <row r="102" spans="1:16">
      <c r="A102" s="48">
        <f t="shared" si="7"/>
        <v>44662</v>
      </c>
      <c r="B102" s="45" cm="1">
        <f t="array" aca="1" ref="B102" ca="1">SUMPRODUCT((Table1[SubscriptionStart]&lt;=A102)*(Table1[EffectiveEndDate]&gt;=A102))</f>
        <v>83</v>
      </c>
      <c r="C102" s="45">
        <f>COUNTIFS(Table1[SubscriptionStart], A102)</f>
        <v>1</v>
      </c>
      <c r="D102" s="45">
        <f>COUNTIFS(Table1[CancellationDate], A102)</f>
        <v>0</v>
      </c>
      <c r="E102" s="45">
        <f t="shared" si="4"/>
        <v>1</v>
      </c>
      <c r="F102" s="45">
        <f>SUM($C$2:C102)</f>
        <v>93</v>
      </c>
      <c r="G102" s="49" cm="1">
        <f t="array" aca="1" ref="G102" ca="1">IF(B102=0,"", SUMPRODUCT((Table1[SubscriptionStart]&lt;=A102)*(Table1[EffectiveEndDate]&gt;=A102)*Table1[Age]) / B102 )</f>
        <v>41.783132530120483</v>
      </c>
      <c r="H102" s="22">
        <f>SUMIF(Table1[SubscriptionStart],"&lt;="&amp;A102,Table1[TotalRevenue])</f>
        <v>21361</v>
      </c>
      <c r="I102" s="50">
        <f t="shared" si="5"/>
        <v>44681</v>
      </c>
      <c r="J102" s="49">
        <f t="shared" ca="1" si="6"/>
        <v>85.4</v>
      </c>
      <c r="K102" s="45" cm="1">
        <f t="array" aca="1" ref="K102" ca="1">SUMPRODUCT((Table1[SubscriptionStart] &lt;= $A102) * (Table1[EffectiveEndDate] &gt;= $A102) * (Table1[Region] = "England"))</f>
        <v>17</v>
      </c>
      <c r="L102" s="45" cm="1">
        <f t="array" aca="1" ref="L102" ca="1">SUMPRODUCT((Table1[SubscriptionStart] &lt;= $A102) * (Table1[EffectiveEndDate] &gt;= $A102) * (Table1[Region] = "Scotland"))</f>
        <v>20</v>
      </c>
      <c r="M102" s="45" cm="1">
        <f t="array" aca="1" ref="M102" ca="1">SUMPRODUCT((Table1[SubscriptionStart] &lt;= $A102) * (Table1[EffectiveEndDate] &gt;= $A102) * (Table1[Region] = "Wales"))</f>
        <v>17</v>
      </c>
      <c r="N102" s="45" cm="1">
        <f t="array" aca="1" ref="N102" ca="1">SUMPRODUCT((Table1[SubscriptionStart] &lt;= $A102) * (Table1[EffectiveEndDate] &gt;= $A102) * (Table1[Region] = "Northern Ireland"))</f>
        <v>29</v>
      </c>
      <c r="O102" s="45" cm="1">
        <f t="array" aca="1" ref="O102" ca="1">SUMPRODUCT((Table1[Gender]="Male")*(Table1[SubscriptionStart]&lt;=A102)*(Table1[EffectiveEndDate]&gt;=A102))</f>
        <v>41</v>
      </c>
      <c r="P102" s="45" cm="1">
        <f t="array" aca="1" ref="P102" ca="1">SUMPRODUCT((Table1[Gender]="Female")*(Table1[SubscriptionStart]&lt;=A102)*(Table1[EffectiveEndDate]&gt;=A102))</f>
        <v>42</v>
      </c>
    </row>
    <row r="103" spans="1:16">
      <c r="A103" s="48">
        <f t="shared" si="7"/>
        <v>44663</v>
      </c>
      <c r="B103" s="45" cm="1">
        <f t="array" aca="1" ref="B103" ca="1">SUMPRODUCT((Table1[SubscriptionStart]&lt;=A103)*(Table1[EffectiveEndDate]&gt;=A103))</f>
        <v>83</v>
      </c>
      <c r="C103" s="45">
        <f>COUNTIFS(Table1[SubscriptionStart], A103)</f>
        <v>0</v>
      </c>
      <c r="D103" s="45">
        <f>COUNTIFS(Table1[CancellationDate], A103)</f>
        <v>0</v>
      </c>
      <c r="E103" s="45">
        <f t="shared" si="4"/>
        <v>0</v>
      </c>
      <c r="F103" s="45">
        <f>SUM($C$2:C103)</f>
        <v>93</v>
      </c>
      <c r="G103" s="49" cm="1">
        <f t="array" aca="1" ref="G103" ca="1">IF(B103=0,"", SUMPRODUCT((Table1[SubscriptionStart]&lt;=A103)*(Table1[EffectiveEndDate]&gt;=A103)*Table1[Age]) / B103 )</f>
        <v>41.783132530120483</v>
      </c>
      <c r="H103" s="22">
        <f>SUMIF(Table1[SubscriptionStart],"&lt;="&amp;A103,Table1[TotalRevenue])</f>
        <v>21361</v>
      </c>
      <c r="I103" s="50">
        <f t="shared" si="5"/>
        <v>44681</v>
      </c>
      <c r="J103" s="49">
        <f t="shared" ca="1" si="6"/>
        <v>85.4</v>
      </c>
      <c r="K103" s="45" cm="1">
        <f t="array" aca="1" ref="K103" ca="1">SUMPRODUCT((Table1[SubscriptionStart] &lt;= $A103) * (Table1[EffectiveEndDate] &gt;= $A103) * (Table1[Region] = "England"))</f>
        <v>17</v>
      </c>
      <c r="L103" s="45" cm="1">
        <f t="array" aca="1" ref="L103" ca="1">SUMPRODUCT((Table1[SubscriptionStart] &lt;= $A103) * (Table1[EffectiveEndDate] &gt;= $A103) * (Table1[Region] = "Scotland"))</f>
        <v>20</v>
      </c>
      <c r="M103" s="45" cm="1">
        <f t="array" aca="1" ref="M103" ca="1">SUMPRODUCT((Table1[SubscriptionStart] &lt;= $A103) * (Table1[EffectiveEndDate] &gt;= $A103) * (Table1[Region] = "Wales"))</f>
        <v>17</v>
      </c>
      <c r="N103" s="45" cm="1">
        <f t="array" aca="1" ref="N103" ca="1">SUMPRODUCT((Table1[SubscriptionStart] &lt;= $A103) * (Table1[EffectiveEndDate] &gt;= $A103) * (Table1[Region] = "Northern Ireland"))</f>
        <v>29</v>
      </c>
      <c r="O103" s="45" cm="1">
        <f t="array" aca="1" ref="O103" ca="1">SUMPRODUCT((Table1[Gender]="Male")*(Table1[SubscriptionStart]&lt;=A103)*(Table1[EffectiveEndDate]&gt;=A103))</f>
        <v>41</v>
      </c>
      <c r="P103" s="45" cm="1">
        <f t="array" aca="1" ref="P103" ca="1">SUMPRODUCT((Table1[Gender]="Female")*(Table1[SubscriptionStart]&lt;=A103)*(Table1[EffectiveEndDate]&gt;=A103))</f>
        <v>42</v>
      </c>
    </row>
    <row r="104" spans="1:16">
      <c r="A104" s="48">
        <f t="shared" si="7"/>
        <v>44664</v>
      </c>
      <c r="B104" s="45" cm="1">
        <f t="array" aca="1" ref="B104" ca="1">SUMPRODUCT((Table1[SubscriptionStart]&lt;=A104)*(Table1[EffectiveEndDate]&gt;=A104))</f>
        <v>83</v>
      </c>
      <c r="C104" s="45">
        <f>COUNTIFS(Table1[SubscriptionStart], A104)</f>
        <v>0</v>
      </c>
      <c r="D104" s="45">
        <f>COUNTIFS(Table1[CancellationDate], A104)</f>
        <v>0</v>
      </c>
      <c r="E104" s="45">
        <f t="shared" si="4"/>
        <v>0</v>
      </c>
      <c r="F104" s="45">
        <f>SUM($C$2:C104)</f>
        <v>93</v>
      </c>
      <c r="G104" s="49" cm="1">
        <f t="array" aca="1" ref="G104" ca="1">IF(B104=0,"", SUMPRODUCT((Table1[SubscriptionStart]&lt;=A104)*(Table1[EffectiveEndDate]&gt;=A104)*Table1[Age]) / B104 )</f>
        <v>41.783132530120483</v>
      </c>
      <c r="H104" s="22">
        <f>SUMIF(Table1[SubscriptionStart],"&lt;="&amp;A104,Table1[TotalRevenue])</f>
        <v>21361</v>
      </c>
      <c r="I104" s="50">
        <f t="shared" si="5"/>
        <v>44681</v>
      </c>
      <c r="J104" s="49">
        <f t="shared" ca="1" si="6"/>
        <v>85.4</v>
      </c>
      <c r="K104" s="45" cm="1">
        <f t="array" aca="1" ref="K104" ca="1">SUMPRODUCT((Table1[SubscriptionStart] &lt;= $A104) * (Table1[EffectiveEndDate] &gt;= $A104) * (Table1[Region] = "England"))</f>
        <v>17</v>
      </c>
      <c r="L104" s="45" cm="1">
        <f t="array" aca="1" ref="L104" ca="1">SUMPRODUCT((Table1[SubscriptionStart] &lt;= $A104) * (Table1[EffectiveEndDate] &gt;= $A104) * (Table1[Region] = "Scotland"))</f>
        <v>20</v>
      </c>
      <c r="M104" s="45" cm="1">
        <f t="array" aca="1" ref="M104" ca="1">SUMPRODUCT((Table1[SubscriptionStart] &lt;= $A104) * (Table1[EffectiveEndDate] &gt;= $A104) * (Table1[Region] = "Wales"))</f>
        <v>17</v>
      </c>
      <c r="N104" s="45" cm="1">
        <f t="array" aca="1" ref="N104" ca="1">SUMPRODUCT((Table1[SubscriptionStart] &lt;= $A104) * (Table1[EffectiveEndDate] &gt;= $A104) * (Table1[Region] = "Northern Ireland"))</f>
        <v>29</v>
      </c>
      <c r="O104" s="45" cm="1">
        <f t="array" aca="1" ref="O104" ca="1">SUMPRODUCT((Table1[Gender]="Male")*(Table1[SubscriptionStart]&lt;=A104)*(Table1[EffectiveEndDate]&gt;=A104))</f>
        <v>41</v>
      </c>
      <c r="P104" s="45" cm="1">
        <f t="array" aca="1" ref="P104" ca="1">SUMPRODUCT((Table1[Gender]="Female")*(Table1[SubscriptionStart]&lt;=A104)*(Table1[EffectiveEndDate]&gt;=A104))</f>
        <v>42</v>
      </c>
    </row>
    <row r="105" spans="1:16">
      <c r="A105" s="48">
        <f t="shared" si="7"/>
        <v>44665</v>
      </c>
      <c r="B105" s="45" cm="1">
        <f t="array" aca="1" ref="B105" ca="1">SUMPRODUCT((Table1[SubscriptionStart]&lt;=A105)*(Table1[EffectiveEndDate]&gt;=A105))</f>
        <v>84</v>
      </c>
      <c r="C105" s="45">
        <f>COUNTIFS(Table1[SubscriptionStart], A105)</f>
        <v>1</v>
      </c>
      <c r="D105" s="45">
        <f>COUNTIFS(Table1[CancellationDate], A105)</f>
        <v>0</v>
      </c>
      <c r="E105" s="45">
        <f t="shared" si="4"/>
        <v>1</v>
      </c>
      <c r="F105" s="45">
        <f>SUM($C$2:C105)</f>
        <v>94</v>
      </c>
      <c r="G105" s="49" cm="1">
        <f t="array" aca="1" ref="G105" ca="1">IF(B105=0,"", SUMPRODUCT((Table1[SubscriptionStart]&lt;=A105)*(Table1[EffectiveEndDate]&gt;=A105)*Table1[Age]) / B105 )</f>
        <v>42.011904761904759</v>
      </c>
      <c r="H105" s="22">
        <f>SUMIF(Table1[SubscriptionStart],"&lt;="&amp;A105,Table1[TotalRevenue])</f>
        <v>21401.5</v>
      </c>
      <c r="I105" s="50">
        <f t="shared" si="5"/>
        <v>44681</v>
      </c>
      <c r="J105" s="49">
        <f t="shared" ca="1" si="6"/>
        <v>85.4</v>
      </c>
      <c r="K105" s="45" cm="1">
        <f t="array" aca="1" ref="K105" ca="1">SUMPRODUCT((Table1[SubscriptionStart] &lt;= $A105) * (Table1[EffectiveEndDate] &gt;= $A105) * (Table1[Region] = "England"))</f>
        <v>17</v>
      </c>
      <c r="L105" s="45" cm="1">
        <f t="array" aca="1" ref="L105" ca="1">SUMPRODUCT((Table1[SubscriptionStart] &lt;= $A105) * (Table1[EffectiveEndDate] &gt;= $A105) * (Table1[Region] = "Scotland"))</f>
        <v>21</v>
      </c>
      <c r="M105" s="45" cm="1">
        <f t="array" aca="1" ref="M105" ca="1">SUMPRODUCT((Table1[SubscriptionStart] &lt;= $A105) * (Table1[EffectiveEndDate] &gt;= $A105) * (Table1[Region] = "Wales"))</f>
        <v>17</v>
      </c>
      <c r="N105" s="45" cm="1">
        <f t="array" aca="1" ref="N105" ca="1">SUMPRODUCT((Table1[SubscriptionStart] &lt;= $A105) * (Table1[EffectiveEndDate] &gt;= $A105) * (Table1[Region] = "Northern Ireland"))</f>
        <v>29</v>
      </c>
      <c r="O105" s="45" cm="1">
        <f t="array" aca="1" ref="O105" ca="1">SUMPRODUCT((Table1[Gender]="Male")*(Table1[SubscriptionStart]&lt;=A105)*(Table1[EffectiveEndDate]&gt;=A105))</f>
        <v>42</v>
      </c>
      <c r="P105" s="45" cm="1">
        <f t="array" aca="1" ref="P105" ca="1">SUMPRODUCT((Table1[Gender]="Female")*(Table1[SubscriptionStart]&lt;=A105)*(Table1[EffectiveEndDate]&gt;=A105))</f>
        <v>42</v>
      </c>
    </row>
    <row r="106" spans="1:16">
      <c r="A106" s="48">
        <f t="shared" si="7"/>
        <v>44666</v>
      </c>
      <c r="B106" s="45" cm="1">
        <f t="array" aca="1" ref="B106" ca="1">SUMPRODUCT((Table1[SubscriptionStart]&lt;=A106)*(Table1[EffectiveEndDate]&gt;=A106))</f>
        <v>84</v>
      </c>
      <c r="C106" s="45">
        <f>COUNTIFS(Table1[SubscriptionStart], A106)</f>
        <v>0</v>
      </c>
      <c r="D106" s="45">
        <f>COUNTIFS(Table1[CancellationDate], A106)</f>
        <v>0</v>
      </c>
      <c r="E106" s="45">
        <f t="shared" si="4"/>
        <v>0</v>
      </c>
      <c r="F106" s="45">
        <f>SUM($C$2:C106)</f>
        <v>94</v>
      </c>
      <c r="G106" s="49" cm="1">
        <f t="array" aca="1" ref="G106" ca="1">IF(B106=0,"", SUMPRODUCT((Table1[SubscriptionStart]&lt;=A106)*(Table1[EffectiveEndDate]&gt;=A106)*Table1[Age]) / B106 )</f>
        <v>42.011904761904759</v>
      </c>
      <c r="H106" s="22">
        <f>SUMIF(Table1[SubscriptionStart],"&lt;="&amp;A106,Table1[TotalRevenue])</f>
        <v>21401.5</v>
      </c>
      <c r="I106" s="50">
        <f t="shared" si="5"/>
        <v>44681</v>
      </c>
      <c r="J106" s="49">
        <f t="shared" ca="1" si="6"/>
        <v>85.4</v>
      </c>
      <c r="K106" s="45" cm="1">
        <f t="array" aca="1" ref="K106" ca="1">SUMPRODUCT((Table1[SubscriptionStart] &lt;= $A106) * (Table1[EffectiveEndDate] &gt;= $A106) * (Table1[Region] = "England"))</f>
        <v>17</v>
      </c>
      <c r="L106" s="45" cm="1">
        <f t="array" aca="1" ref="L106" ca="1">SUMPRODUCT((Table1[SubscriptionStart] &lt;= $A106) * (Table1[EffectiveEndDate] &gt;= $A106) * (Table1[Region] = "Scotland"))</f>
        <v>21</v>
      </c>
      <c r="M106" s="45" cm="1">
        <f t="array" aca="1" ref="M106" ca="1">SUMPRODUCT((Table1[SubscriptionStart] &lt;= $A106) * (Table1[EffectiveEndDate] &gt;= $A106) * (Table1[Region] = "Wales"))</f>
        <v>17</v>
      </c>
      <c r="N106" s="45" cm="1">
        <f t="array" aca="1" ref="N106" ca="1">SUMPRODUCT((Table1[SubscriptionStart] &lt;= $A106) * (Table1[EffectiveEndDate] &gt;= $A106) * (Table1[Region] = "Northern Ireland"))</f>
        <v>29</v>
      </c>
      <c r="O106" s="45" cm="1">
        <f t="array" aca="1" ref="O106" ca="1">SUMPRODUCT((Table1[Gender]="Male")*(Table1[SubscriptionStart]&lt;=A106)*(Table1[EffectiveEndDate]&gt;=A106))</f>
        <v>42</v>
      </c>
      <c r="P106" s="45" cm="1">
        <f t="array" aca="1" ref="P106" ca="1">SUMPRODUCT((Table1[Gender]="Female")*(Table1[SubscriptionStart]&lt;=A106)*(Table1[EffectiveEndDate]&gt;=A106))</f>
        <v>42</v>
      </c>
    </row>
    <row r="107" spans="1:16">
      <c r="A107" s="48">
        <f t="shared" si="7"/>
        <v>44667</v>
      </c>
      <c r="B107" s="45" cm="1">
        <f t="array" aca="1" ref="B107" ca="1">SUMPRODUCT((Table1[SubscriptionStart]&lt;=A107)*(Table1[EffectiveEndDate]&gt;=A107))</f>
        <v>84</v>
      </c>
      <c r="C107" s="45">
        <f>COUNTIFS(Table1[SubscriptionStart], A107)</f>
        <v>0</v>
      </c>
      <c r="D107" s="45">
        <f>COUNTIFS(Table1[CancellationDate], A107)</f>
        <v>0</v>
      </c>
      <c r="E107" s="45">
        <f t="shared" si="4"/>
        <v>0</v>
      </c>
      <c r="F107" s="45">
        <f>SUM($C$2:C107)</f>
        <v>94</v>
      </c>
      <c r="G107" s="49" cm="1">
        <f t="array" aca="1" ref="G107" ca="1">IF(B107=0,"", SUMPRODUCT((Table1[SubscriptionStart]&lt;=A107)*(Table1[EffectiveEndDate]&gt;=A107)*Table1[Age]) / B107 )</f>
        <v>42.011904761904759</v>
      </c>
      <c r="H107" s="22">
        <f>SUMIF(Table1[SubscriptionStart],"&lt;="&amp;A107,Table1[TotalRevenue])</f>
        <v>21401.5</v>
      </c>
      <c r="I107" s="50">
        <f t="shared" si="5"/>
        <v>44681</v>
      </c>
      <c r="J107" s="49">
        <f t="shared" ca="1" si="6"/>
        <v>85.4</v>
      </c>
      <c r="K107" s="45" cm="1">
        <f t="array" aca="1" ref="K107" ca="1">SUMPRODUCT((Table1[SubscriptionStart] &lt;= $A107) * (Table1[EffectiveEndDate] &gt;= $A107) * (Table1[Region] = "England"))</f>
        <v>17</v>
      </c>
      <c r="L107" s="45" cm="1">
        <f t="array" aca="1" ref="L107" ca="1">SUMPRODUCT((Table1[SubscriptionStart] &lt;= $A107) * (Table1[EffectiveEndDate] &gt;= $A107) * (Table1[Region] = "Scotland"))</f>
        <v>21</v>
      </c>
      <c r="M107" s="45" cm="1">
        <f t="array" aca="1" ref="M107" ca="1">SUMPRODUCT((Table1[SubscriptionStart] &lt;= $A107) * (Table1[EffectiveEndDate] &gt;= $A107) * (Table1[Region] = "Wales"))</f>
        <v>17</v>
      </c>
      <c r="N107" s="45" cm="1">
        <f t="array" aca="1" ref="N107" ca="1">SUMPRODUCT((Table1[SubscriptionStart] &lt;= $A107) * (Table1[EffectiveEndDate] &gt;= $A107) * (Table1[Region] = "Northern Ireland"))</f>
        <v>29</v>
      </c>
      <c r="O107" s="45" cm="1">
        <f t="array" aca="1" ref="O107" ca="1">SUMPRODUCT((Table1[Gender]="Male")*(Table1[SubscriptionStart]&lt;=A107)*(Table1[EffectiveEndDate]&gt;=A107))</f>
        <v>42</v>
      </c>
      <c r="P107" s="45" cm="1">
        <f t="array" aca="1" ref="P107" ca="1">SUMPRODUCT((Table1[Gender]="Female")*(Table1[SubscriptionStart]&lt;=A107)*(Table1[EffectiveEndDate]&gt;=A107))</f>
        <v>42</v>
      </c>
    </row>
    <row r="108" spans="1:16">
      <c r="A108" s="48">
        <f t="shared" si="7"/>
        <v>44668</v>
      </c>
      <c r="B108" s="45" cm="1">
        <f t="array" aca="1" ref="B108" ca="1">SUMPRODUCT((Table1[SubscriptionStart]&lt;=A108)*(Table1[EffectiveEndDate]&gt;=A108))</f>
        <v>84</v>
      </c>
      <c r="C108" s="45">
        <f>COUNTIFS(Table1[SubscriptionStart], A108)</f>
        <v>0</v>
      </c>
      <c r="D108" s="45">
        <f>COUNTIFS(Table1[CancellationDate], A108)</f>
        <v>0</v>
      </c>
      <c r="E108" s="45">
        <f t="shared" si="4"/>
        <v>0</v>
      </c>
      <c r="F108" s="45">
        <f>SUM($C$2:C108)</f>
        <v>94</v>
      </c>
      <c r="G108" s="49" cm="1">
        <f t="array" aca="1" ref="G108" ca="1">IF(B108=0,"", SUMPRODUCT((Table1[SubscriptionStart]&lt;=A108)*(Table1[EffectiveEndDate]&gt;=A108)*Table1[Age]) / B108 )</f>
        <v>42.011904761904759</v>
      </c>
      <c r="H108" s="22">
        <f>SUMIF(Table1[SubscriptionStart],"&lt;="&amp;A108,Table1[TotalRevenue])</f>
        <v>21401.5</v>
      </c>
      <c r="I108" s="50">
        <f t="shared" si="5"/>
        <v>44681</v>
      </c>
      <c r="J108" s="49">
        <f t="shared" ca="1" si="6"/>
        <v>85.4</v>
      </c>
      <c r="K108" s="45" cm="1">
        <f t="array" aca="1" ref="K108" ca="1">SUMPRODUCT((Table1[SubscriptionStart] &lt;= $A108) * (Table1[EffectiveEndDate] &gt;= $A108) * (Table1[Region] = "England"))</f>
        <v>17</v>
      </c>
      <c r="L108" s="45" cm="1">
        <f t="array" aca="1" ref="L108" ca="1">SUMPRODUCT((Table1[SubscriptionStart] &lt;= $A108) * (Table1[EffectiveEndDate] &gt;= $A108) * (Table1[Region] = "Scotland"))</f>
        <v>21</v>
      </c>
      <c r="M108" s="45" cm="1">
        <f t="array" aca="1" ref="M108" ca="1">SUMPRODUCT((Table1[SubscriptionStart] &lt;= $A108) * (Table1[EffectiveEndDate] &gt;= $A108) * (Table1[Region] = "Wales"))</f>
        <v>17</v>
      </c>
      <c r="N108" s="45" cm="1">
        <f t="array" aca="1" ref="N108" ca="1">SUMPRODUCT((Table1[SubscriptionStart] &lt;= $A108) * (Table1[EffectiveEndDate] &gt;= $A108) * (Table1[Region] = "Northern Ireland"))</f>
        <v>29</v>
      </c>
      <c r="O108" s="45" cm="1">
        <f t="array" aca="1" ref="O108" ca="1">SUMPRODUCT((Table1[Gender]="Male")*(Table1[SubscriptionStart]&lt;=A108)*(Table1[EffectiveEndDate]&gt;=A108))</f>
        <v>42</v>
      </c>
      <c r="P108" s="45" cm="1">
        <f t="array" aca="1" ref="P108" ca="1">SUMPRODUCT((Table1[Gender]="Female")*(Table1[SubscriptionStart]&lt;=A108)*(Table1[EffectiveEndDate]&gt;=A108))</f>
        <v>42</v>
      </c>
    </row>
    <row r="109" spans="1:16">
      <c r="A109" s="48">
        <f t="shared" si="7"/>
        <v>44669</v>
      </c>
      <c r="B109" s="45" cm="1">
        <f t="array" aca="1" ref="B109" ca="1">SUMPRODUCT((Table1[SubscriptionStart]&lt;=A109)*(Table1[EffectiveEndDate]&gt;=A109))</f>
        <v>86</v>
      </c>
      <c r="C109" s="45">
        <f>COUNTIFS(Table1[SubscriptionStart], A109)</f>
        <v>2</v>
      </c>
      <c r="D109" s="45">
        <f>COUNTIFS(Table1[CancellationDate], A109)</f>
        <v>0</v>
      </c>
      <c r="E109" s="45">
        <f t="shared" si="4"/>
        <v>2</v>
      </c>
      <c r="F109" s="45">
        <f>SUM($C$2:C109)</f>
        <v>96</v>
      </c>
      <c r="G109" s="49" cm="1">
        <f t="array" aca="1" ref="G109" ca="1">IF(B109=0,"", SUMPRODUCT((Table1[SubscriptionStart]&lt;=A109)*(Table1[EffectiveEndDate]&gt;=A109)*Table1[Age]) / B109 )</f>
        <v>41.860465116279073</v>
      </c>
      <c r="H109" s="22">
        <f>SUMIF(Table1[SubscriptionStart],"&lt;="&amp;A109,Table1[TotalRevenue])</f>
        <v>22311.1</v>
      </c>
      <c r="I109" s="50">
        <f t="shared" si="5"/>
        <v>44681</v>
      </c>
      <c r="J109" s="49">
        <f t="shared" ca="1" si="6"/>
        <v>85.4</v>
      </c>
      <c r="K109" s="45" cm="1">
        <f t="array" aca="1" ref="K109" ca="1">SUMPRODUCT((Table1[SubscriptionStart] &lt;= $A109) * (Table1[EffectiveEndDate] &gt;= $A109) * (Table1[Region] = "England"))</f>
        <v>18</v>
      </c>
      <c r="L109" s="45" cm="1">
        <f t="array" aca="1" ref="L109" ca="1">SUMPRODUCT((Table1[SubscriptionStart] &lt;= $A109) * (Table1[EffectiveEndDate] &gt;= $A109) * (Table1[Region] = "Scotland"))</f>
        <v>21</v>
      </c>
      <c r="M109" s="45" cm="1">
        <f t="array" aca="1" ref="M109" ca="1">SUMPRODUCT((Table1[SubscriptionStart] &lt;= $A109) * (Table1[EffectiveEndDate] &gt;= $A109) * (Table1[Region] = "Wales"))</f>
        <v>17</v>
      </c>
      <c r="N109" s="45" cm="1">
        <f t="array" aca="1" ref="N109" ca="1">SUMPRODUCT((Table1[SubscriptionStart] &lt;= $A109) * (Table1[EffectiveEndDate] &gt;= $A109) * (Table1[Region] = "Northern Ireland"))</f>
        <v>30</v>
      </c>
      <c r="O109" s="45" cm="1">
        <f t="array" aca="1" ref="O109" ca="1">SUMPRODUCT((Table1[Gender]="Male")*(Table1[SubscriptionStart]&lt;=A109)*(Table1[EffectiveEndDate]&gt;=A109))</f>
        <v>44</v>
      </c>
      <c r="P109" s="45" cm="1">
        <f t="array" aca="1" ref="P109" ca="1">SUMPRODUCT((Table1[Gender]="Female")*(Table1[SubscriptionStart]&lt;=A109)*(Table1[EffectiveEndDate]&gt;=A109))</f>
        <v>42</v>
      </c>
    </row>
    <row r="110" spans="1:16">
      <c r="A110" s="48">
        <f t="shared" si="7"/>
        <v>44670</v>
      </c>
      <c r="B110" s="45" cm="1">
        <f t="array" aca="1" ref="B110" ca="1">SUMPRODUCT((Table1[SubscriptionStart]&lt;=A110)*(Table1[EffectiveEndDate]&gt;=A110))</f>
        <v>87</v>
      </c>
      <c r="C110" s="45">
        <f>COUNTIFS(Table1[SubscriptionStart], A110)</f>
        <v>1</v>
      </c>
      <c r="D110" s="45">
        <f>COUNTIFS(Table1[CancellationDate], A110)</f>
        <v>0</v>
      </c>
      <c r="E110" s="45">
        <f t="shared" si="4"/>
        <v>1</v>
      </c>
      <c r="F110" s="45">
        <f>SUM($C$2:C110)</f>
        <v>97</v>
      </c>
      <c r="G110" s="49" cm="1">
        <f t="array" aca="1" ref="G110" ca="1">IF(B110=0,"", SUMPRODUCT((Table1[SubscriptionStart]&lt;=A110)*(Table1[EffectiveEndDate]&gt;=A110)*Table1[Age]) / B110 )</f>
        <v>41.724137931034484</v>
      </c>
      <c r="H110" s="22">
        <f>SUMIF(Table1[SubscriptionStart],"&lt;="&amp;A110,Table1[TotalRevenue])</f>
        <v>22311.1</v>
      </c>
      <c r="I110" s="50">
        <f t="shared" si="5"/>
        <v>44681</v>
      </c>
      <c r="J110" s="49">
        <f t="shared" ca="1" si="6"/>
        <v>85.4</v>
      </c>
      <c r="K110" s="45" cm="1">
        <f t="array" aca="1" ref="K110" ca="1">SUMPRODUCT((Table1[SubscriptionStart] &lt;= $A110) * (Table1[EffectiveEndDate] &gt;= $A110) * (Table1[Region] = "England"))</f>
        <v>18</v>
      </c>
      <c r="L110" s="45" cm="1">
        <f t="array" aca="1" ref="L110" ca="1">SUMPRODUCT((Table1[SubscriptionStart] &lt;= $A110) * (Table1[EffectiveEndDate] &gt;= $A110) * (Table1[Region] = "Scotland"))</f>
        <v>21</v>
      </c>
      <c r="M110" s="45" cm="1">
        <f t="array" aca="1" ref="M110" ca="1">SUMPRODUCT((Table1[SubscriptionStart] &lt;= $A110) * (Table1[EffectiveEndDate] &gt;= $A110) * (Table1[Region] = "Wales"))</f>
        <v>18</v>
      </c>
      <c r="N110" s="45" cm="1">
        <f t="array" aca="1" ref="N110" ca="1">SUMPRODUCT((Table1[SubscriptionStart] &lt;= $A110) * (Table1[EffectiveEndDate] &gt;= $A110) * (Table1[Region] = "Northern Ireland"))</f>
        <v>30</v>
      </c>
      <c r="O110" s="45" cm="1">
        <f t="array" aca="1" ref="O110" ca="1">SUMPRODUCT((Table1[Gender]="Male")*(Table1[SubscriptionStart]&lt;=A110)*(Table1[EffectiveEndDate]&gt;=A110))</f>
        <v>44</v>
      </c>
      <c r="P110" s="45" cm="1">
        <f t="array" aca="1" ref="P110" ca="1">SUMPRODUCT((Table1[Gender]="Female")*(Table1[SubscriptionStart]&lt;=A110)*(Table1[EffectiveEndDate]&gt;=A110))</f>
        <v>43</v>
      </c>
    </row>
    <row r="111" spans="1:16">
      <c r="A111" s="48">
        <f t="shared" si="7"/>
        <v>44671</v>
      </c>
      <c r="B111" s="45" cm="1">
        <f t="array" aca="1" ref="B111" ca="1">SUMPRODUCT((Table1[SubscriptionStart]&lt;=A111)*(Table1[EffectiveEndDate]&gt;=A111))</f>
        <v>87</v>
      </c>
      <c r="C111" s="45">
        <f>COUNTIFS(Table1[SubscriptionStart], A111)</f>
        <v>0</v>
      </c>
      <c r="D111" s="45">
        <f>COUNTIFS(Table1[CancellationDate], A111)</f>
        <v>0</v>
      </c>
      <c r="E111" s="45">
        <f t="shared" si="4"/>
        <v>0</v>
      </c>
      <c r="F111" s="45">
        <f>SUM($C$2:C111)</f>
        <v>97</v>
      </c>
      <c r="G111" s="49" cm="1">
        <f t="array" aca="1" ref="G111" ca="1">IF(B111=0,"", SUMPRODUCT((Table1[SubscriptionStart]&lt;=A111)*(Table1[EffectiveEndDate]&gt;=A111)*Table1[Age]) / B111 )</f>
        <v>41.724137931034484</v>
      </c>
      <c r="H111" s="22">
        <f>SUMIF(Table1[SubscriptionStart],"&lt;="&amp;A111,Table1[TotalRevenue])</f>
        <v>22311.1</v>
      </c>
      <c r="I111" s="50">
        <f t="shared" si="5"/>
        <v>44681</v>
      </c>
      <c r="J111" s="49">
        <f t="shared" ca="1" si="6"/>
        <v>85.4</v>
      </c>
      <c r="K111" s="45" cm="1">
        <f t="array" aca="1" ref="K111" ca="1">SUMPRODUCT((Table1[SubscriptionStart] &lt;= $A111) * (Table1[EffectiveEndDate] &gt;= $A111) * (Table1[Region] = "England"))</f>
        <v>18</v>
      </c>
      <c r="L111" s="45" cm="1">
        <f t="array" aca="1" ref="L111" ca="1">SUMPRODUCT((Table1[SubscriptionStart] &lt;= $A111) * (Table1[EffectiveEndDate] &gt;= $A111) * (Table1[Region] = "Scotland"))</f>
        <v>21</v>
      </c>
      <c r="M111" s="45" cm="1">
        <f t="array" aca="1" ref="M111" ca="1">SUMPRODUCT((Table1[SubscriptionStart] &lt;= $A111) * (Table1[EffectiveEndDate] &gt;= $A111) * (Table1[Region] = "Wales"))</f>
        <v>18</v>
      </c>
      <c r="N111" s="45" cm="1">
        <f t="array" aca="1" ref="N111" ca="1">SUMPRODUCT((Table1[SubscriptionStart] &lt;= $A111) * (Table1[EffectiveEndDate] &gt;= $A111) * (Table1[Region] = "Northern Ireland"))</f>
        <v>30</v>
      </c>
      <c r="O111" s="45" cm="1">
        <f t="array" aca="1" ref="O111" ca="1">SUMPRODUCT((Table1[Gender]="Male")*(Table1[SubscriptionStart]&lt;=A111)*(Table1[EffectiveEndDate]&gt;=A111))</f>
        <v>44</v>
      </c>
      <c r="P111" s="45" cm="1">
        <f t="array" aca="1" ref="P111" ca="1">SUMPRODUCT((Table1[Gender]="Female")*(Table1[SubscriptionStart]&lt;=A111)*(Table1[EffectiveEndDate]&gt;=A111))</f>
        <v>43</v>
      </c>
    </row>
    <row r="112" spans="1:16">
      <c r="A112" s="48">
        <f t="shared" si="7"/>
        <v>44672</v>
      </c>
      <c r="B112" s="45" cm="1">
        <f t="array" aca="1" ref="B112" ca="1">SUMPRODUCT((Table1[SubscriptionStart]&lt;=A112)*(Table1[EffectiveEndDate]&gt;=A112))</f>
        <v>89</v>
      </c>
      <c r="C112" s="45">
        <f>COUNTIFS(Table1[SubscriptionStart], A112)</f>
        <v>2</v>
      </c>
      <c r="D112" s="45">
        <f>COUNTIFS(Table1[CancellationDate], A112)</f>
        <v>0</v>
      </c>
      <c r="E112" s="45">
        <f t="shared" si="4"/>
        <v>2</v>
      </c>
      <c r="F112" s="45">
        <f>SUM($C$2:C112)</f>
        <v>99</v>
      </c>
      <c r="G112" s="49" cm="1">
        <f t="array" aca="1" ref="G112" ca="1">IF(B112=0,"", SUMPRODUCT((Table1[SubscriptionStart]&lt;=A112)*(Table1[EffectiveEndDate]&gt;=A112)*Table1[Age]) / B112 )</f>
        <v>41.606741573033709</v>
      </c>
      <c r="H112" s="22">
        <f>SUMIF(Table1[SubscriptionStart],"&lt;="&amp;A112,Table1[TotalRevenue])</f>
        <v>23166.55</v>
      </c>
      <c r="I112" s="50">
        <f t="shared" si="5"/>
        <v>44681</v>
      </c>
      <c r="J112" s="49">
        <f t="shared" ca="1" si="6"/>
        <v>85.4</v>
      </c>
      <c r="K112" s="45" cm="1">
        <f t="array" aca="1" ref="K112" ca="1">SUMPRODUCT((Table1[SubscriptionStart] &lt;= $A112) * (Table1[EffectiveEndDate] &gt;= $A112) * (Table1[Region] = "England"))</f>
        <v>18</v>
      </c>
      <c r="L112" s="45" cm="1">
        <f t="array" aca="1" ref="L112" ca="1">SUMPRODUCT((Table1[SubscriptionStart] &lt;= $A112) * (Table1[EffectiveEndDate] &gt;= $A112) * (Table1[Region] = "Scotland"))</f>
        <v>21</v>
      </c>
      <c r="M112" s="45" cm="1">
        <f t="array" aca="1" ref="M112" ca="1">SUMPRODUCT((Table1[SubscriptionStart] &lt;= $A112) * (Table1[EffectiveEndDate] &gt;= $A112) * (Table1[Region] = "Wales"))</f>
        <v>18</v>
      </c>
      <c r="N112" s="45" cm="1">
        <f t="array" aca="1" ref="N112" ca="1">SUMPRODUCT((Table1[SubscriptionStart] &lt;= $A112) * (Table1[EffectiveEndDate] &gt;= $A112) * (Table1[Region] = "Northern Ireland"))</f>
        <v>32</v>
      </c>
      <c r="O112" s="45" cm="1">
        <f t="array" aca="1" ref="O112" ca="1">SUMPRODUCT((Table1[Gender]="Male")*(Table1[SubscriptionStart]&lt;=A112)*(Table1[EffectiveEndDate]&gt;=A112))</f>
        <v>45</v>
      </c>
      <c r="P112" s="45" cm="1">
        <f t="array" aca="1" ref="P112" ca="1">SUMPRODUCT((Table1[Gender]="Female")*(Table1[SubscriptionStart]&lt;=A112)*(Table1[EffectiveEndDate]&gt;=A112))</f>
        <v>44</v>
      </c>
    </row>
    <row r="113" spans="1:16">
      <c r="A113" s="48">
        <f t="shared" si="7"/>
        <v>44673</v>
      </c>
      <c r="B113" s="45" cm="1">
        <f t="array" aca="1" ref="B113" ca="1">SUMPRODUCT((Table1[SubscriptionStart]&lt;=A113)*(Table1[EffectiveEndDate]&gt;=A113))</f>
        <v>90</v>
      </c>
      <c r="C113" s="45">
        <f>COUNTIFS(Table1[SubscriptionStart], A113)</f>
        <v>1</v>
      </c>
      <c r="D113" s="45">
        <f>COUNTIFS(Table1[CancellationDate], A113)</f>
        <v>0</v>
      </c>
      <c r="E113" s="45">
        <f t="shared" si="4"/>
        <v>1</v>
      </c>
      <c r="F113" s="45">
        <f>SUM($C$2:C113)</f>
        <v>100</v>
      </c>
      <c r="G113" s="49" cm="1">
        <f t="array" aca="1" ref="G113" ca="1">IF(B113=0,"", SUMPRODUCT((Table1[SubscriptionStart]&lt;=A113)*(Table1[EffectiveEndDate]&gt;=A113)*Table1[Age]) / B113 )</f>
        <v>41.822222222222223</v>
      </c>
      <c r="H113" s="22">
        <f>SUMIF(Table1[SubscriptionStart],"&lt;="&amp;A113,Table1[TotalRevenue])</f>
        <v>23166.55</v>
      </c>
      <c r="I113" s="50">
        <f t="shared" si="5"/>
        <v>44681</v>
      </c>
      <c r="J113" s="49">
        <f t="shared" ca="1" si="6"/>
        <v>85.4</v>
      </c>
      <c r="K113" s="45" cm="1">
        <f t="array" aca="1" ref="K113" ca="1">SUMPRODUCT((Table1[SubscriptionStart] &lt;= $A113) * (Table1[EffectiveEndDate] &gt;= $A113) * (Table1[Region] = "England"))</f>
        <v>18</v>
      </c>
      <c r="L113" s="45" cm="1">
        <f t="array" aca="1" ref="L113" ca="1">SUMPRODUCT((Table1[SubscriptionStart] &lt;= $A113) * (Table1[EffectiveEndDate] &gt;= $A113) * (Table1[Region] = "Scotland"))</f>
        <v>21</v>
      </c>
      <c r="M113" s="45" cm="1">
        <f t="array" aca="1" ref="M113" ca="1">SUMPRODUCT((Table1[SubscriptionStart] &lt;= $A113) * (Table1[EffectiveEndDate] &gt;= $A113) * (Table1[Region] = "Wales"))</f>
        <v>18</v>
      </c>
      <c r="N113" s="45" cm="1">
        <f t="array" aca="1" ref="N113" ca="1">SUMPRODUCT((Table1[SubscriptionStart] &lt;= $A113) * (Table1[EffectiveEndDate] &gt;= $A113) * (Table1[Region] = "Northern Ireland"))</f>
        <v>33</v>
      </c>
      <c r="O113" s="45" cm="1">
        <f t="array" aca="1" ref="O113" ca="1">SUMPRODUCT((Table1[Gender]="Male")*(Table1[SubscriptionStart]&lt;=A113)*(Table1[EffectiveEndDate]&gt;=A113))</f>
        <v>46</v>
      </c>
      <c r="P113" s="45" cm="1">
        <f t="array" aca="1" ref="P113" ca="1">SUMPRODUCT((Table1[Gender]="Female")*(Table1[SubscriptionStart]&lt;=A113)*(Table1[EffectiveEndDate]&gt;=A113))</f>
        <v>44</v>
      </c>
    </row>
    <row r="114" spans="1:16">
      <c r="A114" s="48">
        <f t="shared" si="7"/>
        <v>44674</v>
      </c>
      <c r="B114" s="45" cm="1">
        <f t="array" aca="1" ref="B114" ca="1">SUMPRODUCT((Table1[SubscriptionStart]&lt;=A114)*(Table1[EffectiveEndDate]&gt;=A114))</f>
        <v>91</v>
      </c>
      <c r="C114" s="45">
        <f>COUNTIFS(Table1[SubscriptionStart], A114)</f>
        <v>1</v>
      </c>
      <c r="D114" s="45">
        <f>COUNTIFS(Table1[CancellationDate], A114)</f>
        <v>0</v>
      </c>
      <c r="E114" s="45">
        <f t="shared" si="4"/>
        <v>1</v>
      </c>
      <c r="F114" s="45">
        <f>SUM($C$2:C114)</f>
        <v>101</v>
      </c>
      <c r="G114" s="49" cm="1">
        <f t="array" aca="1" ref="G114" ca="1">IF(B114=0,"", SUMPRODUCT((Table1[SubscriptionStart]&lt;=A114)*(Table1[EffectiveEndDate]&gt;=A114)*Table1[Age]) / B114 )</f>
        <v>41.989010989010985</v>
      </c>
      <c r="H114" s="22">
        <f>SUMIF(Table1[SubscriptionStart],"&lt;="&amp;A114,Table1[TotalRevenue])</f>
        <v>23239.45</v>
      </c>
      <c r="I114" s="50">
        <f t="shared" si="5"/>
        <v>44681</v>
      </c>
      <c r="J114" s="49">
        <f t="shared" ca="1" si="6"/>
        <v>85.4</v>
      </c>
      <c r="K114" s="45" cm="1">
        <f t="array" aca="1" ref="K114" ca="1">SUMPRODUCT((Table1[SubscriptionStart] &lt;= $A114) * (Table1[EffectiveEndDate] &gt;= $A114) * (Table1[Region] = "England"))</f>
        <v>18</v>
      </c>
      <c r="L114" s="45" cm="1">
        <f t="array" aca="1" ref="L114" ca="1">SUMPRODUCT((Table1[SubscriptionStart] &lt;= $A114) * (Table1[EffectiveEndDate] &gt;= $A114) * (Table1[Region] = "Scotland"))</f>
        <v>22</v>
      </c>
      <c r="M114" s="45" cm="1">
        <f t="array" aca="1" ref="M114" ca="1">SUMPRODUCT((Table1[SubscriptionStart] &lt;= $A114) * (Table1[EffectiveEndDate] &gt;= $A114) * (Table1[Region] = "Wales"))</f>
        <v>18</v>
      </c>
      <c r="N114" s="45" cm="1">
        <f t="array" aca="1" ref="N114" ca="1">SUMPRODUCT((Table1[SubscriptionStart] &lt;= $A114) * (Table1[EffectiveEndDate] &gt;= $A114) * (Table1[Region] = "Northern Ireland"))</f>
        <v>33</v>
      </c>
      <c r="O114" s="45" cm="1">
        <f t="array" aca="1" ref="O114" ca="1">SUMPRODUCT((Table1[Gender]="Male")*(Table1[SubscriptionStart]&lt;=A114)*(Table1[EffectiveEndDate]&gt;=A114))</f>
        <v>47</v>
      </c>
      <c r="P114" s="45" cm="1">
        <f t="array" aca="1" ref="P114" ca="1">SUMPRODUCT((Table1[Gender]="Female")*(Table1[SubscriptionStart]&lt;=A114)*(Table1[EffectiveEndDate]&gt;=A114))</f>
        <v>44</v>
      </c>
    </row>
    <row r="115" spans="1:16">
      <c r="A115" s="48">
        <f t="shared" si="7"/>
        <v>44675</v>
      </c>
      <c r="B115" s="45" cm="1">
        <f t="array" aca="1" ref="B115" ca="1">SUMPRODUCT((Table1[SubscriptionStart]&lt;=A115)*(Table1[EffectiveEndDate]&gt;=A115))</f>
        <v>93</v>
      </c>
      <c r="C115" s="45">
        <f>COUNTIFS(Table1[SubscriptionStart], A115)</f>
        <v>2</v>
      </c>
      <c r="D115" s="45">
        <f>COUNTIFS(Table1[CancellationDate], A115)</f>
        <v>0</v>
      </c>
      <c r="E115" s="45">
        <f t="shared" si="4"/>
        <v>2</v>
      </c>
      <c r="F115" s="45">
        <f>SUM($C$2:C115)</f>
        <v>103</v>
      </c>
      <c r="G115" s="49" cm="1">
        <f t="array" aca="1" ref="G115" ca="1">IF(B115=0,"", SUMPRODUCT((Table1[SubscriptionStart]&lt;=A115)*(Table1[EffectiveEndDate]&gt;=A115)*Table1[Age]) / B115 )</f>
        <v>41.98924731182796</v>
      </c>
      <c r="H115" s="22">
        <f>SUMIF(Table1[SubscriptionStart],"&lt;="&amp;A115,Table1[TotalRevenue])</f>
        <v>23311.45</v>
      </c>
      <c r="I115" s="50">
        <f t="shared" si="5"/>
        <v>44681</v>
      </c>
      <c r="J115" s="49">
        <f t="shared" ca="1" si="6"/>
        <v>85.4</v>
      </c>
      <c r="K115" s="45" cm="1">
        <f t="array" aca="1" ref="K115" ca="1">SUMPRODUCT((Table1[SubscriptionStart] &lt;= $A115) * (Table1[EffectiveEndDate] &gt;= $A115) * (Table1[Region] = "England"))</f>
        <v>18</v>
      </c>
      <c r="L115" s="45" cm="1">
        <f t="array" aca="1" ref="L115" ca="1">SUMPRODUCT((Table1[SubscriptionStart] &lt;= $A115) * (Table1[EffectiveEndDate] &gt;= $A115) * (Table1[Region] = "Scotland"))</f>
        <v>22</v>
      </c>
      <c r="M115" s="45" cm="1">
        <f t="array" aca="1" ref="M115" ca="1">SUMPRODUCT((Table1[SubscriptionStart] &lt;= $A115) * (Table1[EffectiveEndDate] &gt;= $A115) * (Table1[Region] = "Wales"))</f>
        <v>18</v>
      </c>
      <c r="N115" s="45" cm="1">
        <f t="array" aca="1" ref="N115" ca="1">SUMPRODUCT((Table1[SubscriptionStart] &lt;= $A115) * (Table1[EffectiveEndDate] &gt;= $A115) * (Table1[Region] = "Northern Ireland"))</f>
        <v>35</v>
      </c>
      <c r="O115" s="45" cm="1">
        <f t="array" aca="1" ref="O115" ca="1">SUMPRODUCT((Table1[Gender]="Male")*(Table1[SubscriptionStart]&lt;=A115)*(Table1[EffectiveEndDate]&gt;=A115))</f>
        <v>48</v>
      </c>
      <c r="P115" s="45" cm="1">
        <f t="array" aca="1" ref="P115" ca="1">SUMPRODUCT((Table1[Gender]="Female")*(Table1[SubscriptionStart]&lt;=A115)*(Table1[EffectiveEndDate]&gt;=A115))</f>
        <v>45</v>
      </c>
    </row>
    <row r="116" spans="1:16">
      <c r="A116" s="48">
        <f t="shared" si="7"/>
        <v>44676</v>
      </c>
      <c r="B116" s="45" cm="1">
        <f t="array" aca="1" ref="B116" ca="1">SUMPRODUCT((Table1[SubscriptionStart]&lt;=A116)*(Table1[EffectiveEndDate]&gt;=A116))</f>
        <v>93</v>
      </c>
      <c r="C116" s="45">
        <f>COUNTIFS(Table1[SubscriptionStart], A116)</f>
        <v>0</v>
      </c>
      <c r="D116" s="45">
        <f>COUNTIFS(Table1[CancellationDate], A116)</f>
        <v>0</v>
      </c>
      <c r="E116" s="45">
        <f t="shared" si="4"/>
        <v>0</v>
      </c>
      <c r="F116" s="45">
        <f>SUM($C$2:C116)</f>
        <v>103</v>
      </c>
      <c r="G116" s="49" cm="1">
        <f t="array" aca="1" ref="G116" ca="1">IF(B116=0,"", SUMPRODUCT((Table1[SubscriptionStart]&lt;=A116)*(Table1[EffectiveEndDate]&gt;=A116)*Table1[Age]) / B116 )</f>
        <v>41.98924731182796</v>
      </c>
      <c r="H116" s="22">
        <f>SUMIF(Table1[SubscriptionStart],"&lt;="&amp;A116,Table1[TotalRevenue])</f>
        <v>23311.45</v>
      </c>
      <c r="I116" s="50">
        <f t="shared" si="5"/>
        <v>44681</v>
      </c>
      <c r="J116" s="49">
        <f t="shared" ca="1" si="6"/>
        <v>85.4</v>
      </c>
      <c r="K116" s="45" cm="1">
        <f t="array" aca="1" ref="K116" ca="1">SUMPRODUCT((Table1[SubscriptionStart] &lt;= $A116) * (Table1[EffectiveEndDate] &gt;= $A116) * (Table1[Region] = "England"))</f>
        <v>18</v>
      </c>
      <c r="L116" s="45" cm="1">
        <f t="array" aca="1" ref="L116" ca="1">SUMPRODUCT((Table1[SubscriptionStart] &lt;= $A116) * (Table1[EffectiveEndDate] &gt;= $A116) * (Table1[Region] = "Scotland"))</f>
        <v>22</v>
      </c>
      <c r="M116" s="45" cm="1">
        <f t="array" aca="1" ref="M116" ca="1">SUMPRODUCT((Table1[SubscriptionStart] &lt;= $A116) * (Table1[EffectiveEndDate] &gt;= $A116) * (Table1[Region] = "Wales"))</f>
        <v>18</v>
      </c>
      <c r="N116" s="45" cm="1">
        <f t="array" aca="1" ref="N116" ca="1">SUMPRODUCT((Table1[SubscriptionStart] &lt;= $A116) * (Table1[EffectiveEndDate] &gt;= $A116) * (Table1[Region] = "Northern Ireland"))</f>
        <v>35</v>
      </c>
      <c r="O116" s="45" cm="1">
        <f t="array" aca="1" ref="O116" ca="1">SUMPRODUCT((Table1[Gender]="Male")*(Table1[SubscriptionStart]&lt;=A116)*(Table1[EffectiveEndDate]&gt;=A116))</f>
        <v>48</v>
      </c>
      <c r="P116" s="45" cm="1">
        <f t="array" aca="1" ref="P116" ca="1">SUMPRODUCT((Table1[Gender]="Female")*(Table1[SubscriptionStart]&lt;=A116)*(Table1[EffectiveEndDate]&gt;=A116))</f>
        <v>45</v>
      </c>
    </row>
    <row r="117" spans="1:16">
      <c r="A117" s="48">
        <f t="shared" si="7"/>
        <v>44677</v>
      </c>
      <c r="B117" s="45" cm="1">
        <f t="array" aca="1" ref="B117" ca="1">SUMPRODUCT((Table1[SubscriptionStart]&lt;=A117)*(Table1[EffectiveEndDate]&gt;=A117))</f>
        <v>94</v>
      </c>
      <c r="C117" s="45">
        <f>COUNTIFS(Table1[SubscriptionStart], A117)</f>
        <v>1</v>
      </c>
      <c r="D117" s="45">
        <f>COUNTIFS(Table1[CancellationDate], A117)</f>
        <v>0</v>
      </c>
      <c r="E117" s="45">
        <f t="shared" si="4"/>
        <v>1</v>
      </c>
      <c r="F117" s="45">
        <f>SUM($C$2:C117)</f>
        <v>104</v>
      </c>
      <c r="G117" s="49" cm="1">
        <f t="array" aca="1" ref="G117" ca="1">IF(B117=0,"", SUMPRODUCT((Table1[SubscriptionStart]&lt;=A117)*(Table1[EffectiveEndDate]&gt;=A117)*Table1[Age]) / B117 )</f>
        <v>42.297872340425535</v>
      </c>
      <c r="H117" s="22">
        <f>SUMIF(Table1[SubscriptionStart],"&lt;="&amp;A117,Table1[TotalRevenue])</f>
        <v>23491.45</v>
      </c>
      <c r="I117" s="50">
        <f t="shared" si="5"/>
        <v>44681</v>
      </c>
      <c r="J117" s="49">
        <f t="shared" ca="1" si="6"/>
        <v>85.4</v>
      </c>
      <c r="K117" s="45" cm="1">
        <f t="array" aca="1" ref="K117" ca="1">SUMPRODUCT((Table1[SubscriptionStart] &lt;= $A117) * (Table1[EffectiveEndDate] &gt;= $A117) * (Table1[Region] = "England"))</f>
        <v>18</v>
      </c>
      <c r="L117" s="45" cm="1">
        <f t="array" aca="1" ref="L117" ca="1">SUMPRODUCT((Table1[SubscriptionStart] &lt;= $A117) * (Table1[EffectiveEndDate] &gt;= $A117) * (Table1[Region] = "Scotland"))</f>
        <v>22</v>
      </c>
      <c r="M117" s="45" cm="1">
        <f t="array" aca="1" ref="M117" ca="1">SUMPRODUCT((Table1[SubscriptionStart] &lt;= $A117) * (Table1[EffectiveEndDate] &gt;= $A117) * (Table1[Region] = "Wales"))</f>
        <v>18</v>
      </c>
      <c r="N117" s="45" cm="1">
        <f t="array" aca="1" ref="N117" ca="1">SUMPRODUCT((Table1[SubscriptionStart] &lt;= $A117) * (Table1[EffectiveEndDate] &gt;= $A117) * (Table1[Region] = "Northern Ireland"))</f>
        <v>36</v>
      </c>
      <c r="O117" s="45" cm="1">
        <f t="array" aca="1" ref="O117" ca="1">SUMPRODUCT((Table1[Gender]="Male")*(Table1[SubscriptionStart]&lt;=A117)*(Table1[EffectiveEndDate]&gt;=A117))</f>
        <v>48</v>
      </c>
      <c r="P117" s="45" cm="1">
        <f t="array" aca="1" ref="P117" ca="1">SUMPRODUCT((Table1[Gender]="Female")*(Table1[SubscriptionStart]&lt;=A117)*(Table1[EffectiveEndDate]&gt;=A117))</f>
        <v>46</v>
      </c>
    </row>
    <row r="118" spans="1:16">
      <c r="A118" s="48">
        <f t="shared" si="7"/>
        <v>44678</v>
      </c>
      <c r="B118" s="45" cm="1">
        <f t="array" aca="1" ref="B118" ca="1">SUMPRODUCT((Table1[SubscriptionStart]&lt;=A118)*(Table1[EffectiveEndDate]&gt;=A118))</f>
        <v>94</v>
      </c>
      <c r="C118" s="45">
        <f>COUNTIFS(Table1[SubscriptionStart], A118)</f>
        <v>0</v>
      </c>
      <c r="D118" s="45">
        <f>COUNTIFS(Table1[CancellationDate], A118)</f>
        <v>0</v>
      </c>
      <c r="E118" s="45">
        <f t="shared" si="4"/>
        <v>0</v>
      </c>
      <c r="F118" s="45">
        <f>SUM($C$2:C118)</f>
        <v>104</v>
      </c>
      <c r="G118" s="49" cm="1">
        <f t="array" aca="1" ref="G118" ca="1">IF(B118=0,"", SUMPRODUCT((Table1[SubscriptionStart]&lt;=A118)*(Table1[EffectiveEndDate]&gt;=A118)*Table1[Age]) / B118 )</f>
        <v>42.297872340425535</v>
      </c>
      <c r="H118" s="22">
        <f>SUMIF(Table1[SubscriptionStart],"&lt;="&amp;A118,Table1[TotalRevenue])</f>
        <v>23491.45</v>
      </c>
      <c r="I118" s="50">
        <f t="shared" si="5"/>
        <v>44681</v>
      </c>
      <c r="J118" s="49">
        <f t="shared" ca="1" si="6"/>
        <v>85.4</v>
      </c>
      <c r="K118" s="45" cm="1">
        <f t="array" aca="1" ref="K118" ca="1">SUMPRODUCT((Table1[SubscriptionStart] &lt;= $A118) * (Table1[EffectiveEndDate] &gt;= $A118) * (Table1[Region] = "England"))</f>
        <v>18</v>
      </c>
      <c r="L118" s="45" cm="1">
        <f t="array" aca="1" ref="L118" ca="1">SUMPRODUCT((Table1[SubscriptionStart] &lt;= $A118) * (Table1[EffectiveEndDate] &gt;= $A118) * (Table1[Region] = "Scotland"))</f>
        <v>22</v>
      </c>
      <c r="M118" s="45" cm="1">
        <f t="array" aca="1" ref="M118" ca="1">SUMPRODUCT((Table1[SubscriptionStart] &lt;= $A118) * (Table1[EffectiveEndDate] &gt;= $A118) * (Table1[Region] = "Wales"))</f>
        <v>18</v>
      </c>
      <c r="N118" s="45" cm="1">
        <f t="array" aca="1" ref="N118" ca="1">SUMPRODUCT((Table1[SubscriptionStart] &lt;= $A118) * (Table1[EffectiveEndDate] &gt;= $A118) * (Table1[Region] = "Northern Ireland"))</f>
        <v>36</v>
      </c>
      <c r="O118" s="45" cm="1">
        <f t="array" aca="1" ref="O118" ca="1">SUMPRODUCT((Table1[Gender]="Male")*(Table1[SubscriptionStart]&lt;=A118)*(Table1[EffectiveEndDate]&gt;=A118))</f>
        <v>48</v>
      </c>
      <c r="P118" s="45" cm="1">
        <f t="array" aca="1" ref="P118" ca="1">SUMPRODUCT((Table1[Gender]="Female")*(Table1[SubscriptionStart]&lt;=A118)*(Table1[EffectiveEndDate]&gt;=A118))</f>
        <v>46</v>
      </c>
    </row>
    <row r="119" spans="1:16">
      <c r="A119" s="48">
        <f t="shared" si="7"/>
        <v>44679</v>
      </c>
      <c r="B119" s="45" cm="1">
        <f t="array" aca="1" ref="B119" ca="1">SUMPRODUCT((Table1[SubscriptionStart]&lt;=A119)*(Table1[EffectiveEndDate]&gt;=A119))</f>
        <v>94</v>
      </c>
      <c r="C119" s="45">
        <f>COUNTIFS(Table1[SubscriptionStart], A119)</f>
        <v>0</v>
      </c>
      <c r="D119" s="45">
        <f>COUNTIFS(Table1[CancellationDate], A119)</f>
        <v>0</v>
      </c>
      <c r="E119" s="45">
        <f t="shared" si="4"/>
        <v>0</v>
      </c>
      <c r="F119" s="45">
        <f>SUM($C$2:C119)</f>
        <v>104</v>
      </c>
      <c r="G119" s="49" cm="1">
        <f t="array" aca="1" ref="G119" ca="1">IF(B119=0,"", SUMPRODUCT((Table1[SubscriptionStart]&lt;=A119)*(Table1[EffectiveEndDate]&gt;=A119)*Table1[Age]) / B119 )</f>
        <v>42.297872340425535</v>
      </c>
      <c r="H119" s="22">
        <f>SUMIF(Table1[SubscriptionStart],"&lt;="&amp;A119,Table1[TotalRevenue])</f>
        <v>23491.45</v>
      </c>
      <c r="I119" s="50">
        <f t="shared" si="5"/>
        <v>44681</v>
      </c>
      <c r="J119" s="49">
        <f t="shared" ca="1" si="6"/>
        <v>85.4</v>
      </c>
      <c r="K119" s="45" cm="1">
        <f t="array" aca="1" ref="K119" ca="1">SUMPRODUCT((Table1[SubscriptionStart] &lt;= $A119) * (Table1[EffectiveEndDate] &gt;= $A119) * (Table1[Region] = "England"))</f>
        <v>18</v>
      </c>
      <c r="L119" s="45" cm="1">
        <f t="array" aca="1" ref="L119" ca="1">SUMPRODUCT((Table1[SubscriptionStart] &lt;= $A119) * (Table1[EffectiveEndDate] &gt;= $A119) * (Table1[Region] = "Scotland"))</f>
        <v>22</v>
      </c>
      <c r="M119" s="45" cm="1">
        <f t="array" aca="1" ref="M119" ca="1">SUMPRODUCT((Table1[SubscriptionStart] &lt;= $A119) * (Table1[EffectiveEndDate] &gt;= $A119) * (Table1[Region] = "Wales"))</f>
        <v>18</v>
      </c>
      <c r="N119" s="45" cm="1">
        <f t="array" aca="1" ref="N119" ca="1">SUMPRODUCT((Table1[SubscriptionStart] &lt;= $A119) * (Table1[EffectiveEndDate] &gt;= $A119) * (Table1[Region] = "Northern Ireland"))</f>
        <v>36</v>
      </c>
      <c r="O119" s="45" cm="1">
        <f t="array" aca="1" ref="O119" ca="1">SUMPRODUCT((Table1[Gender]="Male")*(Table1[SubscriptionStart]&lt;=A119)*(Table1[EffectiveEndDate]&gt;=A119))</f>
        <v>48</v>
      </c>
      <c r="P119" s="45" cm="1">
        <f t="array" aca="1" ref="P119" ca="1">SUMPRODUCT((Table1[Gender]="Female")*(Table1[SubscriptionStart]&lt;=A119)*(Table1[EffectiveEndDate]&gt;=A119))</f>
        <v>46</v>
      </c>
    </row>
    <row r="120" spans="1:16">
      <c r="A120" s="48">
        <f t="shared" si="7"/>
        <v>44680</v>
      </c>
      <c r="B120" s="45" cm="1">
        <f t="array" aca="1" ref="B120" ca="1">SUMPRODUCT((Table1[SubscriptionStart]&lt;=A120)*(Table1[EffectiveEndDate]&gt;=A120))</f>
        <v>95</v>
      </c>
      <c r="C120" s="45">
        <f>COUNTIFS(Table1[SubscriptionStart], A120)</f>
        <v>1</v>
      </c>
      <c r="D120" s="45">
        <f>COUNTIFS(Table1[CancellationDate], A120)</f>
        <v>0</v>
      </c>
      <c r="E120" s="45">
        <f t="shared" si="4"/>
        <v>1</v>
      </c>
      <c r="F120" s="45">
        <f>SUM($C$2:C120)</f>
        <v>105</v>
      </c>
      <c r="G120" s="49" cm="1">
        <f t="array" aca="1" ref="G120" ca="1">IF(B120=0,"", SUMPRODUCT((Table1[SubscriptionStart]&lt;=A120)*(Table1[EffectiveEndDate]&gt;=A120)*Table1[Age]) / B120 )</f>
        <v>42.147368421052633</v>
      </c>
      <c r="H120" s="22">
        <f>SUMIF(Table1[SubscriptionStart],"&lt;="&amp;A120,Table1[TotalRevenue])</f>
        <v>23563.45</v>
      </c>
      <c r="I120" s="50">
        <f t="shared" si="5"/>
        <v>44681</v>
      </c>
      <c r="J120" s="49">
        <f t="shared" ca="1" si="6"/>
        <v>85.4</v>
      </c>
      <c r="K120" s="45" cm="1">
        <f t="array" aca="1" ref="K120" ca="1">SUMPRODUCT((Table1[SubscriptionStart] &lt;= $A120) * (Table1[EffectiveEndDate] &gt;= $A120) * (Table1[Region] = "England"))</f>
        <v>18</v>
      </c>
      <c r="L120" s="45" cm="1">
        <f t="array" aca="1" ref="L120" ca="1">SUMPRODUCT((Table1[SubscriptionStart] &lt;= $A120) * (Table1[EffectiveEndDate] &gt;= $A120) * (Table1[Region] = "Scotland"))</f>
        <v>22</v>
      </c>
      <c r="M120" s="45" cm="1">
        <f t="array" aca="1" ref="M120" ca="1">SUMPRODUCT((Table1[SubscriptionStart] &lt;= $A120) * (Table1[EffectiveEndDate] &gt;= $A120) * (Table1[Region] = "Wales"))</f>
        <v>18</v>
      </c>
      <c r="N120" s="45" cm="1">
        <f t="array" aca="1" ref="N120" ca="1">SUMPRODUCT((Table1[SubscriptionStart] &lt;= $A120) * (Table1[EffectiveEndDate] &gt;= $A120) * (Table1[Region] = "Northern Ireland"))</f>
        <v>37</v>
      </c>
      <c r="O120" s="45" cm="1">
        <f t="array" aca="1" ref="O120" ca="1">SUMPRODUCT((Table1[Gender]="Male")*(Table1[SubscriptionStart]&lt;=A120)*(Table1[EffectiveEndDate]&gt;=A120))</f>
        <v>48</v>
      </c>
      <c r="P120" s="45" cm="1">
        <f t="array" aca="1" ref="P120" ca="1">SUMPRODUCT((Table1[Gender]="Female")*(Table1[SubscriptionStart]&lt;=A120)*(Table1[EffectiveEndDate]&gt;=A120))</f>
        <v>47</v>
      </c>
    </row>
    <row r="121" spans="1:16">
      <c r="A121" s="48">
        <f t="shared" si="7"/>
        <v>44681</v>
      </c>
      <c r="B121" s="45" cm="1">
        <f t="array" aca="1" ref="B121" ca="1">SUMPRODUCT((Table1[SubscriptionStart]&lt;=A121)*(Table1[EffectiveEndDate]&gt;=A121))</f>
        <v>96</v>
      </c>
      <c r="C121" s="45">
        <f>COUNTIFS(Table1[SubscriptionStart], A121)</f>
        <v>1</v>
      </c>
      <c r="D121" s="45">
        <f>COUNTIFS(Table1[CancellationDate], A121)</f>
        <v>0</v>
      </c>
      <c r="E121" s="45">
        <f t="shared" si="4"/>
        <v>1</v>
      </c>
      <c r="F121" s="45">
        <f>SUM($C$2:C121)</f>
        <v>106</v>
      </c>
      <c r="G121" s="49" cm="1">
        <f t="array" aca="1" ref="G121" ca="1">IF(B121=0,"", SUMPRODUCT((Table1[SubscriptionStart]&lt;=A121)*(Table1[EffectiveEndDate]&gt;=A121)*Table1[Age]) / B121 )</f>
        <v>42.083333333333336</v>
      </c>
      <c r="H121" s="22">
        <f>SUMIF(Table1[SubscriptionStart],"&lt;="&amp;A121,Table1[TotalRevenue])</f>
        <v>23635.45</v>
      </c>
      <c r="I121" s="50">
        <f t="shared" si="5"/>
        <v>44681</v>
      </c>
      <c r="J121" s="49">
        <f t="shared" ca="1" si="6"/>
        <v>85.4</v>
      </c>
      <c r="K121" s="45" cm="1">
        <f t="array" aca="1" ref="K121" ca="1">SUMPRODUCT((Table1[SubscriptionStart] &lt;= $A121) * (Table1[EffectiveEndDate] &gt;= $A121) * (Table1[Region] = "England"))</f>
        <v>19</v>
      </c>
      <c r="L121" s="45" cm="1">
        <f t="array" aca="1" ref="L121" ca="1">SUMPRODUCT((Table1[SubscriptionStart] &lt;= $A121) * (Table1[EffectiveEndDate] &gt;= $A121) * (Table1[Region] = "Scotland"))</f>
        <v>22</v>
      </c>
      <c r="M121" s="45" cm="1">
        <f t="array" aca="1" ref="M121" ca="1">SUMPRODUCT((Table1[SubscriptionStart] &lt;= $A121) * (Table1[EffectiveEndDate] &gt;= $A121) * (Table1[Region] = "Wales"))</f>
        <v>18</v>
      </c>
      <c r="N121" s="45" cm="1">
        <f t="array" aca="1" ref="N121" ca="1">SUMPRODUCT((Table1[SubscriptionStart] &lt;= $A121) * (Table1[EffectiveEndDate] &gt;= $A121) * (Table1[Region] = "Northern Ireland"))</f>
        <v>37</v>
      </c>
      <c r="O121" s="45" cm="1">
        <f t="array" aca="1" ref="O121" ca="1">SUMPRODUCT((Table1[Gender]="Male")*(Table1[SubscriptionStart]&lt;=A121)*(Table1[EffectiveEndDate]&gt;=A121))</f>
        <v>49</v>
      </c>
      <c r="P121" s="45" cm="1">
        <f t="array" aca="1" ref="P121" ca="1">SUMPRODUCT((Table1[Gender]="Female")*(Table1[SubscriptionStart]&lt;=A121)*(Table1[EffectiveEndDate]&gt;=A121))</f>
        <v>47</v>
      </c>
    </row>
    <row r="122" spans="1:16">
      <c r="A122" s="48">
        <f t="shared" si="7"/>
        <v>44682</v>
      </c>
      <c r="B122" s="45" cm="1">
        <f t="array" aca="1" ref="B122" ca="1">SUMPRODUCT((Table1[SubscriptionStart]&lt;=A122)*(Table1[EffectiveEndDate]&gt;=A122))</f>
        <v>97</v>
      </c>
      <c r="C122" s="45">
        <f>COUNTIFS(Table1[SubscriptionStart], A122)</f>
        <v>1</v>
      </c>
      <c r="D122" s="45">
        <f>COUNTIFS(Table1[CancellationDate], A122)</f>
        <v>0</v>
      </c>
      <c r="E122" s="45">
        <f t="shared" si="4"/>
        <v>1</v>
      </c>
      <c r="F122" s="45">
        <f>SUM($C$2:C122)</f>
        <v>107</v>
      </c>
      <c r="G122" s="49" cm="1">
        <f t="array" aca="1" ref="G122" ca="1">IF(B122=0,"", SUMPRODUCT((Table1[SubscriptionStart]&lt;=A122)*(Table1[EffectiveEndDate]&gt;=A122)*Table1[Age]) / B122 )</f>
        <v>42.216494845360828</v>
      </c>
      <c r="H122" s="22">
        <f>SUMIF(Table1[SubscriptionStart],"&lt;="&amp;A122,Table1[TotalRevenue])</f>
        <v>23815.45</v>
      </c>
      <c r="I122" s="50">
        <f t="shared" si="5"/>
        <v>44712</v>
      </c>
      <c r="J122" s="49">
        <f t="shared" ca="1" si="6"/>
        <v>110.03225806451613</v>
      </c>
      <c r="K122" s="45" cm="1">
        <f t="array" aca="1" ref="K122" ca="1">SUMPRODUCT((Table1[SubscriptionStart] &lt;= $A122) * (Table1[EffectiveEndDate] &gt;= $A122) * (Table1[Region] = "England"))</f>
        <v>19</v>
      </c>
      <c r="L122" s="45" cm="1">
        <f t="array" aca="1" ref="L122" ca="1">SUMPRODUCT((Table1[SubscriptionStart] &lt;= $A122) * (Table1[EffectiveEndDate] &gt;= $A122) * (Table1[Region] = "Scotland"))</f>
        <v>22</v>
      </c>
      <c r="M122" s="45" cm="1">
        <f t="array" aca="1" ref="M122" ca="1">SUMPRODUCT((Table1[SubscriptionStart] &lt;= $A122) * (Table1[EffectiveEndDate] &gt;= $A122) * (Table1[Region] = "Wales"))</f>
        <v>19</v>
      </c>
      <c r="N122" s="45" cm="1">
        <f t="array" aca="1" ref="N122" ca="1">SUMPRODUCT((Table1[SubscriptionStart] &lt;= $A122) * (Table1[EffectiveEndDate] &gt;= $A122) * (Table1[Region] = "Northern Ireland"))</f>
        <v>37</v>
      </c>
      <c r="O122" s="45" cm="1">
        <f t="array" aca="1" ref="O122" ca="1">SUMPRODUCT((Table1[Gender]="Male")*(Table1[SubscriptionStart]&lt;=A122)*(Table1[EffectiveEndDate]&gt;=A122))</f>
        <v>50</v>
      </c>
      <c r="P122" s="45" cm="1">
        <f t="array" aca="1" ref="P122" ca="1">SUMPRODUCT((Table1[Gender]="Female")*(Table1[SubscriptionStart]&lt;=A122)*(Table1[EffectiveEndDate]&gt;=A122))</f>
        <v>47</v>
      </c>
    </row>
    <row r="123" spans="1:16">
      <c r="A123" s="48">
        <f t="shared" si="7"/>
        <v>44683</v>
      </c>
      <c r="B123" s="45" cm="1">
        <f t="array" aca="1" ref="B123" ca="1">SUMPRODUCT((Table1[SubscriptionStart]&lt;=A123)*(Table1[EffectiveEndDate]&gt;=A123))</f>
        <v>98</v>
      </c>
      <c r="C123" s="45">
        <f>COUNTIFS(Table1[SubscriptionStart], A123)</f>
        <v>1</v>
      </c>
      <c r="D123" s="45">
        <f>COUNTIFS(Table1[CancellationDate], A123)</f>
        <v>0</v>
      </c>
      <c r="E123" s="45">
        <f t="shared" si="4"/>
        <v>1</v>
      </c>
      <c r="F123" s="45">
        <f>SUM($C$2:C123)</f>
        <v>108</v>
      </c>
      <c r="G123" s="49" cm="1">
        <f t="array" aca="1" ref="G123" ca="1">IF(B123=0,"", SUMPRODUCT((Table1[SubscriptionStart]&lt;=A123)*(Table1[EffectiveEndDate]&gt;=A123)*Table1[Age]) / B123 )</f>
        <v>42.193877551020407</v>
      </c>
      <c r="H123" s="22">
        <f>SUMIF(Table1[SubscriptionStart],"&lt;="&amp;A123,Table1[TotalRevenue])</f>
        <v>24862.95</v>
      </c>
      <c r="I123" s="50">
        <f t="shared" si="5"/>
        <v>44712</v>
      </c>
      <c r="J123" s="49">
        <f t="shared" ca="1" si="6"/>
        <v>110.03225806451613</v>
      </c>
      <c r="K123" s="45" cm="1">
        <f t="array" aca="1" ref="K123" ca="1">SUMPRODUCT((Table1[SubscriptionStart] &lt;= $A123) * (Table1[EffectiveEndDate] &gt;= $A123) * (Table1[Region] = "England"))</f>
        <v>20</v>
      </c>
      <c r="L123" s="45" cm="1">
        <f t="array" aca="1" ref="L123" ca="1">SUMPRODUCT((Table1[SubscriptionStart] &lt;= $A123) * (Table1[EffectiveEndDate] &gt;= $A123) * (Table1[Region] = "Scotland"))</f>
        <v>22</v>
      </c>
      <c r="M123" s="45" cm="1">
        <f t="array" aca="1" ref="M123" ca="1">SUMPRODUCT((Table1[SubscriptionStart] &lt;= $A123) * (Table1[EffectiveEndDate] &gt;= $A123) * (Table1[Region] = "Wales"))</f>
        <v>19</v>
      </c>
      <c r="N123" s="45" cm="1">
        <f t="array" aca="1" ref="N123" ca="1">SUMPRODUCT((Table1[SubscriptionStart] &lt;= $A123) * (Table1[EffectiveEndDate] &gt;= $A123) * (Table1[Region] = "Northern Ireland"))</f>
        <v>37</v>
      </c>
      <c r="O123" s="45" cm="1">
        <f t="array" aca="1" ref="O123" ca="1">SUMPRODUCT((Table1[Gender]="Male")*(Table1[SubscriptionStart]&lt;=A123)*(Table1[EffectiveEndDate]&gt;=A123))</f>
        <v>50</v>
      </c>
      <c r="P123" s="45" cm="1">
        <f t="array" aca="1" ref="P123" ca="1">SUMPRODUCT((Table1[Gender]="Female")*(Table1[SubscriptionStart]&lt;=A123)*(Table1[EffectiveEndDate]&gt;=A123))</f>
        <v>48</v>
      </c>
    </row>
    <row r="124" spans="1:16">
      <c r="A124" s="48">
        <f t="shared" si="7"/>
        <v>44684</v>
      </c>
      <c r="B124" s="45" cm="1">
        <f t="array" aca="1" ref="B124" ca="1">SUMPRODUCT((Table1[SubscriptionStart]&lt;=A124)*(Table1[EffectiveEndDate]&gt;=A124))</f>
        <v>99</v>
      </c>
      <c r="C124" s="45">
        <f>COUNTIFS(Table1[SubscriptionStart], A124)</f>
        <v>1</v>
      </c>
      <c r="D124" s="45">
        <f>COUNTIFS(Table1[CancellationDate], A124)</f>
        <v>0</v>
      </c>
      <c r="E124" s="45">
        <f t="shared" si="4"/>
        <v>1</v>
      </c>
      <c r="F124" s="45">
        <f>SUM($C$2:C124)</f>
        <v>109</v>
      </c>
      <c r="G124" s="49" cm="1">
        <f t="array" aca="1" ref="G124" ca="1">IF(B124=0,"", SUMPRODUCT((Table1[SubscriptionStart]&lt;=A124)*(Table1[EffectiveEndDate]&gt;=A124)*Table1[Age]) / B124 )</f>
        <v>42.434343434343432</v>
      </c>
      <c r="H124" s="22">
        <f>SUMIF(Table1[SubscriptionStart],"&lt;="&amp;A124,Table1[TotalRevenue])</f>
        <v>24935.850000000002</v>
      </c>
      <c r="I124" s="50">
        <f t="shared" si="5"/>
        <v>44712</v>
      </c>
      <c r="J124" s="49">
        <f t="shared" ca="1" si="6"/>
        <v>110.03225806451613</v>
      </c>
      <c r="K124" s="45" cm="1">
        <f t="array" aca="1" ref="K124" ca="1">SUMPRODUCT((Table1[SubscriptionStart] &lt;= $A124) * (Table1[EffectiveEndDate] &gt;= $A124) * (Table1[Region] = "England"))</f>
        <v>20</v>
      </c>
      <c r="L124" s="45" cm="1">
        <f t="array" aca="1" ref="L124" ca="1">SUMPRODUCT((Table1[SubscriptionStart] &lt;= $A124) * (Table1[EffectiveEndDate] &gt;= $A124) * (Table1[Region] = "Scotland"))</f>
        <v>23</v>
      </c>
      <c r="M124" s="45" cm="1">
        <f t="array" aca="1" ref="M124" ca="1">SUMPRODUCT((Table1[SubscriptionStart] &lt;= $A124) * (Table1[EffectiveEndDate] &gt;= $A124) * (Table1[Region] = "Wales"))</f>
        <v>19</v>
      </c>
      <c r="N124" s="45" cm="1">
        <f t="array" aca="1" ref="N124" ca="1">SUMPRODUCT((Table1[SubscriptionStart] &lt;= $A124) * (Table1[EffectiveEndDate] &gt;= $A124) * (Table1[Region] = "Northern Ireland"))</f>
        <v>37</v>
      </c>
      <c r="O124" s="45" cm="1">
        <f t="array" aca="1" ref="O124" ca="1">SUMPRODUCT((Table1[Gender]="Male")*(Table1[SubscriptionStart]&lt;=A124)*(Table1[EffectiveEndDate]&gt;=A124))</f>
        <v>51</v>
      </c>
      <c r="P124" s="45" cm="1">
        <f t="array" aca="1" ref="P124" ca="1">SUMPRODUCT((Table1[Gender]="Female")*(Table1[SubscriptionStart]&lt;=A124)*(Table1[EffectiveEndDate]&gt;=A124))</f>
        <v>48</v>
      </c>
    </row>
    <row r="125" spans="1:16">
      <c r="A125" s="48">
        <f t="shared" si="7"/>
        <v>44685</v>
      </c>
      <c r="B125" s="45" cm="1">
        <f t="array" aca="1" ref="B125" ca="1">SUMPRODUCT((Table1[SubscriptionStart]&lt;=A125)*(Table1[EffectiveEndDate]&gt;=A125))</f>
        <v>99</v>
      </c>
      <c r="C125" s="45">
        <f>COUNTIFS(Table1[SubscriptionStart], A125)</f>
        <v>0</v>
      </c>
      <c r="D125" s="45">
        <f>COUNTIFS(Table1[CancellationDate], A125)</f>
        <v>0</v>
      </c>
      <c r="E125" s="45">
        <f t="shared" si="4"/>
        <v>0</v>
      </c>
      <c r="F125" s="45">
        <f>SUM($C$2:C125)</f>
        <v>109</v>
      </c>
      <c r="G125" s="49" cm="1">
        <f t="array" aca="1" ref="G125" ca="1">IF(B125=0,"", SUMPRODUCT((Table1[SubscriptionStart]&lt;=A125)*(Table1[EffectiveEndDate]&gt;=A125)*Table1[Age]) / B125 )</f>
        <v>42.434343434343432</v>
      </c>
      <c r="H125" s="22">
        <f>SUMIF(Table1[SubscriptionStart],"&lt;="&amp;A125,Table1[TotalRevenue])</f>
        <v>24935.850000000002</v>
      </c>
      <c r="I125" s="50">
        <f t="shared" si="5"/>
        <v>44712</v>
      </c>
      <c r="J125" s="49">
        <f t="shared" ca="1" si="6"/>
        <v>110.03225806451613</v>
      </c>
      <c r="K125" s="45" cm="1">
        <f t="array" aca="1" ref="K125" ca="1">SUMPRODUCT((Table1[SubscriptionStart] &lt;= $A125) * (Table1[EffectiveEndDate] &gt;= $A125) * (Table1[Region] = "England"))</f>
        <v>20</v>
      </c>
      <c r="L125" s="45" cm="1">
        <f t="array" aca="1" ref="L125" ca="1">SUMPRODUCT((Table1[SubscriptionStart] &lt;= $A125) * (Table1[EffectiveEndDate] &gt;= $A125) * (Table1[Region] = "Scotland"))</f>
        <v>23</v>
      </c>
      <c r="M125" s="45" cm="1">
        <f t="array" aca="1" ref="M125" ca="1">SUMPRODUCT((Table1[SubscriptionStart] &lt;= $A125) * (Table1[EffectiveEndDate] &gt;= $A125) * (Table1[Region] = "Wales"))</f>
        <v>19</v>
      </c>
      <c r="N125" s="45" cm="1">
        <f t="array" aca="1" ref="N125" ca="1">SUMPRODUCT((Table1[SubscriptionStart] &lt;= $A125) * (Table1[EffectiveEndDate] &gt;= $A125) * (Table1[Region] = "Northern Ireland"))</f>
        <v>37</v>
      </c>
      <c r="O125" s="45" cm="1">
        <f t="array" aca="1" ref="O125" ca="1">SUMPRODUCT((Table1[Gender]="Male")*(Table1[SubscriptionStart]&lt;=A125)*(Table1[EffectiveEndDate]&gt;=A125))</f>
        <v>51</v>
      </c>
      <c r="P125" s="45" cm="1">
        <f t="array" aca="1" ref="P125" ca="1">SUMPRODUCT((Table1[Gender]="Female")*(Table1[SubscriptionStart]&lt;=A125)*(Table1[EffectiveEndDate]&gt;=A125))</f>
        <v>48</v>
      </c>
    </row>
    <row r="126" spans="1:16">
      <c r="A126" s="48">
        <f t="shared" si="7"/>
        <v>44686</v>
      </c>
      <c r="B126" s="45" cm="1">
        <f t="array" aca="1" ref="B126" ca="1">SUMPRODUCT((Table1[SubscriptionStart]&lt;=A126)*(Table1[EffectiveEndDate]&gt;=A126))</f>
        <v>100</v>
      </c>
      <c r="C126" s="45">
        <f>COUNTIFS(Table1[SubscriptionStart], A126)</f>
        <v>1</v>
      </c>
      <c r="D126" s="45">
        <f>COUNTIFS(Table1[CancellationDate], A126)</f>
        <v>0</v>
      </c>
      <c r="E126" s="45">
        <f t="shared" si="4"/>
        <v>1</v>
      </c>
      <c r="F126" s="45">
        <f>SUM($C$2:C126)</f>
        <v>110</v>
      </c>
      <c r="G126" s="49" cm="1">
        <f t="array" aca="1" ref="G126" ca="1">IF(B126=0,"", SUMPRODUCT((Table1[SubscriptionStart]&lt;=A126)*(Table1[EffectiveEndDate]&gt;=A126)*Table1[Age]) / B126 )</f>
        <v>42.4</v>
      </c>
      <c r="H126" s="22">
        <f>SUMIF(Table1[SubscriptionStart],"&lt;="&amp;A126,Table1[TotalRevenue])</f>
        <v>25983.350000000002</v>
      </c>
      <c r="I126" s="50">
        <f t="shared" si="5"/>
        <v>44712</v>
      </c>
      <c r="J126" s="49">
        <f t="shared" ca="1" si="6"/>
        <v>110.03225806451613</v>
      </c>
      <c r="K126" s="45" cm="1">
        <f t="array" aca="1" ref="K126" ca="1">SUMPRODUCT((Table1[SubscriptionStart] &lt;= $A126) * (Table1[EffectiveEndDate] &gt;= $A126) * (Table1[Region] = "England"))</f>
        <v>20</v>
      </c>
      <c r="L126" s="45" cm="1">
        <f t="array" aca="1" ref="L126" ca="1">SUMPRODUCT((Table1[SubscriptionStart] &lt;= $A126) * (Table1[EffectiveEndDate] &gt;= $A126) * (Table1[Region] = "Scotland"))</f>
        <v>23</v>
      </c>
      <c r="M126" s="45" cm="1">
        <f t="array" aca="1" ref="M126" ca="1">SUMPRODUCT((Table1[SubscriptionStart] &lt;= $A126) * (Table1[EffectiveEndDate] &gt;= $A126) * (Table1[Region] = "Wales"))</f>
        <v>20</v>
      </c>
      <c r="N126" s="45" cm="1">
        <f t="array" aca="1" ref="N126" ca="1">SUMPRODUCT((Table1[SubscriptionStart] &lt;= $A126) * (Table1[EffectiveEndDate] &gt;= $A126) * (Table1[Region] = "Northern Ireland"))</f>
        <v>37</v>
      </c>
      <c r="O126" s="45" cm="1">
        <f t="array" aca="1" ref="O126" ca="1">SUMPRODUCT((Table1[Gender]="Male")*(Table1[SubscriptionStart]&lt;=A126)*(Table1[EffectiveEndDate]&gt;=A126))</f>
        <v>51</v>
      </c>
      <c r="P126" s="45" cm="1">
        <f t="array" aca="1" ref="P126" ca="1">SUMPRODUCT((Table1[Gender]="Female")*(Table1[SubscriptionStart]&lt;=A126)*(Table1[EffectiveEndDate]&gt;=A126))</f>
        <v>49</v>
      </c>
    </row>
    <row r="127" spans="1:16">
      <c r="A127" s="48">
        <f t="shared" si="7"/>
        <v>44687</v>
      </c>
      <c r="B127" s="45" cm="1">
        <f t="array" aca="1" ref="B127" ca="1">SUMPRODUCT((Table1[SubscriptionStart]&lt;=A127)*(Table1[EffectiveEndDate]&gt;=A127))</f>
        <v>101</v>
      </c>
      <c r="C127" s="45">
        <f>COUNTIFS(Table1[SubscriptionStart], A127)</f>
        <v>1</v>
      </c>
      <c r="D127" s="45">
        <f>COUNTIFS(Table1[CancellationDate], A127)</f>
        <v>1</v>
      </c>
      <c r="E127" s="45">
        <f t="shared" si="4"/>
        <v>0</v>
      </c>
      <c r="F127" s="45">
        <f>SUM($C$2:C127)</f>
        <v>111</v>
      </c>
      <c r="G127" s="49" cm="1">
        <f t="array" aca="1" ref="G127" ca="1">IF(B127=0,"", SUMPRODUCT((Table1[SubscriptionStart]&lt;=A127)*(Table1[EffectiveEndDate]&gt;=A127)*Table1[Age]) / B127 )</f>
        <v>42.643564356435647</v>
      </c>
      <c r="H127" s="22">
        <f>SUMIF(Table1[SubscriptionStart],"&lt;="&amp;A127,Table1[TotalRevenue])</f>
        <v>26334.350000000002</v>
      </c>
      <c r="I127" s="50">
        <f t="shared" si="5"/>
        <v>44712</v>
      </c>
      <c r="J127" s="49">
        <f t="shared" ca="1" si="6"/>
        <v>110.03225806451613</v>
      </c>
      <c r="K127" s="45" cm="1">
        <f t="array" aca="1" ref="K127" ca="1">SUMPRODUCT((Table1[SubscriptionStart] &lt;= $A127) * (Table1[EffectiveEndDate] &gt;= $A127) * (Table1[Region] = "England"))</f>
        <v>20</v>
      </c>
      <c r="L127" s="45" cm="1">
        <f t="array" aca="1" ref="L127" ca="1">SUMPRODUCT((Table1[SubscriptionStart] &lt;= $A127) * (Table1[EffectiveEndDate] &gt;= $A127) * (Table1[Region] = "Scotland"))</f>
        <v>23</v>
      </c>
      <c r="M127" s="45" cm="1">
        <f t="array" aca="1" ref="M127" ca="1">SUMPRODUCT((Table1[SubscriptionStart] &lt;= $A127) * (Table1[EffectiveEndDate] &gt;= $A127) * (Table1[Region] = "Wales"))</f>
        <v>20</v>
      </c>
      <c r="N127" s="45" cm="1">
        <f t="array" aca="1" ref="N127" ca="1">SUMPRODUCT((Table1[SubscriptionStart] &lt;= $A127) * (Table1[EffectiveEndDate] &gt;= $A127) * (Table1[Region] = "Northern Ireland"))</f>
        <v>38</v>
      </c>
      <c r="O127" s="45" cm="1">
        <f t="array" aca="1" ref="O127" ca="1">SUMPRODUCT((Table1[Gender]="Male")*(Table1[SubscriptionStart]&lt;=A127)*(Table1[EffectiveEndDate]&gt;=A127))</f>
        <v>52</v>
      </c>
      <c r="P127" s="45" cm="1">
        <f t="array" aca="1" ref="P127" ca="1">SUMPRODUCT((Table1[Gender]="Female")*(Table1[SubscriptionStart]&lt;=A127)*(Table1[EffectiveEndDate]&gt;=A127))</f>
        <v>49</v>
      </c>
    </row>
    <row r="128" spans="1:16">
      <c r="A128" s="48">
        <f t="shared" si="7"/>
        <v>44688</v>
      </c>
      <c r="B128" s="45" cm="1">
        <f t="array" aca="1" ref="B128" ca="1">SUMPRODUCT((Table1[SubscriptionStart]&lt;=A128)*(Table1[EffectiveEndDate]&gt;=A128))</f>
        <v>102</v>
      </c>
      <c r="C128" s="45">
        <f>COUNTIFS(Table1[SubscriptionStart], A128)</f>
        <v>2</v>
      </c>
      <c r="D128" s="45">
        <f>COUNTIFS(Table1[CancellationDate], A128)</f>
        <v>0</v>
      </c>
      <c r="E128" s="45">
        <f t="shared" si="4"/>
        <v>2</v>
      </c>
      <c r="F128" s="45">
        <f>SUM($C$2:C128)</f>
        <v>113</v>
      </c>
      <c r="G128" s="49" cm="1">
        <f t="array" aca="1" ref="G128" ca="1">IF(B128=0,"", SUMPRODUCT((Table1[SubscriptionStart]&lt;=A128)*(Table1[EffectiveEndDate]&gt;=A128)*Table1[Age]) / B128 )</f>
        <v>42.264705882352942</v>
      </c>
      <c r="H128" s="22">
        <f>SUMIF(Table1[SubscriptionStart],"&lt;="&amp;A128,Table1[TotalRevenue])</f>
        <v>26586.350000000002</v>
      </c>
      <c r="I128" s="50">
        <f t="shared" si="5"/>
        <v>44712</v>
      </c>
      <c r="J128" s="49">
        <f t="shared" ca="1" si="6"/>
        <v>110.03225806451613</v>
      </c>
      <c r="K128" s="45" cm="1">
        <f t="array" aca="1" ref="K128" ca="1">SUMPRODUCT((Table1[SubscriptionStart] &lt;= $A128) * (Table1[EffectiveEndDate] &gt;= $A128) * (Table1[Region] = "England"))</f>
        <v>22</v>
      </c>
      <c r="L128" s="45" cm="1">
        <f t="array" aca="1" ref="L128" ca="1">SUMPRODUCT((Table1[SubscriptionStart] &lt;= $A128) * (Table1[EffectiveEndDate] &gt;= $A128) * (Table1[Region] = "Scotland"))</f>
        <v>23</v>
      </c>
      <c r="M128" s="45" cm="1">
        <f t="array" aca="1" ref="M128" ca="1">SUMPRODUCT((Table1[SubscriptionStart] &lt;= $A128) * (Table1[EffectiveEndDate] &gt;= $A128) * (Table1[Region] = "Wales"))</f>
        <v>20</v>
      </c>
      <c r="N128" s="45" cm="1">
        <f t="array" aca="1" ref="N128" ca="1">SUMPRODUCT((Table1[SubscriptionStart] &lt;= $A128) * (Table1[EffectiveEndDate] &gt;= $A128) * (Table1[Region] = "Northern Ireland"))</f>
        <v>37</v>
      </c>
      <c r="O128" s="45" cm="1">
        <f t="array" aca="1" ref="O128" ca="1">SUMPRODUCT((Table1[Gender]="Male")*(Table1[SubscriptionStart]&lt;=A128)*(Table1[EffectiveEndDate]&gt;=A128))</f>
        <v>54</v>
      </c>
      <c r="P128" s="45" cm="1">
        <f t="array" aca="1" ref="P128" ca="1">SUMPRODUCT((Table1[Gender]="Female")*(Table1[SubscriptionStart]&lt;=A128)*(Table1[EffectiveEndDate]&gt;=A128))</f>
        <v>48</v>
      </c>
    </row>
    <row r="129" spans="1:16">
      <c r="A129" s="48">
        <f t="shared" si="7"/>
        <v>44689</v>
      </c>
      <c r="B129" s="45" cm="1">
        <f t="array" aca="1" ref="B129" ca="1">SUMPRODUCT((Table1[SubscriptionStart]&lt;=A129)*(Table1[EffectiveEndDate]&gt;=A129))</f>
        <v>105</v>
      </c>
      <c r="C129" s="45">
        <f>COUNTIFS(Table1[SubscriptionStart], A129)</f>
        <v>3</v>
      </c>
      <c r="D129" s="45">
        <f>COUNTIFS(Table1[CancellationDate], A129)</f>
        <v>0</v>
      </c>
      <c r="E129" s="45">
        <f t="shared" si="4"/>
        <v>3</v>
      </c>
      <c r="F129" s="45">
        <f>SUM($C$2:C129)</f>
        <v>116</v>
      </c>
      <c r="G129" s="49" cm="1">
        <f t="array" aca="1" ref="G129" ca="1">IF(B129=0,"", SUMPRODUCT((Table1[SubscriptionStart]&lt;=A129)*(Table1[EffectiveEndDate]&gt;=A129)*Table1[Age]) / B129 )</f>
        <v>42.514285714285712</v>
      </c>
      <c r="H129" s="22">
        <f>SUMIF(Table1[SubscriptionStart],"&lt;="&amp;A129,Table1[TotalRevenue])</f>
        <v>26860.850000000002</v>
      </c>
      <c r="I129" s="50">
        <f t="shared" si="5"/>
        <v>44712</v>
      </c>
      <c r="J129" s="49">
        <f t="shared" ca="1" si="6"/>
        <v>110.03225806451613</v>
      </c>
      <c r="K129" s="45" cm="1">
        <f t="array" aca="1" ref="K129" ca="1">SUMPRODUCT((Table1[SubscriptionStart] &lt;= $A129) * (Table1[EffectiveEndDate] &gt;= $A129) * (Table1[Region] = "England"))</f>
        <v>24</v>
      </c>
      <c r="L129" s="45" cm="1">
        <f t="array" aca="1" ref="L129" ca="1">SUMPRODUCT((Table1[SubscriptionStart] &lt;= $A129) * (Table1[EffectiveEndDate] &gt;= $A129) * (Table1[Region] = "Scotland"))</f>
        <v>23</v>
      </c>
      <c r="M129" s="45" cm="1">
        <f t="array" aca="1" ref="M129" ca="1">SUMPRODUCT((Table1[SubscriptionStart] &lt;= $A129) * (Table1[EffectiveEndDate] &gt;= $A129) * (Table1[Region] = "Wales"))</f>
        <v>20</v>
      </c>
      <c r="N129" s="45" cm="1">
        <f t="array" aca="1" ref="N129" ca="1">SUMPRODUCT((Table1[SubscriptionStart] &lt;= $A129) * (Table1[EffectiveEndDate] &gt;= $A129) * (Table1[Region] = "Northern Ireland"))</f>
        <v>38</v>
      </c>
      <c r="O129" s="45" cm="1">
        <f t="array" aca="1" ref="O129" ca="1">SUMPRODUCT((Table1[Gender]="Male")*(Table1[SubscriptionStart]&lt;=A129)*(Table1[EffectiveEndDate]&gt;=A129))</f>
        <v>56</v>
      </c>
      <c r="P129" s="45" cm="1">
        <f t="array" aca="1" ref="P129" ca="1">SUMPRODUCT((Table1[Gender]="Female")*(Table1[SubscriptionStart]&lt;=A129)*(Table1[EffectiveEndDate]&gt;=A129))</f>
        <v>49</v>
      </c>
    </row>
    <row r="130" spans="1:16">
      <c r="A130" s="48">
        <f t="shared" si="7"/>
        <v>44690</v>
      </c>
      <c r="B130" s="45" cm="1">
        <f t="array" aca="1" ref="B130" ca="1">SUMPRODUCT((Table1[SubscriptionStart]&lt;=A130)*(Table1[EffectiveEndDate]&gt;=A130))</f>
        <v>105</v>
      </c>
      <c r="C130" s="45">
        <f>COUNTIFS(Table1[SubscriptionStart], A130)</f>
        <v>0</v>
      </c>
      <c r="D130" s="45">
        <f>COUNTIFS(Table1[CancellationDate], A130)</f>
        <v>0</v>
      </c>
      <c r="E130" s="45">
        <f t="shared" ref="E130:E193" si="8" xml:space="preserve"> C130 - D130</f>
        <v>0</v>
      </c>
      <c r="F130" s="45">
        <f>SUM($C$2:C130)</f>
        <v>116</v>
      </c>
      <c r="G130" s="49" cm="1">
        <f t="array" aca="1" ref="G130" ca="1">IF(B130=0,"", SUMPRODUCT((Table1[SubscriptionStart]&lt;=A130)*(Table1[EffectiveEndDate]&gt;=A130)*Table1[Age]) / B130 )</f>
        <v>42.514285714285712</v>
      </c>
      <c r="H130" s="22">
        <f>SUMIF(Table1[SubscriptionStart],"&lt;="&amp;A130,Table1[TotalRevenue])</f>
        <v>26860.850000000002</v>
      </c>
      <c r="I130" s="50">
        <f t="shared" ref="I130:I193" si="9">EOMONTH(A130,0)</f>
        <v>44712</v>
      </c>
      <c r="J130" s="49">
        <f t="shared" ref="J130:J193" ca="1" si="10">AVERAGEIFS(B:B, I:I, I130)</f>
        <v>110.03225806451613</v>
      </c>
      <c r="K130" s="45" cm="1">
        <f t="array" aca="1" ref="K130" ca="1">SUMPRODUCT((Table1[SubscriptionStart] &lt;= $A130) * (Table1[EffectiveEndDate] &gt;= $A130) * (Table1[Region] = "England"))</f>
        <v>24</v>
      </c>
      <c r="L130" s="45" cm="1">
        <f t="array" aca="1" ref="L130" ca="1">SUMPRODUCT((Table1[SubscriptionStart] &lt;= $A130) * (Table1[EffectiveEndDate] &gt;= $A130) * (Table1[Region] = "Scotland"))</f>
        <v>23</v>
      </c>
      <c r="M130" s="45" cm="1">
        <f t="array" aca="1" ref="M130" ca="1">SUMPRODUCT((Table1[SubscriptionStart] &lt;= $A130) * (Table1[EffectiveEndDate] &gt;= $A130) * (Table1[Region] = "Wales"))</f>
        <v>20</v>
      </c>
      <c r="N130" s="45" cm="1">
        <f t="array" aca="1" ref="N130" ca="1">SUMPRODUCT((Table1[SubscriptionStart] &lt;= $A130) * (Table1[EffectiveEndDate] &gt;= $A130) * (Table1[Region] = "Northern Ireland"))</f>
        <v>38</v>
      </c>
      <c r="O130" s="45" cm="1">
        <f t="array" aca="1" ref="O130" ca="1">SUMPRODUCT((Table1[Gender]="Male")*(Table1[SubscriptionStart]&lt;=A130)*(Table1[EffectiveEndDate]&gt;=A130))</f>
        <v>56</v>
      </c>
      <c r="P130" s="45" cm="1">
        <f t="array" aca="1" ref="P130" ca="1">SUMPRODUCT((Table1[Gender]="Female")*(Table1[SubscriptionStart]&lt;=A130)*(Table1[EffectiveEndDate]&gt;=A130))</f>
        <v>49</v>
      </c>
    </row>
    <row r="131" spans="1:16">
      <c r="A131" s="48">
        <f t="shared" si="7"/>
        <v>44691</v>
      </c>
      <c r="B131" s="45" cm="1">
        <f t="array" aca="1" ref="B131" ca="1">SUMPRODUCT((Table1[SubscriptionStart]&lt;=A131)*(Table1[EffectiveEndDate]&gt;=A131))</f>
        <v>106</v>
      </c>
      <c r="C131" s="45">
        <f>COUNTIFS(Table1[SubscriptionStart], A131)</f>
        <v>1</v>
      </c>
      <c r="D131" s="45">
        <f>COUNTIFS(Table1[CancellationDate], A131)</f>
        <v>0</v>
      </c>
      <c r="E131" s="45">
        <f t="shared" si="8"/>
        <v>1</v>
      </c>
      <c r="F131" s="45">
        <f>SUM($C$2:C131)</f>
        <v>117</v>
      </c>
      <c r="G131" s="49" cm="1">
        <f t="array" aca="1" ref="G131" ca="1">IF(B131=0,"", SUMPRODUCT((Table1[SubscriptionStart]&lt;=A131)*(Table1[EffectiveEndDate]&gt;=A131)*Table1[Age]) / B131 )</f>
        <v>42.367924528301884</v>
      </c>
      <c r="H131" s="22">
        <f>SUMIF(Table1[SubscriptionStart],"&lt;="&amp;A131,Table1[TotalRevenue])</f>
        <v>26990.45</v>
      </c>
      <c r="I131" s="50">
        <f t="shared" si="9"/>
        <v>44712</v>
      </c>
      <c r="J131" s="49">
        <f t="shared" ca="1" si="10"/>
        <v>110.03225806451613</v>
      </c>
      <c r="K131" s="45" cm="1">
        <f t="array" aca="1" ref="K131" ca="1">SUMPRODUCT((Table1[SubscriptionStart] &lt;= $A131) * (Table1[EffectiveEndDate] &gt;= $A131) * (Table1[Region] = "England"))</f>
        <v>24</v>
      </c>
      <c r="L131" s="45" cm="1">
        <f t="array" aca="1" ref="L131" ca="1">SUMPRODUCT((Table1[SubscriptionStart] &lt;= $A131) * (Table1[EffectiveEndDate] &gt;= $A131) * (Table1[Region] = "Scotland"))</f>
        <v>23</v>
      </c>
      <c r="M131" s="45" cm="1">
        <f t="array" aca="1" ref="M131" ca="1">SUMPRODUCT((Table1[SubscriptionStart] &lt;= $A131) * (Table1[EffectiveEndDate] &gt;= $A131) * (Table1[Region] = "Wales"))</f>
        <v>21</v>
      </c>
      <c r="N131" s="45" cm="1">
        <f t="array" aca="1" ref="N131" ca="1">SUMPRODUCT((Table1[SubscriptionStart] &lt;= $A131) * (Table1[EffectiveEndDate] &gt;= $A131) * (Table1[Region] = "Northern Ireland"))</f>
        <v>38</v>
      </c>
      <c r="O131" s="45" cm="1">
        <f t="array" aca="1" ref="O131" ca="1">SUMPRODUCT((Table1[Gender]="Male")*(Table1[SubscriptionStart]&lt;=A131)*(Table1[EffectiveEndDate]&gt;=A131))</f>
        <v>56</v>
      </c>
      <c r="P131" s="45" cm="1">
        <f t="array" aca="1" ref="P131" ca="1">SUMPRODUCT((Table1[Gender]="Female")*(Table1[SubscriptionStart]&lt;=A131)*(Table1[EffectiveEndDate]&gt;=A131))</f>
        <v>50</v>
      </c>
    </row>
    <row r="132" spans="1:16">
      <c r="A132" s="48">
        <f t="shared" ref="A132:A195" si="11">A131+1</f>
        <v>44692</v>
      </c>
      <c r="B132" s="45" cm="1">
        <f t="array" aca="1" ref="B132" ca="1">SUMPRODUCT((Table1[SubscriptionStart]&lt;=A132)*(Table1[EffectiveEndDate]&gt;=A132))</f>
        <v>107</v>
      </c>
      <c r="C132" s="45">
        <f>COUNTIFS(Table1[SubscriptionStart], A132)</f>
        <v>1</v>
      </c>
      <c r="D132" s="45">
        <f>COUNTIFS(Table1[CancellationDate], A132)</f>
        <v>0</v>
      </c>
      <c r="E132" s="45">
        <f t="shared" si="8"/>
        <v>1</v>
      </c>
      <c r="F132" s="45">
        <f>SUM($C$2:C132)</f>
        <v>118</v>
      </c>
      <c r="G132" s="49" cm="1">
        <f t="array" aca="1" ref="G132" ca="1">IF(B132=0,"", SUMPRODUCT((Table1[SubscriptionStart]&lt;=A132)*(Table1[EffectiveEndDate]&gt;=A132)*Table1[Age]) / B132 )</f>
        <v>42.355140186915889</v>
      </c>
      <c r="H132" s="22">
        <f>SUMIF(Table1[SubscriptionStart],"&lt;="&amp;A132,Table1[TotalRevenue])</f>
        <v>27302.45</v>
      </c>
      <c r="I132" s="50">
        <f t="shared" si="9"/>
        <v>44712</v>
      </c>
      <c r="J132" s="49">
        <f t="shared" ca="1" si="10"/>
        <v>110.03225806451613</v>
      </c>
      <c r="K132" s="45" cm="1">
        <f t="array" aca="1" ref="K132" ca="1">SUMPRODUCT((Table1[SubscriptionStart] &lt;= $A132) * (Table1[EffectiveEndDate] &gt;= $A132) * (Table1[Region] = "England"))</f>
        <v>24</v>
      </c>
      <c r="L132" s="45" cm="1">
        <f t="array" aca="1" ref="L132" ca="1">SUMPRODUCT((Table1[SubscriptionStart] &lt;= $A132) * (Table1[EffectiveEndDate] &gt;= $A132) * (Table1[Region] = "Scotland"))</f>
        <v>23</v>
      </c>
      <c r="M132" s="45" cm="1">
        <f t="array" aca="1" ref="M132" ca="1">SUMPRODUCT((Table1[SubscriptionStart] &lt;= $A132) * (Table1[EffectiveEndDate] &gt;= $A132) * (Table1[Region] = "Wales"))</f>
        <v>21</v>
      </c>
      <c r="N132" s="45" cm="1">
        <f t="array" aca="1" ref="N132" ca="1">SUMPRODUCT((Table1[SubscriptionStart] &lt;= $A132) * (Table1[EffectiveEndDate] &gt;= $A132) * (Table1[Region] = "Northern Ireland"))</f>
        <v>39</v>
      </c>
      <c r="O132" s="45" cm="1">
        <f t="array" aca="1" ref="O132" ca="1">SUMPRODUCT((Table1[Gender]="Male")*(Table1[SubscriptionStart]&lt;=A132)*(Table1[EffectiveEndDate]&gt;=A132))</f>
        <v>56</v>
      </c>
      <c r="P132" s="45" cm="1">
        <f t="array" aca="1" ref="P132" ca="1">SUMPRODUCT((Table1[Gender]="Female")*(Table1[SubscriptionStart]&lt;=A132)*(Table1[EffectiveEndDate]&gt;=A132))</f>
        <v>51</v>
      </c>
    </row>
    <row r="133" spans="1:16">
      <c r="A133" s="48">
        <f t="shared" si="11"/>
        <v>44693</v>
      </c>
      <c r="B133" s="45" cm="1">
        <f t="array" aca="1" ref="B133" ca="1">SUMPRODUCT((Table1[SubscriptionStart]&lt;=A133)*(Table1[EffectiveEndDate]&gt;=A133))</f>
        <v>107</v>
      </c>
      <c r="C133" s="45">
        <f>COUNTIFS(Table1[SubscriptionStart], A133)</f>
        <v>0</v>
      </c>
      <c r="D133" s="45">
        <f>COUNTIFS(Table1[CancellationDate], A133)</f>
        <v>0</v>
      </c>
      <c r="E133" s="45">
        <f t="shared" si="8"/>
        <v>0</v>
      </c>
      <c r="F133" s="45">
        <f>SUM($C$2:C133)</f>
        <v>118</v>
      </c>
      <c r="G133" s="49" cm="1">
        <f t="array" aca="1" ref="G133" ca="1">IF(B133=0,"", SUMPRODUCT((Table1[SubscriptionStart]&lt;=A133)*(Table1[EffectiveEndDate]&gt;=A133)*Table1[Age]) / B133 )</f>
        <v>42.355140186915889</v>
      </c>
      <c r="H133" s="22">
        <f>SUMIF(Table1[SubscriptionStart],"&lt;="&amp;A133,Table1[TotalRevenue])</f>
        <v>27302.45</v>
      </c>
      <c r="I133" s="50">
        <f t="shared" si="9"/>
        <v>44712</v>
      </c>
      <c r="J133" s="49">
        <f t="shared" ca="1" si="10"/>
        <v>110.03225806451613</v>
      </c>
      <c r="K133" s="45" cm="1">
        <f t="array" aca="1" ref="K133" ca="1">SUMPRODUCT((Table1[SubscriptionStart] &lt;= $A133) * (Table1[EffectiveEndDate] &gt;= $A133) * (Table1[Region] = "England"))</f>
        <v>24</v>
      </c>
      <c r="L133" s="45" cm="1">
        <f t="array" aca="1" ref="L133" ca="1">SUMPRODUCT((Table1[SubscriptionStart] &lt;= $A133) * (Table1[EffectiveEndDate] &gt;= $A133) * (Table1[Region] = "Scotland"))</f>
        <v>23</v>
      </c>
      <c r="M133" s="45" cm="1">
        <f t="array" aca="1" ref="M133" ca="1">SUMPRODUCT((Table1[SubscriptionStart] &lt;= $A133) * (Table1[EffectiveEndDate] &gt;= $A133) * (Table1[Region] = "Wales"))</f>
        <v>21</v>
      </c>
      <c r="N133" s="45" cm="1">
        <f t="array" aca="1" ref="N133" ca="1">SUMPRODUCT((Table1[SubscriptionStart] &lt;= $A133) * (Table1[EffectiveEndDate] &gt;= $A133) * (Table1[Region] = "Northern Ireland"))</f>
        <v>39</v>
      </c>
      <c r="O133" s="45" cm="1">
        <f t="array" aca="1" ref="O133" ca="1">SUMPRODUCT((Table1[Gender]="Male")*(Table1[SubscriptionStart]&lt;=A133)*(Table1[EffectiveEndDate]&gt;=A133))</f>
        <v>56</v>
      </c>
      <c r="P133" s="45" cm="1">
        <f t="array" aca="1" ref="P133" ca="1">SUMPRODUCT((Table1[Gender]="Female")*(Table1[SubscriptionStart]&lt;=A133)*(Table1[EffectiveEndDate]&gt;=A133))</f>
        <v>51</v>
      </c>
    </row>
    <row r="134" spans="1:16">
      <c r="A134" s="48">
        <f t="shared" si="11"/>
        <v>44694</v>
      </c>
      <c r="B134" s="45" cm="1">
        <f t="array" aca="1" ref="B134" ca="1">SUMPRODUCT((Table1[SubscriptionStart]&lt;=A134)*(Table1[EffectiveEndDate]&gt;=A134))</f>
        <v>109</v>
      </c>
      <c r="C134" s="45">
        <f>COUNTIFS(Table1[SubscriptionStart], A134)</f>
        <v>2</v>
      </c>
      <c r="D134" s="45">
        <f>COUNTIFS(Table1[CancellationDate], A134)</f>
        <v>0</v>
      </c>
      <c r="E134" s="45">
        <f t="shared" si="8"/>
        <v>2</v>
      </c>
      <c r="F134" s="45">
        <f>SUM($C$2:C134)</f>
        <v>120</v>
      </c>
      <c r="G134" s="49" cm="1">
        <f t="array" aca="1" ref="G134" ca="1">IF(B134=0,"", SUMPRODUCT((Table1[SubscriptionStart]&lt;=A134)*(Table1[EffectiveEndDate]&gt;=A134)*Table1[Age]) / B134 )</f>
        <v>42.623853211009177</v>
      </c>
      <c r="H134" s="22">
        <f>SUMIF(Table1[SubscriptionStart],"&lt;="&amp;A134,Table1[TotalRevenue])</f>
        <v>27864.05</v>
      </c>
      <c r="I134" s="50">
        <f t="shared" si="9"/>
        <v>44712</v>
      </c>
      <c r="J134" s="49">
        <f t="shared" ca="1" si="10"/>
        <v>110.03225806451613</v>
      </c>
      <c r="K134" s="45" cm="1">
        <f t="array" aca="1" ref="K134" ca="1">SUMPRODUCT((Table1[SubscriptionStart] &lt;= $A134) * (Table1[EffectiveEndDate] &gt;= $A134) * (Table1[Region] = "England"))</f>
        <v>24</v>
      </c>
      <c r="L134" s="45" cm="1">
        <f t="array" aca="1" ref="L134" ca="1">SUMPRODUCT((Table1[SubscriptionStart] &lt;= $A134) * (Table1[EffectiveEndDate] &gt;= $A134) * (Table1[Region] = "Scotland"))</f>
        <v>23</v>
      </c>
      <c r="M134" s="45" cm="1">
        <f t="array" aca="1" ref="M134" ca="1">SUMPRODUCT((Table1[SubscriptionStart] &lt;= $A134) * (Table1[EffectiveEndDate] &gt;= $A134) * (Table1[Region] = "Wales"))</f>
        <v>22</v>
      </c>
      <c r="N134" s="45" cm="1">
        <f t="array" aca="1" ref="N134" ca="1">SUMPRODUCT((Table1[SubscriptionStart] &lt;= $A134) * (Table1[EffectiveEndDate] &gt;= $A134) * (Table1[Region] = "Northern Ireland"))</f>
        <v>40</v>
      </c>
      <c r="O134" s="45" cm="1">
        <f t="array" aca="1" ref="O134" ca="1">SUMPRODUCT((Table1[Gender]="Male")*(Table1[SubscriptionStart]&lt;=A134)*(Table1[EffectiveEndDate]&gt;=A134))</f>
        <v>56</v>
      </c>
      <c r="P134" s="45" cm="1">
        <f t="array" aca="1" ref="P134" ca="1">SUMPRODUCT((Table1[Gender]="Female")*(Table1[SubscriptionStart]&lt;=A134)*(Table1[EffectiveEndDate]&gt;=A134))</f>
        <v>53</v>
      </c>
    </row>
    <row r="135" spans="1:16">
      <c r="A135" s="48">
        <f t="shared" si="11"/>
        <v>44695</v>
      </c>
      <c r="B135" s="45" cm="1">
        <f t="array" aca="1" ref="B135" ca="1">SUMPRODUCT((Table1[SubscriptionStart]&lt;=A135)*(Table1[EffectiveEndDate]&gt;=A135))</f>
        <v>109</v>
      </c>
      <c r="C135" s="45">
        <f>COUNTIFS(Table1[SubscriptionStart], A135)</f>
        <v>0</v>
      </c>
      <c r="D135" s="45">
        <f>COUNTIFS(Table1[CancellationDate], A135)</f>
        <v>0</v>
      </c>
      <c r="E135" s="45">
        <f t="shared" si="8"/>
        <v>0</v>
      </c>
      <c r="F135" s="45">
        <f>SUM($C$2:C135)</f>
        <v>120</v>
      </c>
      <c r="G135" s="49" cm="1">
        <f t="array" aca="1" ref="G135" ca="1">IF(B135=0,"", SUMPRODUCT((Table1[SubscriptionStart]&lt;=A135)*(Table1[EffectiveEndDate]&gt;=A135)*Table1[Age]) / B135 )</f>
        <v>42.623853211009177</v>
      </c>
      <c r="H135" s="22">
        <f>SUMIF(Table1[SubscriptionStart],"&lt;="&amp;A135,Table1[TotalRevenue])</f>
        <v>27864.05</v>
      </c>
      <c r="I135" s="50">
        <f t="shared" si="9"/>
        <v>44712</v>
      </c>
      <c r="J135" s="49">
        <f t="shared" ca="1" si="10"/>
        <v>110.03225806451613</v>
      </c>
      <c r="K135" s="45" cm="1">
        <f t="array" aca="1" ref="K135" ca="1">SUMPRODUCT((Table1[SubscriptionStart] &lt;= $A135) * (Table1[EffectiveEndDate] &gt;= $A135) * (Table1[Region] = "England"))</f>
        <v>24</v>
      </c>
      <c r="L135" s="45" cm="1">
        <f t="array" aca="1" ref="L135" ca="1">SUMPRODUCT((Table1[SubscriptionStart] &lt;= $A135) * (Table1[EffectiveEndDate] &gt;= $A135) * (Table1[Region] = "Scotland"))</f>
        <v>23</v>
      </c>
      <c r="M135" s="45" cm="1">
        <f t="array" aca="1" ref="M135" ca="1">SUMPRODUCT((Table1[SubscriptionStart] &lt;= $A135) * (Table1[EffectiveEndDate] &gt;= $A135) * (Table1[Region] = "Wales"))</f>
        <v>22</v>
      </c>
      <c r="N135" s="45" cm="1">
        <f t="array" aca="1" ref="N135" ca="1">SUMPRODUCT((Table1[SubscriptionStart] &lt;= $A135) * (Table1[EffectiveEndDate] &gt;= $A135) * (Table1[Region] = "Northern Ireland"))</f>
        <v>40</v>
      </c>
      <c r="O135" s="45" cm="1">
        <f t="array" aca="1" ref="O135" ca="1">SUMPRODUCT((Table1[Gender]="Male")*(Table1[SubscriptionStart]&lt;=A135)*(Table1[EffectiveEndDate]&gt;=A135))</f>
        <v>56</v>
      </c>
      <c r="P135" s="45" cm="1">
        <f t="array" aca="1" ref="P135" ca="1">SUMPRODUCT((Table1[Gender]="Female")*(Table1[SubscriptionStart]&lt;=A135)*(Table1[EffectiveEndDate]&gt;=A135))</f>
        <v>53</v>
      </c>
    </row>
    <row r="136" spans="1:16">
      <c r="A136" s="48">
        <f t="shared" si="11"/>
        <v>44696</v>
      </c>
      <c r="B136" s="45" cm="1">
        <f t="array" aca="1" ref="B136" ca="1">SUMPRODUCT((Table1[SubscriptionStart]&lt;=A136)*(Table1[EffectiveEndDate]&gt;=A136))</f>
        <v>109</v>
      </c>
      <c r="C136" s="45">
        <f>COUNTIFS(Table1[SubscriptionStart], A136)</f>
        <v>0</v>
      </c>
      <c r="D136" s="45">
        <f>COUNTIFS(Table1[CancellationDate], A136)</f>
        <v>0</v>
      </c>
      <c r="E136" s="45">
        <f t="shared" si="8"/>
        <v>0</v>
      </c>
      <c r="F136" s="45">
        <f>SUM($C$2:C136)</f>
        <v>120</v>
      </c>
      <c r="G136" s="49" cm="1">
        <f t="array" aca="1" ref="G136" ca="1">IF(B136=0,"", SUMPRODUCT((Table1[SubscriptionStart]&lt;=A136)*(Table1[EffectiveEndDate]&gt;=A136)*Table1[Age]) / B136 )</f>
        <v>42.623853211009177</v>
      </c>
      <c r="H136" s="22">
        <f>SUMIF(Table1[SubscriptionStart],"&lt;="&amp;A136,Table1[TotalRevenue])</f>
        <v>27864.05</v>
      </c>
      <c r="I136" s="50">
        <f t="shared" si="9"/>
        <v>44712</v>
      </c>
      <c r="J136" s="49">
        <f t="shared" ca="1" si="10"/>
        <v>110.03225806451613</v>
      </c>
      <c r="K136" s="45" cm="1">
        <f t="array" aca="1" ref="K136" ca="1">SUMPRODUCT((Table1[SubscriptionStart] &lt;= $A136) * (Table1[EffectiveEndDate] &gt;= $A136) * (Table1[Region] = "England"))</f>
        <v>24</v>
      </c>
      <c r="L136" s="45" cm="1">
        <f t="array" aca="1" ref="L136" ca="1">SUMPRODUCT((Table1[SubscriptionStart] &lt;= $A136) * (Table1[EffectiveEndDate] &gt;= $A136) * (Table1[Region] = "Scotland"))</f>
        <v>23</v>
      </c>
      <c r="M136" s="45" cm="1">
        <f t="array" aca="1" ref="M136" ca="1">SUMPRODUCT((Table1[SubscriptionStart] &lt;= $A136) * (Table1[EffectiveEndDate] &gt;= $A136) * (Table1[Region] = "Wales"))</f>
        <v>22</v>
      </c>
      <c r="N136" s="45" cm="1">
        <f t="array" aca="1" ref="N136" ca="1">SUMPRODUCT((Table1[SubscriptionStart] &lt;= $A136) * (Table1[EffectiveEndDate] &gt;= $A136) * (Table1[Region] = "Northern Ireland"))</f>
        <v>40</v>
      </c>
      <c r="O136" s="45" cm="1">
        <f t="array" aca="1" ref="O136" ca="1">SUMPRODUCT((Table1[Gender]="Male")*(Table1[SubscriptionStart]&lt;=A136)*(Table1[EffectiveEndDate]&gt;=A136))</f>
        <v>56</v>
      </c>
      <c r="P136" s="45" cm="1">
        <f t="array" aca="1" ref="P136" ca="1">SUMPRODUCT((Table1[Gender]="Female")*(Table1[SubscriptionStart]&lt;=A136)*(Table1[EffectiveEndDate]&gt;=A136))</f>
        <v>53</v>
      </c>
    </row>
    <row r="137" spans="1:16">
      <c r="A137" s="48">
        <f t="shared" si="11"/>
        <v>44697</v>
      </c>
      <c r="B137" s="45" cm="1">
        <f t="array" aca="1" ref="B137" ca="1">SUMPRODUCT((Table1[SubscriptionStart]&lt;=A137)*(Table1[EffectiveEndDate]&gt;=A137))</f>
        <v>110</v>
      </c>
      <c r="C137" s="45">
        <f>COUNTIFS(Table1[SubscriptionStart], A137)</f>
        <v>1</v>
      </c>
      <c r="D137" s="45">
        <f>COUNTIFS(Table1[CancellationDate], A137)</f>
        <v>0</v>
      </c>
      <c r="E137" s="45">
        <f t="shared" si="8"/>
        <v>1</v>
      </c>
      <c r="F137" s="45">
        <f>SUM($C$2:C137)</f>
        <v>121</v>
      </c>
      <c r="G137" s="49" cm="1">
        <f t="array" aca="1" ref="G137" ca="1">IF(B137=0,"", SUMPRODUCT((Table1[SubscriptionStart]&lt;=A137)*(Table1[EffectiveEndDate]&gt;=A137)*Table1[Age]) / B137 )</f>
        <v>42.454545454545453</v>
      </c>
      <c r="H137" s="22">
        <f>SUMIF(Table1[SubscriptionStart],"&lt;="&amp;A137,Table1[TotalRevenue])</f>
        <v>28044.05</v>
      </c>
      <c r="I137" s="50">
        <f t="shared" si="9"/>
        <v>44712</v>
      </c>
      <c r="J137" s="49">
        <f t="shared" ca="1" si="10"/>
        <v>110.03225806451613</v>
      </c>
      <c r="K137" s="45" cm="1">
        <f t="array" aca="1" ref="K137" ca="1">SUMPRODUCT((Table1[SubscriptionStart] &lt;= $A137) * (Table1[EffectiveEndDate] &gt;= $A137) * (Table1[Region] = "England"))</f>
        <v>24</v>
      </c>
      <c r="L137" s="45" cm="1">
        <f t="array" aca="1" ref="L137" ca="1">SUMPRODUCT((Table1[SubscriptionStart] &lt;= $A137) * (Table1[EffectiveEndDate] &gt;= $A137) * (Table1[Region] = "Scotland"))</f>
        <v>24</v>
      </c>
      <c r="M137" s="45" cm="1">
        <f t="array" aca="1" ref="M137" ca="1">SUMPRODUCT((Table1[SubscriptionStart] &lt;= $A137) * (Table1[EffectiveEndDate] &gt;= $A137) * (Table1[Region] = "Wales"))</f>
        <v>22</v>
      </c>
      <c r="N137" s="45" cm="1">
        <f t="array" aca="1" ref="N137" ca="1">SUMPRODUCT((Table1[SubscriptionStart] &lt;= $A137) * (Table1[EffectiveEndDate] &gt;= $A137) * (Table1[Region] = "Northern Ireland"))</f>
        <v>40</v>
      </c>
      <c r="O137" s="45" cm="1">
        <f t="array" aca="1" ref="O137" ca="1">SUMPRODUCT((Table1[Gender]="Male")*(Table1[SubscriptionStart]&lt;=A137)*(Table1[EffectiveEndDate]&gt;=A137))</f>
        <v>57</v>
      </c>
      <c r="P137" s="45" cm="1">
        <f t="array" aca="1" ref="P137" ca="1">SUMPRODUCT((Table1[Gender]="Female")*(Table1[SubscriptionStart]&lt;=A137)*(Table1[EffectiveEndDate]&gt;=A137))</f>
        <v>53</v>
      </c>
    </row>
    <row r="138" spans="1:16">
      <c r="A138" s="48">
        <f t="shared" si="11"/>
        <v>44698</v>
      </c>
      <c r="B138" s="45" cm="1">
        <f t="array" aca="1" ref="B138" ca="1">SUMPRODUCT((Table1[SubscriptionStart]&lt;=A138)*(Table1[EffectiveEndDate]&gt;=A138))</f>
        <v>111</v>
      </c>
      <c r="C138" s="45">
        <f>COUNTIFS(Table1[SubscriptionStart], A138)</f>
        <v>1</v>
      </c>
      <c r="D138" s="45">
        <f>COUNTIFS(Table1[CancellationDate], A138)</f>
        <v>0</v>
      </c>
      <c r="E138" s="45">
        <f t="shared" si="8"/>
        <v>1</v>
      </c>
      <c r="F138" s="45">
        <f>SUM($C$2:C138)</f>
        <v>122</v>
      </c>
      <c r="G138" s="49" cm="1">
        <f t="array" aca="1" ref="G138" ca="1">IF(B138=0,"", SUMPRODUCT((Table1[SubscriptionStart]&lt;=A138)*(Table1[EffectiveEndDate]&gt;=A138)*Table1[Age]) / B138 )</f>
        <v>42.603603603603602</v>
      </c>
      <c r="H138" s="22">
        <f>SUMIF(Table1[SubscriptionStart],"&lt;="&amp;A138,Table1[TotalRevenue])</f>
        <v>28116.05</v>
      </c>
      <c r="I138" s="50">
        <f t="shared" si="9"/>
        <v>44712</v>
      </c>
      <c r="J138" s="49">
        <f t="shared" ca="1" si="10"/>
        <v>110.03225806451613</v>
      </c>
      <c r="K138" s="45" cm="1">
        <f t="array" aca="1" ref="K138" ca="1">SUMPRODUCT((Table1[SubscriptionStart] &lt;= $A138) * (Table1[EffectiveEndDate] &gt;= $A138) * (Table1[Region] = "England"))</f>
        <v>25</v>
      </c>
      <c r="L138" s="45" cm="1">
        <f t="array" aca="1" ref="L138" ca="1">SUMPRODUCT((Table1[SubscriptionStart] &lt;= $A138) * (Table1[EffectiveEndDate] &gt;= $A138) * (Table1[Region] = "Scotland"))</f>
        <v>24</v>
      </c>
      <c r="M138" s="45" cm="1">
        <f t="array" aca="1" ref="M138" ca="1">SUMPRODUCT((Table1[SubscriptionStart] &lt;= $A138) * (Table1[EffectiveEndDate] &gt;= $A138) * (Table1[Region] = "Wales"))</f>
        <v>22</v>
      </c>
      <c r="N138" s="45" cm="1">
        <f t="array" aca="1" ref="N138" ca="1">SUMPRODUCT((Table1[SubscriptionStart] &lt;= $A138) * (Table1[EffectiveEndDate] &gt;= $A138) * (Table1[Region] = "Northern Ireland"))</f>
        <v>40</v>
      </c>
      <c r="O138" s="45" cm="1">
        <f t="array" aca="1" ref="O138" ca="1">SUMPRODUCT((Table1[Gender]="Male")*(Table1[SubscriptionStart]&lt;=A138)*(Table1[EffectiveEndDate]&gt;=A138))</f>
        <v>57</v>
      </c>
      <c r="P138" s="45" cm="1">
        <f t="array" aca="1" ref="P138" ca="1">SUMPRODUCT((Table1[Gender]="Female")*(Table1[SubscriptionStart]&lt;=A138)*(Table1[EffectiveEndDate]&gt;=A138))</f>
        <v>54</v>
      </c>
    </row>
    <row r="139" spans="1:16">
      <c r="A139" s="48">
        <f t="shared" si="11"/>
        <v>44699</v>
      </c>
      <c r="B139" s="45" cm="1">
        <f t="array" aca="1" ref="B139" ca="1">SUMPRODUCT((Table1[SubscriptionStart]&lt;=A139)*(Table1[EffectiveEndDate]&gt;=A139))</f>
        <v>111</v>
      </c>
      <c r="C139" s="45">
        <f>COUNTIFS(Table1[SubscriptionStart], A139)</f>
        <v>0</v>
      </c>
      <c r="D139" s="45">
        <f>COUNTIFS(Table1[CancellationDate], A139)</f>
        <v>0</v>
      </c>
      <c r="E139" s="45">
        <f t="shared" si="8"/>
        <v>0</v>
      </c>
      <c r="F139" s="45">
        <f>SUM($C$2:C139)</f>
        <v>122</v>
      </c>
      <c r="G139" s="49" cm="1">
        <f t="array" aca="1" ref="G139" ca="1">IF(B139=0,"", SUMPRODUCT((Table1[SubscriptionStart]&lt;=A139)*(Table1[EffectiveEndDate]&gt;=A139)*Table1[Age]) / B139 )</f>
        <v>42.603603603603602</v>
      </c>
      <c r="H139" s="22">
        <f>SUMIF(Table1[SubscriptionStart],"&lt;="&amp;A139,Table1[TotalRevenue])</f>
        <v>28116.05</v>
      </c>
      <c r="I139" s="50">
        <f t="shared" si="9"/>
        <v>44712</v>
      </c>
      <c r="J139" s="49">
        <f t="shared" ca="1" si="10"/>
        <v>110.03225806451613</v>
      </c>
      <c r="K139" s="45" cm="1">
        <f t="array" aca="1" ref="K139" ca="1">SUMPRODUCT((Table1[SubscriptionStart] &lt;= $A139) * (Table1[EffectiveEndDate] &gt;= $A139) * (Table1[Region] = "England"))</f>
        <v>25</v>
      </c>
      <c r="L139" s="45" cm="1">
        <f t="array" aca="1" ref="L139" ca="1">SUMPRODUCT((Table1[SubscriptionStart] &lt;= $A139) * (Table1[EffectiveEndDate] &gt;= $A139) * (Table1[Region] = "Scotland"))</f>
        <v>24</v>
      </c>
      <c r="M139" s="45" cm="1">
        <f t="array" aca="1" ref="M139" ca="1">SUMPRODUCT((Table1[SubscriptionStart] &lt;= $A139) * (Table1[EffectiveEndDate] &gt;= $A139) * (Table1[Region] = "Wales"))</f>
        <v>22</v>
      </c>
      <c r="N139" s="45" cm="1">
        <f t="array" aca="1" ref="N139" ca="1">SUMPRODUCT((Table1[SubscriptionStart] &lt;= $A139) * (Table1[EffectiveEndDate] &gt;= $A139) * (Table1[Region] = "Northern Ireland"))</f>
        <v>40</v>
      </c>
      <c r="O139" s="45" cm="1">
        <f t="array" aca="1" ref="O139" ca="1">SUMPRODUCT((Table1[Gender]="Male")*(Table1[SubscriptionStart]&lt;=A139)*(Table1[EffectiveEndDate]&gt;=A139))</f>
        <v>57</v>
      </c>
      <c r="P139" s="45" cm="1">
        <f t="array" aca="1" ref="P139" ca="1">SUMPRODUCT((Table1[Gender]="Female")*(Table1[SubscriptionStart]&lt;=A139)*(Table1[EffectiveEndDate]&gt;=A139))</f>
        <v>54</v>
      </c>
    </row>
    <row r="140" spans="1:16">
      <c r="A140" s="48">
        <f t="shared" si="11"/>
        <v>44700</v>
      </c>
      <c r="B140" s="45" cm="1">
        <f t="array" aca="1" ref="B140" ca="1">SUMPRODUCT((Table1[SubscriptionStart]&lt;=A140)*(Table1[EffectiveEndDate]&gt;=A140))</f>
        <v>113</v>
      </c>
      <c r="C140" s="45">
        <f>COUNTIFS(Table1[SubscriptionStart], A140)</f>
        <v>2</v>
      </c>
      <c r="D140" s="45">
        <f>COUNTIFS(Table1[CancellationDate], A140)</f>
        <v>1</v>
      </c>
      <c r="E140" s="45">
        <f t="shared" si="8"/>
        <v>1</v>
      </c>
      <c r="F140" s="45">
        <f>SUM($C$2:C140)</f>
        <v>124</v>
      </c>
      <c r="G140" s="49" cm="1">
        <f t="array" aca="1" ref="G140" ca="1">IF(B140=0,"", SUMPRODUCT((Table1[SubscriptionStart]&lt;=A140)*(Table1[EffectiveEndDate]&gt;=A140)*Table1[Age]) / B140 )</f>
        <v>42.787610619469028</v>
      </c>
      <c r="H140" s="22">
        <f>SUMIF(Table1[SubscriptionStart],"&lt;="&amp;A140,Table1[TotalRevenue])</f>
        <v>28981.85</v>
      </c>
      <c r="I140" s="50">
        <f t="shared" si="9"/>
        <v>44712</v>
      </c>
      <c r="J140" s="49">
        <f t="shared" ca="1" si="10"/>
        <v>110.03225806451613</v>
      </c>
      <c r="K140" s="45" cm="1">
        <f t="array" aca="1" ref="K140" ca="1">SUMPRODUCT((Table1[SubscriptionStart] &lt;= $A140) * (Table1[EffectiveEndDate] &gt;= $A140) * (Table1[Region] = "England"))</f>
        <v>25</v>
      </c>
      <c r="L140" s="45" cm="1">
        <f t="array" aca="1" ref="L140" ca="1">SUMPRODUCT((Table1[SubscriptionStart] &lt;= $A140) * (Table1[EffectiveEndDate] &gt;= $A140) * (Table1[Region] = "Scotland"))</f>
        <v>24</v>
      </c>
      <c r="M140" s="45" cm="1">
        <f t="array" aca="1" ref="M140" ca="1">SUMPRODUCT((Table1[SubscriptionStart] &lt;= $A140) * (Table1[EffectiveEndDate] &gt;= $A140) * (Table1[Region] = "Wales"))</f>
        <v>23</v>
      </c>
      <c r="N140" s="45" cm="1">
        <f t="array" aca="1" ref="N140" ca="1">SUMPRODUCT((Table1[SubscriptionStart] &lt;= $A140) * (Table1[EffectiveEndDate] &gt;= $A140) * (Table1[Region] = "Northern Ireland"))</f>
        <v>41</v>
      </c>
      <c r="O140" s="45" cm="1">
        <f t="array" aca="1" ref="O140" ca="1">SUMPRODUCT((Table1[Gender]="Male")*(Table1[SubscriptionStart]&lt;=A140)*(Table1[EffectiveEndDate]&gt;=A140))</f>
        <v>58</v>
      </c>
      <c r="P140" s="45" cm="1">
        <f t="array" aca="1" ref="P140" ca="1">SUMPRODUCT((Table1[Gender]="Female")*(Table1[SubscriptionStart]&lt;=A140)*(Table1[EffectiveEndDate]&gt;=A140))</f>
        <v>55</v>
      </c>
    </row>
    <row r="141" spans="1:16">
      <c r="A141" s="48">
        <f t="shared" si="11"/>
        <v>44701</v>
      </c>
      <c r="B141" s="45" cm="1">
        <f t="array" aca="1" ref="B141" ca="1">SUMPRODUCT((Table1[SubscriptionStart]&lt;=A141)*(Table1[EffectiveEndDate]&gt;=A141))</f>
        <v>112</v>
      </c>
      <c r="C141" s="45">
        <f>COUNTIFS(Table1[SubscriptionStart], A141)</f>
        <v>0</v>
      </c>
      <c r="D141" s="45">
        <f>COUNTIFS(Table1[CancellationDate], A141)</f>
        <v>0</v>
      </c>
      <c r="E141" s="45">
        <f t="shared" si="8"/>
        <v>0</v>
      </c>
      <c r="F141" s="45">
        <f>SUM($C$2:C141)</f>
        <v>124</v>
      </c>
      <c r="G141" s="49" cm="1">
        <f t="array" aca="1" ref="G141" ca="1">IF(B141=0,"", SUMPRODUCT((Table1[SubscriptionStart]&lt;=A141)*(Table1[EffectiveEndDate]&gt;=A141)*Table1[Age]) / B141 )</f>
        <v>42.901785714285715</v>
      </c>
      <c r="H141" s="22">
        <f>SUMIF(Table1[SubscriptionStart],"&lt;="&amp;A141,Table1[TotalRevenue])</f>
        <v>28981.85</v>
      </c>
      <c r="I141" s="50">
        <f t="shared" si="9"/>
        <v>44712</v>
      </c>
      <c r="J141" s="49">
        <f t="shared" ca="1" si="10"/>
        <v>110.03225806451613</v>
      </c>
      <c r="K141" s="45" cm="1">
        <f t="array" aca="1" ref="K141" ca="1">SUMPRODUCT((Table1[SubscriptionStart] &lt;= $A141) * (Table1[EffectiveEndDate] &gt;= $A141) * (Table1[Region] = "England"))</f>
        <v>25</v>
      </c>
      <c r="L141" s="45" cm="1">
        <f t="array" aca="1" ref="L141" ca="1">SUMPRODUCT((Table1[SubscriptionStart] &lt;= $A141) * (Table1[EffectiveEndDate] &gt;= $A141) * (Table1[Region] = "Scotland"))</f>
        <v>24</v>
      </c>
      <c r="M141" s="45" cm="1">
        <f t="array" aca="1" ref="M141" ca="1">SUMPRODUCT((Table1[SubscriptionStart] &lt;= $A141) * (Table1[EffectiveEndDate] &gt;= $A141) * (Table1[Region] = "Wales"))</f>
        <v>22</v>
      </c>
      <c r="N141" s="45" cm="1">
        <f t="array" aca="1" ref="N141" ca="1">SUMPRODUCT((Table1[SubscriptionStart] &lt;= $A141) * (Table1[EffectiveEndDate] &gt;= $A141) * (Table1[Region] = "Northern Ireland"))</f>
        <v>41</v>
      </c>
      <c r="O141" s="45" cm="1">
        <f t="array" aca="1" ref="O141" ca="1">SUMPRODUCT((Table1[Gender]="Male")*(Table1[SubscriptionStart]&lt;=A141)*(Table1[EffectiveEndDate]&gt;=A141))</f>
        <v>58</v>
      </c>
      <c r="P141" s="45" cm="1">
        <f t="array" aca="1" ref="P141" ca="1">SUMPRODUCT((Table1[Gender]="Female")*(Table1[SubscriptionStart]&lt;=A141)*(Table1[EffectiveEndDate]&gt;=A141))</f>
        <v>54</v>
      </c>
    </row>
    <row r="142" spans="1:16">
      <c r="A142" s="48">
        <f t="shared" si="11"/>
        <v>44702</v>
      </c>
      <c r="B142" s="45" cm="1">
        <f t="array" aca="1" ref="B142" ca="1">SUMPRODUCT((Table1[SubscriptionStart]&lt;=A142)*(Table1[EffectiveEndDate]&gt;=A142))</f>
        <v>113</v>
      </c>
      <c r="C142" s="45">
        <f>COUNTIFS(Table1[SubscriptionStart], A142)</f>
        <v>1</v>
      </c>
      <c r="D142" s="45">
        <f>COUNTIFS(Table1[CancellationDate], A142)</f>
        <v>0</v>
      </c>
      <c r="E142" s="45">
        <f t="shared" si="8"/>
        <v>1</v>
      </c>
      <c r="F142" s="45">
        <f>SUM($C$2:C142)</f>
        <v>125</v>
      </c>
      <c r="G142" s="49" cm="1">
        <f t="array" aca="1" ref="G142" ca="1">IF(B142=0,"", SUMPRODUCT((Table1[SubscriptionStart]&lt;=A142)*(Table1[EffectiveEndDate]&gt;=A142)*Table1[Age]) / B142 )</f>
        <v>42.89380530973451</v>
      </c>
      <c r="H142" s="22">
        <f>SUMIF(Table1[SubscriptionStart],"&lt;="&amp;A142,Table1[TotalRevenue])</f>
        <v>29053.85</v>
      </c>
      <c r="I142" s="50">
        <f t="shared" si="9"/>
        <v>44712</v>
      </c>
      <c r="J142" s="49">
        <f t="shared" ca="1" si="10"/>
        <v>110.03225806451613</v>
      </c>
      <c r="K142" s="45" cm="1">
        <f t="array" aca="1" ref="K142" ca="1">SUMPRODUCT((Table1[SubscriptionStart] &lt;= $A142) * (Table1[EffectiveEndDate] &gt;= $A142) * (Table1[Region] = "England"))</f>
        <v>25</v>
      </c>
      <c r="L142" s="45" cm="1">
        <f t="array" aca="1" ref="L142" ca="1">SUMPRODUCT((Table1[SubscriptionStart] &lt;= $A142) * (Table1[EffectiveEndDate] &gt;= $A142) * (Table1[Region] = "Scotland"))</f>
        <v>24</v>
      </c>
      <c r="M142" s="45" cm="1">
        <f t="array" aca="1" ref="M142" ca="1">SUMPRODUCT((Table1[SubscriptionStart] &lt;= $A142) * (Table1[EffectiveEndDate] &gt;= $A142) * (Table1[Region] = "Wales"))</f>
        <v>23</v>
      </c>
      <c r="N142" s="45" cm="1">
        <f t="array" aca="1" ref="N142" ca="1">SUMPRODUCT((Table1[SubscriptionStart] &lt;= $A142) * (Table1[EffectiveEndDate] &gt;= $A142) * (Table1[Region] = "Northern Ireland"))</f>
        <v>41</v>
      </c>
      <c r="O142" s="45" cm="1">
        <f t="array" aca="1" ref="O142" ca="1">SUMPRODUCT((Table1[Gender]="Male")*(Table1[SubscriptionStart]&lt;=A142)*(Table1[EffectiveEndDate]&gt;=A142))</f>
        <v>58</v>
      </c>
      <c r="P142" s="45" cm="1">
        <f t="array" aca="1" ref="P142" ca="1">SUMPRODUCT((Table1[Gender]="Female")*(Table1[SubscriptionStart]&lt;=A142)*(Table1[EffectiveEndDate]&gt;=A142))</f>
        <v>55</v>
      </c>
    </row>
    <row r="143" spans="1:16">
      <c r="A143" s="48">
        <f t="shared" si="11"/>
        <v>44703</v>
      </c>
      <c r="B143" s="45" cm="1">
        <f t="array" aca="1" ref="B143" ca="1">SUMPRODUCT((Table1[SubscriptionStart]&lt;=A143)*(Table1[EffectiveEndDate]&gt;=A143))</f>
        <v>115</v>
      </c>
      <c r="C143" s="45">
        <f>COUNTIFS(Table1[SubscriptionStart], A143)</f>
        <v>2</v>
      </c>
      <c r="D143" s="45">
        <f>COUNTIFS(Table1[CancellationDate], A143)</f>
        <v>1</v>
      </c>
      <c r="E143" s="45">
        <f t="shared" si="8"/>
        <v>1</v>
      </c>
      <c r="F143" s="45">
        <f>SUM($C$2:C143)</f>
        <v>127</v>
      </c>
      <c r="G143" s="49" cm="1">
        <f t="array" aca="1" ref="G143" ca="1">IF(B143=0,"", SUMPRODUCT((Table1[SubscriptionStart]&lt;=A143)*(Table1[EffectiveEndDate]&gt;=A143)*Table1[Age]) / B143 )</f>
        <v>42.947826086956525</v>
      </c>
      <c r="H143" s="22">
        <f>SUMIF(Table1[SubscriptionStart],"&lt;="&amp;A143,Table1[TotalRevenue])</f>
        <v>29815.249999999996</v>
      </c>
      <c r="I143" s="50">
        <f t="shared" si="9"/>
        <v>44712</v>
      </c>
      <c r="J143" s="49">
        <f t="shared" ca="1" si="10"/>
        <v>110.03225806451613</v>
      </c>
      <c r="K143" s="45" cm="1">
        <f t="array" aca="1" ref="K143" ca="1">SUMPRODUCT((Table1[SubscriptionStart] &lt;= $A143) * (Table1[EffectiveEndDate] &gt;= $A143) * (Table1[Region] = "England"))</f>
        <v>25</v>
      </c>
      <c r="L143" s="45" cm="1">
        <f t="array" aca="1" ref="L143" ca="1">SUMPRODUCT((Table1[SubscriptionStart] &lt;= $A143) * (Table1[EffectiveEndDate] &gt;= $A143) * (Table1[Region] = "Scotland"))</f>
        <v>24</v>
      </c>
      <c r="M143" s="45" cm="1">
        <f t="array" aca="1" ref="M143" ca="1">SUMPRODUCT((Table1[SubscriptionStart] &lt;= $A143) * (Table1[EffectiveEndDate] &gt;= $A143) * (Table1[Region] = "Wales"))</f>
        <v>24</v>
      </c>
      <c r="N143" s="45" cm="1">
        <f t="array" aca="1" ref="N143" ca="1">SUMPRODUCT((Table1[SubscriptionStart] &lt;= $A143) * (Table1[EffectiveEndDate] &gt;= $A143) * (Table1[Region] = "Northern Ireland"))</f>
        <v>42</v>
      </c>
      <c r="O143" s="45" cm="1">
        <f t="array" aca="1" ref="O143" ca="1">SUMPRODUCT((Table1[Gender]="Male")*(Table1[SubscriptionStart]&lt;=A143)*(Table1[EffectiveEndDate]&gt;=A143))</f>
        <v>58</v>
      </c>
      <c r="P143" s="45" cm="1">
        <f t="array" aca="1" ref="P143" ca="1">SUMPRODUCT((Table1[Gender]="Female")*(Table1[SubscriptionStart]&lt;=A143)*(Table1[EffectiveEndDate]&gt;=A143))</f>
        <v>57</v>
      </c>
    </row>
    <row r="144" spans="1:16">
      <c r="A144" s="48">
        <f t="shared" si="11"/>
        <v>44704</v>
      </c>
      <c r="B144" s="45" cm="1">
        <f t="array" aca="1" ref="B144" ca="1">SUMPRODUCT((Table1[SubscriptionStart]&lt;=A144)*(Table1[EffectiveEndDate]&gt;=A144))</f>
        <v>116</v>
      </c>
      <c r="C144" s="45">
        <f>COUNTIFS(Table1[SubscriptionStart], A144)</f>
        <v>2</v>
      </c>
      <c r="D144" s="45">
        <f>COUNTIFS(Table1[CancellationDate], A144)</f>
        <v>0</v>
      </c>
      <c r="E144" s="45">
        <f t="shared" si="8"/>
        <v>2</v>
      </c>
      <c r="F144" s="45">
        <f>SUM($C$2:C144)</f>
        <v>129</v>
      </c>
      <c r="G144" s="49" cm="1">
        <f t="array" aca="1" ref="G144" ca="1">IF(B144=0,"", SUMPRODUCT((Table1[SubscriptionStart]&lt;=A144)*(Table1[EffectiveEndDate]&gt;=A144)*Table1[Age]) / B144 )</f>
        <v>43.043103448275865</v>
      </c>
      <c r="H144" s="22">
        <f>SUMIF(Table1[SubscriptionStart],"&lt;="&amp;A144,Table1[TotalRevenue])</f>
        <v>30652.699999999997</v>
      </c>
      <c r="I144" s="50">
        <f t="shared" si="9"/>
        <v>44712</v>
      </c>
      <c r="J144" s="49">
        <f t="shared" ca="1" si="10"/>
        <v>110.03225806451613</v>
      </c>
      <c r="K144" s="45" cm="1">
        <f t="array" aca="1" ref="K144" ca="1">SUMPRODUCT((Table1[SubscriptionStart] &lt;= $A144) * (Table1[EffectiveEndDate] &gt;= $A144) * (Table1[Region] = "England"))</f>
        <v>25</v>
      </c>
      <c r="L144" s="45" cm="1">
        <f t="array" aca="1" ref="L144" ca="1">SUMPRODUCT((Table1[SubscriptionStart] &lt;= $A144) * (Table1[EffectiveEndDate] &gt;= $A144) * (Table1[Region] = "Scotland"))</f>
        <v>24</v>
      </c>
      <c r="M144" s="45" cm="1">
        <f t="array" aca="1" ref="M144" ca="1">SUMPRODUCT((Table1[SubscriptionStart] &lt;= $A144) * (Table1[EffectiveEndDate] &gt;= $A144) * (Table1[Region] = "Wales"))</f>
        <v>24</v>
      </c>
      <c r="N144" s="45" cm="1">
        <f t="array" aca="1" ref="N144" ca="1">SUMPRODUCT((Table1[SubscriptionStart] &lt;= $A144) * (Table1[EffectiveEndDate] &gt;= $A144) * (Table1[Region] = "Northern Ireland"))</f>
        <v>43</v>
      </c>
      <c r="O144" s="45" cm="1">
        <f t="array" aca="1" ref="O144" ca="1">SUMPRODUCT((Table1[Gender]="Male")*(Table1[SubscriptionStart]&lt;=A144)*(Table1[EffectiveEndDate]&gt;=A144))</f>
        <v>59</v>
      </c>
      <c r="P144" s="45" cm="1">
        <f t="array" aca="1" ref="P144" ca="1">SUMPRODUCT((Table1[Gender]="Female")*(Table1[SubscriptionStart]&lt;=A144)*(Table1[EffectiveEndDate]&gt;=A144))</f>
        <v>57</v>
      </c>
    </row>
    <row r="145" spans="1:16">
      <c r="A145" s="48">
        <f t="shared" si="11"/>
        <v>44705</v>
      </c>
      <c r="B145" s="45" cm="1">
        <f t="array" aca="1" ref="B145" ca="1">SUMPRODUCT((Table1[SubscriptionStart]&lt;=A145)*(Table1[EffectiveEndDate]&gt;=A145))</f>
        <v>118</v>
      </c>
      <c r="C145" s="45">
        <f>COUNTIFS(Table1[SubscriptionStart], A145)</f>
        <v>2</v>
      </c>
      <c r="D145" s="45">
        <f>COUNTIFS(Table1[CancellationDate], A145)</f>
        <v>1</v>
      </c>
      <c r="E145" s="45">
        <f t="shared" si="8"/>
        <v>1</v>
      </c>
      <c r="F145" s="45">
        <f>SUM($C$2:C145)</f>
        <v>131</v>
      </c>
      <c r="G145" s="49" cm="1">
        <f t="array" aca="1" ref="G145" ca="1">IF(B145=0,"", SUMPRODUCT((Table1[SubscriptionStart]&lt;=A145)*(Table1[EffectiveEndDate]&gt;=A145)*Table1[Age]) / B145 )</f>
        <v>43.059322033898304</v>
      </c>
      <c r="H145" s="22">
        <f>SUMIF(Table1[SubscriptionStart],"&lt;="&amp;A145,Table1[TotalRevenue])</f>
        <v>30826.85</v>
      </c>
      <c r="I145" s="50">
        <f t="shared" si="9"/>
        <v>44712</v>
      </c>
      <c r="J145" s="49">
        <f t="shared" ca="1" si="10"/>
        <v>110.03225806451613</v>
      </c>
      <c r="K145" s="45" cm="1">
        <f t="array" aca="1" ref="K145" ca="1">SUMPRODUCT((Table1[SubscriptionStart] &lt;= $A145) * (Table1[EffectiveEndDate] &gt;= $A145) * (Table1[Region] = "England"))</f>
        <v>25</v>
      </c>
      <c r="L145" s="45" cm="1">
        <f t="array" aca="1" ref="L145" ca="1">SUMPRODUCT((Table1[SubscriptionStart] &lt;= $A145) * (Table1[EffectiveEndDate] &gt;= $A145) * (Table1[Region] = "Scotland"))</f>
        <v>24</v>
      </c>
      <c r="M145" s="45" cm="1">
        <f t="array" aca="1" ref="M145" ca="1">SUMPRODUCT((Table1[SubscriptionStart] &lt;= $A145) * (Table1[EffectiveEndDate] &gt;= $A145) * (Table1[Region] = "Wales"))</f>
        <v>24</v>
      </c>
      <c r="N145" s="45" cm="1">
        <f t="array" aca="1" ref="N145" ca="1">SUMPRODUCT((Table1[SubscriptionStart] &lt;= $A145) * (Table1[EffectiveEndDate] &gt;= $A145) * (Table1[Region] = "Northern Ireland"))</f>
        <v>45</v>
      </c>
      <c r="O145" s="45" cm="1">
        <f t="array" aca="1" ref="O145" ca="1">SUMPRODUCT((Table1[Gender]="Male")*(Table1[SubscriptionStart]&lt;=A145)*(Table1[EffectiveEndDate]&gt;=A145))</f>
        <v>59</v>
      </c>
      <c r="P145" s="45" cm="1">
        <f t="array" aca="1" ref="P145" ca="1">SUMPRODUCT((Table1[Gender]="Female")*(Table1[SubscriptionStart]&lt;=A145)*(Table1[EffectiveEndDate]&gt;=A145))</f>
        <v>59</v>
      </c>
    </row>
    <row r="146" spans="1:16">
      <c r="A146" s="48">
        <f t="shared" si="11"/>
        <v>44706</v>
      </c>
      <c r="B146" s="45" cm="1">
        <f t="array" aca="1" ref="B146" ca="1">SUMPRODUCT((Table1[SubscriptionStart]&lt;=A146)*(Table1[EffectiveEndDate]&gt;=A146))</f>
        <v>118</v>
      </c>
      <c r="C146" s="45">
        <f>COUNTIFS(Table1[SubscriptionStart], A146)</f>
        <v>1</v>
      </c>
      <c r="D146" s="45">
        <f>COUNTIFS(Table1[CancellationDate], A146)</f>
        <v>0</v>
      </c>
      <c r="E146" s="45">
        <f t="shared" si="8"/>
        <v>1</v>
      </c>
      <c r="F146" s="45">
        <f>SUM($C$2:C146)</f>
        <v>132</v>
      </c>
      <c r="G146" s="49" cm="1">
        <f t="array" aca="1" ref="G146" ca="1">IF(B146=0,"", SUMPRODUCT((Table1[SubscriptionStart]&lt;=A146)*(Table1[EffectiveEndDate]&gt;=A146)*Table1[Age]) / B146 )</f>
        <v>43.194915254237287</v>
      </c>
      <c r="H146" s="22">
        <f>SUMIF(Table1[SubscriptionStart],"&lt;="&amp;A146,Table1[TotalRevenue])</f>
        <v>30826.85</v>
      </c>
      <c r="I146" s="50">
        <f t="shared" si="9"/>
        <v>44712</v>
      </c>
      <c r="J146" s="49">
        <f t="shared" ca="1" si="10"/>
        <v>110.03225806451613</v>
      </c>
      <c r="K146" s="45" cm="1">
        <f t="array" aca="1" ref="K146" ca="1">SUMPRODUCT((Table1[SubscriptionStart] &lt;= $A146) * (Table1[EffectiveEndDate] &gt;= $A146) * (Table1[Region] = "England"))</f>
        <v>25</v>
      </c>
      <c r="L146" s="45" cm="1">
        <f t="array" aca="1" ref="L146" ca="1">SUMPRODUCT((Table1[SubscriptionStart] &lt;= $A146) * (Table1[EffectiveEndDate] &gt;= $A146) * (Table1[Region] = "Scotland"))</f>
        <v>24</v>
      </c>
      <c r="M146" s="45" cm="1">
        <f t="array" aca="1" ref="M146" ca="1">SUMPRODUCT((Table1[SubscriptionStart] &lt;= $A146) * (Table1[EffectiveEndDate] &gt;= $A146) * (Table1[Region] = "Wales"))</f>
        <v>25</v>
      </c>
      <c r="N146" s="45" cm="1">
        <f t="array" aca="1" ref="N146" ca="1">SUMPRODUCT((Table1[SubscriptionStart] &lt;= $A146) * (Table1[EffectiveEndDate] &gt;= $A146) * (Table1[Region] = "Northern Ireland"))</f>
        <v>44</v>
      </c>
      <c r="O146" s="45" cm="1">
        <f t="array" aca="1" ref="O146" ca="1">SUMPRODUCT((Table1[Gender]="Male")*(Table1[SubscriptionStart]&lt;=A146)*(Table1[EffectiveEndDate]&gt;=A146))</f>
        <v>59</v>
      </c>
      <c r="P146" s="45" cm="1">
        <f t="array" aca="1" ref="P146" ca="1">SUMPRODUCT((Table1[Gender]="Female")*(Table1[SubscriptionStart]&lt;=A146)*(Table1[EffectiveEndDate]&gt;=A146))</f>
        <v>59</v>
      </c>
    </row>
    <row r="147" spans="1:16">
      <c r="A147" s="48">
        <f t="shared" si="11"/>
        <v>44707</v>
      </c>
      <c r="B147" s="45" cm="1">
        <f t="array" aca="1" ref="B147" ca="1">SUMPRODUCT((Table1[SubscriptionStart]&lt;=A147)*(Table1[EffectiveEndDate]&gt;=A147))</f>
        <v>118</v>
      </c>
      <c r="C147" s="45">
        <f>COUNTIFS(Table1[SubscriptionStart], A147)</f>
        <v>0</v>
      </c>
      <c r="D147" s="45">
        <f>COUNTIFS(Table1[CancellationDate], A147)</f>
        <v>0</v>
      </c>
      <c r="E147" s="45">
        <f t="shared" si="8"/>
        <v>0</v>
      </c>
      <c r="F147" s="45">
        <f>SUM($C$2:C147)</f>
        <v>132</v>
      </c>
      <c r="G147" s="49" cm="1">
        <f t="array" aca="1" ref="G147" ca="1">IF(B147=0,"", SUMPRODUCT((Table1[SubscriptionStart]&lt;=A147)*(Table1[EffectiveEndDate]&gt;=A147)*Table1[Age]) / B147 )</f>
        <v>43.194915254237287</v>
      </c>
      <c r="H147" s="22">
        <f>SUMIF(Table1[SubscriptionStart],"&lt;="&amp;A147,Table1[TotalRevenue])</f>
        <v>30826.85</v>
      </c>
      <c r="I147" s="50">
        <f t="shared" si="9"/>
        <v>44712</v>
      </c>
      <c r="J147" s="49">
        <f t="shared" ca="1" si="10"/>
        <v>110.03225806451613</v>
      </c>
      <c r="K147" s="45" cm="1">
        <f t="array" aca="1" ref="K147" ca="1">SUMPRODUCT((Table1[SubscriptionStart] &lt;= $A147) * (Table1[EffectiveEndDate] &gt;= $A147) * (Table1[Region] = "England"))</f>
        <v>25</v>
      </c>
      <c r="L147" s="45" cm="1">
        <f t="array" aca="1" ref="L147" ca="1">SUMPRODUCT((Table1[SubscriptionStart] &lt;= $A147) * (Table1[EffectiveEndDate] &gt;= $A147) * (Table1[Region] = "Scotland"))</f>
        <v>24</v>
      </c>
      <c r="M147" s="45" cm="1">
        <f t="array" aca="1" ref="M147" ca="1">SUMPRODUCT((Table1[SubscriptionStart] &lt;= $A147) * (Table1[EffectiveEndDate] &gt;= $A147) * (Table1[Region] = "Wales"))</f>
        <v>25</v>
      </c>
      <c r="N147" s="45" cm="1">
        <f t="array" aca="1" ref="N147" ca="1">SUMPRODUCT((Table1[SubscriptionStart] &lt;= $A147) * (Table1[EffectiveEndDate] &gt;= $A147) * (Table1[Region] = "Northern Ireland"))</f>
        <v>44</v>
      </c>
      <c r="O147" s="45" cm="1">
        <f t="array" aca="1" ref="O147" ca="1">SUMPRODUCT((Table1[Gender]="Male")*(Table1[SubscriptionStart]&lt;=A147)*(Table1[EffectiveEndDate]&gt;=A147))</f>
        <v>59</v>
      </c>
      <c r="P147" s="45" cm="1">
        <f t="array" aca="1" ref="P147" ca="1">SUMPRODUCT((Table1[Gender]="Female")*(Table1[SubscriptionStart]&lt;=A147)*(Table1[EffectiveEndDate]&gt;=A147))</f>
        <v>59</v>
      </c>
    </row>
    <row r="148" spans="1:16">
      <c r="A148" s="48">
        <f t="shared" si="11"/>
        <v>44708</v>
      </c>
      <c r="B148" s="45" cm="1">
        <f t="array" aca="1" ref="B148" ca="1">SUMPRODUCT((Table1[SubscriptionStart]&lt;=A148)*(Table1[EffectiveEndDate]&gt;=A148))</f>
        <v>119</v>
      </c>
      <c r="C148" s="45">
        <f>COUNTIFS(Table1[SubscriptionStart], A148)</f>
        <v>1</v>
      </c>
      <c r="D148" s="45">
        <f>COUNTIFS(Table1[CancellationDate], A148)</f>
        <v>0</v>
      </c>
      <c r="E148" s="45">
        <f t="shared" si="8"/>
        <v>1</v>
      </c>
      <c r="F148" s="45">
        <f>SUM($C$2:C148)</f>
        <v>133</v>
      </c>
      <c r="G148" s="49" cm="1">
        <f t="array" aca="1" ref="G148" ca="1">IF(B148=0,"", SUMPRODUCT((Table1[SubscriptionStart]&lt;=A148)*(Table1[EffectiveEndDate]&gt;=A148)*Table1[Age]) / B148 )</f>
        <v>43.193277310924373</v>
      </c>
      <c r="H148" s="22">
        <f>SUMIF(Table1[SubscriptionStart],"&lt;="&amp;A148,Table1[TotalRevenue])</f>
        <v>31006.85</v>
      </c>
      <c r="I148" s="50">
        <f t="shared" si="9"/>
        <v>44712</v>
      </c>
      <c r="J148" s="49">
        <f t="shared" ca="1" si="10"/>
        <v>110.03225806451613</v>
      </c>
      <c r="K148" s="45" cm="1">
        <f t="array" aca="1" ref="K148" ca="1">SUMPRODUCT((Table1[SubscriptionStart] &lt;= $A148) * (Table1[EffectiveEndDate] &gt;= $A148) * (Table1[Region] = "England"))</f>
        <v>25</v>
      </c>
      <c r="L148" s="45" cm="1">
        <f t="array" aca="1" ref="L148" ca="1">SUMPRODUCT((Table1[SubscriptionStart] &lt;= $A148) * (Table1[EffectiveEndDate] &gt;= $A148) * (Table1[Region] = "Scotland"))</f>
        <v>24</v>
      </c>
      <c r="M148" s="45" cm="1">
        <f t="array" aca="1" ref="M148" ca="1">SUMPRODUCT((Table1[SubscriptionStart] &lt;= $A148) * (Table1[EffectiveEndDate] &gt;= $A148) * (Table1[Region] = "Wales"))</f>
        <v>25</v>
      </c>
      <c r="N148" s="45" cm="1">
        <f t="array" aca="1" ref="N148" ca="1">SUMPRODUCT((Table1[SubscriptionStart] &lt;= $A148) * (Table1[EffectiveEndDate] &gt;= $A148) * (Table1[Region] = "Northern Ireland"))</f>
        <v>45</v>
      </c>
      <c r="O148" s="45" cm="1">
        <f t="array" aca="1" ref="O148" ca="1">SUMPRODUCT((Table1[Gender]="Male")*(Table1[SubscriptionStart]&lt;=A148)*(Table1[EffectiveEndDate]&gt;=A148))</f>
        <v>59</v>
      </c>
      <c r="P148" s="45" cm="1">
        <f t="array" aca="1" ref="P148" ca="1">SUMPRODUCT((Table1[Gender]="Female")*(Table1[SubscriptionStart]&lt;=A148)*(Table1[EffectiveEndDate]&gt;=A148))</f>
        <v>60</v>
      </c>
    </row>
    <row r="149" spans="1:16">
      <c r="A149" s="48">
        <f t="shared" si="11"/>
        <v>44709</v>
      </c>
      <c r="B149" s="45" cm="1">
        <f t="array" aca="1" ref="B149" ca="1">SUMPRODUCT((Table1[SubscriptionStart]&lt;=A149)*(Table1[EffectiveEndDate]&gt;=A149))</f>
        <v>120</v>
      </c>
      <c r="C149" s="45">
        <f>COUNTIFS(Table1[SubscriptionStart], A149)</f>
        <v>1</v>
      </c>
      <c r="D149" s="45">
        <f>COUNTIFS(Table1[CancellationDate], A149)</f>
        <v>0</v>
      </c>
      <c r="E149" s="45">
        <f t="shared" si="8"/>
        <v>1</v>
      </c>
      <c r="F149" s="45">
        <f>SUM($C$2:C149)</f>
        <v>134</v>
      </c>
      <c r="G149" s="49" cm="1">
        <f t="array" aca="1" ref="G149" ca="1">IF(B149=0,"", SUMPRODUCT((Table1[SubscriptionStart]&lt;=A149)*(Table1[EffectiveEndDate]&gt;=A149)*Table1[Age]) / B149 )</f>
        <v>43.108333333333334</v>
      </c>
      <c r="H149" s="22">
        <f>SUMIF(Table1[SubscriptionStart],"&lt;="&amp;A149,Table1[TotalRevenue])</f>
        <v>31108.1</v>
      </c>
      <c r="I149" s="50">
        <f t="shared" si="9"/>
        <v>44712</v>
      </c>
      <c r="J149" s="49">
        <f t="shared" ca="1" si="10"/>
        <v>110.03225806451613</v>
      </c>
      <c r="K149" s="45" cm="1">
        <f t="array" aca="1" ref="K149" ca="1">SUMPRODUCT((Table1[SubscriptionStart] &lt;= $A149) * (Table1[EffectiveEndDate] &gt;= $A149) * (Table1[Region] = "England"))</f>
        <v>25</v>
      </c>
      <c r="L149" s="45" cm="1">
        <f t="array" aca="1" ref="L149" ca="1">SUMPRODUCT((Table1[SubscriptionStart] &lt;= $A149) * (Table1[EffectiveEndDate] &gt;= $A149) * (Table1[Region] = "Scotland"))</f>
        <v>24</v>
      </c>
      <c r="M149" s="45" cm="1">
        <f t="array" aca="1" ref="M149" ca="1">SUMPRODUCT((Table1[SubscriptionStart] &lt;= $A149) * (Table1[EffectiveEndDate] &gt;= $A149) * (Table1[Region] = "Wales"))</f>
        <v>25</v>
      </c>
      <c r="N149" s="45" cm="1">
        <f t="array" aca="1" ref="N149" ca="1">SUMPRODUCT((Table1[SubscriptionStart] &lt;= $A149) * (Table1[EffectiveEndDate] &gt;= $A149) * (Table1[Region] = "Northern Ireland"))</f>
        <v>46</v>
      </c>
      <c r="O149" s="45" cm="1">
        <f t="array" aca="1" ref="O149" ca="1">SUMPRODUCT((Table1[Gender]="Male")*(Table1[SubscriptionStart]&lt;=A149)*(Table1[EffectiveEndDate]&gt;=A149))</f>
        <v>59</v>
      </c>
      <c r="P149" s="45" cm="1">
        <f t="array" aca="1" ref="P149" ca="1">SUMPRODUCT((Table1[Gender]="Female")*(Table1[SubscriptionStart]&lt;=A149)*(Table1[EffectiveEndDate]&gt;=A149))</f>
        <v>61</v>
      </c>
    </row>
    <row r="150" spans="1:16">
      <c r="A150" s="48">
        <f t="shared" si="11"/>
        <v>44710</v>
      </c>
      <c r="B150" s="45" cm="1">
        <f t="array" aca="1" ref="B150" ca="1">SUMPRODUCT((Table1[SubscriptionStart]&lt;=A150)*(Table1[EffectiveEndDate]&gt;=A150))</f>
        <v>120</v>
      </c>
      <c r="C150" s="45">
        <f>COUNTIFS(Table1[SubscriptionStart], A150)</f>
        <v>0</v>
      </c>
      <c r="D150" s="45">
        <f>COUNTIFS(Table1[CancellationDate], A150)</f>
        <v>0</v>
      </c>
      <c r="E150" s="45">
        <f t="shared" si="8"/>
        <v>0</v>
      </c>
      <c r="F150" s="45">
        <f>SUM($C$2:C150)</f>
        <v>134</v>
      </c>
      <c r="G150" s="49" cm="1">
        <f t="array" aca="1" ref="G150" ca="1">IF(B150=0,"", SUMPRODUCT((Table1[SubscriptionStart]&lt;=A150)*(Table1[EffectiveEndDate]&gt;=A150)*Table1[Age]) / B150 )</f>
        <v>43.108333333333334</v>
      </c>
      <c r="H150" s="22">
        <f>SUMIF(Table1[SubscriptionStart],"&lt;="&amp;A150,Table1[TotalRevenue])</f>
        <v>31108.1</v>
      </c>
      <c r="I150" s="50">
        <f t="shared" si="9"/>
        <v>44712</v>
      </c>
      <c r="J150" s="49">
        <f t="shared" ca="1" si="10"/>
        <v>110.03225806451613</v>
      </c>
      <c r="K150" s="45" cm="1">
        <f t="array" aca="1" ref="K150" ca="1">SUMPRODUCT((Table1[SubscriptionStart] &lt;= $A150) * (Table1[EffectiveEndDate] &gt;= $A150) * (Table1[Region] = "England"))</f>
        <v>25</v>
      </c>
      <c r="L150" s="45" cm="1">
        <f t="array" aca="1" ref="L150" ca="1">SUMPRODUCT((Table1[SubscriptionStart] &lt;= $A150) * (Table1[EffectiveEndDate] &gt;= $A150) * (Table1[Region] = "Scotland"))</f>
        <v>24</v>
      </c>
      <c r="M150" s="45" cm="1">
        <f t="array" aca="1" ref="M150" ca="1">SUMPRODUCT((Table1[SubscriptionStart] &lt;= $A150) * (Table1[EffectiveEndDate] &gt;= $A150) * (Table1[Region] = "Wales"))</f>
        <v>25</v>
      </c>
      <c r="N150" s="45" cm="1">
        <f t="array" aca="1" ref="N150" ca="1">SUMPRODUCT((Table1[SubscriptionStart] &lt;= $A150) * (Table1[EffectiveEndDate] &gt;= $A150) * (Table1[Region] = "Northern Ireland"))</f>
        <v>46</v>
      </c>
      <c r="O150" s="45" cm="1">
        <f t="array" aca="1" ref="O150" ca="1">SUMPRODUCT((Table1[Gender]="Male")*(Table1[SubscriptionStart]&lt;=A150)*(Table1[EffectiveEndDate]&gt;=A150))</f>
        <v>59</v>
      </c>
      <c r="P150" s="45" cm="1">
        <f t="array" aca="1" ref="P150" ca="1">SUMPRODUCT((Table1[Gender]="Female")*(Table1[SubscriptionStart]&lt;=A150)*(Table1[EffectiveEndDate]&gt;=A150))</f>
        <v>61</v>
      </c>
    </row>
    <row r="151" spans="1:16">
      <c r="A151" s="48">
        <f t="shared" si="11"/>
        <v>44711</v>
      </c>
      <c r="B151" s="45" cm="1">
        <f t="array" aca="1" ref="B151" ca="1">SUMPRODUCT((Table1[SubscriptionStart]&lt;=A151)*(Table1[EffectiveEndDate]&gt;=A151))</f>
        <v>121</v>
      </c>
      <c r="C151" s="45">
        <f>COUNTIFS(Table1[SubscriptionStart], A151)</f>
        <v>1</v>
      </c>
      <c r="D151" s="45">
        <f>COUNTIFS(Table1[CancellationDate], A151)</f>
        <v>0</v>
      </c>
      <c r="E151" s="45">
        <f t="shared" si="8"/>
        <v>1</v>
      </c>
      <c r="F151" s="45">
        <f>SUM($C$2:C151)</f>
        <v>135</v>
      </c>
      <c r="G151" s="49" cm="1">
        <f t="array" aca="1" ref="G151" ca="1">IF(B151=0,"", SUMPRODUCT((Table1[SubscriptionStart]&lt;=A151)*(Table1[EffectiveEndDate]&gt;=A151)*Table1[Age]) / B151 )</f>
        <v>42.966942148760332</v>
      </c>
      <c r="H151" s="22">
        <f>SUMIF(Table1[SubscriptionStart],"&lt;="&amp;A151,Table1[TotalRevenue])</f>
        <v>31517.1</v>
      </c>
      <c r="I151" s="50">
        <f t="shared" si="9"/>
        <v>44712</v>
      </c>
      <c r="J151" s="49">
        <f t="shared" ca="1" si="10"/>
        <v>110.03225806451613</v>
      </c>
      <c r="K151" s="45" cm="1">
        <f t="array" aca="1" ref="K151" ca="1">SUMPRODUCT((Table1[SubscriptionStart] &lt;= $A151) * (Table1[EffectiveEndDate] &gt;= $A151) * (Table1[Region] = "England"))</f>
        <v>25</v>
      </c>
      <c r="L151" s="45" cm="1">
        <f t="array" aca="1" ref="L151" ca="1">SUMPRODUCT((Table1[SubscriptionStart] &lt;= $A151) * (Table1[EffectiveEndDate] &gt;= $A151) * (Table1[Region] = "Scotland"))</f>
        <v>24</v>
      </c>
      <c r="M151" s="45" cm="1">
        <f t="array" aca="1" ref="M151" ca="1">SUMPRODUCT((Table1[SubscriptionStart] &lt;= $A151) * (Table1[EffectiveEndDate] &gt;= $A151) * (Table1[Region] = "Wales"))</f>
        <v>26</v>
      </c>
      <c r="N151" s="45" cm="1">
        <f t="array" aca="1" ref="N151" ca="1">SUMPRODUCT((Table1[SubscriptionStart] &lt;= $A151) * (Table1[EffectiveEndDate] &gt;= $A151) * (Table1[Region] = "Northern Ireland"))</f>
        <v>46</v>
      </c>
      <c r="O151" s="45" cm="1">
        <f t="array" aca="1" ref="O151" ca="1">SUMPRODUCT((Table1[Gender]="Male")*(Table1[SubscriptionStart]&lt;=A151)*(Table1[EffectiveEndDate]&gt;=A151))</f>
        <v>60</v>
      </c>
      <c r="P151" s="45" cm="1">
        <f t="array" aca="1" ref="P151" ca="1">SUMPRODUCT((Table1[Gender]="Female")*(Table1[SubscriptionStart]&lt;=A151)*(Table1[EffectiveEndDate]&gt;=A151))</f>
        <v>61</v>
      </c>
    </row>
    <row r="152" spans="1:16">
      <c r="A152" s="48">
        <f t="shared" si="11"/>
        <v>44712</v>
      </c>
      <c r="B152" s="45" cm="1">
        <f t="array" aca="1" ref="B152" ca="1">SUMPRODUCT((Table1[SubscriptionStart]&lt;=A152)*(Table1[EffectiveEndDate]&gt;=A152))</f>
        <v>123</v>
      </c>
      <c r="C152" s="45">
        <f>COUNTIFS(Table1[SubscriptionStart], A152)</f>
        <v>2</v>
      </c>
      <c r="D152" s="45">
        <f>COUNTIFS(Table1[CancellationDate], A152)</f>
        <v>0</v>
      </c>
      <c r="E152" s="45">
        <f t="shared" si="8"/>
        <v>2</v>
      </c>
      <c r="F152" s="45">
        <f>SUM($C$2:C152)</f>
        <v>137</v>
      </c>
      <c r="G152" s="49" cm="1">
        <f t="array" aca="1" ref="G152" ca="1">IF(B152=0,"", SUMPRODUCT((Table1[SubscriptionStart]&lt;=A152)*(Table1[EffectiveEndDate]&gt;=A152)*Table1[Age]) / B152 )</f>
        <v>43.08943089430894</v>
      </c>
      <c r="H152" s="22">
        <f>SUMIF(Table1[SubscriptionStart],"&lt;="&amp;A152,Table1[TotalRevenue])</f>
        <v>31646.699999999997</v>
      </c>
      <c r="I152" s="50">
        <f t="shared" si="9"/>
        <v>44712</v>
      </c>
      <c r="J152" s="49">
        <f t="shared" ca="1" si="10"/>
        <v>110.03225806451613</v>
      </c>
      <c r="K152" s="45" cm="1">
        <f t="array" aca="1" ref="K152" ca="1">SUMPRODUCT((Table1[SubscriptionStart] &lt;= $A152) * (Table1[EffectiveEndDate] &gt;= $A152) * (Table1[Region] = "England"))</f>
        <v>27</v>
      </c>
      <c r="L152" s="45" cm="1">
        <f t="array" aca="1" ref="L152" ca="1">SUMPRODUCT((Table1[SubscriptionStart] &lt;= $A152) * (Table1[EffectiveEndDate] &gt;= $A152) * (Table1[Region] = "Scotland"))</f>
        <v>24</v>
      </c>
      <c r="M152" s="45" cm="1">
        <f t="array" aca="1" ref="M152" ca="1">SUMPRODUCT((Table1[SubscriptionStart] &lt;= $A152) * (Table1[EffectiveEndDate] &gt;= $A152) * (Table1[Region] = "Wales"))</f>
        <v>26</v>
      </c>
      <c r="N152" s="45" cm="1">
        <f t="array" aca="1" ref="N152" ca="1">SUMPRODUCT((Table1[SubscriptionStart] &lt;= $A152) * (Table1[EffectiveEndDate] &gt;= $A152) * (Table1[Region] = "Northern Ireland"))</f>
        <v>46</v>
      </c>
      <c r="O152" s="45" cm="1">
        <f t="array" aca="1" ref="O152" ca="1">SUMPRODUCT((Table1[Gender]="Male")*(Table1[SubscriptionStart]&lt;=A152)*(Table1[EffectiveEndDate]&gt;=A152))</f>
        <v>62</v>
      </c>
      <c r="P152" s="45" cm="1">
        <f t="array" aca="1" ref="P152" ca="1">SUMPRODUCT((Table1[Gender]="Female")*(Table1[SubscriptionStart]&lt;=A152)*(Table1[EffectiveEndDate]&gt;=A152))</f>
        <v>61</v>
      </c>
    </row>
    <row r="153" spans="1:16">
      <c r="A153" s="48">
        <f t="shared" si="11"/>
        <v>44713</v>
      </c>
      <c r="B153" s="45" cm="1">
        <f t="array" aca="1" ref="B153" ca="1">SUMPRODUCT((Table1[SubscriptionStart]&lt;=A153)*(Table1[EffectiveEndDate]&gt;=A153))</f>
        <v>125</v>
      </c>
      <c r="C153" s="45">
        <f>COUNTIFS(Table1[SubscriptionStart], A153)</f>
        <v>2</v>
      </c>
      <c r="D153" s="45">
        <f>COUNTIFS(Table1[CancellationDate], A153)</f>
        <v>0</v>
      </c>
      <c r="E153" s="45">
        <f t="shared" si="8"/>
        <v>2</v>
      </c>
      <c r="F153" s="45">
        <f>SUM($C$2:C153)</f>
        <v>139</v>
      </c>
      <c r="G153" s="49" cm="1">
        <f t="array" aca="1" ref="G153" ca="1">IF(B153=0,"", SUMPRODUCT((Table1[SubscriptionStart]&lt;=A153)*(Table1[EffectiveEndDate]&gt;=A153)*Table1[Age]) / B153 )</f>
        <v>42.728000000000002</v>
      </c>
      <c r="H153" s="22">
        <f>SUMIF(Table1[SubscriptionStart],"&lt;="&amp;A153,Table1[TotalRevenue])</f>
        <v>31956.299999999996</v>
      </c>
      <c r="I153" s="50">
        <f t="shared" si="9"/>
        <v>44742</v>
      </c>
      <c r="J153" s="49">
        <f t="shared" ca="1" si="10"/>
        <v>137</v>
      </c>
      <c r="K153" s="45" cm="1">
        <f t="array" aca="1" ref="K153" ca="1">SUMPRODUCT((Table1[SubscriptionStart] &lt;= $A153) * (Table1[EffectiveEndDate] &gt;= $A153) * (Table1[Region] = "England"))</f>
        <v>27</v>
      </c>
      <c r="L153" s="45" cm="1">
        <f t="array" aca="1" ref="L153" ca="1">SUMPRODUCT((Table1[SubscriptionStart] &lt;= $A153) * (Table1[EffectiveEndDate] &gt;= $A153) * (Table1[Region] = "Scotland"))</f>
        <v>25</v>
      </c>
      <c r="M153" s="45" cm="1">
        <f t="array" aca="1" ref="M153" ca="1">SUMPRODUCT((Table1[SubscriptionStart] &lt;= $A153) * (Table1[EffectiveEndDate] &gt;= $A153) * (Table1[Region] = "Wales"))</f>
        <v>27</v>
      </c>
      <c r="N153" s="45" cm="1">
        <f t="array" aca="1" ref="N153" ca="1">SUMPRODUCT((Table1[SubscriptionStart] &lt;= $A153) * (Table1[EffectiveEndDate] &gt;= $A153) * (Table1[Region] = "Northern Ireland"))</f>
        <v>46</v>
      </c>
      <c r="O153" s="45" cm="1">
        <f t="array" aca="1" ref="O153" ca="1">SUMPRODUCT((Table1[Gender]="Male")*(Table1[SubscriptionStart]&lt;=A153)*(Table1[EffectiveEndDate]&gt;=A153))</f>
        <v>63</v>
      </c>
      <c r="P153" s="45" cm="1">
        <f t="array" aca="1" ref="P153" ca="1">SUMPRODUCT((Table1[Gender]="Female")*(Table1[SubscriptionStart]&lt;=A153)*(Table1[EffectiveEndDate]&gt;=A153))</f>
        <v>62</v>
      </c>
    </row>
    <row r="154" spans="1:16">
      <c r="A154" s="48">
        <f t="shared" si="11"/>
        <v>44714</v>
      </c>
      <c r="B154" s="45" cm="1">
        <f t="array" aca="1" ref="B154" ca="1">SUMPRODUCT((Table1[SubscriptionStart]&lt;=A154)*(Table1[EffectiveEndDate]&gt;=A154))</f>
        <v>126</v>
      </c>
      <c r="C154" s="45">
        <f>COUNTIFS(Table1[SubscriptionStart], A154)</f>
        <v>1</v>
      </c>
      <c r="D154" s="45">
        <f>COUNTIFS(Table1[CancellationDate], A154)</f>
        <v>0</v>
      </c>
      <c r="E154" s="45">
        <f t="shared" si="8"/>
        <v>1</v>
      </c>
      <c r="F154" s="45">
        <f>SUM($C$2:C154)</f>
        <v>140</v>
      </c>
      <c r="G154" s="49" cm="1">
        <f t="array" aca="1" ref="G154" ca="1">IF(B154=0,"", SUMPRODUCT((Table1[SubscriptionStart]&lt;=A154)*(Table1[EffectiveEndDate]&gt;=A154)*Table1[Age]) / B154 )</f>
        <v>42.69047619047619</v>
      </c>
      <c r="H154" s="22">
        <f>SUMIF(Table1[SubscriptionStart],"&lt;="&amp;A154,Table1[TotalRevenue])</f>
        <v>31956.299999999996</v>
      </c>
      <c r="I154" s="50">
        <f t="shared" si="9"/>
        <v>44742</v>
      </c>
      <c r="J154" s="49">
        <f t="shared" ca="1" si="10"/>
        <v>137</v>
      </c>
      <c r="K154" s="45" cm="1">
        <f t="array" aca="1" ref="K154" ca="1">SUMPRODUCT((Table1[SubscriptionStart] &lt;= $A154) * (Table1[EffectiveEndDate] &gt;= $A154) * (Table1[Region] = "England"))</f>
        <v>27</v>
      </c>
      <c r="L154" s="45" cm="1">
        <f t="array" aca="1" ref="L154" ca="1">SUMPRODUCT((Table1[SubscriptionStart] &lt;= $A154) * (Table1[EffectiveEndDate] &gt;= $A154) * (Table1[Region] = "Scotland"))</f>
        <v>26</v>
      </c>
      <c r="M154" s="45" cm="1">
        <f t="array" aca="1" ref="M154" ca="1">SUMPRODUCT((Table1[SubscriptionStart] &lt;= $A154) * (Table1[EffectiveEndDate] &gt;= $A154) * (Table1[Region] = "Wales"))</f>
        <v>27</v>
      </c>
      <c r="N154" s="45" cm="1">
        <f t="array" aca="1" ref="N154" ca="1">SUMPRODUCT((Table1[SubscriptionStart] &lt;= $A154) * (Table1[EffectiveEndDate] &gt;= $A154) * (Table1[Region] = "Northern Ireland"))</f>
        <v>46</v>
      </c>
      <c r="O154" s="45" cm="1">
        <f t="array" aca="1" ref="O154" ca="1">SUMPRODUCT((Table1[Gender]="Male")*(Table1[SubscriptionStart]&lt;=A154)*(Table1[EffectiveEndDate]&gt;=A154))</f>
        <v>63</v>
      </c>
      <c r="P154" s="45" cm="1">
        <f t="array" aca="1" ref="P154" ca="1">SUMPRODUCT((Table1[Gender]="Female")*(Table1[SubscriptionStart]&lt;=A154)*(Table1[EffectiveEndDate]&gt;=A154))</f>
        <v>63</v>
      </c>
    </row>
    <row r="155" spans="1:16">
      <c r="A155" s="48">
        <f t="shared" si="11"/>
        <v>44715</v>
      </c>
      <c r="B155" s="45" cm="1">
        <f t="array" aca="1" ref="B155" ca="1">SUMPRODUCT((Table1[SubscriptionStart]&lt;=A155)*(Table1[EffectiveEndDate]&gt;=A155))</f>
        <v>126</v>
      </c>
      <c r="C155" s="45">
        <f>COUNTIFS(Table1[SubscriptionStart], A155)</f>
        <v>0</v>
      </c>
      <c r="D155" s="45">
        <f>COUNTIFS(Table1[CancellationDate], A155)</f>
        <v>0</v>
      </c>
      <c r="E155" s="45">
        <f t="shared" si="8"/>
        <v>0</v>
      </c>
      <c r="F155" s="45">
        <f>SUM($C$2:C155)</f>
        <v>140</v>
      </c>
      <c r="G155" s="49" cm="1">
        <f t="array" aca="1" ref="G155" ca="1">IF(B155=0,"", SUMPRODUCT((Table1[SubscriptionStart]&lt;=A155)*(Table1[EffectiveEndDate]&gt;=A155)*Table1[Age]) / B155 )</f>
        <v>42.69047619047619</v>
      </c>
      <c r="H155" s="22">
        <f>SUMIF(Table1[SubscriptionStart],"&lt;="&amp;A155,Table1[TotalRevenue])</f>
        <v>31956.299999999996</v>
      </c>
      <c r="I155" s="50">
        <f t="shared" si="9"/>
        <v>44742</v>
      </c>
      <c r="J155" s="49">
        <f t="shared" ca="1" si="10"/>
        <v>137</v>
      </c>
      <c r="K155" s="45" cm="1">
        <f t="array" aca="1" ref="K155" ca="1">SUMPRODUCT((Table1[SubscriptionStart] &lt;= $A155) * (Table1[EffectiveEndDate] &gt;= $A155) * (Table1[Region] = "England"))</f>
        <v>27</v>
      </c>
      <c r="L155" s="45" cm="1">
        <f t="array" aca="1" ref="L155" ca="1">SUMPRODUCT((Table1[SubscriptionStart] &lt;= $A155) * (Table1[EffectiveEndDate] &gt;= $A155) * (Table1[Region] = "Scotland"))</f>
        <v>26</v>
      </c>
      <c r="M155" s="45" cm="1">
        <f t="array" aca="1" ref="M155" ca="1">SUMPRODUCT((Table1[SubscriptionStart] &lt;= $A155) * (Table1[EffectiveEndDate] &gt;= $A155) * (Table1[Region] = "Wales"))</f>
        <v>27</v>
      </c>
      <c r="N155" s="45" cm="1">
        <f t="array" aca="1" ref="N155" ca="1">SUMPRODUCT((Table1[SubscriptionStart] &lt;= $A155) * (Table1[EffectiveEndDate] &gt;= $A155) * (Table1[Region] = "Northern Ireland"))</f>
        <v>46</v>
      </c>
      <c r="O155" s="45" cm="1">
        <f t="array" aca="1" ref="O155" ca="1">SUMPRODUCT((Table1[Gender]="Male")*(Table1[SubscriptionStart]&lt;=A155)*(Table1[EffectiveEndDate]&gt;=A155))</f>
        <v>63</v>
      </c>
      <c r="P155" s="45" cm="1">
        <f t="array" aca="1" ref="P155" ca="1">SUMPRODUCT((Table1[Gender]="Female")*(Table1[SubscriptionStart]&lt;=A155)*(Table1[EffectiveEndDate]&gt;=A155))</f>
        <v>63</v>
      </c>
    </row>
    <row r="156" spans="1:16">
      <c r="A156" s="48">
        <f t="shared" si="11"/>
        <v>44716</v>
      </c>
      <c r="B156" s="45" cm="1">
        <f t="array" aca="1" ref="B156" ca="1">SUMPRODUCT((Table1[SubscriptionStart]&lt;=A156)*(Table1[EffectiveEndDate]&gt;=A156))</f>
        <v>127</v>
      </c>
      <c r="C156" s="45">
        <f>COUNTIFS(Table1[SubscriptionStart], A156)</f>
        <v>1</v>
      </c>
      <c r="D156" s="45">
        <f>COUNTIFS(Table1[CancellationDate], A156)</f>
        <v>0</v>
      </c>
      <c r="E156" s="45">
        <f t="shared" si="8"/>
        <v>1</v>
      </c>
      <c r="F156" s="45">
        <f>SUM($C$2:C156)</f>
        <v>141</v>
      </c>
      <c r="G156" s="49" cm="1">
        <f t="array" aca="1" ref="G156" ca="1">IF(B156=0,"", SUMPRODUCT((Table1[SubscriptionStart]&lt;=A156)*(Table1[EffectiveEndDate]&gt;=A156)*Table1[Age]) / B156 )</f>
        <v>42.677165354330711</v>
      </c>
      <c r="H156" s="22">
        <f>SUMIF(Table1[SubscriptionStart],"&lt;="&amp;A156,Table1[TotalRevenue])</f>
        <v>32028.299999999996</v>
      </c>
      <c r="I156" s="50">
        <f t="shared" si="9"/>
        <v>44742</v>
      </c>
      <c r="J156" s="49">
        <f t="shared" ca="1" si="10"/>
        <v>137</v>
      </c>
      <c r="K156" s="45" cm="1">
        <f t="array" aca="1" ref="K156" ca="1">SUMPRODUCT((Table1[SubscriptionStart] &lt;= $A156) * (Table1[EffectiveEndDate] &gt;= $A156) * (Table1[Region] = "England"))</f>
        <v>27</v>
      </c>
      <c r="L156" s="45" cm="1">
        <f t="array" aca="1" ref="L156" ca="1">SUMPRODUCT((Table1[SubscriptionStart] &lt;= $A156) * (Table1[EffectiveEndDate] &gt;= $A156) * (Table1[Region] = "Scotland"))</f>
        <v>26</v>
      </c>
      <c r="M156" s="45" cm="1">
        <f t="array" aca="1" ref="M156" ca="1">SUMPRODUCT((Table1[SubscriptionStart] &lt;= $A156) * (Table1[EffectiveEndDate] &gt;= $A156) * (Table1[Region] = "Wales"))</f>
        <v>27</v>
      </c>
      <c r="N156" s="45" cm="1">
        <f t="array" aca="1" ref="N156" ca="1">SUMPRODUCT((Table1[SubscriptionStart] &lt;= $A156) * (Table1[EffectiveEndDate] &gt;= $A156) * (Table1[Region] = "Northern Ireland"))</f>
        <v>47</v>
      </c>
      <c r="O156" s="45" cm="1">
        <f t="array" aca="1" ref="O156" ca="1">SUMPRODUCT((Table1[Gender]="Male")*(Table1[SubscriptionStart]&lt;=A156)*(Table1[EffectiveEndDate]&gt;=A156))</f>
        <v>64</v>
      </c>
      <c r="P156" s="45" cm="1">
        <f t="array" aca="1" ref="P156" ca="1">SUMPRODUCT((Table1[Gender]="Female")*(Table1[SubscriptionStart]&lt;=A156)*(Table1[EffectiveEndDate]&gt;=A156))</f>
        <v>63</v>
      </c>
    </row>
    <row r="157" spans="1:16">
      <c r="A157" s="48">
        <f t="shared" si="11"/>
        <v>44717</v>
      </c>
      <c r="B157" s="45" cm="1">
        <f t="array" aca="1" ref="B157" ca="1">SUMPRODUCT((Table1[SubscriptionStart]&lt;=A157)*(Table1[EffectiveEndDate]&gt;=A157))</f>
        <v>129</v>
      </c>
      <c r="C157" s="45">
        <f>COUNTIFS(Table1[SubscriptionStart], A157)</f>
        <v>2</v>
      </c>
      <c r="D157" s="45">
        <f>COUNTIFS(Table1[CancellationDate], A157)</f>
        <v>0</v>
      </c>
      <c r="E157" s="45">
        <f t="shared" si="8"/>
        <v>2</v>
      </c>
      <c r="F157" s="45">
        <f>SUM($C$2:C157)</f>
        <v>143</v>
      </c>
      <c r="G157" s="49" cm="1">
        <f t="array" aca="1" ref="G157" ca="1">IF(B157=0,"", SUMPRODUCT((Table1[SubscriptionStart]&lt;=A157)*(Table1[EffectiveEndDate]&gt;=A157)*Table1[Age]) / B157 )</f>
        <v>42.612403100775197</v>
      </c>
      <c r="H157" s="22">
        <f>SUMIF(Table1[SubscriptionStart],"&lt;="&amp;A157,Table1[TotalRevenue])</f>
        <v>32028.299999999996</v>
      </c>
      <c r="I157" s="50">
        <f t="shared" si="9"/>
        <v>44742</v>
      </c>
      <c r="J157" s="49">
        <f t="shared" ca="1" si="10"/>
        <v>137</v>
      </c>
      <c r="K157" s="45" cm="1">
        <f t="array" aca="1" ref="K157" ca="1">SUMPRODUCT((Table1[SubscriptionStart] &lt;= $A157) * (Table1[EffectiveEndDate] &gt;= $A157) * (Table1[Region] = "England"))</f>
        <v>27</v>
      </c>
      <c r="L157" s="45" cm="1">
        <f t="array" aca="1" ref="L157" ca="1">SUMPRODUCT((Table1[SubscriptionStart] &lt;= $A157) * (Table1[EffectiveEndDate] &gt;= $A157) * (Table1[Region] = "Scotland"))</f>
        <v>27</v>
      </c>
      <c r="M157" s="45" cm="1">
        <f t="array" aca="1" ref="M157" ca="1">SUMPRODUCT((Table1[SubscriptionStart] &lt;= $A157) * (Table1[EffectiveEndDate] &gt;= $A157) * (Table1[Region] = "Wales"))</f>
        <v>28</v>
      </c>
      <c r="N157" s="45" cm="1">
        <f t="array" aca="1" ref="N157" ca="1">SUMPRODUCT((Table1[SubscriptionStart] &lt;= $A157) * (Table1[EffectiveEndDate] &gt;= $A157) * (Table1[Region] = "Northern Ireland"))</f>
        <v>47</v>
      </c>
      <c r="O157" s="45" cm="1">
        <f t="array" aca="1" ref="O157" ca="1">SUMPRODUCT((Table1[Gender]="Male")*(Table1[SubscriptionStart]&lt;=A157)*(Table1[EffectiveEndDate]&gt;=A157))</f>
        <v>65</v>
      </c>
      <c r="P157" s="45" cm="1">
        <f t="array" aca="1" ref="P157" ca="1">SUMPRODUCT((Table1[Gender]="Female")*(Table1[SubscriptionStart]&lt;=A157)*(Table1[EffectiveEndDate]&gt;=A157))</f>
        <v>64</v>
      </c>
    </row>
    <row r="158" spans="1:16">
      <c r="A158" s="48">
        <f t="shared" si="11"/>
        <v>44718</v>
      </c>
      <c r="B158" s="45" cm="1">
        <f t="array" aca="1" ref="B158" ca="1">SUMPRODUCT((Table1[SubscriptionStart]&lt;=A158)*(Table1[EffectiveEndDate]&gt;=A158))</f>
        <v>131</v>
      </c>
      <c r="C158" s="45">
        <f>COUNTIFS(Table1[SubscriptionStart], A158)</f>
        <v>2</v>
      </c>
      <c r="D158" s="45">
        <f>COUNTIFS(Table1[CancellationDate], A158)</f>
        <v>0</v>
      </c>
      <c r="E158" s="45">
        <f t="shared" si="8"/>
        <v>2</v>
      </c>
      <c r="F158" s="45">
        <f>SUM($C$2:C158)</f>
        <v>145</v>
      </c>
      <c r="G158" s="49" cm="1">
        <f t="array" aca="1" ref="G158" ca="1">IF(B158=0,"", SUMPRODUCT((Table1[SubscriptionStart]&lt;=A158)*(Table1[EffectiveEndDate]&gt;=A158)*Table1[Age]) / B158 )</f>
        <v>42.664122137404583</v>
      </c>
      <c r="H158" s="22">
        <f>SUMIF(Table1[SubscriptionStart],"&lt;="&amp;A158,Table1[TotalRevenue])</f>
        <v>32141.699999999997</v>
      </c>
      <c r="I158" s="50">
        <f t="shared" si="9"/>
        <v>44742</v>
      </c>
      <c r="J158" s="49">
        <f t="shared" ca="1" si="10"/>
        <v>137</v>
      </c>
      <c r="K158" s="45" cm="1">
        <f t="array" aca="1" ref="K158" ca="1">SUMPRODUCT((Table1[SubscriptionStart] &lt;= $A158) * (Table1[EffectiveEndDate] &gt;= $A158) * (Table1[Region] = "England"))</f>
        <v>28</v>
      </c>
      <c r="L158" s="45" cm="1">
        <f t="array" aca="1" ref="L158" ca="1">SUMPRODUCT((Table1[SubscriptionStart] &lt;= $A158) * (Table1[EffectiveEndDate] &gt;= $A158) * (Table1[Region] = "Scotland"))</f>
        <v>27</v>
      </c>
      <c r="M158" s="45" cm="1">
        <f t="array" aca="1" ref="M158" ca="1">SUMPRODUCT((Table1[SubscriptionStart] &lt;= $A158) * (Table1[EffectiveEndDate] &gt;= $A158) * (Table1[Region] = "Wales"))</f>
        <v>29</v>
      </c>
      <c r="N158" s="45" cm="1">
        <f t="array" aca="1" ref="N158" ca="1">SUMPRODUCT((Table1[SubscriptionStart] &lt;= $A158) * (Table1[EffectiveEndDate] &gt;= $A158) * (Table1[Region] = "Northern Ireland"))</f>
        <v>47</v>
      </c>
      <c r="O158" s="45" cm="1">
        <f t="array" aca="1" ref="O158" ca="1">SUMPRODUCT((Table1[Gender]="Male")*(Table1[SubscriptionStart]&lt;=A158)*(Table1[EffectiveEndDate]&gt;=A158))</f>
        <v>66</v>
      </c>
      <c r="P158" s="45" cm="1">
        <f t="array" aca="1" ref="P158" ca="1">SUMPRODUCT((Table1[Gender]="Female")*(Table1[SubscriptionStart]&lt;=A158)*(Table1[EffectiveEndDate]&gt;=A158))</f>
        <v>65</v>
      </c>
    </row>
    <row r="159" spans="1:16">
      <c r="A159" s="48">
        <f t="shared" si="11"/>
        <v>44719</v>
      </c>
      <c r="B159" s="45" cm="1">
        <f t="array" aca="1" ref="B159" ca="1">SUMPRODUCT((Table1[SubscriptionStart]&lt;=A159)*(Table1[EffectiveEndDate]&gt;=A159))</f>
        <v>131</v>
      </c>
      <c r="C159" s="45">
        <f>COUNTIFS(Table1[SubscriptionStart], A159)</f>
        <v>0</v>
      </c>
      <c r="D159" s="45">
        <f>COUNTIFS(Table1[CancellationDate], A159)</f>
        <v>0</v>
      </c>
      <c r="E159" s="45">
        <f t="shared" si="8"/>
        <v>0</v>
      </c>
      <c r="F159" s="45">
        <f>SUM($C$2:C159)</f>
        <v>145</v>
      </c>
      <c r="G159" s="49" cm="1">
        <f t="array" aca="1" ref="G159" ca="1">IF(B159=0,"", SUMPRODUCT((Table1[SubscriptionStart]&lt;=A159)*(Table1[EffectiveEndDate]&gt;=A159)*Table1[Age]) / B159 )</f>
        <v>42.664122137404583</v>
      </c>
      <c r="H159" s="22">
        <f>SUMIF(Table1[SubscriptionStart],"&lt;="&amp;A159,Table1[TotalRevenue])</f>
        <v>32141.699999999997</v>
      </c>
      <c r="I159" s="50">
        <f t="shared" si="9"/>
        <v>44742</v>
      </c>
      <c r="J159" s="49">
        <f t="shared" ca="1" si="10"/>
        <v>137</v>
      </c>
      <c r="K159" s="45" cm="1">
        <f t="array" aca="1" ref="K159" ca="1">SUMPRODUCT((Table1[SubscriptionStart] &lt;= $A159) * (Table1[EffectiveEndDate] &gt;= $A159) * (Table1[Region] = "England"))</f>
        <v>28</v>
      </c>
      <c r="L159" s="45" cm="1">
        <f t="array" aca="1" ref="L159" ca="1">SUMPRODUCT((Table1[SubscriptionStart] &lt;= $A159) * (Table1[EffectiveEndDate] &gt;= $A159) * (Table1[Region] = "Scotland"))</f>
        <v>27</v>
      </c>
      <c r="M159" s="45" cm="1">
        <f t="array" aca="1" ref="M159" ca="1">SUMPRODUCT((Table1[SubscriptionStart] &lt;= $A159) * (Table1[EffectiveEndDate] &gt;= $A159) * (Table1[Region] = "Wales"))</f>
        <v>29</v>
      </c>
      <c r="N159" s="45" cm="1">
        <f t="array" aca="1" ref="N159" ca="1">SUMPRODUCT((Table1[SubscriptionStart] &lt;= $A159) * (Table1[EffectiveEndDate] &gt;= $A159) * (Table1[Region] = "Northern Ireland"))</f>
        <v>47</v>
      </c>
      <c r="O159" s="45" cm="1">
        <f t="array" aca="1" ref="O159" ca="1">SUMPRODUCT((Table1[Gender]="Male")*(Table1[SubscriptionStart]&lt;=A159)*(Table1[EffectiveEndDate]&gt;=A159))</f>
        <v>66</v>
      </c>
      <c r="P159" s="45" cm="1">
        <f t="array" aca="1" ref="P159" ca="1">SUMPRODUCT((Table1[Gender]="Female")*(Table1[SubscriptionStart]&lt;=A159)*(Table1[EffectiveEndDate]&gt;=A159))</f>
        <v>65</v>
      </c>
    </row>
    <row r="160" spans="1:16">
      <c r="A160" s="48">
        <f t="shared" si="11"/>
        <v>44720</v>
      </c>
      <c r="B160" s="45" cm="1">
        <f t="array" aca="1" ref="B160" ca="1">SUMPRODUCT((Table1[SubscriptionStart]&lt;=A160)*(Table1[EffectiveEndDate]&gt;=A160))</f>
        <v>132</v>
      </c>
      <c r="C160" s="45">
        <f>COUNTIFS(Table1[SubscriptionStart], A160)</f>
        <v>1</v>
      </c>
      <c r="D160" s="45">
        <f>COUNTIFS(Table1[CancellationDate], A160)</f>
        <v>0</v>
      </c>
      <c r="E160" s="45">
        <f t="shared" si="8"/>
        <v>1</v>
      </c>
      <c r="F160" s="45">
        <f>SUM($C$2:C160)</f>
        <v>146</v>
      </c>
      <c r="G160" s="49" cm="1">
        <f t="array" aca="1" ref="G160" ca="1">IF(B160=0,"", SUMPRODUCT((Table1[SubscriptionStart]&lt;=A160)*(Table1[EffectiveEndDate]&gt;=A160)*Table1[Age]) / B160 )</f>
        <v>42.68181818181818</v>
      </c>
      <c r="H160" s="22">
        <f>SUMIF(Table1[SubscriptionStart],"&lt;="&amp;A160,Table1[TotalRevenue])</f>
        <v>32213.699999999997</v>
      </c>
      <c r="I160" s="50">
        <f t="shared" si="9"/>
        <v>44742</v>
      </c>
      <c r="J160" s="49">
        <f t="shared" ca="1" si="10"/>
        <v>137</v>
      </c>
      <c r="K160" s="45" cm="1">
        <f t="array" aca="1" ref="K160" ca="1">SUMPRODUCT((Table1[SubscriptionStart] &lt;= $A160) * (Table1[EffectiveEndDate] &gt;= $A160) * (Table1[Region] = "England"))</f>
        <v>29</v>
      </c>
      <c r="L160" s="45" cm="1">
        <f t="array" aca="1" ref="L160" ca="1">SUMPRODUCT((Table1[SubscriptionStart] &lt;= $A160) * (Table1[EffectiveEndDate] &gt;= $A160) * (Table1[Region] = "Scotland"))</f>
        <v>27</v>
      </c>
      <c r="M160" s="45" cm="1">
        <f t="array" aca="1" ref="M160" ca="1">SUMPRODUCT((Table1[SubscriptionStart] &lt;= $A160) * (Table1[EffectiveEndDate] &gt;= $A160) * (Table1[Region] = "Wales"))</f>
        <v>29</v>
      </c>
      <c r="N160" s="45" cm="1">
        <f t="array" aca="1" ref="N160" ca="1">SUMPRODUCT((Table1[SubscriptionStart] &lt;= $A160) * (Table1[EffectiveEndDate] &gt;= $A160) * (Table1[Region] = "Northern Ireland"))</f>
        <v>47</v>
      </c>
      <c r="O160" s="45" cm="1">
        <f t="array" aca="1" ref="O160" ca="1">SUMPRODUCT((Table1[Gender]="Male")*(Table1[SubscriptionStart]&lt;=A160)*(Table1[EffectiveEndDate]&gt;=A160))</f>
        <v>66</v>
      </c>
      <c r="P160" s="45" cm="1">
        <f t="array" aca="1" ref="P160" ca="1">SUMPRODUCT((Table1[Gender]="Female")*(Table1[SubscriptionStart]&lt;=A160)*(Table1[EffectiveEndDate]&gt;=A160))</f>
        <v>66</v>
      </c>
    </row>
    <row r="161" spans="1:16">
      <c r="A161" s="48">
        <f t="shared" si="11"/>
        <v>44721</v>
      </c>
      <c r="B161" s="45" cm="1">
        <f t="array" aca="1" ref="B161" ca="1">SUMPRODUCT((Table1[SubscriptionStart]&lt;=A161)*(Table1[EffectiveEndDate]&gt;=A161))</f>
        <v>132</v>
      </c>
      <c r="C161" s="45">
        <f>COUNTIFS(Table1[SubscriptionStart], A161)</f>
        <v>0</v>
      </c>
      <c r="D161" s="45">
        <f>COUNTIFS(Table1[CancellationDate], A161)</f>
        <v>0</v>
      </c>
      <c r="E161" s="45">
        <f t="shared" si="8"/>
        <v>0</v>
      </c>
      <c r="F161" s="45">
        <f>SUM($C$2:C161)</f>
        <v>146</v>
      </c>
      <c r="G161" s="49" cm="1">
        <f t="array" aca="1" ref="G161" ca="1">IF(B161=0,"", SUMPRODUCT((Table1[SubscriptionStart]&lt;=A161)*(Table1[EffectiveEndDate]&gt;=A161)*Table1[Age]) / B161 )</f>
        <v>42.68181818181818</v>
      </c>
      <c r="H161" s="22">
        <f>SUMIF(Table1[SubscriptionStart],"&lt;="&amp;A161,Table1[TotalRevenue])</f>
        <v>32213.699999999997</v>
      </c>
      <c r="I161" s="50">
        <f t="shared" si="9"/>
        <v>44742</v>
      </c>
      <c r="J161" s="49">
        <f t="shared" ca="1" si="10"/>
        <v>137</v>
      </c>
      <c r="K161" s="45" cm="1">
        <f t="array" aca="1" ref="K161" ca="1">SUMPRODUCT((Table1[SubscriptionStart] &lt;= $A161) * (Table1[EffectiveEndDate] &gt;= $A161) * (Table1[Region] = "England"))</f>
        <v>29</v>
      </c>
      <c r="L161" s="45" cm="1">
        <f t="array" aca="1" ref="L161" ca="1">SUMPRODUCT((Table1[SubscriptionStart] &lt;= $A161) * (Table1[EffectiveEndDate] &gt;= $A161) * (Table1[Region] = "Scotland"))</f>
        <v>27</v>
      </c>
      <c r="M161" s="45" cm="1">
        <f t="array" aca="1" ref="M161" ca="1">SUMPRODUCT((Table1[SubscriptionStart] &lt;= $A161) * (Table1[EffectiveEndDate] &gt;= $A161) * (Table1[Region] = "Wales"))</f>
        <v>29</v>
      </c>
      <c r="N161" s="45" cm="1">
        <f t="array" aca="1" ref="N161" ca="1">SUMPRODUCT((Table1[SubscriptionStart] &lt;= $A161) * (Table1[EffectiveEndDate] &gt;= $A161) * (Table1[Region] = "Northern Ireland"))</f>
        <v>47</v>
      </c>
      <c r="O161" s="45" cm="1">
        <f t="array" aca="1" ref="O161" ca="1">SUMPRODUCT((Table1[Gender]="Male")*(Table1[SubscriptionStart]&lt;=A161)*(Table1[EffectiveEndDate]&gt;=A161))</f>
        <v>66</v>
      </c>
      <c r="P161" s="45" cm="1">
        <f t="array" aca="1" ref="P161" ca="1">SUMPRODUCT((Table1[Gender]="Female")*(Table1[SubscriptionStart]&lt;=A161)*(Table1[EffectiveEndDate]&gt;=A161))</f>
        <v>66</v>
      </c>
    </row>
    <row r="162" spans="1:16">
      <c r="A162" s="48">
        <f t="shared" si="11"/>
        <v>44722</v>
      </c>
      <c r="B162" s="45" cm="1">
        <f t="array" aca="1" ref="B162" ca="1">SUMPRODUCT((Table1[SubscriptionStart]&lt;=A162)*(Table1[EffectiveEndDate]&gt;=A162))</f>
        <v>135</v>
      </c>
      <c r="C162" s="45">
        <f>COUNTIFS(Table1[SubscriptionStart], A162)</f>
        <v>3</v>
      </c>
      <c r="D162" s="45">
        <f>COUNTIFS(Table1[CancellationDate], A162)</f>
        <v>0</v>
      </c>
      <c r="E162" s="45">
        <f t="shared" si="8"/>
        <v>3</v>
      </c>
      <c r="F162" s="45">
        <f>SUM($C$2:C162)</f>
        <v>149</v>
      </c>
      <c r="G162" s="49" cm="1">
        <f t="array" aca="1" ref="G162" ca="1">IF(B162=0,"", SUMPRODUCT((Table1[SubscriptionStart]&lt;=A162)*(Table1[EffectiveEndDate]&gt;=A162)*Table1[Age]) / B162 )</f>
        <v>43.2</v>
      </c>
      <c r="H162" s="22">
        <f>SUMIF(Table1[SubscriptionStart],"&lt;="&amp;A162,Table1[TotalRevenue])</f>
        <v>33105.149999999994</v>
      </c>
      <c r="I162" s="50">
        <f t="shared" si="9"/>
        <v>44742</v>
      </c>
      <c r="J162" s="49">
        <f t="shared" ca="1" si="10"/>
        <v>137</v>
      </c>
      <c r="K162" s="45" cm="1">
        <f t="array" aca="1" ref="K162" ca="1">SUMPRODUCT((Table1[SubscriptionStart] &lt;= $A162) * (Table1[EffectiveEndDate] &gt;= $A162) * (Table1[Region] = "England"))</f>
        <v>29</v>
      </c>
      <c r="L162" s="45" cm="1">
        <f t="array" aca="1" ref="L162" ca="1">SUMPRODUCT((Table1[SubscriptionStart] &lt;= $A162) * (Table1[EffectiveEndDate] &gt;= $A162) * (Table1[Region] = "Scotland"))</f>
        <v>28</v>
      </c>
      <c r="M162" s="45" cm="1">
        <f t="array" aca="1" ref="M162" ca="1">SUMPRODUCT((Table1[SubscriptionStart] &lt;= $A162) * (Table1[EffectiveEndDate] &gt;= $A162) * (Table1[Region] = "Wales"))</f>
        <v>29</v>
      </c>
      <c r="N162" s="45" cm="1">
        <f t="array" aca="1" ref="N162" ca="1">SUMPRODUCT((Table1[SubscriptionStart] &lt;= $A162) * (Table1[EffectiveEndDate] &gt;= $A162) * (Table1[Region] = "Northern Ireland"))</f>
        <v>49</v>
      </c>
      <c r="O162" s="45" cm="1">
        <f t="array" aca="1" ref="O162" ca="1">SUMPRODUCT((Table1[Gender]="Male")*(Table1[SubscriptionStart]&lt;=A162)*(Table1[EffectiveEndDate]&gt;=A162))</f>
        <v>68</v>
      </c>
      <c r="P162" s="45" cm="1">
        <f t="array" aca="1" ref="P162" ca="1">SUMPRODUCT((Table1[Gender]="Female")*(Table1[SubscriptionStart]&lt;=A162)*(Table1[EffectiveEndDate]&gt;=A162))</f>
        <v>67</v>
      </c>
    </row>
    <row r="163" spans="1:16">
      <c r="A163" s="48">
        <f t="shared" si="11"/>
        <v>44723</v>
      </c>
      <c r="B163" s="45" cm="1">
        <f t="array" aca="1" ref="B163" ca="1">SUMPRODUCT((Table1[SubscriptionStart]&lt;=A163)*(Table1[EffectiveEndDate]&gt;=A163))</f>
        <v>135</v>
      </c>
      <c r="C163" s="45">
        <f>COUNTIFS(Table1[SubscriptionStart], A163)</f>
        <v>0</v>
      </c>
      <c r="D163" s="45">
        <f>COUNTIFS(Table1[CancellationDate], A163)</f>
        <v>0</v>
      </c>
      <c r="E163" s="45">
        <f t="shared" si="8"/>
        <v>0</v>
      </c>
      <c r="F163" s="45">
        <f>SUM($C$2:C163)</f>
        <v>149</v>
      </c>
      <c r="G163" s="49" cm="1">
        <f t="array" aca="1" ref="G163" ca="1">IF(B163=0,"", SUMPRODUCT((Table1[SubscriptionStart]&lt;=A163)*(Table1[EffectiveEndDate]&gt;=A163)*Table1[Age]) / B163 )</f>
        <v>43.2</v>
      </c>
      <c r="H163" s="22">
        <f>SUMIF(Table1[SubscriptionStart],"&lt;="&amp;A163,Table1[TotalRevenue])</f>
        <v>33105.149999999994</v>
      </c>
      <c r="I163" s="50">
        <f t="shared" si="9"/>
        <v>44742</v>
      </c>
      <c r="J163" s="49">
        <f t="shared" ca="1" si="10"/>
        <v>137</v>
      </c>
      <c r="K163" s="45" cm="1">
        <f t="array" aca="1" ref="K163" ca="1">SUMPRODUCT((Table1[SubscriptionStart] &lt;= $A163) * (Table1[EffectiveEndDate] &gt;= $A163) * (Table1[Region] = "England"))</f>
        <v>29</v>
      </c>
      <c r="L163" s="45" cm="1">
        <f t="array" aca="1" ref="L163" ca="1">SUMPRODUCT((Table1[SubscriptionStart] &lt;= $A163) * (Table1[EffectiveEndDate] &gt;= $A163) * (Table1[Region] = "Scotland"))</f>
        <v>28</v>
      </c>
      <c r="M163" s="45" cm="1">
        <f t="array" aca="1" ref="M163" ca="1">SUMPRODUCT((Table1[SubscriptionStart] &lt;= $A163) * (Table1[EffectiveEndDate] &gt;= $A163) * (Table1[Region] = "Wales"))</f>
        <v>29</v>
      </c>
      <c r="N163" s="45" cm="1">
        <f t="array" aca="1" ref="N163" ca="1">SUMPRODUCT((Table1[SubscriptionStart] &lt;= $A163) * (Table1[EffectiveEndDate] &gt;= $A163) * (Table1[Region] = "Northern Ireland"))</f>
        <v>49</v>
      </c>
      <c r="O163" s="45" cm="1">
        <f t="array" aca="1" ref="O163" ca="1">SUMPRODUCT((Table1[Gender]="Male")*(Table1[SubscriptionStart]&lt;=A163)*(Table1[EffectiveEndDate]&gt;=A163))</f>
        <v>68</v>
      </c>
      <c r="P163" s="45" cm="1">
        <f t="array" aca="1" ref="P163" ca="1">SUMPRODUCT((Table1[Gender]="Female")*(Table1[SubscriptionStart]&lt;=A163)*(Table1[EffectiveEndDate]&gt;=A163))</f>
        <v>67</v>
      </c>
    </row>
    <row r="164" spans="1:16">
      <c r="A164" s="48">
        <f t="shared" si="11"/>
        <v>44724</v>
      </c>
      <c r="B164" s="45" cm="1">
        <f t="array" aca="1" ref="B164" ca="1">SUMPRODUCT((Table1[SubscriptionStart]&lt;=A164)*(Table1[EffectiveEndDate]&gt;=A164))</f>
        <v>136</v>
      </c>
      <c r="C164" s="45">
        <f>COUNTIFS(Table1[SubscriptionStart], A164)</f>
        <v>1</v>
      </c>
      <c r="D164" s="45">
        <f>COUNTIFS(Table1[CancellationDate], A164)</f>
        <v>1</v>
      </c>
      <c r="E164" s="45">
        <f t="shared" si="8"/>
        <v>0</v>
      </c>
      <c r="F164" s="45">
        <f>SUM($C$2:C164)</f>
        <v>150</v>
      </c>
      <c r="G164" s="49" cm="1">
        <f t="array" aca="1" ref="G164" ca="1">IF(B164=0,"", SUMPRODUCT((Table1[SubscriptionStart]&lt;=A164)*(Table1[EffectiveEndDate]&gt;=A164)*Table1[Age]) / B164 )</f>
        <v>43.036764705882355</v>
      </c>
      <c r="H164" s="22">
        <f>SUMIF(Table1[SubscriptionStart],"&lt;="&amp;A164,Table1[TotalRevenue])</f>
        <v>33177.149999999994</v>
      </c>
      <c r="I164" s="50">
        <f t="shared" si="9"/>
        <v>44742</v>
      </c>
      <c r="J164" s="49">
        <f t="shared" ca="1" si="10"/>
        <v>137</v>
      </c>
      <c r="K164" s="45" cm="1">
        <f t="array" aca="1" ref="K164" ca="1">SUMPRODUCT((Table1[SubscriptionStart] &lt;= $A164) * (Table1[EffectiveEndDate] &gt;= $A164) * (Table1[Region] = "England"))</f>
        <v>29</v>
      </c>
      <c r="L164" s="45" cm="1">
        <f t="array" aca="1" ref="L164" ca="1">SUMPRODUCT((Table1[SubscriptionStart] &lt;= $A164) * (Table1[EffectiveEndDate] &gt;= $A164) * (Table1[Region] = "Scotland"))</f>
        <v>29</v>
      </c>
      <c r="M164" s="45" cm="1">
        <f t="array" aca="1" ref="M164" ca="1">SUMPRODUCT((Table1[SubscriptionStart] &lt;= $A164) * (Table1[EffectiveEndDate] &gt;= $A164) * (Table1[Region] = "Wales"))</f>
        <v>29</v>
      </c>
      <c r="N164" s="45" cm="1">
        <f t="array" aca="1" ref="N164" ca="1">SUMPRODUCT((Table1[SubscriptionStart] &lt;= $A164) * (Table1[EffectiveEndDate] &gt;= $A164) * (Table1[Region] = "Northern Ireland"))</f>
        <v>49</v>
      </c>
      <c r="O164" s="45" cm="1">
        <f t="array" aca="1" ref="O164" ca="1">SUMPRODUCT((Table1[Gender]="Male")*(Table1[SubscriptionStart]&lt;=A164)*(Table1[EffectiveEndDate]&gt;=A164))</f>
        <v>69</v>
      </c>
      <c r="P164" s="45" cm="1">
        <f t="array" aca="1" ref="P164" ca="1">SUMPRODUCT((Table1[Gender]="Female")*(Table1[SubscriptionStart]&lt;=A164)*(Table1[EffectiveEndDate]&gt;=A164))</f>
        <v>67</v>
      </c>
    </row>
    <row r="165" spans="1:16">
      <c r="A165" s="48">
        <f t="shared" si="11"/>
        <v>44725</v>
      </c>
      <c r="B165" s="45" cm="1">
        <f t="array" aca="1" ref="B165" ca="1">SUMPRODUCT((Table1[SubscriptionStart]&lt;=A165)*(Table1[EffectiveEndDate]&gt;=A165))</f>
        <v>135</v>
      </c>
      <c r="C165" s="45">
        <f>COUNTIFS(Table1[SubscriptionStart], A165)</f>
        <v>0</v>
      </c>
      <c r="D165" s="45">
        <f>COUNTIFS(Table1[CancellationDate], A165)</f>
        <v>0</v>
      </c>
      <c r="E165" s="45">
        <f t="shared" si="8"/>
        <v>0</v>
      </c>
      <c r="F165" s="45">
        <f>SUM($C$2:C165)</f>
        <v>150</v>
      </c>
      <c r="G165" s="49" cm="1">
        <f t="array" aca="1" ref="G165" ca="1">IF(B165=0,"", SUMPRODUCT((Table1[SubscriptionStart]&lt;=A165)*(Table1[EffectiveEndDate]&gt;=A165)*Table1[Age]) / B165 )</f>
        <v>42.814814814814817</v>
      </c>
      <c r="H165" s="22">
        <f>SUMIF(Table1[SubscriptionStart],"&lt;="&amp;A165,Table1[TotalRevenue])</f>
        <v>33177.149999999994</v>
      </c>
      <c r="I165" s="50">
        <f t="shared" si="9"/>
        <v>44742</v>
      </c>
      <c r="J165" s="49">
        <f t="shared" ca="1" si="10"/>
        <v>137</v>
      </c>
      <c r="K165" s="45" cm="1">
        <f t="array" aca="1" ref="K165" ca="1">SUMPRODUCT((Table1[SubscriptionStart] &lt;= $A165) * (Table1[EffectiveEndDate] &gt;= $A165) * (Table1[Region] = "England"))</f>
        <v>29</v>
      </c>
      <c r="L165" s="45" cm="1">
        <f t="array" aca="1" ref="L165" ca="1">SUMPRODUCT((Table1[SubscriptionStart] &lt;= $A165) * (Table1[EffectiveEndDate] &gt;= $A165) * (Table1[Region] = "Scotland"))</f>
        <v>29</v>
      </c>
      <c r="M165" s="45" cm="1">
        <f t="array" aca="1" ref="M165" ca="1">SUMPRODUCT((Table1[SubscriptionStart] &lt;= $A165) * (Table1[EffectiveEndDate] &gt;= $A165) * (Table1[Region] = "Wales"))</f>
        <v>29</v>
      </c>
      <c r="N165" s="45" cm="1">
        <f t="array" aca="1" ref="N165" ca="1">SUMPRODUCT((Table1[SubscriptionStart] &lt;= $A165) * (Table1[EffectiveEndDate] &gt;= $A165) * (Table1[Region] = "Northern Ireland"))</f>
        <v>48</v>
      </c>
      <c r="O165" s="45" cm="1">
        <f t="array" aca="1" ref="O165" ca="1">SUMPRODUCT((Table1[Gender]="Male")*(Table1[SubscriptionStart]&lt;=A165)*(Table1[EffectiveEndDate]&gt;=A165))</f>
        <v>69</v>
      </c>
      <c r="P165" s="45" cm="1">
        <f t="array" aca="1" ref="P165" ca="1">SUMPRODUCT((Table1[Gender]="Female")*(Table1[SubscriptionStart]&lt;=A165)*(Table1[EffectiveEndDate]&gt;=A165))</f>
        <v>66</v>
      </c>
    </row>
    <row r="166" spans="1:16">
      <c r="A166" s="48">
        <f t="shared" si="11"/>
        <v>44726</v>
      </c>
      <c r="B166" s="45" cm="1">
        <f t="array" aca="1" ref="B166" ca="1">SUMPRODUCT((Table1[SubscriptionStart]&lt;=A166)*(Table1[EffectiveEndDate]&gt;=A166))</f>
        <v>135</v>
      </c>
      <c r="C166" s="45">
        <f>COUNTIFS(Table1[SubscriptionStart], A166)</f>
        <v>0</v>
      </c>
      <c r="D166" s="45">
        <f>COUNTIFS(Table1[CancellationDate], A166)</f>
        <v>0</v>
      </c>
      <c r="E166" s="45">
        <f t="shared" si="8"/>
        <v>0</v>
      </c>
      <c r="F166" s="45">
        <f>SUM($C$2:C166)</f>
        <v>150</v>
      </c>
      <c r="G166" s="49" cm="1">
        <f t="array" aca="1" ref="G166" ca="1">IF(B166=0,"", SUMPRODUCT((Table1[SubscriptionStart]&lt;=A166)*(Table1[EffectiveEndDate]&gt;=A166)*Table1[Age]) / B166 )</f>
        <v>42.814814814814817</v>
      </c>
      <c r="H166" s="22">
        <f>SUMIF(Table1[SubscriptionStart],"&lt;="&amp;A166,Table1[TotalRevenue])</f>
        <v>33177.149999999994</v>
      </c>
      <c r="I166" s="50">
        <f t="shared" si="9"/>
        <v>44742</v>
      </c>
      <c r="J166" s="49">
        <f t="shared" ca="1" si="10"/>
        <v>137</v>
      </c>
      <c r="K166" s="45" cm="1">
        <f t="array" aca="1" ref="K166" ca="1">SUMPRODUCT((Table1[SubscriptionStart] &lt;= $A166) * (Table1[EffectiveEndDate] &gt;= $A166) * (Table1[Region] = "England"))</f>
        <v>29</v>
      </c>
      <c r="L166" s="45" cm="1">
        <f t="array" aca="1" ref="L166" ca="1">SUMPRODUCT((Table1[SubscriptionStart] &lt;= $A166) * (Table1[EffectiveEndDate] &gt;= $A166) * (Table1[Region] = "Scotland"))</f>
        <v>29</v>
      </c>
      <c r="M166" s="45" cm="1">
        <f t="array" aca="1" ref="M166" ca="1">SUMPRODUCT((Table1[SubscriptionStart] &lt;= $A166) * (Table1[EffectiveEndDate] &gt;= $A166) * (Table1[Region] = "Wales"))</f>
        <v>29</v>
      </c>
      <c r="N166" s="45" cm="1">
        <f t="array" aca="1" ref="N166" ca="1">SUMPRODUCT((Table1[SubscriptionStart] &lt;= $A166) * (Table1[EffectiveEndDate] &gt;= $A166) * (Table1[Region] = "Northern Ireland"))</f>
        <v>48</v>
      </c>
      <c r="O166" s="45" cm="1">
        <f t="array" aca="1" ref="O166" ca="1">SUMPRODUCT((Table1[Gender]="Male")*(Table1[SubscriptionStart]&lt;=A166)*(Table1[EffectiveEndDate]&gt;=A166))</f>
        <v>69</v>
      </c>
      <c r="P166" s="45" cm="1">
        <f t="array" aca="1" ref="P166" ca="1">SUMPRODUCT((Table1[Gender]="Female")*(Table1[SubscriptionStart]&lt;=A166)*(Table1[EffectiveEndDate]&gt;=A166))</f>
        <v>66</v>
      </c>
    </row>
    <row r="167" spans="1:16">
      <c r="A167" s="48">
        <f t="shared" si="11"/>
        <v>44727</v>
      </c>
      <c r="B167" s="45" cm="1">
        <f t="array" aca="1" ref="B167" ca="1">SUMPRODUCT((Table1[SubscriptionStart]&lt;=A167)*(Table1[EffectiveEndDate]&gt;=A167))</f>
        <v>136</v>
      </c>
      <c r="C167" s="45">
        <f>COUNTIFS(Table1[SubscriptionStart], A167)</f>
        <v>1</v>
      </c>
      <c r="D167" s="45">
        <f>COUNTIFS(Table1[CancellationDate], A167)</f>
        <v>0</v>
      </c>
      <c r="E167" s="45">
        <f t="shared" si="8"/>
        <v>1</v>
      </c>
      <c r="F167" s="45">
        <f>SUM($C$2:C167)</f>
        <v>151</v>
      </c>
      <c r="G167" s="49" cm="1">
        <f t="array" aca="1" ref="G167" ca="1">IF(B167=0,"", SUMPRODUCT((Table1[SubscriptionStart]&lt;=A167)*(Table1[EffectiveEndDate]&gt;=A167)*Table1[Age]) / B167 )</f>
        <v>42.632352941176471</v>
      </c>
      <c r="H167" s="22">
        <f>SUMIF(Table1[SubscriptionStart],"&lt;="&amp;A167,Table1[TotalRevenue])</f>
        <v>33278.399999999994</v>
      </c>
      <c r="I167" s="50">
        <f t="shared" si="9"/>
        <v>44742</v>
      </c>
      <c r="J167" s="49">
        <f t="shared" ca="1" si="10"/>
        <v>137</v>
      </c>
      <c r="K167" s="45" cm="1">
        <f t="array" aca="1" ref="K167" ca="1">SUMPRODUCT((Table1[SubscriptionStart] &lt;= $A167) * (Table1[EffectiveEndDate] &gt;= $A167) * (Table1[Region] = "England"))</f>
        <v>29</v>
      </c>
      <c r="L167" s="45" cm="1">
        <f t="array" aca="1" ref="L167" ca="1">SUMPRODUCT((Table1[SubscriptionStart] &lt;= $A167) * (Table1[EffectiveEndDate] &gt;= $A167) * (Table1[Region] = "Scotland"))</f>
        <v>29</v>
      </c>
      <c r="M167" s="45" cm="1">
        <f t="array" aca="1" ref="M167" ca="1">SUMPRODUCT((Table1[SubscriptionStart] &lt;= $A167) * (Table1[EffectiveEndDate] &gt;= $A167) * (Table1[Region] = "Wales"))</f>
        <v>30</v>
      </c>
      <c r="N167" s="45" cm="1">
        <f t="array" aca="1" ref="N167" ca="1">SUMPRODUCT((Table1[SubscriptionStart] &lt;= $A167) * (Table1[EffectiveEndDate] &gt;= $A167) * (Table1[Region] = "Northern Ireland"))</f>
        <v>48</v>
      </c>
      <c r="O167" s="45" cm="1">
        <f t="array" aca="1" ref="O167" ca="1">SUMPRODUCT((Table1[Gender]="Male")*(Table1[SubscriptionStart]&lt;=A167)*(Table1[EffectiveEndDate]&gt;=A167))</f>
        <v>69</v>
      </c>
      <c r="P167" s="45" cm="1">
        <f t="array" aca="1" ref="P167" ca="1">SUMPRODUCT((Table1[Gender]="Female")*(Table1[SubscriptionStart]&lt;=A167)*(Table1[EffectiveEndDate]&gt;=A167))</f>
        <v>67</v>
      </c>
    </row>
    <row r="168" spans="1:16">
      <c r="A168" s="48">
        <f t="shared" si="11"/>
        <v>44728</v>
      </c>
      <c r="B168" s="45" cm="1">
        <f t="array" aca="1" ref="B168" ca="1">SUMPRODUCT((Table1[SubscriptionStart]&lt;=A168)*(Table1[EffectiveEndDate]&gt;=A168))</f>
        <v>138</v>
      </c>
      <c r="C168" s="45">
        <f>COUNTIFS(Table1[SubscriptionStart], A168)</f>
        <v>2</v>
      </c>
      <c r="D168" s="45">
        <f>COUNTIFS(Table1[CancellationDate], A168)</f>
        <v>0</v>
      </c>
      <c r="E168" s="45">
        <f t="shared" si="8"/>
        <v>2</v>
      </c>
      <c r="F168" s="45">
        <f>SUM($C$2:C168)</f>
        <v>153</v>
      </c>
      <c r="G168" s="49" cm="1">
        <f t="array" aca="1" ref="G168" ca="1">IF(B168=0,"", SUMPRODUCT((Table1[SubscriptionStart]&lt;=A168)*(Table1[EffectiveEndDate]&gt;=A168)*Table1[Age]) / B168 )</f>
        <v>42.840579710144929</v>
      </c>
      <c r="H168" s="22">
        <f>SUMIF(Table1[SubscriptionStart],"&lt;="&amp;A168,Table1[TotalRevenue])</f>
        <v>33407.999999999993</v>
      </c>
      <c r="I168" s="50">
        <f t="shared" si="9"/>
        <v>44742</v>
      </c>
      <c r="J168" s="49">
        <f t="shared" ca="1" si="10"/>
        <v>137</v>
      </c>
      <c r="K168" s="45" cm="1">
        <f t="array" aca="1" ref="K168" ca="1">SUMPRODUCT((Table1[SubscriptionStart] &lt;= $A168) * (Table1[EffectiveEndDate] &gt;= $A168) * (Table1[Region] = "England"))</f>
        <v>30</v>
      </c>
      <c r="L168" s="45" cm="1">
        <f t="array" aca="1" ref="L168" ca="1">SUMPRODUCT((Table1[SubscriptionStart] &lt;= $A168) * (Table1[EffectiveEndDate] &gt;= $A168) * (Table1[Region] = "Scotland"))</f>
        <v>29</v>
      </c>
      <c r="M168" s="45" cm="1">
        <f t="array" aca="1" ref="M168" ca="1">SUMPRODUCT((Table1[SubscriptionStart] &lt;= $A168) * (Table1[EffectiveEndDate] &gt;= $A168) * (Table1[Region] = "Wales"))</f>
        <v>30</v>
      </c>
      <c r="N168" s="45" cm="1">
        <f t="array" aca="1" ref="N168" ca="1">SUMPRODUCT((Table1[SubscriptionStart] &lt;= $A168) * (Table1[EffectiveEndDate] &gt;= $A168) * (Table1[Region] = "Northern Ireland"))</f>
        <v>49</v>
      </c>
      <c r="O168" s="45" cm="1">
        <f t="array" aca="1" ref="O168" ca="1">SUMPRODUCT((Table1[Gender]="Male")*(Table1[SubscriptionStart]&lt;=A168)*(Table1[EffectiveEndDate]&gt;=A168))</f>
        <v>71</v>
      </c>
      <c r="P168" s="45" cm="1">
        <f t="array" aca="1" ref="P168" ca="1">SUMPRODUCT((Table1[Gender]="Female")*(Table1[SubscriptionStart]&lt;=A168)*(Table1[EffectiveEndDate]&gt;=A168))</f>
        <v>67</v>
      </c>
    </row>
    <row r="169" spans="1:16">
      <c r="A169" s="48">
        <f t="shared" si="11"/>
        <v>44729</v>
      </c>
      <c r="B169" s="45" cm="1">
        <f t="array" aca="1" ref="B169" ca="1">SUMPRODUCT((Table1[SubscriptionStart]&lt;=A169)*(Table1[EffectiveEndDate]&gt;=A169))</f>
        <v>140</v>
      </c>
      <c r="C169" s="45">
        <f>COUNTIFS(Table1[SubscriptionStart], A169)</f>
        <v>2</v>
      </c>
      <c r="D169" s="45">
        <f>COUNTIFS(Table1[CancellationDate], A169)</f>
        <v>0</v>
      </c>
      <c r="E169" s="45">
        <f t="shared" si="8"/>
        <v>2</v>
      </c>
      <c r="F169" s="45">
        <f>SUM($C$2:C169)</f>
        <v>155</v>
      </c>
      <c r="G169" s="49" cm="1">
        <f t="array" aca="1" ref="G169" ca="1">IF(B169=0,"", SUMPRODUCT((Table1[SubscriptionStart]&lt;=A169)*(Table1[EffectiveEndDate]&gt;=A169)*Table1[Age]) / B169 )</f>
        <v>43.24285714285714</v>
      </c>
      <c r="H169" s="22">
        <f>SUMIF(Table1[SubscriptionStart],"&lt;="&amp;A169,Table1[TotalRevenue])</f>
        <v>33628.499999999993</v>
      </c>
      <c r="I169" s="50">
        <f t="shared" si="9"/>
        <v>44742</v>
      </c>
      <c r="J169" s="49">
        <f t="shared" ca="1" si="10"/>
        <v>137</v>
      </c>
      <c r="K169" s="45" cm="1">
        <f t="array" aca="1" ref="K169" ca="1">SUMPRODUCT((Table1[SubscriptionStart] &lt;= $A169) * (Table1[EffectiveEndDate] &gt;= $A169) * (Table1[Region] = "England"))</f>
        <v>31</v>
      </c>
      <c r="L169" s="45" cm="1">
        <f t="array" aca="1" ref="L169" ca="1">SUMPRODUCT((Table1[SubscriptionStart] &lt;= $A169) * (Table1[EffectiveEndDate] &gt;= $A169) * (Table1[Region] = "Scotland"))</f>
        <v>29</v>
      </c>
      <c r="M169" s="45" cm="1">
        <f t="array" aca="1" ref="M169" ca="1">SUMPRODUCT((Table1[SubscriptionStart] &lt;= $A169) * (Table1[EffectiveEndDate] &gt;= $A169) * (Table1[Region] = "Wales"))</f>
        <v>30</v>
      </c>
      <c r="N169" s="45" cm="1">
        <f t="array" aca="1" ref="N169" ca="1">SUMPRODUCT((Table1[SubscriptionStart] &lt;= $A169) * (Table1[EffectiveEndDate] &gt;= $A169) * (Table1[Region] = "Northern Ireland"))</f>
        <v>50</v>
      </c>
      <c r="O169" s="45" cm="1">
        <f t="array" aca="1" ref="O169" ca="1">SUMPRODUCT((Table1[Gender]="Male")*(Table1[SubscriptionStart]&lt;=A169)*(Table1[EffectiveEndDate]&gt;=A169))</f>
        <v>72</v>
      </c>
      <c r="P169" s="45" cm="1">
        <f t="array" aca="1" ref="P169" ca="1">SUMPRODUCT((Table1[Gender]="Female")*(Table1[SubscriptionStart]&lt;=A169)*(Table1[EffectiveEndDate]&gt;=A169))</f>
        <v>68</v>
      </c>
    </row>
    <row r="170" spans="1:16">
      <c r="A170" s="48">
        <f t="shared" si="11"/>
        <v>44730</v>
      </c>
      <c r="B170" s="45" cm="1">
        <f t="array" aca="1" ref="B170" ca="1">SUMPRODUCT((Table1[SubscriptionStart]&lt;=A170)*(Table1[EffectiveEndDate]&gt;=A170))</f>
        <v>140</v>
      </c>
      <c r="C170" s="45">
        <f>COUNTIFS(Table1[SubscriptionStart], A170)</f>
        <v>0</v>
      </c>
      <c r="D170" s="45">
        <f>COUNTIFS(Table1[CancellationDate], A170)</f>
        <v>0</v>
      </c>
      <c r="E170" s="45">
        <f t="shared" si="8"/>
        <v>0</v>
      </c>
      <c r="F170" s="45">
        <f>SUM($C$2:C170)</f>
        <v>155</v>
      </c>
      <c r="G170" s="49" cm="1">
        <f t="array" aca="1" ref="G170" ca="1">IF(B170=0,"", SUMPRODUCT((Table1[SubscriptionStart]&lt;=A170)*(Table1[EffectiveEndDate]&gt;=A170)*Table1[Age]) / B170 )</f>
        <v>43.24285714285714</v>
      </c>
      <c r="H170" s="22">
        <f>SUMIF(Table1[SubscriptionStart],"&lt;="&amp;A170,Table1[TotalRevenue])</f>
        <v>33628.499999999993</v>
      </c>
      <c r="I170" s="50">
        <f t="shared" si="9"/>
        <v>44742</v>
      </c>
      <c r="J170" s="49">
        <f t="shared" ca="1" si="10"/>
        <v>137</v>
      </c>
      <c r="K170" s="45" cm="1">
        <f t="array" aca="1" ref="K170" ca="1">SUMPRODUCT((Table1[SubscriptionStart] &lt;= $A170) * (Table1[EffectiveEndDate] &gt;= $A170) * (Table1[Region] = "England"))</f>
        <v>31</v>
      </c>
      <c r="L170" s="45" cm="1">
        <f t="array" aca="1" ref="L170" ca="1">SUMPRODUCT((Table1[SubscriptionStart] &lt;= $A170) * (Table1[EffectiveEndDate] &gt;= $A170) * (Table1[Region] = "Scotland"))</f>
        <v>29</v>
      </c>
      <c r="M170" s="45" cm="1">
        <f t="array" aca="1" ref="M170" ca="1">SUMPRODUCT((Table1[SubscriptionStart] &lt;= $A170) * (Table1[EffectiveEndDate] &gt;= $A170) * (Table1[Region] = "Wales"))</f>
        <v>30</v>
      </c>
      <c r="N170" s="45" cm="1">
        <f t="array" aca="1" ref="N170" ca="1">SUMPRODUCT((Table1[SubscriptionStart] &lt;= $A170) * (Table1[EffectiveEndDate] &gt;= $A170) * (Table1[Region] = "Northern Ireland"))</f>
        <v>50</v>
      </c>
      <c r="O170" s="45" cm="1">
        <f t="array" aca="1" ref="O170" ca="1">SUMPRODUCT((Table1[Gender]="Male")*(Table1[SubscriptionStart]&lt;=A170)*(Table1[EffectiveEndDate]&gt;=A170))</f>
        <v>72</v>
      </c>
      <c r="P170" s="45" cm="1">
        <f t="array" aca="1" ref="P170" ca="1">SUMPRODUCT((Table1[Gender]="Female")*(Table1[SubscriptionStart]&lt;=A170)*(Table1[EffectiveEndDate]&gt;=A170))</f>
        <v>68</v>
      </c>
    </row>
    <row r="171" spans="1:16">
      <c r="A171" s="48">
        <f t="shared" si="11"/>
        <v>44731</v>
      </c>
      <c r="B171" s="45" cm="1">
        <f t="array" aca="1" ref="B171" ca="1">SUMPRODUCT((Table1[SubscriptionStart]&lt;=A171)*(Table1[EffectiveEndDate]&gt;=A171))</f>
        <v>142</v>
      </c>
      <c r="C171" s="45">
        <f>COUNTIFS(Table1[SubscriptionStart], A171)</f>
        <v>2</v>
      </c>
      <c r="D171" s="45">
        <f>COUNTIFS(Table1[CancellationDate], A171)</f>
        <v>0</v>
      </c>
      <c r="E171" s="45">
        <f t="shared" si="8"/>
        <v>2</v>
      </c>
      <c r="F171" s="45">
        <f>SUM($C$2:C171)</f>
        <v>157</v>
      </c>
      <c r="G171" s="49" cm="1">
        <f t="array" aca="1" ref="G171" ca="1">IF(B171=0,"", SUMPRODUCT((Table1[SubscriptionStart]&lt;=A171)*(Table1[EffectiveEndDate]&gt;=A171)*Table1[Age]) / B171 )</f>
        <v>43.316901408450704</v>
      </c>
      <c r="H171" s="22">
        <f>SUMIF(Table1[SubscriptionStart],"&lt;="&amp;A171,Table1[TotalRevenue])</f>
        <v>33808.499999999993</v>
      </c>
      <c r="I171" s="50">
        <f t="shared" si="9"/>
        <v>44742</v>
      </c>
      <c r="J171" s="49">
        <f t="shared" ca="1" si="10"/>
        <v>137</v>
      </c>
      <c r="K171" s="45" cm="1">
        <f t="array" aca="1" ref="K171" ca="1">SUMPRODUCT((Table1[SubscriptionStart] &lt;= $A171) * (Table1[EffectiveEndDate] &gt;= $A171) * (Table1[Region] = "England"))</f>
        <v>32</v>
      </c>
      <c r="L171" s="45" cm="1">
        <f t="array" aca="1" ref="L171" ca="1">SUMPRODUCT((Table1[SubscriptionStart] &lt;= $A171) * (Table1[EffectiveEndDate] &gt;= $A171) * (Table1[Region] = "Scotland"))</f>
        <v>30</v>
      </c>
      <c r="M171" s="45" cm="1">
        <f t="array" aca="1" ref="M171" ca="1">SUMPRODUCT((Table1[SubscriptionStart] &lt;= $A171) * (Table1[EffectiveEndDate] &gt;= $A171) * (Table1[Region] = "Wales"))</f>
        <v>30</v>
      </c>
      <c r="N171" s="45" cm="1">
        <f t="array" aca="1" ref="N171" ca="1">SUMPRODUCT((Table1[SubscriptionStart] &lt;= $A171) * (Table1[EffectiveEndDate] &gt;= $A171) * (Table1[Region] = "Northern Ireland"))</f>
        <v>50</v>
      </c>
      <c r="O171" s="45" cm="1">
        <f t="array" aca="1" ref="O171" ca="1">SUMPRODUCT((Table1[Gender]="Male")*(Table1[SubscriptionStart]&lt;=A171)*(Table1[EffectiveEndDate]&gt;=A171))</f>
        <v>73</v>
      </c>
      <c r="P171" s="45" cm="1">
        <f t="array" aca="1" ref="P171" ca="1">SUMPRODUCT((Table1[Gender]="Female")*(Table1[SubscriptionStart]&lt;=A171)*(Table1[EffectiveEndDate]&gt;=A171))</f>
        <v>69</v>
      </c>
    </row>
    <row r="172" spans="1:16">
      <c r="A172" s="48">
        <f t="shared" si="11"/>
        <v>44732</v>
      </c>
      <c r="B172" s="45" cm="1">
        <f t="array" aca="1" ref="B172" ca="1">SUMPRODUCT((Table1[SubscriptionStart]&lt;=A172)*(Table1[EffectiveEndDate]&gt;=A172))</f>
        <v>142</v>
      </c>
      <c r="C172" s="45">
        <f>COUNTIFS(Table1[SubscriptionStart], A172)</f>
        <v>0</v>
      </c>
      <c r="D172" s="45">
        <f>COUNTIFS(Table1[CancellationDate], A172)</f>
        <v>0</v>
      </c>
      <c r="E172" s="45">
        <f t="shared" si="8"/>
        <v>0</v>
      </c>
      <c r="F172" s="45">
        <f>SUM($C$2:C172)</f>
        <v>157</v>
      </c>
      <c r="G172" s="49" cm="1">
        <f t="array" aca="1" ref="G172" ca="1">IF(B172=0,"", SUMPRODUCT((Table1[SubscriptionStart]&lt;=A172)*(Table1[EffectiveEndDate]&gt;=A172)*Table1[Age]) / B172 )</f>
        <v>43.316901408450704</v>
      </c>
      <c r="H172" s="22">
        <f>SUMIF(Table1[SubscriptionStart],"&lt;="&amp;A172,Table1[TotalRevenue])</f>
        <v>33808.499999999993</v>
      </c>
      <c r="I172" s="50">
        <f t="shared" si="9"/>
        <v>44742</v>
      </c>
      <c r="J172" s="49">
        <f t="shared" ca="1" si="10"/>
        <v>137</v>
      </c>
      <c r="K172" s="45" cm="1">
        <f t="array" aca="1" ref="K172" ca="1">SUMPRODUCT((Table1[SubscriptionStart] &lt;= $A172) * (Table1[EffectiveEndDate] &gt;= $A172) * (Table1[Region] = "England"))</f>
        <v>32</v>
      </c>
      <c r="L172" s="45" cm="1">
        <f t="array" aca="1" ref="L172" ca="1">SUMPRODUCT((Table1[SubscriptionStart] &lt;= $A172) * (Table1[EffectiveEndDate] &gt;= $A172) * (Table1[Region] = "Scotland"))</f>
        <v>30</v>
      </c>
      <c r="M172" s="45" cm="1">
        <f t="array" aca="1" ref="M172" ca="1">SUMPRODUCT((Table1[SubscriptionStart] &lt;= $A172) * (Table1[EffectiveEndDate] &gt;= $A172) * (Table1[Region] = "Wales"))</f>
        <v>30</v>
      </c>
      <c r="N172" s="45" cm="1">
        <f t="array" aca="1" ref="N172" ca="1">SUMPRODUCT((Table1[SubscriptionStart] &lt;= $A172) * (Table1[EffectiveEndDate] &gt;= $A172) * (Table1[Region] = "Northern Ireland"))</f>
        <v>50</v>
      </c>
      <c r="O172" s="45" cm="1">
        <f t="array" aca="1" ref="O172" ca="1">SUMPRODUCT((Table1[Gender]="Male")*(Table1[SubscriptionStart]&lt;=A172)*(Table1[EffectiveEndDate]&gt;=A172))</f>
        <v>73</v>
      </c>
      <c r="P172" s="45" cm="1">
        <f t="array" aca="1" ref="P172" ca="1">SUMPRODUCT((Table1[Gender]="Female")*(Table1[SubscriptionStart]&lt;=A172)*(Table1[EffectiveEndDate]&gt;=A172))</f>
        <v>69</v>
      </c>
    </row>
    <row r="173" spans="1:16">
      <c r="A173" s="48">
        <f t="shared" si="11"/>
        <v>44733</v>
      </c>
      <c r="B173" s="45" cm="1">
        <f t="array" aca="1" ref="B173" ca="1">SUMPRODUCT((Table1[SubscriptionStart]&lt;=A173)*(Table1[EffectiveEndDate]&gt;=A173))</f>
        <v>143</v>
      </c>
      <c r="C173" s="45">
        <f>COUNTIFS(Table1[SubscriptionStart], A173)</f>
        <v>1</v>
      </c>
      <c r="D173" s="45">
        <f>COUNTIFS(Table1[CancellationDate], A173)</f>
        <v>0</v>
      </c>
      <c r="E173" s="45">
        <f t="shared" si="8"/>
        <v>1</v>
      </c>
      <c r="F173" s="45">
        <f>SUM($C$2:C173)</f>
        <v>158</v>
      </c>
      <c r="G173" s="49" cm="1">
        <f t="array" aca="1" ref="G173" ca="1">IF(B173=0,"", SUMPRODUCT((Table1[SubscriptionStart]&lt;=A173)*(Table1[EffectiveEndDate]&gt;=A173)*Table1[Age]) / B173 )</f>
        <v>43.433566433566433</v>
      </c>
      <c r="H173" s="22">
        <f>SUMIF(Table1[SubscriptionStart],"&lt;="&amp;A173,Table1[TotalRevenue])</f>
        <v>33808.499999999993</v>
      </c>
      <c r="I173" s="50">
        <f t="shared" si="9"/>
        <v>44742</v>
      </c>
      <c r="J173" s="49">
        <f t="shared" ca="1" si="10"/>
        <v>137</v>
      </c>
      <c r="K173" s="45" cm="1">
        <f t="array" aca="1" ref="K173" ca="1">SUMPRODUCT((Table1[SubscriptionStart] &lt;= $A173) * (Table1[EffectiveEndDate] &gt;= $A173) * (Table1[Region] = "England"))</f>
        <v>33</v>
      </c>
      <c r="L173" s="45" cm="1">
        <f t="array" aca="1" ref="L173" ca="1">SUMPRODUCT((Table1[SubscriptionStart] &lt;= $A173) * (Table1[EffectiveEndDate] &gt;= $A173) * (Table1[Region] = "Scotland"))</f>
        <v>30</v>
      </c>
      <c r="M173" s="45" cm="1">
        <f t="array" aca="1" ref="M173" ca="1">SUMPRODUCT((Table1[SubscriptionStart] &lt;= $A173) * (Table1[EffectiveEndDate] &gt;= $A173) * (Table1[Region] = "Wales"))</f>
        <v>30</v>
      </c>
      <c r="N173" s="45" cm="1">
        <f t="array" aca="1" ref="N173" ca="1">SUMPRODUCT((Table1[SubscriptionStart] &lt;= $A173) * (Table1[EffectiveEndDate] &gt;= $A173) * (Table1[Region] = "Northern Ireland"))</f>
        <v>50</v>
      </c>
      <c r="O173" s="45" cm="1">
        <f t="array" aca="1" ref="O173" ca="1">SUMPRODUCT((Table1[Gender]="Male")*(Table1[SubscriptionStart]&lt;=A173)*(Table1[EffectiveEndDate]&gt;=A173))</f>
        <v>73</v>
      </c>
      <c r="P173" s="45" cm="1">
        <f t="array" aca="1" ref="P173" ca="1">SUMPRODUCT((Table1[Gender]="Female")*(Table1[SubscriptionStart]&lt;=A173)*(Table1[EffectiveEndDate]&gt;=A173))</f>
        <v>70</v>
      </c>
    </row>
    <row r="174" spans="1:16">
      <c r="A174" s="48">
        <f t="shared" si="11"/>
        <v>44734</v>
      </c>
      <c r="B174" s="45" cm="1">
        <f t="array" aca="1" ref="B174" ca="1">SUMPRODUCT((Table1[SubscriptionStart]&lt;=A174)*(Table1[EffectiveEndDate]&gt;=A174))</f>
        <v>143</v>
      </c>
      <c r="C174" s="45">
        <f>COUNTIFS(Table1[SubscriptionStart], A174)</f>
        <v>0</v>
      </c>
      <c r="D174" s="45">
        <f>COUNTIFS(Table1[CancellationDate], A174)</f>
        <v>0</v>
      </c>
      <c r="E174" s="45">
        <f t="shared" si="8"/>
        <v>0</v>
      </c>
      <c r="F174" s="45">
        <f>SUM($C$2:C174)</f>
        <v>158</v>
      </c>
      <c r="G174" s="49" cm="1">
        <f t="array" aca="1" ref="G174" ca="1">IF(B174=0,"", SUMPRODUCT((Table1[SubscriptionStart]&lt;=A174)*(Table1[EffectiveEndDate]&gt;=A174)*Table1[Age]) / B174 )</f>
        <v>43.433566433566433</v>
      </c>
      <c r="H174" s="22">
        <f>SUMIF(Table1[SubscriptionStart],"&lt;="&amp;A174,Table1[TotalRevenue])</f>
        <v>33808.499999999993</v>
      </c>
      <c r="I174" s="50">
        <f t="shared" si="9"/>
        <v>44742</v>
      </c>
      <c r="J174" s="49">
        <f t="shared" ca="1" si="10"/>
        <v>137</v>
      </c>
      <c r="K174" s="45" cm="1">
        <f t="array" aca="1" ref="K174" ca="1">SUMPRODUCT((Table1[SubscriptionStart] &lt;= $A174) * (Table1[EffectiveEndDate] &gt;= $A174) * (Table1[Region] = "England"))</f>
        <v>33</v>
      </c>
      <c r="L174" s="45" cm="1">
        <f t="array" aca="1" ref="L174" ca="1">SUMPRODUCT((Table1[SubscriptionStart] &lt;= $A174) * (Table1[EffectiveEndDate] &gt;= $A174) * (Table1[Region] = "Scotland"))</f>
        <v>30</v>
      </c>
      <c r="M174" s="45" cm="1">
        <f t="array" aca="1" ref="M174" ca="1">SUMPRODUCT((Table1[SubscriptionStart] &lt;= $A174) * (Table1[EffectiveEndDate] &gt;= $A174) * (Table1[Region] = "Wales"))</f>
        <v>30</v>
      </c>
      <c r="N174" s="45" cm="1">
        <f t="array" aca="1" ref="N174" ca="1">SUMPRODUCT((Table1[SubscriptionStart] &lt;= $A174) * (Table1[EffectiveEndDate] &gt;= $A174) * (Table1[Region] = "Northern Ireland"))</f>
        <v>50</v>
      </c>
      <c r="O174" s="45" cm="1">
        <f t="array" aca="1" ref="O174" ca="1">SUMPRODUCT((Table1[Gender]="Male")*(Table1[SubscriptionStart]&lt;=A174)*(Table1[EffectiveEndDate]&gt;=A174))</f>
        <v>73</v>
      </c>
      <c r="P174" s="45" cm="1">
        <f t="array" aca="1" ref="P174" ca="1">SUMPRODUCT((Table1[Gender]="Female")*(Table1[SubscriptionStart]&lt;=A174)*(Table1[EffectiveEndDate]&gt;=A174))</f>
        <v>70</v>
      </c>
    </row>
    <row r="175" spans="1:16">
      <c r="A175" s="48">
        <f t="shared" si="11"/>
        <v>44735</v>
      </c>
      <c r="B175" s="45" cm="1">
        <f t="array" aca="1" ref="B175" ca="1">SUMPRODUCT((Table1[SubscriptionStart]&lt;=A175)*(Table1[EffectiveEndDate]&gt;=A175))</f>
        <v>143</v>
      </c>
      <c r="C175" s="45">
        <f>COUNTIFS(Table1[SubscriptionStart], A175)</f>
        <v>0</v>
      </c>
      <c r="D175" s="45">
        <f>COUNTIFS(Table1[CancellationDate], A175)</f>
        <v>0</v>
      </c>
      <c r="E175" s="45">
        <f t="shared" si="8"/>
        <v>0</v>
      </c>
      <c r="F175" s="45">
        <f>SUM($C$2:C175)</f>
        <v>158</v>
      </c>
      <c r="G175" s="49" cm="1">
        <f t="array" aca="1" ref="G175" ca="1">IF(B175=0,"", SUMPRODUCT((Table1[SubscriptionStart]&lt;=A175)*(Table1[EffectiveEndDate]&gt;=A175)*Table1[Age]) / B175 )</f>
        <v>43.433566433566433</v>
      </c>
      <c r="H175" s="22">
        <f>SUMIF(Table1[SubscriptionStart],"&lt;="&amp;A175,Table1[TotalRevenue])</f>
        <v>33808.499999999993</v>
      </c>
      <c r="I175" s="50">
        <f t="shared" si="9"/>
        <v>44742</v>
      </c>
      <c r="J175" s="49">
        <f t="shared" ca="1" si="10"/>
        <v>137</v>
      </c>
      <c r="K175" s="45" cm="1">
        <f t="array" aca="1" ref="K175" ca="1">SUMPRODUCT((Table1[SubscriptionStart] &lt;= $A175) * (Table1[EffectiveEndDate] &gt;= $A175) * (Table1[Region] = "England"))</f>
        <v>33</v>
      </c>
      <c r="L175" s="45" cm="1">
        <f t="array" aca="1" ref="L175" ca="1">SUMPRODUCT((Table1[SubscriptionStart] &lt;= $A175) * (Table1[EffectiveEndDate] &gt;= $A175) * (Table1[Region] = "Scotland"))</f>
        <v>30</v>
      </c>
      <c r="M175" s="45" cm="1">
        <f t="array" aca="1" ref="M175" ca="1">SUMPRODUCT((Table1[SubscriptionStart] &lt;= $A175) * (Table1[EffectiveEndDate] &gt;= $A175) * (Table1[Region] = "Wales"))</f>
        <v>30</v>
      </c>
      <c r="N175" s="45" cm="1">
        <f t="array" aca="1" ref="N175" ca="1">SUMPRODUCT((Table1[SubscriptionStart] &lt;= $A175) * (Table1[EffectiveEndDate] &gt;= $A175) * (Table1[Region] = "Northern Ireland"))</f>
        <v>50</v>
      </c>
      <c r="O175" s="45" cm="1">
        <f t="array" aca="1" ref="O175" ca="1">SUMPRODUCT((Table1[Gender]="Male")*(Table1[SubscriptionStart]&lt;=A175)*(Table1[EffectiveEndDate]&gt;=A175))</f>
        <v>73</v>
      </c>
      <c r="P175" s="45" cm="1">
        <f t="array" aca="1" ref="P175" ca="1">SUMPRODUCT((Table1[Gender]="Female")*(Table1[SubscriptionStart]&lt;=A175)*(Table1[EffectiveEndDate]&gt;=A175))</f>
        <v>70</v>
      </c>
    </row>
    <row r="176" spans="1:16">
      <c r="A176" s="48">
        <f t="shared" si="11"/>
        <v>44736</v>
      </c>
      <c r="B176" s="45" cm="1">
        <f t="array" aca="1" ref="B176" ca="1">SUMPRODUCT((Table1[SubscriptionStart]&lt;=A176)*(Table1[EffectiveEndDate]&gt;=A176))</f>
        <v>143</v>
      </c>
      <c r="C176" s="45">
        <f>COUNTIFS(Table1[SubscriptionStart], A176)</f>
        <v>0</v>
      </c>
      <c r="D176" s="45">
        <f>COUNTIFS(Table1[CancellationDate], A176)</f>
        <v>1</v>
      </c>
      <c r="E176" s="45">
        <f t="shared" si="8"/>
        <v>-1</v>
      </c>
      <c r="F176" s="45">
        <f>SUM($C$2:C176)</f>
        <v>158</v>
      </c>
      <c r="G176" s="49" cm="1">
        <f t="array" aca="1" ref="G176" ca="1">IF(B176=0,"", SUMPRODUCT((Table1[SubscriptionStart]&lt;=A176)*(Table1[EffectiveEndDate]&gt;=A176)*Table1[Age]) / B176 )</f>
        <v>43.433566433566433</v>
      </c>
      <c r="H176" s="22">
        <f>SUMIF(Table1[SubscriptionStart],"&lt;="&amp;A176,Table1[TotalRevenue])</f>
        <v>33808.499999999993</v>
      </c>
      <c r="I176" s="50">
        <f t="shared" si="9"/>
        <v>44742</v>
      </c>
      <c r="J176" s="49">
        <f t="shared" ca="1" si="10"/>
        <v>137</v>
      </c>
      <c r="K176" s="45" cm="1">
        <f t="array" aca="1" ref="K176" ca="1">SUMPRODUCT((Table1[SubscriptionStart] &lt;= $A176) * (Table1[EffectiveEndDate] &gt;= $A176) * (Table1[Region] = "England"))</f>
        <v>33</v>
      </c>
      <c r="L176" s="45" cm="1">
        <f t="array" aca="1" ref="L176" ca="1">SUMPRODUCT((Table1[SubscriptionStart] &lt;= $A176) * (Table1[EffectiveEndDate] &gt;= $A176) * (Table1[Region] = "Scotland"))</f>
        <v>30</v>
      </c>
      <c r="M176" s="45" cm="1">
        <f t="array" aca="1" ref="M176" ca="1">SUMPRODUCT((Table1[SubscriptionStart] &lt;= $A176) * (Table1[EffectiveEndDate] &gt;= $A176) * (Table1[Region] = "Wales"))</f>
        <v>30</v>
      </c>
      <c r="N176" s="45" cm="1">
        <f t="array" aca="1" ref="N176" ca="1">SUMPRODUCT((Table1[SubscriptionStart] &lt;= $A176) * (Table1[EffectiveEndDate] &gt;= $A176) * (Table1[Region] = "Northern Ireland"))</f>
        <v>50</v>
      </c>
      <c r="O176" s="45" cm="1">
        <f t="array" aca="1" ref="O176" ca="1">SUMPRODUCT((Table1[Gender]="Male")*(Table1[SubscriptionStart]&lt;=A176)*(Table1[EffectiveEndDate]&gt;=A176))</f>
        <v>73</v>
      </c>
      <c r="P176" s="45" cm="1">
        <f t="array" aca="1" ref="P176" ca="1">SUMPRODUCT((Table1[Gender]="Female")*(Table1[SubscriptionStart]&lt;=A176)*(Table1[EffectiveEndDate]&gt;=A176))</f>
        <v>70</v>
      </c>
    </row>
    <row r="177" spans="1:16">
      <c r="A177" s="48">
        <f t="shared" si="11"/>
        <v>44737</v>
      </c>
      <c r="B177" s="45" cm="1">
        <f t="array" aca="1" ref="B177" ca="1">SUMPRODUCT((Table1[SubscriptionStart]&lt;=A177)*(Table1[EffectiveEndDate]&gt;=A177))</f>
        <v>142</v>
      </c>
      <c r="C177" s="45">
        <f>COUNTIFS(Table1[SubscriptionStart], A177)</f>
        <v>0</v>
      </c>
      <c r="D177" s="45">
        <f>COUNTIFS(Table1[CancellationDate], A177)</f>
        <v>0</v>
      </c>
      <c r="E177" s="45">
        <f t="shared" si="8"/>
        <v>0</v>
      </c>
      <c r="F177" s="45">
        <f>SUM($C$2:C177)</f>
        <v>158</v>
      </c>
      <c r="G177" s="49" cm="1">
        <f t="array" aca="1" ref="G177" ca="1">IF(B177=0,"", SUMPRODUCT((Table1[SubscriptionStart]&lt;=A177)*(Table1[EffectiveEndDate]&gt;=A177)*Table1[Age]) / B177 )</f>
        <v>43.359154929577464</v>
      </c>
      <c r="H177" s="22">
        <f>SUMIF(Table1[SubscriptionStart],"&lt;="&amp;A177,Table1[TotalRevenue])</f>
        <v>33808.499999999993</v>
      </c>
      <c r="I177" s="50">
        <f t="shared" si="9"/>
        <v>44742</v>
      </c>
      <c r="J177" s="49">
        <f t="shared" ca="1" si="10"/>
        <v>137</v>
      </c>
      <c r="K177" s="45" cm="1">
        <f t="array" aca="1" ref="K177" ca="1">SUMPRODUCT((Table1[SubscriptionStart] &lt;= $A177) * (Table1[EffectiveEndDate] &gt;= $A177) * (Table1[Region] = "England"))</f>
        <v>33</v>
      </c>
      <c r="L177" s="45" cm="1">
        <f t="array" aca="1" ref="L177" ca="1">SUMPRODUCT((Table1[SubscriptionStart] &lt;= $A177) * (Table1[EffectiveEndDate] &gt;= $A177) * (Table1[Region] = "Scotland"))</f>
        <v>30</v>
      </c>
      <c r="M177" s="45" cm="1">
        <f t="array" aca="1" ref="M177" ca="1">SUMPRODUCT((Table1[SubscriptionStart] &lt;= $A177) * (Table1[EffectiveEndDate] &gt;= $A177) * (Table1[Region] = "Wales"))</f>
        <v>29</v>
      </c>
      <c r="N177" s="45" cm="1">
        <f t="array" aca="1" ref="N177" ca="1">SUMPRODUCT((Table1[SubscriptionStart] &lt;= $A177) * (Table1[EffectiveEndDate] &gt;= $A177) * (Table1[Region] = "Northern Ireland"))</f>
        <v>50</v>
      </c>
      <c r="O177" s="45" cm="1">
        <f t="array" aca="1" ref="O177" ca="1">SUMPRODUCT((Table1[Gender]="Male")*(Table1[SubscriptionStart]&lt;=A177)*(Table1[EffectiveEndDate]&gt;=A177))</f>
        <v>73</v>
      </c>
      <c r="P177" s="45" cm="1">
        <f t="array" aca="1" ref="P177" ca="1">SUMPRODUCT((Table1[Gender]="Female")*(Table1[SubscriptionStart]&lt;=A177)*(Table1[EffectiveEndDate]&gt;=A177))</f>
        <v>69</v>
      </c>
    </row>
    <row r="178" spans="1:16">
      <c r="A178" s="48">
        <f t="shared" si="11"/>
        <v>44738</v>
      </c>
      <c r="B178" s="45" cm="1">
        <f t="array" aca="1" ref="B178" ca="1">SUMPRODUCT((Table1[SubscriptionStart]&lt;=A178)*(Table1[EffectiveEndDate]&gt;=A178))</f>
        <v>142</v>
      </c>
      <c r="C178" s="45">
        <f>COUNTIFS(Table1[SubscriptionStart], A178)</f>
        <v>0</v>
      </c>
      <c r="D178" s="45">
        <f>COUNTIFS(Table1[CancellationDate], A178)</f>
        <v>0</v>
      </c>
      <c r="E178" s="45">
        <f t="shared" si="8"/>
        <v>0</v>
      </c>
      <c r="F178" s="45">
        <f>SUM($C$2:C178)</f>
        <v>158</v>
      </c>
      <c r="G178" s="49" cm="1">
        <f t="array" aca="1" ref="G178" ca="1">IF(B178=0,"", SUMPRODUCT((Table1[SubscriptionStart]&lt;=A178)*(Table1[EffectiveEndDate]&gt;=A178)*Table1[Age]) / B178 )</f>
        <v>43.359154929577464</v>
      </c>
      <c r="H178" s="22">
        <f>SUMIF(Table1[SubscriptionStart],"&lt;="&amp;A178,Table1[TotalRevenue])</f>
        <v>33808.499999999993</v>
      </c>
      <c r="I178" s="50">
        <f t="shared" si="9"/>
        <v>44742</v>
      </c>
      <c r="J178" s="49">
        <f t="shared" ca="1" si="10"/>
        <v>137</v>
      </c>
      <c r="K178" s="45" cm="1">
        <f t="array" aca="1" ref="K178" ca="1">SUMPRODUCT((Table1[SubscriptionStart] &lt;= $A178) * (Table1[EffectiveEndDate] &gt;= $A178) * (Table1[Region] = "England"))</f>
        <v>33</v>
      </c>
      <c r="L178" s="45" cm="1">
        <f t="array" aca="1" ref="L178" ca="1">SUMPRODUCT((Table1[SubscriptionStart] &lt;= $A178) * (Table1[EffectiveEndDate] &gt;= $A178) * (Table1[Region] = "Scotland"))</f>
        <v>30</v>
      </c>
      <c r="M178" s="45" cm="1">
        <f t="array" aca="1" ref="M178" ca="1">SUMPRODUCT((Table1[SubscriptionStart] &lt;= $A178) * (Table1[EffectiveEndDate] &gt;= $A178) * (Table1[Region] = "Wales"))</f>
        <v>29</v>
      </c>
      <c r="N178" s="45" cm="1">
        <f t="array" aca="1" ref="N178" ca="1">SUMPRODUCT((Table1[SubscriptionStart] &lt;= $A178) * (Table1[EffectiveEndDate] &gt;= $A178) * (Table1[Region] = "Northern Ireland"))</f>
        <v>50</v>
      </c>
      <c r="O178" s="45" cm="1">
        <f t="array" aca="1" ref="O178" ca="1">SUMPRODUCT((Table1[Gender]="Male")*(Table1[SubscriptionStart]&lt;=A178)*(Table1[EffectiveEndDate]&gt;=A178))</f>
        <v>73</v>
      </c>
      <c r="P178" s="45" cm="1">
        <f t="array" aca="1" ref="P178" ca="1">SUMPRODUCT((Table1[Gender]="Female")*(Table1[SubscriptionStart]&lt;=A178)*(Table1[EffectiveEndDate]&gt;=A178))</f>
        <v>69</v>
      </c>
    </row>
    <row r="179" spans="1:16">
      <c r="A179" s="48">
        <f t="shared" si="11"/>
        <v>44739</v>
      </c>
      <c r="B179" s="45" cm="1">
        <f t="array" aca="1" ref="B179" ca="1">SUMPRODUCT((Table1[SubscriptionStart]&lt;=A179)*(Table1[EffectiveEndDate]&gt;=A179))</f>
        <v>143</v>
      </c>
      <c r="C179" s="45">
        <f>COUNTIFS(Table1[SubscriptionStart], A179)</f>
        <v>1</v>
      </c>
      <c r="D179" s="45">
        <f>COUNTIFS(Table1[CancellationDate], A179)</f>
        <v>0</v>
      </c>
      <c r="E179" s="45">
        <f t="shared" si="8"/>
        <v>1</v>
      </c>
      <c r="F179" s="45">
        <f>SUM($C$2:C179)</f>
        <v>159</v>
      </c>
      <c r="G179" s="49" cm="1">
        <f t="array" aca="1" ref="G179" ca="1">IF(B179=0,"", SUMPRODUCT((Table1[SubscriptionStart]&lt;=A179)*(Table1[EffectiveEndDate]&gt;=A179)*Table1[Age]) / B179 )</f>
        <v>43.34265734265734</v>
      </c>
      <c r="H179" s="22">
        <f>SUMIF(Table1[SubscriptionStart],"&lt;="&amp;A179,Table1[TotalRevenue])</f>
        <v>33938.099999999991</v>
      </c>
      <c r="I179" s="50">
        <f t="shared" si="9"/>
        <v>44742</v>
      </c>
      <c r="J179" s="49">
        <f t="shared" ca="1" si="10"/>
        <v>137</v>
      </c>
      <c r="K179" s="45" cm="1">
        <f t="array" aca="1" ref="K179" ca="1">SUMPRODUCT((Table1[SubscriptionStart] &lt;= $A179) * (Table1[EffectiveEndDate] &gt;= $A179) * (Table1[Region] = "England"))</f>
        <v>34</v>
      </c>
      <c r="L179" s="45" cm="1">
        <f t="array" aca="1" ref="L179" ca="1">SUMPRODUCT((Table1[SubscriptionStart] &lt;= $A179) * (Table1[EffectiveEndDate] &gt;= $A179) * (Table1[Region] = "Scotland"))</f>
        <v>30</v>
      </c>
      <c r="M179" s="45" cm="1">
        <f t="array" aca="1" ref="M179" ca="1">SUMPRODUCT((Table1[SubscriptionStart] &lt;= $A179) * (Table1[EffectiveEndDate] &gt;= $A179) * (Table1[Region] = "Wales"))</f>
        <v>29</v>
      </c>
      <c r="N179" s="45" cm="1">
        <f t="array" aca="1" ref="N179" ca="1">SUMPRODUCT((Table1[SubscriptionStart] &lt;= $A179) * (Table1[EffectiveEndDate] &gt;= $A179) * (Table1[Region] = "Northern Ireland"))</f>
        <v>50</v>
      </c>
      <c r="O179" s="45" cm="1">
        <f t="array" aca="1" ref="O179" ca="1">SUMPRODUCT((Table1[Gender]="Male")*(Table1[SubscriptionStart]&lt;=A179)*(Table1[EffectiveEndDate]&gt;=A179))</f>
        <v>74</v>
      </c>
      <c r="P179" s="45" cm="1">
        <f t="array" aca="1" ref="P179" ca="1">SUMPRODUCT((Table1[Gender]="Female")*(Table1[SubscriptionStart]&lt;=A179)*(Table1[EffectiveEndDate]&gt;=A179))</f>
        <v>69</v>
      </c>
    </row>
    <row r="180" spans="1:16">
      <c r="A180" s="48">
        <f t="shared" si="11"/>
        <v>44740</v>
      </c>
      <c r="B180" s="45" cm="1">
        <f t="array" aca="1" ref="B180" ca="1">SUMPRODUCT((Table1[SubscriptionStart]&lt;=A180)*(Table1[EffectiveEndDate]&gt;=A180))</f>
        <v>144</v>
      </c>
      <c r="C180" s="45">
        <f>COUNTIFS(Table1[SubscriptionStart], A180)</f>
        <v>1</v>
      </c>
      <c r="D180" s="45">
        <f>COUNTIFS(Table1[CancellationDate], A180)</f>
        <v>0</v>
      </c>
      <c r="E180" s="45">
        <f t="shared" si="8"/>
        <v>1</v>
      </c>
      <c r="F180" s="45">
        <f>SUM($C$2:C180)</f>
        <v>160</v>
      </c>
      <c r="G180" s="49" cm="1">
        <f t="array" aca="1" ref="G180" ca="1">IF(B180=0,"", SUMPRODUCT((Table1[SubscriptionStart]&lt;=A180)*(Table1[EffectiveEndDate]&gt;=A180)*Table1[Age]) / B180 )</f>
        <v>43.395833333333336</v>
      </c>
      <c r="H180" s="22">
        <f>SUMIF(Table1[SubscriptionStart],"&lt;="&amp;A180,Table1[TotalRevenue])</f>
        <v>34656.299999999988</v>
      </c>
      <c r="I180" s="50">
        <f t="shared" si="9"/>
        <v>44742</v>
      </c>
      <c r="J180" s="49">
        <f t="shared" ca="1" si="10"/>
        <v>137</v>
      </c>
      <c r="K180" s="45" cm="1">
        <f t="array" aca="1" ref="K180" ca="1">SUMPRODUCT((Table1[SubscriptionStart] &lt;= $A180) * (Table1[EffectiveEndDate] &gt;= $A180) * (Table1[Region] = "England"))</f>
        <v>34</v>
      </c>
      <c r="L180" s="45" cm="1">
        <f t="array" aca="1" ref="L180" ca="1">SUMPRODUCT((Table1[SubscriptionStart] &lt;= $A180) * (Table1[EffectiveEndDate] &gt;= $A180) * (Table1[Region] = "Scotland"))</f>
        <v>30</v>
      </c>
      <c r="M180" s="45" cm="1">
        <f t="array" aca="1" ref="M180" ca="1">SUMPRODUCT((Table1[SubscriptionStart] &lt;= $A180) * (Table1[EffectiveEndDate] &gt;= $A180) * (Table1[Region] = "Wales"))</f>
        <v>30</v>
      </c>
      <c r="N180" s="45" cm="1">
        <f t="array" aca="1" ref="N180" ca="1">SUMPRODUCT((Table1[SubscriptionStart] &lt;= $A180) * (Table1[EffectiveEndDate] &gt;= $A180) * (Table1[Region] = "Northern Ireland"))</f>
        <v>50</v>
      </c>
      <c r="O180" s="45" cm="1">
        <f t="array" aca="1" ref="O180" ca="1">SUMPRODUCT((Table1[Gender]="Male")*(Table1[SubscriptionStart]&lt;=A180)*(Table1[EffectiveEndDate]&gt;=A180))</f>
        <v>74</v>
      </c>
      <c r="P180" s="45" cm="1">
        <f t="array" aca="1" ref="P180" ca="1">SUMPRODUCT((Table1[Gender]="Female")*(Table1[SubscriptionStart]&lt;=A180)*(Table1[EffectiveEndDate]&gt;=A180))</f>
        <v>70</v>
      </c>
    </row>
    <row r="181" spans="1:16">
      <c r="A181" s="48">
        <f t="shared" si="11"/>
        <v>44741</v>
      </c>
      <c r="B181" s="45" cm="1">
        <f t="array" aca="1" ref="B181" ca="1">SUMPRODUCT((Table1[SubscriptionStart]&lt;=A181)*(Table1[EffectiveEndDate]&gt;=A181))</f>
        <v>147</v>
      </c>
      <c r="C181" s="45">
        <f>COUNTIFS(Table1[SubscriptionStart], A181)</f>
        <v>3</v>
      </c>
      <c r="D181" s="45">
        <f>COUNTIFS(Table1[CancellationDate], A181)</f>
        <v>0</v>
      </c>
      <c r="E181" s="45">
        <f t="shared" si="8"/>
        <v>3</v>
      </c>
      <c r="F181" s="45">
        <f>SUM($C$2:C181)</f>
        <v>163</v>
      </c>
      <c r="G181" s="49" cm="1">
        <f t="array" aca="1" ref="G181" ca="1">IF(B181=0,"", SUMPRODUCT((Table1[SubscriptionStart]&lt;=A181)*(Table1[EffectiveEndDate]&gt;=A181)*Table1[Age]) / B181 )</f>
        <v>43.074829931972786</v>
      </c>
      <c r="H181" s="22">
        <f>SUMIF(Table1[SubscriptionStart],"&lt;="&amp;A181,Table1[TotalRevenue])</f>
        <v>35496.899999999987</v>
      </c>
      <c r="I181" s="50">
        <f t="shared" si="9"/>
        <v>44742</v>
      </c>
      <c r="J181" s="49">
        <f t="shared" ca="1" si="10"/>
        <v>137</v>
      </c>
      <c r="K181" s="45" cm="1">
        <f t="array" aca="1" ref="K181" ca="1">SUMPRODUCT((Table1[SubscriptionStart] &lt;= $A181) * (Table1[EffectiveEndDate] &gt;= $A181) * (Table1[Region] = "England"))</f>
        <v>34</v>
      </c>
      <c r="L181" s="45" cm="1">
        <f t="array" aca="1" ref="L181" ca="1">SUMPRODUCT((Table1[SubscriptionStart] &lt;= $A181) * (Table1[EffectiveEndDate] &gt;= $A181) * (Table1[Region] = "Scotland"))</f>
        <v>31</v>
      </c>
      <c r="M181" s="45" cm="1">
        <f t="array" aca="1" ref="M181" ca="1">SUMPRODUCT((Table1[SubscriptionStart] &lt;= $A181) * (Table1[EffectiveEndDate] &gt;= $A181) * (Table1[Region] = "Wales"))</f>
        <v>30</v>
      </c>
      <c r="N181" s="45" cm="1">
        <f t="array" aca="1" ref="N181" ca="1">SUMPRODUCT((Table1[SubscriptionStart] &lt;= $A181) * (Table1[EffectiveEndDate] &gt;= $A181) * (Table1[Region] = "Northern Ireland"))</f>
        <v>52</v>
      </c>
      <c r="O181" s="45" cm="1">
        <f t="array" aca="1" ref="O181" ca="1">SUMPRODUCT((Table1[Gender]="Male")*(Table1[SubscriptionStart]&lt;=A181)*(Table1[EffectiveEndDate]&gt;=A181))</f>
        <v>76</v>
      </c>
      <c r="P181" s="45" cm="1">
        <f t="array" aca="1" ref="P181" ca="1">SUMPRODUCT((Table1[Gender]="Female")*(Table1[SubscriptionStart]&lt;=A181)*(Table1[EffectiveEndDate]&gt;=A181))</f>
        <v>71</v>
      </c>
    </row>
    <row r="182" spans="1:16">
      <c r="A182" s="48">
        <f t="shared" si="11"/>
        <v>44742</v>
      </c>
      <c r="B182" s="45" cm="1">
        <f t="array" aca="1" ref="B182" ca="1">SUMPRODUCT((Table1[SubscriptionStart]&lt;=A182)*(Table1[EffectiveEndDate]&gt;=A182))</f>
        <v>147</v>
      </c>
      <c r="C182" s="45">
        <f>COUNTIFS(Table1[SubscriptionStart], A182)</f>
        <v>0</v>
      </c>
      <c r="D182" s="45">
        <f>COUNTIFS(Table1[CancellationDate], A182)</f>
        <v>2</v>
      </c>
      <c r="E182" s="45">
        <f t="shared" si="8"/>
        <v>-2</v>
      </c>
      <c r="F182" s="45">
        <f>SUM($C$2:C182)</f>
        <v>163</v>
      </c>
      <c r="G182" s="49" cm="1">
        <f t="array" aca="1" ref="G182" ca="1">IF(B182=0,"", SUMPRODUCT((Table1[SubscriptionStart]&lt;=A182)*(Table1[EffectiveEndDate]&gt;=A182)*Table1[Age]) / B182 )</f>
        <v>43.074829931972786</v>
      </c>
      <c r="H182" s="22">
        <f>SUMIF(Table1[SubscriptionStart],"&lt;="&amp;A182,Table1[TotalRevenue])</f>
        <v>35496.899999999987</v>
      </c>
      <c r="I182" s="50">
        <f t="shared" si="9"/>
        <v>44742</v>
      </c>
      <c r="J182" s="49">
        <f t="shared" ca="1" si="10"/>
        <v>137</v>
      </c>
      <c r="K182" s="45" cm="1">
        <f t="array" aca="1" ref="K182" ca="1">SUMPRODUCT((Table1[SubscriptionStart] &lt;= $A182) * (Table1[EffectiveEndDate] &gt;= $A182) * (Table1[Region] = "England"))</f>
        <v>34</v>
      </c>
      <c r="L182" s="45" cm="1">
        <f t="array" aca="1" ref="L182" ca="1">SUMPRODUCT((Table1[SubscriptionStart] &lt;= $A182) * (Table1[EffectiveEndDate] &gt;= $A182) * (Table1[Region] = "Scotland"))</f>
        <v>31</v>
      </c>
      <c r="M182" s="45" cm="1">
        <f t="array" aca="1" ref="M182" ca="1">SUMPRODUCT((Table1[SubscriptionStart] &lt;= $A182) * (Table1[EffectiveEndDate] &gt;= $A182) * (Table1[Region] = "Wales"))</f>
        <v>30</v>
      </c>
      <c r="N182" s="45" cm="1">
        <f t="array" aca="1" ref="N182" ca="1">SUMPRODUCT((Table1[SubscriptionStart] &lt;= $A182) * (Table1[EffectiveEndDate] &gt;= $A182) * (Table1[Region] = "Northern Ireland"))</f>
        <v>52</v>
      </c>
      <c r="O182" s="45" cm="1">
        <f t="array" aca="1" ref="O182" ca="1">SUMPRODUCT((Table1[Gender]="Male")*(Table1[SubscriptionStart]&lt;=A182)*(Table1[EffectiveEndDate]&gt;=A182))</f>
        <v>76</v>
      </c>
      <c r="P182" s="45" cm="1">
        <f t="array" aca="1" ref="P182" ca="1">SUMPRODUCT((Table1[Gender]="Female")*(Table1[SubscriptionStart]&lt;=A182)*(Table1[EffectiveEndDate]&gt;=A182))</f>
        <v>71</v>
      </c>
    </row>
    <row r="183" spans="1:16">
      <c r="A183" s="48">
        <f t="shared" si="11"/>
        <v>44743</v>
      </c>
      <c r="B183" s="45" cm="1">
        <f t="array" aca="1" ref="B183" ca="1">SUMPRODUCT((Table1[SubscriptionStart]&lt;=A183)*(Table1[EffectiveEndDate]&gt;=A183))</f>
        <v>147</v>
      </c>
      <c r="C183" s="45">
        <f>COUNTIFS(Table1[SubscriptionStart], A183)</f>
        <v>2</v>
      </c>
      <c r="D183" s="45">
        <f>COUNTIFS(Table1[CancellationDate], A183)</f>
        <v>0</v>
      </c>
      <c r="E183" s="45">
        <f t="shared" si="8"/>
        <v>2</v>
      </c>
      <c r="F183" s="45">
        <f>SUM($C$2:C183)</f>
        <v>165</v>
      </c>
      <c r="G183" s="49" cm="1">
        <f t="array" aca="1" ref="G183" ca="1">IF(B183=0,"", SUMPRODUCT((Table1[SubscriptionStart]&lt;=A183)*(Table1[EffectiveEndDate]&gt;=A183)*Table1[Age]) / B183 )</f>
        <v>43.401360544217688</v>
      </c>
      <c r="H183" s="22">
        <f>SUMIF(Table1[SubscriptionStart],"&lt;="&amp;A183,Table1[TotalRevenue])</f>
        <v>35676.899999999987</v>
      </c>
      <c r="I183" s="50">
        <f t="shared" si="9"/>
        <v>44773</v>
      </c>
      <c r="J183" s="49">
        <f t="shared" ca="1" si="10"/>
        <v>157.74193548387098</v>
      </c>
      <c r="K183" s="45" cm="1">
        <f t="array" aca="1" ref="K183" ca="1">SUMPRODUCT((Table1[SubscriptionStart] &lt;= $A183) * (Table1[EffectiveEndDate] &gt;= $A183) * (Table1[Region] = "England"))</f>
        <v>34</v>
      </c>
      <c r="L183" s="45" cm="1">
        <f t="array" aca="1" ref="L183" ca="1">SUMPRODUCT((Table1[SubscriptionStart] &lt;= $A183) * (Table1[EffectiveEndDate] &gt;= $A183) * (Table1[Region] = "Scotland"))</f>
        <v>30</v>
      </c>
      <c r="M183" s="45" cm="1">
        <f t="array" aca="1" ref="M183" ca="1">SUMPRODUCT((Table1[SubscriptionStart] &lt;= $A183) * (Table1[EffectiveEndDate] &gt;= $A183) * (Table1[Region] = "Wales"))</f>
        <v>30</v>
      </c>
      <c r="N183" s="45" cm="1">
        <f t="array" aca="1" ref="N183" ca="1">SUMPRODUCT((Table1[SubscriptionStart] &lt;= $A183) * (Table1[EffectiveEndDate] &gt;= $A183) * (Table1[Region] = "Northern Ireland"))</f>
        <v>53</v>
      </c>
      <c r="O183" s="45" cm="1">
        <f t="array" aca="1" ref="O183" ca="1">SUMPRODUCT((Table1[Gender]="Male")*(Table1[SubscriptionStart]&lt;=A183)*(Table1[EffectiveEndDate]&gt;=A183))</f>
        <v>75</v>
      </c>
      <c r="P183" s="45" cm="1">
        <f t="array" aca="1" ref="P183" ca="1">SUMPRODUCT((Table1[Gender]="Female")*(Table1[SubscriptionStart]&lt;=A183)*(Table1[EffectiveEndDate]&gt;=A183))</f>
        <v>72</v>
      </c>
    </row>
    <row r="184" spans="1:16">
      <c r="A184" s="48">
        <f t="shared" si="11"/>
        <v>44744</v>
      </c>
      <c r="B184" s="45" cm="1">
        <f t="array" aca="1" ref="B184" ca="1">SUMPRODUCT((Table1[SubscriptionStart]&lt;=A184)*(Table1[EffectiveEndDate]&gt;=A184))</f>
        <v>148</v>
      </c>
      <c r="C184" s="45">
        <f>COUNTIFS(Table1[SubscriptionStart], A184)</f>
        <v>1</v>
      </c>
      <c r="D184" s="45">
        <f>COUNTIFS(Table1[CancellationDate], A184)</f>
        <v>1</v>
      </c>
      <c r="E184" s="45">
        <f t="shared" si="8"/>
        <v>0</v>
      </c>
      <c r="F184" s="45">
        <f>SUM($C$2:C184)</f>
        <v>166</v>
      </c>
      <c r="G184" s="49" cm="1">
        <f t="array" aca="1" ref="G184" ca="1">IF(B184=0,"", SUMPRODUCT((Table1[SubscriptionStart]&lt;=A184)*(Table1[EffectiveEndDate]&gt;=A184)*Table1[Age]) / B184 )</f>
        <v>43.385135135135137</v>
      </c>
      <c r="H184" s="22">
        <f>SUMIF(Table1[SubscriptionStart],"&lt;="&amp;A184,Table1[TotalRevenue])</f>
        <v>35676.899999999987</v>
      </c>
      <c r="I184" s="50">
        <f t="shared" si="9"/>
        <v>44773</v>
      </c>
      <c r="J184" s="49">
        <f t="shared" ca="1" si="10"/>
        <v>157.74193548387098</v>
      </c>
      <c r="K184" s="45" cm="1">
        <f t="array" aca="1" ref="K184" ca="1">SUMPRODUCT((Table1[SubscriptionStart] &lt;= $A184) * (Table1[EffectiveEndDate] &gt;= $A184) * (Table1[Region] = "England"))</f>
        <v>34</v>
      </c>
      <c r="L184" s="45" cm="1">
        <f t="array" aca="1" ref="L184" ca="1">SUMPRODUCT((Table1[SubscriptionStart] &lt;= $A184) * (Table1[EffectiveEndDate] &gt;= $A184) * (Table1[Region] = "Scotland"))</f>
        <v>30</v>
      </c>
      <c r="M184" s="45" cm="1">
        <f t="array" aca="1" ref="M184" ca="1">SUMPRODUCT((Table1[SubscriptionStart] &lt;= $A184) * (Table1[EffectiveEndDate] &gt;= $A184) * (Table1[Region] = "Wales"))</f>
        <v>31</v>
      </c>
      <c r="N184" s="45" cm="1">
        <f t="array" aca="1" ref="N184" ca="1">SUMPRODUCT((Table1[SubscriptionStart] &lt;= $A184) * (Table1[EffectiveEndDate] &gt;= $A184) * (Table1[Region] = "Northern Ireland"))</f>
        <v>53</v>
      </c>
      <c r="O184" s="45" cm="1">
        <f t="array" aca="1" ref="O184" ca="1">SUMPRODUCT((Table1[Gender]="Male")*(Table1[SubscriptionStart]&lt;=A184)*(Table1[EffectiveEndDate]&gt;=A184))</f>
        <v>75</v>
      </c>
      <c r="P184" s="45" cm="1">
        <f t="array" aca="1" ref="P184" ca="1">SUMPRODUCT((Table1[Gender]="Female")*(Table1[SubscriptionStart]&lt;=A184)*(Table1[EffectiveEndDate]&gt;=A184))</f>
        <v>73</v>
      </c>
    </row>
    <row r="185" spans="1:16">
      <c r="A185" s="48">
        <f t="shared" si="11"/>
        <v>44745</v>
      </c>
      <c r="B185" s="45" cm="1">
        <f t="array" aca="1" ref="B185" ca="1">SUMPRODUCT((Table1[SubscriptionStart]&lt;=A185)*(Table1[EffectiveEndDate]&gt;=A185))</f>
        <v>147</v>
      </c>
      <c r="C185" s="45">
        <f>COUNTIFS(Table1[SubscriptionStart], A185)</f>
        <v>0</v>
      </c>
      <c r="D185" s="45">
        <f>COUNTIFS(Table1[CancellationDate], A185)</f>
        <v>0</v>
      </c>
      <c r="E185" s="45">
        <f t="shared" si="8"/>
        <v>0</v>
      </c>
      <c r="F185" s="45">
        <f>SUM($C$2:C185)</f>
        <v>166</v>
      </c>
      <c r="G185" s="49" cm="1">
        <f t="array" aca="1" ref="G185" ca="1">IF(B185=0,"", SUMPRODUCT((Table1[SubscriptionStart]&lt;=A185)*(Table1[EffectiveEndDate]&gt;=A185)*Table1[Age]) / B185 )</f>
        <v>43.42176870748299</v>
      </c>
      <c r="H185" s="22">
        <f>SUMIF(Table1[SubscriptionStart],"&lt;="&amp;A185,Table1[TotalRevenue])</f>
        <v>35676.899999999987</v>
      </c>
      <c r="I185" s="50">
        <f t="shared" si="9"/>
        <v>44773</v>
      </c>
      <c r="J185" s="49">
        <f t="shared" ca="1" si="10"/>
        <v>157.74193548387098</v>
      </c>
      <c r="K185" s="45" cm="1">
        <f t="array" aca="1" ref="K185" ca="1">SUMPRODUCT((Table1[SubscriptionStart] &lt;= $A185) * (Table1[EffectiveEndDate] &gt;= $A185) * (Table1[Region] = "England"))</f>
        <v>34</v>
      </c>
      <c r="L185" s="45" cm="1">
        <f t="array" aca="1" ref="L185" ca="1">SUMPRODUCT((Table1[SubscriptionStart] &lt;= $A185) * (Table1[EffectiveEndDate] &gt;= $A185) * (Table1[Region] = "Scotland"))</f>
        <v>29</v>
      </c>
      <c r="M185" s="45" cm="1">
        <f t="array" aca="1" ref="M185" ca="1">SUMPRODUCT((Table1[SubscriptionStart] &lt;= $A185) * (Table1[EffectiveEndDate] &gt;= $A185) * (Table1[Region] = "Wales"))</f>
        <v>31</v>
      </c>
      <c r="N185" s="45" cm="1">
        <f t="array" aca="1" ref="N185" ca="1">SUMPRODUCT((Table1[SubscriptionStart] &lt;= $A185) * (Table1[EffectiveEndDate] &gt;= $A185) * (Table1[Region] = "Northern Ireland"))</f>
        <v>53</v>
      </c>
      <c r="O185" s="45" cm="1">
        <f t="array" aca="1" ref="O185" ca="1">SUMPRODUCT((Table1[Gender]="Male")*(Table1[SubscriptionStart]&lt;=A185)*(Table1[EffectiveEndDate]&gt;=A185))</f>
        <v>75</v>
      </c>
      <c r="P185" s="45" cm="1">
        <f t="array" aca="1" ref="P185" ca="1">SUMPRODUCT((Table1[Gender]="Female")*(Table1[SubscriptionStart]&lt;=A185)*(Table1[EffectiveEndDate]&gt;=A185))</f>
        <v>72</v>
      </c>
    </row>
    <row r="186" spans="1:16">
      <c r="A186" s="48">
        <f t="shared" si="11"/>
        <v>44746</v>
      </c>
      <c r="B186" s="45" cm="1">
        <f t="array" aca="1" ref="B186" ca="1">SUMPRODUCT((Table1[SubscriptionStart]&lt;=A186)*(Table1[EffectiveEndDate]&gt;=A186))</f>
        <v>148</v>
      </c>
      <c r="C186" s="45">
        <f>COUNTIFS(Table1[SubscriptionStart], A186)</f>
        <v>1</v>
      </c>
      <c r="D186" s="45">
        <f>COUNTIFS(Table1[CancellationDate], A186)</f>
        <v>0</v>
      </c>
      <c r="E186" s="45">
        <f t="shared" si="8"/>
        <v>1</v>
      </c>
      <c r="F186" s="45">
        <f>SUM($C$2:C186)</f>
        <v>167</v>
      </c>
      <c r="G186" s="49" cm="1">
        <f t="array" aca="1" ref="G186" ca="1">IF(B186=0,"", SUMPRODUCT((Table1[SubscriptionStart]&lt;=A186)*(Table1[EffectiveEndDate]&gt;=A186)*Table1[Age]) / B186 )</f>
        <v>43.344594594594597</v>
      </c>
      <c r="H186" s="22">
        <f>SUMIF(Table1[SubscriptionStart],"&lt;="&amp;A186,Table1[TotalRevenue])</f>
        <v>35717.399999999987</v>
      </c>
      <c r="I186" s="50">
        <f t="shared" si="9"/>
        <v>44773</v>
      </c>
      <c r="J186" s="49">
        <f t="shared" ca="1" si="10"/>
        <v>157.74193548387098</v>
      </c>
      <c r="K186" s="45" cm="1">
        <f t="array" aca="1" ref="K186" ca="1">SUMPRODUCT((Table1[SubscriptionStart] &lt;= $A186) * (Table1[EffectiveEndDate] &gt;= $A186) * (Table1[Region] = "England"))</f>
        <v>35</v>
      </c>
      <c r="L186" s="45" cm="1">
        <f t="array" aca="1" ref="L186" ca="1">SUMPRODUCT((Table1[SubscriptionStart] &lt;= $A186) * (Table1[EffectiveEndDate] &gt;= $A186) * (Table1[Region] = "Scotland"))</f>
        <v>29</v>
      </c>
      <c r="M186" s="45" cm="1">
        <f t="array" aca="1" ref="M186" ca="1">SUMPRODUCT((Table1[SubscriptionStart] &lt;= $A186) * (Table1[EffectiveEndDate] &gt;= $A186) * (Table1[Region] = "Wales"))</f>
        <v>31</v>
      </c>
      <c r="N186" s="45" cm="1">
        <f t="array" aca="1" ref="N186" ca="1">SUMPRODUCT((Table1[SubscriptionStart] &lt;= $A186) * (Table1[EffectiveEndDate] &gt;= $A186) * (Table1[Region] = "Northern Ireland"))</f>
        <v>53</v>
      </c>
      <c r="O186" s="45" cm="1">
        <f t="array" aca="1" ref="O186" ca="1">SUMPRODUCT((Table1[Gender]="Male")*(Table1[SubscriptionStart]&lt;=A186)*(Table1[EffectiveEndDate]&gt;=A186))</f>
        <v>76</v>
      </c>
      <c r="P186" s="45" cm="1">
        <f t="array" aca="1" ref="P186" ca="1">SUMPRODUCT((Table1[Gender]="Female")*(Table1[SubscriptionStart]&lt;=A186)*(Table1[EffectiveEndDate]&gt;=A186))</f>
        <v>72</v>
      </c>
    </row>
    <row r="187" spans="1:16">
      <c r="A187" s="48">
        <f t="shared" si="11"/>
        <v>44747</v>
      </c>
      <c r="B187" s="45" cm="1">
        <f t="array" aca="1" ref="B187" ca="1">SUMPRODUCT((Table1[SubscriptionStart]&lt;=A187)*(Table1[EffectiveEndDate]&gt;=A187))</f>
        <v>149</v>
      </c>
      <c r="C187" s="45">
        <f>COUNTIFS(Table1[SubscriptionStart], A187)</f>
        <v>1</v>
      </c>
      <c r="D187" s="45">
        <f>COUNTIFS(Table1[CancellationDate], A187)</f>
        <v>3</v>
      </c>
      <c r="E187" s="45">
        <f t="shared" si="8"/>
        <v>-2</v>
      </c>
      <c r="F187" s="45">
        <f>SUM($C$2:C187)</f>
        <v>168</v>
      </c>
      <c r="G187" s="49" cm="1">
        <f t="array" aca="1" ref="G187" ca="1">IF(B187=0,"", SUMPRODUCT((Table1[SubscriptionStart]&lt;=A187)*(Table1[EffectiveEndDate]&gt;=A187)*Table1[Age]) / B187 )</f>
        <v>43.409395973154361</v>
      </c>
      <c r="H187" s="22">
        <f>SUMIF(Table1[SubscriptionStart],"&lt;="&amp;A187,Table1[TotalRevenue])</f>
        <v>35790.299999999988</v>
      </c>
      <c r="I187" s="50">
        <f t="shared" si="9"/>
        <v>44773</v>
      </c>
      <c r="J187" s="49">
        <f t="shared" ca="1" si="10"/>
        <v>157.74193548387098</v>
      </c>
      <c r="K187" s="45" cm="1">
        <f t="array" aca="1" ref="K187" ca="1">SUMPRODUCT((Table1[SubscriptionStart] &lt;= $A187) * (Table1[EffectiveEndDate] &gt;= $A187) * (Table1[Region] = "England"))</f>
        <v>35</v>
      </c>
      <c r="L187" s="45" cm="1">
        <f t="array" aca="1" ref="L187" ca="1">SUMPRODUCT((Table1[SubscriptionStart] &lt;= $A187) * (Table1[EffectiveEndDate] &gt;= $A187) * (Table1[Region] = "Scotland"))</f>
        <v>30</v>
      </c>
      <c r="M187" s="45" cm="1">
        <f t="array" aca="1" ref="M187" ca="1">SUMPRODUCT((Table1[SubscriptionStart] &lt;= $A187) * (Table1[EffectiveEndDate] &gt;= $A187) * (Table1[Region] = "Wales"))</f>
        <v>31</v>
      </c>
      <c r="N187" s="45" cm="1">
        <f t="array" aca="1" ref="N187" ca="1">SUMPRODUCT((Table1[SubscriptionStart] &lt;= $A187) * (Table1[EffectiveEndDate] &gt;= $A187) * (Table1[Region] = "Northern Ireland"))</f>
        <v>53</v>
      </c>
      <c r="O187" s="45" cm="1">
        <f t="array" aca="1" ref="O187" ca="1">SUMPRODUCT((Table1[Gender]="Male")*(Table1[SubscriptionStart]&lt;=A187)*(Table1[EffectiveEndDate]&gt;=A187))</f>
        <v>77</v>
      </c>
      <c r="P187" s="45" cm="1">
        <f t="array" aca="1" ref="P187" ca="1">SUMPRODUCT((Table1[Gender]="Female")*(Table1[SubscriptionStart]&lt;=A187)*(Table1[EffectiveEndDate]&gt;=A187))</f>
        <v>72</v>
      </c>
    </row>
    <row r="188" spans="1:16">
      <c r="A188" s="48">
        <f t="shared" si="11"/>
        <v>44748</v>
      </c>
      <c r="B188" s="45" cm="1">
        <f t="array" aca="1" ref="B188" ca="1">SUMPRODUCT((Table1[SubscriptionStart]&lt;=A188)*(Table1[EffectiveEndDate]&gt;=A188))</f>
        <v>148</v>
      </c>
      <c r="C188" s="45">
        <f>COUNTIFS(Table1[SubscriptionStart], A188)</f>
        <v>2</v>
      </c>
      <c r="D188" s="45">
        <f>COUNTIFS(Table1[CancellationDate], A188)</f>
        <v>0</v>
      </c>
      <c r="E188" s="45">
        <f t="shared" si="8"/>
        <v>2</v>
      </c>
      <c r="F188" s="45">
        <f>SUM($C$2:C188)</f>
        <v>170</v>
      </c>
      <c r="G188" s="49" cm="1">
        <f t="array" aca="1" ref="G188" ca="1">IF(B188=0,"", SUMPRODUCT((Table1[SubscriptionStart]&lt;=A188)*(Table1[EffectiveEndDate]&gt;=A188)*Table1[Age]) / B188 )</f>
        <v>43.466216216216218</v>
      </c>
      <c r="H188" s="22">
        <f>SUMIF(Table1[SubscriptionStart],"&lt;="&amp;A188,Table1[TotalRevenue])</f>
        <v>35863.19999999999</v>
      </c>
      <c r="I188" s="50">
        <f t="shared" si="9"/>
        <v>44773</v>
      </c>
      <c r="J188" s="49">
        <f t="shared" ca="1" si="10"/>
        <v>157.74193548387098</v>
      </c>
      <c r="K188" s="45" cm="1">
        <f t="array" aca="1" ref="K188" ca="1">SUMPRODUCT((Table1[SubscriptionStart] &lt;= $A188) * (Table1[EffectiveEndDate] &gt;= $A188) * (Table1[Region] = "England"))</f>
        <v>36</v>
      </c>
      <c r="L188" s="45" cm="1">
        <f t="array" aca="1" ref="L188" ca="1">SUMPRODUCT((Table1[SubscriptionStart] &lt;= $A188) * (Table1[EffectiveEndDate] &gt;= $A188) * (Table1[Region] = "Scotland"))</f>
        <v>30</v>
      </c>
      <c r="M188" s="45" cm="1">
        <f t="array" aca="1" ref="M188" ca="1">SUMPRODUCT((Table1[SubscriptionStart] &lt;= $A188) * (Table1[EffectiveEndDate] &gt;= $A188) * (Table1[Region] = "Wales"))</f>
        <v>29</v>
      </c>
      <c r="N188" s="45" cm="1">
        <f t="array" aca="1" ref="N188" ca="1">SUMPRODUCT((Table1[SubscriptionStart] &lt;= $A188) * (Table1[EffectiveEndDate] &gt;= $A188) * (Table1[Region] = "Northern Ireland"))</f>
        <v>53</v>
      </c>
      <c r="O188" s="45" cm="1">
        <f t="array" aca="1" ref="O188" ca="1">SUMPRODUCT((Table1[Gender]="Male")*(Table1[SubscriptionStart]&lt;=A188)*(Table1[EffectiveEndDate]&gt;=A188))</f>
        <v>78</v>
      </c>
      <c r="P188" s="45" cm="1">
        <f t="array" aca="1" ref="P188" ca="1">SUMPRODUCT((Table1[Gender]="Female")*(Table1[SubscriptionStart]&lt;=A188)*(Table1[EffectiveEndDate]&gt;=A188))</f>
        <v>70</v>
      </c>
    </row>
    <row r="189" spans="1:16">
      <c r="A189" s="48">
        <f t="shared" si="11"/>
        <v>44749</v>
      </c>
      <c r="B189" s="45" cm="1">
        <f t="array" aca="1" ref="B189" ca="1">SUMPRODUCT((Table1[SubscriptionStart]&lt;=A189)*(Table1[EffectiveEndDate]&gt;=A189))</f>
        <v>150</v>
      </c>
      <c r="C189" s="45">
        <f>COUNTIFS(Table1[SubscriptionStart], A189)</f>
        <v>2</v>
      </c>
      <c r="D189" s="45">
        <f>COUNTIFS(Table1[CancellationDate], A189)</f>
        <v>0</v>
      </c>
      <c r="E189" s="45">
        <f t="shared" si="8"/>
        <v>2</v>
      </c>
      <c r="F189" s="45">
        <f>SUM($C$2:C189)</f>
        <v>172</v>
      </c>
      <c r="G189" s="49" cm="1">
        <f t="array" aca="1" ref="G189" ca="1">IF(B189=0,"", SUMPRODUCT((Table1[SubscriptionStart]&lt;=A189)*(Table1[EffectiveEndDate]&gt;=A189)*Table1[Age]) / B189 )</f>
        <v>43.593333333333334</v>
      </c>
      <c r="H189" s="22">
        <f>SUMIF(Table1[SubscriptionStart],"&lt;="&amp;A189,Table1[TotalRevenue])</f>
        <v>36094.049999999988</v>
      </c>
      <c r="I189" s="50">
        <f t="shared" si="9"/>
        <v>44773</v>
      </c>
      <c r="J189" s="49">
        <f t="shared" ca="1" si="10"/>
        <v>157.74193548387098</v>
      </c>
      <c r="K189" s="45" cm="1">
        <f t="array" aca="1" ref="K189" ca="1">SUMPRODUCT((Table1[SubscriptionStart] &lt;= $A189) * (Table1[EffectiveEndDate] &gt;= $A189) * (Table1[Region] = "England"))</f>
        <v>37</v>
      </c>
      <c r="L189" s="45" cm="1">
        <f t="array" aca="1" ref="L189" ca="1">SUMPRODUCT((Table1[SubscriptionStart] &lt;= $A189) * (Table1[EffectiveEndDate] &gt;= $A189) * (Table1[Region] = "Scotland"))</f>
        <v>31</v>
      </c>
      <c r="M189" s="45" cm="1">
        <f t="array" aca="1" ref="M189" ca="1">SUMPRODUCT((Table1[SubscriptionStart] &lt;= $A189) * (Table1[EffectiveEndDate] &gt;= $A189) * (Table1[Region] = "Wales"))</f>
        <v>29</v>
      </c>
      <c r="N189" s="45" cm="1">
        <f t="array" aca="1" ref="N189" ca="1">SUMPRODUCT((Table1[SubscriptionStart] &lt;= $A189) * (Table1[EffectiveEndDate] &gt;= $A189) * (Table1[Region] = "Northern Ireland"))</f>
        <v>53</v>
      </c>
      <c r="O189" s="45" cm="1">
        <f t="array" aca="1" ref="O189" ca="1">SUMPRODUCT((Table1[Gender]="Male")*(Table1[SubscriptionStart]&lt;=A189)*(Table1[EffectiveEndDate]&gt;=A189))</f>
        <v>79</v>
      </c>
      <c r="P189" s="45" cm="1">
        <f t="array" aca="1" ref="P189" ca="1">SUMPRODUCT((Table1[Gender]="Female")*(Table1[SubscriptionStart]&lt;=A189)*(Table1[EffectiveEndDate]&gt;=A189))</f>
        <v>71</v>
      </c>
    </row>
    <row r="190" spans="1:16">
      <c r="A190" s="48">
        <f t="shared" si="11"/>
        <v>44750</v>
      </c>
      <c r="B190" s="45" cm="1">
        <f t="array" aca="1" ref="B190" ca="1">SUMPRODUCT((Table1[SubscriptionStart]&lt;=A190)*(Table1[EffectiveEndDate]&gt;=A190))</f>
        <v>151</v>
      </c>
      <c r="C190" s="45">
        <f>COUNTIFS(Table1[SubscriptionStart], A190)</f>
        <v>1</v>
      </c>
      <c r="D190" s="45">
        <f>COUNTIFS(Table1[CancellationDate], A190)</f>
        <v>0</v>
      </c>
      <c r="E190" s="45">
        <f t="shared" si="8"/>
        <v>1</v>
      </c>
      <c r="F190" s="45">
        <f>SUM($C$2:C190)</f>
        <v>173</v>
      </c>
      <c r="G190" s="49" cm="1">
        <f t="array" aca="1" ref="G190" ca="1">IF(B190=0,"", SUMPRODUCT((Table1[SubscriptionStart]&lt;=A190)*(Table1[EffectiveEndDate]&gt;=A190)*Table1[Age]) / B190 )</f>
        <v>43.701986754966889</v>
      </c>
      <c r="H190" s="22">
        <f>SUMIF(Table1[SubscriptionStart],"&lt;="&amp;A190,Table1[TotalRevenue])</f>
        <v>36223.649999999987</v>
      </c>
      <c r="I190" s="50">
        <f t="shared" si="9"/>
        <v>44773</v>
      </c>
      <c r="J190" s="49">
        <f t="shared" ca="1" si="10"/>
        <v>157.74193548387098</v>
      </c>
      <c r="K190" s="45" cm="1">
        <f t="array" aca="1" ref="K190" ca="1">SUMPRODUCT((Table1[SubscriptionStart] &lt;= $A190) * (Table1[EffectiveEndDate] &gt;= $A190) * (Table1[Region] = "England"))</f>
        <v>38</v>
      </c>
      <c r="L190" s="45" cm="1">
        <f t="array" aca="1" ref="L190" ca="1">SUMPRODUCT((Table1[SubscriptionStart] &lt;= $A190) * (Table1[EffectiveEndDate] &gt;= $A190) * (Table1[Region] = "Scotland"))</f>
        <v>31</v>
      </c>
      <c r="M190" s="45" cm="1">
        <f t="array" aca="1" ref="M190" ca="1">SUMPRODUCT((Table1[SubscriptionStart] &lt;= $A190) * (Table1[EffectiveEndDate] &gt;= $A190) * (Table1[Region] = "Wales"))</f>
        <v>29</v>
      </c>
      <c r="N190" s="45" cm="1">
        <f t="array" aca="1" ref="N190" ca="1">SUMPRODUCT((Table1[SubscriptionStart] &lt;= $A190) * (Table1[EffectiveEndDate] &gt;= $A190) * (Table1[Region] = "Northern Ireland"))</f>
        <v>53</v>
      </c>
      <c r="O190" s="45" cm="1">
        <f t="array" aca="1" ref="O190" ca="1">SUMPRODUCT((Table1[Gender]="Male")*(Table1[SubscriptionStart]&lt;=A190)*(Table1[EffectiveEndDate]&gt;=A190))</f>
        <v>80</v>
      </c>
      <c r="P190" s="45" cm="1">
        <f t="array" aca="1" ref="P190" ca="1">SUMPRODUCT((Table1[Gender]="Female")*(Table1[SubscriptionStart]&lt;=A190)*(Table1[EffectiveEndDate]&gt;=A190))</f>
        <v>71</v>
      </c>
    </row>
    <row r="191" spans="1:16">
      <c r="A191" s="48">
        <f t="shared" si="11"/>
        <v>44751</v>
      </c>
      <c r="B191" s="45" cm="1">
        <f t="array" aca="1" ref="B191" ca="1">SUMPRODUCT((Table1[SubscriptionStart]&lt;=A191)*(Table1[EffectiveEndDate]&gt;=A191))</f>
        <v>152</v>
      </c>
      <c r="C191" s="45">
        <f>COUNTIFS(Table1[SubscriptionStart], A191)</f>
        <v>1</v>
      </c>
      <c r="D191" s="45">
        <f>COUNTIFS(Table1[CancellationDate], A191)</f>
        <v>0</v>
      </c>
      <c r="E191" s="45">
        <f t="shared" si="8"/>
        <v>1</v>
      </c>
      <c r="F191" s="45">
        <f>SUM($C$2:C191)</f>
        <v>174</v>
      </c>
      <c r="G191" s="49" cm="1">
        <f t="array" aca="1" ref="G191" ca="1">IF(B191=0,"", SUMPRODUCT((Table1[SubscriptionStart]&lt;=A191)*(Table1[EffectiveEndDate]&gt;=A191)*Table1[Age]) / B191 )</f>
        <v>43.835526315789473</v>
      </c>
      <c r="H191" s="22">
        <f>SUMIF(Table1[SubscriptionStart],"&lt;="&amp;A191,Table1[TotalRevenue])</f>
        <v>36353.249999999985</v>
      </c>
      <c r="I191" s="50">
        <f t="shared" si="9"/>
        <v>44773</v>
      </c>
      <c r="J191" s="49">
        <f t="shared" ca="1" si="10"/>
        <v>157.74193548387098</v>
      </c>
      <c r="K191" s="45" cm="1">
        <f t="array" aca="1" ref="K191" ca="1">SUMPRODUCT((Table1[SubscriptionStart] &lt;= $A191) * (Table1[EffectiveEndDate] &gt;= $A191) * (Table1[Region] = "England"))</f>
        <v>38</v>
      </c>
      <c r="L191" s="45" cm="1">
        <f t="array" aca="1" ref="L191" ca="1">SUMPRODUCT((Table1[SubscriptionStart] &lt;= $A191) * (Table1[EffectiveEndDate] &gt;= $A191) * (Table1[Region] = "Scotland"))</f>
        <v>31</v>
      </c>
      <c r="M191" s="45" cm="1">
        <f t="array" aca="1" ref="M191" ca="1">SUMPRODUCT((Table1[SubscriptionStart] &lt;= $A191) * (Table1[EffectiveEndDate] &gt;= $A191) * (Table1[Region] = "Wales"))</f>
        <v>29</v>
      </c>
      <c r="N191" s="45" cm="1">
        <f t="array" aca="1" ref="N191" ca="1">SUMPRODUCT((Table1[SubscriptionStart] &lt;= $A191) * (Table1[EffectiveEndDate] &gt;= $A191) * (Table1[Region] = "Northern Ireland"))</f>
        <v>54</v>
      </c>
      <c r="O191" s="45" cm="1">
        <f t="array" aca="1" ref="O191" ca="1">SUMPRODUCT((Table1[Gender]="Male")*(Table1[SubscriptionStart]&lt;=A191)*(Table1[EffectiveEndDate]&gt;=A191))</f>
        <v>81</v>
      </c>
      <c r="P191" s="45" cm="1">
        <f t="array" aca="1" ref="P191" ca="1">SUMPRODUCT((Table1[Gender]="Female")*(Table1[SubscriptionStart]&lt;=A191)*(Table1[EffectiveEndDate]&gt;=A191))</f>
        <v>71</v>
      </c>
    </row>
    <row r="192" spans="1:16">
      <c r="A192" s="48">
        <f t="shared" si="11"/>
        <v>44752</v>
      </c>
      <c r="B192" s="45" cm="1">
        <f t="array" aca="1" ref="B192" ca="1">SUMPRODUCT((Table1[SubscriptionStart]&lt;=A192)*(Table1[EffectiveEndDate]&gt;=A192))</f>
        <v>153</v>
      </c>
      <c r="C192" s="45">
        <f>COUNTIFS(Table1[SubscriptionStart], A192)</f>
        <v>1</v>
      </c>
      <c r="D192" s="45">
        <f>COUNTIFS(Table1[CancellationDate], A192)</f>
        <v>0</v>
      </c>
      <c r="E192" s="45">
        <f t="shared" si="8"/>
        <v>1</v>
      </c>
      <c r="F192" s="45">
        <f>SUM($C$2:C192)</f>
        <v>175</v>
      </c>
      <c r="G192" s="49" cm="1">
        <f t="array" aca="1" ref="G192" ca="1">IF(B192=0,"", SUMPRODUCT((Table1[SubscriptionStart]&lt;=A192)*(Table1[EffectiveEndDate]&gt;=A192)*Table1[Age]) / B192 )</f>
        <v>43.712418300653596</v>
      </c>
      <c r="H192" s="22">
        <f>SUMIF(Table1[SubscriptionStart],"&lt;="&amp;A192,Table1[TotalRevenue])</f>
        <v>36533.249999999985</v>
      </c>
      <c r="I192" s="50">
        <f t="shared" si="9"/>
        <v>44773</v>
      </c>
      <c r="J192" s="49">
        <f t="shared" ca="1" si="10"/>
        <v>157.74193548387098</v>
      </c>
      <c r="K192" s="45" cm="1">
        <f t="array" aca="1" ref="K192" ca="1">SUMPRODUCT((Table1[SubscriptionStart] &lt;= $A192) * (Table1[EffectiveEndDate] &gt;= $A192) * (Table1[Region] = "England"))</f>
        <v>38</v>
      </c>
      <c r="L192" s="45" cm="1">
        <f t="array" aca="1" ref="L192" ca="1">SUMPRODUCT((Table1[SubscriptionStart] &lt;= $A192) * (Table1[EffectiveEndDate] &gt;= $A192) * (Table1[Region] = "Scotland"))</f>
        <v>31</v>
      </c>
      <c r="M192" s="45" cm="1">
        <f t="array" aca="1" ref="M192" ca="1">SUMPRODUCT((Table1[SubscriptionStart] &lt;= $A192) * (Table1[EffectiveEndDate] &gt;= $A192) * (Table1[Region] = "Wales"))</f>
        <v>30</v>
      </c>
      <c r="N192" s="45" cm="1">
        <f t="array" aca="1" ref="N192" ca="1">SUMPRODUCT((Table1[SubscriptionStart] &lt;= $A192) * (Table1[EffectiveEndDate] &gt;= $A192) * (Table1[Region] = "Northern Ireland"))</f>
        <v>54</v>
      </c>
      <c r="O192" s="45" cm="1">
        <f t="array" aca="1" ref="O192" ca="1">SUMPRODUCT((Table1[Gender]="Male")*(Table1[SubscriptionStart]&lt;=A192)*(Table1[EffectiveEndDate]&gt;=A192))</f>
        <v>82</v>
      </c>
      <c r="P192" s="45" cm="1">
        <f t="array" aca="1" ref="P192" ca="1">SUMPRODUCT((Table1[Gender]="Female")*(Table1[SubscriptionStart]&lt;=A192)*(Table1[EffectiveEndDate]&gt;=A192))</f>
        <v>71</v>
      </c>
    </row>
    <row r="193" spans="1:16">
      <c r="A193" s="48">
        <f t="shared" si="11"/>
        <v>44753</v>
      </c>
      <c r="B193" s="45" cm="1">
        <f t="array" aca="1" ref="B193" ca="1">SUMPRODUCT((Table1[SubscriptionStart]&lt;=A193)*(Table1[EffectiveEndDate]&gt;=A193))</f>
        <v>153</v>
      </c>
      <c r="C193" s="45">
        <f>COUNTIFS(Table1[SubscriptionStart], A193)</f>
        <v>0</v>
      </c>
      <c r="D193" s="45">
        <f>COUNTIFS(Table1[CancellationDate], A193)</f>
        <v>0</v>
      </c>
      <c r="E193" s="45">
        <f t="shared" si="8"/>
        <v>0</v>
      </c>
      <c r="F193" s="45">
        <f>SUM($C$2:C193)</f>
        <v>175</v>
      </c>
      <c r="G193" s="49" cm="1">
        <f t="array" aca="1" ref="G193" ca="1">IF(B193=0,"", SUMPRODUCT((Table1[SubscriptionStart]&lt;=A193)*(Table1[EffectiveEndDate]&gt;=A193)*Table1[Age]) / B193 )</f>
        <v>43.712418300653596</v>
      </c>
      <c r="H193" s="22">
        <f>SUMIF(Table1[SubscriptionStart],"&lt;="&amp;A193,Table1[TotalRevenue])</f>
        <v>36533.249999999985</v>
      </c>
      <c r="I193" s="50">
        <f t="shared" si="9"/>
        <v>44773</v>
      </c>
      <c r="J193" s="49">
        <f t="shared" ca="1" si="10"/>
        <v>157.74193548387098</v>
      </c>
      <c r="K193" s="45" cm="1">
        <f t="array" aca="1" ref="K193" ca="1">SUMPRODUCT((Table1[SubscriptionStart] &lt;= $A193) * (Table1[EffectiveEndDate] &gt;= $A193) * (Table1[Region] = "England"))</f>
        <v>38</v>
      </c>
      <c r="L193" s="45" cm="1">
        <f t="array" aca="1" ref="L193" ca="1">SUMPRODUCT((Table1[SubscriptionStart] &lt;= $A193) * (Table1[EffectiveEndDate] &gt;= $A193) * (Table1[Region] = "Scotland"))</f>
        <v>31</v>
      </c>
      <c r="M193" s="45" cm="1">
        <f t="array" aca="1" ref="M193" ca="1">SUMPRODUCT((Table1[SubscriptionStart] &lt;= $A193) * (Table1[EffectiveEndDate] &gt;= $A193) * (Table1[Region] = "Wales"))</f>
        <v>30</v>
      </c>
      <c r="N193" s="45" cm="1">
        <f t="array" aca="1" ref="N193" ca="1">SUMPRODUCT((Table1[SubscriptionStart] &lt;= $A193) * (Table1[EffectiveEndDate] &gt;= $A193) * (Table1[Region] = "Northern Ireland"))</f>
        <v>54</v>
      </c>
      <c r="O193" s="45" cm="1">
        <f t="array" aca="1" ref="O193" ca="1">SUMPRODUCT((Table1[Gender]="Male")*(Table1[SubscriptionStart]&lt;=A193)*(Table1[EffectiveEndDate]&gt;=A193))</f>
        <v>82</v>
      </c>
      <c r="P193" s="45" cm="1">
        <f t="array" aca="1" ref="P193" ca="1">SUMPRODUCT((Table1[Gender]="Female")*(Table1[SubscriptionStart]&lt;=A193)*(Table1[EffectiveEndDate]&gt;=A193))</f>
        <v>71</v>
      </c>
    </row>
    <row r="194" spans="1:16">
      <c r="A194" s="48">
        <f t="shared" si="11"/>
        <v>44754</v>
      </c>
      <c r="B194" s="45" cm="1">
        <f t="array" aca="1" ref="B194" ca="1">SUMPRODUCT((Table1[SubscriptionStart]&lt;=A194)*(Table1[EffectiveEndDate]&gt;=A194))</f>
        <v>154</v>
      </c>
      <c r="C194" s="45">
        <f>COUNTIFS(Table1[SubscriptionStart], A194)</f>
        <v>1</v>
      </c>
      <c r="D194" s="45">
        <f>COUNTIFS(Table1[CancellationDate], A194)</f>
        <v>0</v>
      </c>
      <c r="E194" s="45">
        <f t="shared" ref="E194:E257" si="12" xml:space="preserve"> C194 - D194</f>
        <v>1</v>
      </c>
      <c r="F194" s="45">
        <f>SUM($C$2:C194)</f>
        <v>176</v>
      </c>
      <c r="G194" s="49" cm="1">
        <f t="array" aca="1" ref="G194" ca="1">IF(B194=0,"", SUMPRODUCT((Table1[SubscriptionStart]&lt;=A194)*(Table1[EffectiveEndDate]&gt;=A194)*Table1[Age]) / B194 )</f>
        <v>43.603896103896105</v>
      </c>
      <c r="H194" s="22">
        <f>SUMIF(Table1[SubscriptionStart],"&lt;="&amp;A194,Table1[TotalRevenue])</f>
        <v>36662.849999999984</v>
      </c>
      <c r="I194" s="50">
        <f t="shared" ref="I194:I257" si="13">EOMONTH(A194,0)</f>
        <v>44773</v>
      </c>
      <c r="J194" s="49">
        <f t="shared" ref="J194:J257" ca="1" si="14">AVERAGEIFS(B:B, I:I, I194)</f>
        <v>157.74193548387098</v>
      </c>
      <c r="K194" s="45" cm="1">
        <f t="array" aca="1" ref="K194" ca="1">SUMPRODUCT((Table1[SubscriptionStart] &lt;= $A194) * (Table1[EffectiveEndDate] &gt;= $A194) * (Table1[Region] = "England"))</f>
        <v>38</v>
      </c>
      <c r="L194" s="45" cm="1">
        <f t="array" aca="1" ref="L194" ca="1">SUMPRODUCT((Table1[SubscriptionStart] &lt;= $A194) * (Table1[EffectiveEndDate] &gt;= $A194) * (Table1[Region] = "Scotland"))</f>
        <v>32</v>
      </c>
      <c r="M194" s="45" cm="1">
        <f t="array" aca="1" ref="M194" ca="1">SUMPRODUCT((Table1[SubscriptionStart] &lt;= $A194) * (Table1[EffectiveEndDate] &gt;= $A194) * (Table1[Region] = "Wales"))</f>
        <v>30</v>
      </c>
      <c r="N194" s="45" cm="1">
        <f t="array" aca="1" ref="N194" ca="1">SUMPRODUCT((Table1[SubscriptionStart] &lt;= $A194) * (Table1[EffectiveEndDate] &gt;= $A194) * (Table1[Region] = "Northern Ireland"))</f>
        <v>54</v>
      </c>
      <c r="O194" s="45" cm="1">
        <f t="array" aca="1" ref="O194" ca="1">SUMPRODUCT((Table1[Gender]="Male")*(Table1[SubscriptionStart]&lt;=A194)*(Table1[EffectiveEndDate]&gt;=A194))</f>
        <v>83</v>
      </c>
      <c r="P194" s="45" cm="1">
        <f t="array" aca="1" ref="P194" ca="1">SUMPRODUCT((Table1[Gender]="Female")*(Table1[SubscriptionStart]&lt;=A194)*(Table1[EffectiveEndDate]&gt;=A194))</f>
        <v>71</v>
      </c>
    </row>
    <row r="195" spans="1:16">
      <c r="A195" s="48">
        <f t="shared" si="11"/>
        <v>44755</v>
      </c>
      <c r="B195" s="45" cm="1">
        <f t="array" aca="1" ref="B195" ca="1">SUMPRODUCT((Table1[SubscriptionStart]&lt;=A195)*(Table1[EffectiveEndDate]&gt;=A195))</f>
        <v>157</v>
      </c>
      <c r="C195" s="45">
        <f>COUNTIFS(Table1[SubscriptionStart], A195)</f>
        <v>3</v>
      </c>
      <c r="D195" s="45">
        <f>COUNTIFS(Table1[CancellationDate], A195)</f>
        <v>0</v>
      </c>
      <c r="E195" s="45">
        <f t="shared" si="12"/>
        <v>3</v>
      </c>
      <c r="F195" s="45">
        <f>SUM($C$2:C195)</f>
        <v>179</v>
      </c>
      <c r="G195" s="49" cm="1">
        <f t="array" aca="1" ref="G195" ca="1">IF(B195=0,"", SUMPRODUCT((Table1[SubscriptionStart]&lt;=A195)*(Table1[EffectiveEndDate]&gt;=A195)*Table1[Age]) / B195 )</f>
        <v>43.64331210191083</v>
      </c>
      <c r="H195" s="22">
        <f>SUMIF(Table1[SubscriptionStart],"&lt;="&amp;A195,Table1[TotalRevenue])</f>
        <v>36922.049999999981</v>
      </c>
      <c r="I195" s="50">
        <f t="shared" si="13"/>
        <v>44773</v>
      </c>
      <c r="J195" s="49">
        <f t="shared" ca="1" si="14"/>
        <v>157.74193548387098</v>
      </c>
      <c r="K195" s="45" cm="1">
        <f t="array" aca="1" ref="K195" ca="1">SUMPRODUCT((Table1[SubscriptionStart] &lt;= $A195) * (Table1[EffectiveEndDate] &gt;= $A195) * (Table1[Region] = "England"))</f>
        <v>40</v>
      </c>
      <c r="L195" s="45" cm="1">
        <f t="array" aca="1" ref="L195" ca="1">SUMPRODUCT((Table1[SubscriptionStart] &lt;= $A195) * (Table1[EffectiveEndDate] &gt;= $A195) * (Table1[Region] = "Scotland"))</f>
        <v>32</v>
      </c>
      <c r="M195" s="45" cm="1">
        <f t="array" aca="1" ref="M195" ca="1">SUMPRODUCT((Table1[SubscriptionStart] &lt;= $A195) * (Table1[EffectiveEndDate] &gt;= $A195) * (Table1[Region] = "Wales"))</f>
        <v>31</v>
      </c>
      <c r="N195" s="45" cm="1">
        <f t="array" aca="1" ref="N195" ca="1">SUMPRODUCT((Table1[SubscriptionStart] &lt;= $A195) * (Table1[EffectiveEndDate] &gt;= $A195) * (Table1[Region] = "Northern Ireland"))</f>
        <v>54</v>
      </c>
      <c r="O195" s="45" cm="1">
        <f t="array" aca="1" ref="O195" ca="1">SUMPRODUCT((Table1[Gender]="Male")*(Table1[SubscriptionStart]&lt;=A195)*(Table1[EffectiveEndDate]&gt;=A195))</f>
        <v>86</v>
      </c>
      <c r="P195" s="45" cm="1">
        <f t="array" aca="1" ref="P195" ca="1">SUMPRODUCT((Table1[Gender]="Female")*(Table1[SubscriptionStart]&lt;=A195)*(Table1[EffectiveEndDate]&gt;=A195))</f>
        <v>71</v>
      </c>
    </row>
    <row r="196" spans="1:16">
      <c r="A196" s="48">
        <f t="shared" ref="A196:A259" si="15">A195+1</f>
        <v>44756</v>
      </c>
      <c r="B196" s="45" cm="1">
        <f t="array" aca="1" ref="B196" ca="1">SUMPRODUCT((Table1[SubscriptionStart]&lt;=A196)*(Table1[EffectiveEndDate]&gt;=A196))</f>
        <v>157</v>
      </c>
      <c r="C196" s="45">
        <f>COUNTIFS(Table1[SubscriptionStart], A196)</f>
        <v>0</v>
      </c>
      <c r="D196" s="45">
        <f>COUNTIFS(Table1[CancellationDate], A196)</f>
        <v>0</v>
      </c>
      <c r="E196" s="45">
        <f t="shared" si="12"/>
        <v>0</v>
      </c>
      <c r="F196" s="45">
        <f>SUM($C$2:C196)</f>
        <v>179</v>
      </c>
      <c r="G196" s="49" cm="1">
        <f t="array" aca="1" ref="G196" ca="1">IF(B196=0,"", SUMPRODUCT((Table1[SubscriptionStart]&lt;=A196)*(Table1[EffectiveEndDate]&gt;=A196)*Table1[Age]) / B196 )</f>
        <v>43.64331210191083</v>
      </c>
      <c r="H196" s="22">
        <f>SUMIF(Table1[SubscriptionStart],"&lt;="&amp;A196,Table1[TotalRevenue])</f>
        <v>36922.049999999981</v>
      </c>
      <c r="I196" s="50">
        <f t="shared" si="13"/>
        <v>44773</v>
      </c>
      <c r="J196" s="49">
        <f t="shared" ca="1" si="14"/>
        <v>157.74193548387098</v>
      </c>
      <c r="K196" s="45" cm="1">
        <f t="array" aca="1" ref="K196" ca="1">SUMPRODUCT((Table1[SubscriptionStart] &lt;= $A196) * (Table1[EffectiveEndDate] &gt;= $A196) * (Table1[Region] = "England"))</f>
        <v>40</v>
      </c>
      <c r="L196" s="45" cm="1">
        <f t="array" aca="1" ref="L196" ca="1">SUMPRODUCT((Table1[SubscriptionStart] &lt;= $A196) * (Table1[EffectiveEndDate] &gt;= $A196) * (Table1[Region] = "Scotland"))</f>
        <v>32</v>
      </c>
      <c r="M196" s="45" cm="1">
        <f t="array" aca="1" ref="M196" ca="1">SUMPRODUCT((Table1[SubscriptionStart] &lt;= $A196) * (Table1[EffectiveEndDate] &gt;= $A196) * (Table1[Region] = "Wales"))</f>
        <v>31</v>
      </c>
      <c r="N196" s="45" cm="1">
        <f t="array" aca="1" ref="N196" ca="1">SUMPRODUCT((Table1[SubscriptionStart] &lt;= $A196) * (Table1[EffectiveEndDate] &gt;= $A196) * (Table1[Region] = "Northern Ireland"))</f>
        <v>54</v>
      </c>
      <c r="O196" s="45" cm="1">
        <f t="array" aca="1" ref="O196" ca="1">SUMPRODUCT((Table1[Gender]="Male")*(Table1[SubscriptionStart]&lt;=A196)*(Table1[EffectiveEndDate]&gt;=A196))</f>
        <v>86</v>
      </c>
      <c r="P196" s="45" cm="1">
        <f t="array" aca="1" ref="P196" ca="1">SUMPRODUCT((Table1[Gender]="Female")*(Table1[SubscriptionStart]&lt;=A196)*(Table1[EffectiveEndDate]&gt;=A196))</f>
        <v>71</v>
      </c>
    </row>
    <row r="197" spans="1:16">
      <c r="A197" s="48">
        <f t="shared" si="15"/>
        <v>44757</v>
      </c>
      <c r="B197" s="45" cm="1">
        <f t="array" aca="1" ref="B197" ca="1">SUMPRODUCT((Table1[SubscriptionStart]&lt;=A197)*(Table1[EffectiveEndDate]&gt;=A197))</f>
        <v>157</v>
      </c>
      <c r="C197" s="45">
        <f>COUNTIFS(Table1[SubscriptionStart], A197)</f>
        <v>0</v>
      </c>
      <c r="D197" s="45">
        <f>COUNTIFS(Table1[CancellationDate], A197)</f>
        <v>0</v>
      </c>
      <c r="E197" s="45">
        <f t="shared" si="12"/>
        <v>0</v>
      </c>
      <c r="F197" s="45">
        <f>SUM($C$2:C197)</f>
        <v>179</v>
      </c>
      <c r="G197" s="49" cm="1">
        <f t="array" aca="1" ref="G197" ca="1">IF(B197=0,"", SUMPRODUCT((Table1[SubscriptionStart]&lt;=A197)*(Table1[EffectiveEndDate]&gt;=A197)*Table1[Age]) / B197 )</f>
        <v>43.64331210191083</v>
      </c>
      <c r="H197" s="22">
        <f>SUMIF(Table1[SubscriptionStart],"&lt;="&amp;A197,Table1[TotalRevenue])</f>
        <v>36922.049999999981</v>
      </c>
      <c r="I197" s="50">
        <f t="shared" si="13"/>
        <v>44773</v>
      </c>
      <c r="J197" s="49">
        <f t="shared" ca="1" si="14"/>
        <v>157.74193548387098</v>
      </c>
      <c r="K197" s="45" cm="1">
        <f t="array" aca="1" ref="K197" ca="1">SUMPRODUCT((Table1[SubscriptionStart] &lt;= $A197) * (Table1[EffectiveEndDate] &gt;= $A197) * (Table1[Region] = "England"))</f>
        <v>40</v>
      </c>
      <c r="L197" s="45" cm="1">
        <f t="array" aca="1" ref="L197" ca="1">SUMPRODUCT((Table1[SubscriptionStart] &lt;= $A197) * (Table1[EffectiveEndDate] &gt;= $A197) * (Table1[Region] = "Scotland"))</f>
        <v>32</v>
      </c>
      <c r="M197" s="45" cm="1">
        <f t="array" aca="1" ref="M197" ca="1">SUMPRODUCT((Table1[SubscriptionStart] &lt;= $A197) * (Table1[EffectiveEndDate] &gt;= $A197) * (Table1[Region] = "Wales"))</f>
        <v>31</v>
      </c>
      <c r="N197" s="45" cm="1">
        <f t="array" aca="1" ref="N197" ca="1">SUMPRODUCT((Table1[SubscriptionStart] &lt;= $A197) * (Table1[EffectiveEndDate] &gt;= $A197) * (Table1[Region] = "Northern Ireland"))</f>
        <v>54</v>
      </c>
      <c r="O197" s="45" cm="1">
        <f t="array" aca="1" ref="O197" ca="1">SUMPRODUCT((Table1[Gender]="Male")*(Table1[SubscriptionStart]&lt;=A197)*(Table1[EffectiveEndDate]&gt;=A197))</f>
        <v>86</v>
      </c>
      <c r="P197" s="45" cm="1">
        <f t="array" aca="1" ref="P197" ca="1">SUMPRODUCT((Table1[Gender]="Female")*(Table1[SubscriptionStart]&lt;=A197)*(Table1[EffectiveEndDate]&gt;=A197))</f>
        <v>71</v>
      </c>
    </row>
    <row r="198" spans="1:16">
      <c r="A198" s="48">
        <f t="shared" si="15"/>
        <v>44758</v>
      </c>
      <c r="B198" s="45" cm="1">
        <f t="array" aca="1" ref="B198" ca="1">SUMPRODUCT((Table1[SubscriptionStart]&lt;=A198)*(Table1[EffectiveEndDate]&gt;=A198))</f>
        <v>158</v>
      </c>
      <c r="C198" s="45">
        <f>COUNTIFS(Table1[SubscriptionStart], A198)</f>
        <v>1</v>
      </c>
      <c r="D198" s="45">
        <f>COUNTIFS(Table1[CancellationDate], A198)</f>
        <v>1</v>
      </c>
      <c r="E198" s="45">
        <f t="shared" si="12"/>
        <v>0</v>
      </c>
      <c r="F198" s="45">
        <f>SUM($C$2:C198)</f>
        <v>180</v>
      </c>
      <c r="G198" s="49" cm="1">
        <f t="array" aca="1" ref="G198" ca="1">IF(B198=0,"", SUMPRODUCT((Table1[SubscriptionStart]&lt;=A198)*(Table1[EffectiveEndDate]&gt;=A198)*Table1[Age]) / B198 )</f>
        <v>43.702531645569621</v>
      </c>
      <c r="H198" s="22">
        <f>SUMIF(Table1[SubscriptionStart],"&lt;="&amp;A198,Table1[TotalRevenue])</f>
        <v>36922.049999999981</v>
      </c>
      <c r="I198" s="50">
        <f t="shared" si="13"/>
        <v>44773</v>
      </c>
      <c r="J198" s="49">
        <f t="shared" ca="1" si="14"/>
        <v>157.74193548387098</v>
      </c>
      <c r="K198" s="45" cm="1">
        <f t="array" aca="1" ref="K198" ca="1">SUMPRODUCT((Table1[SubscriptionStart] &lt;= $A198) * (Table1[EffectiveEndDate] &gt;= $A198) * (Table1[Region] = "England"))</f>
        <v>41</v>
      </c>
      <c r="L198" s="45" cm="1">
        <f t="array" aca="1" ref="L198" ca="1">SUMPRODUCT((Table1[SubscriptionStart] &lt;= $A198) * (Table1[EffectiveEndDate] &gt;= $A198) * (Table1[Region] = "Scotland"))</f>
        <v>32</v>
      </c>
      <c r="M198" s="45" cm="1">
        <f t="array" aca="1" ref="M198" ca="1">SUMPRODUCT((Table1[SubscriptionStart] &lt;= $A198) * (Table1[EffectiveEndDate] &gt;= $A198) * (Table1[Region] = "Wales"))</f>
        <v>31</v>
      </c>
      <c r="N198" s="45" cm="1">
        <f t="array" aca="1" ref="N198" ca="1">SUMPRODUCT((Table1[SubscriptionStart] &lt;= $A198) * (Table1[EffectiveEndDate] &gt;= $A198) * (Table1[Region] = "Northern Ireland"))</f>
        <v>54</v>
      </c>
      <c r="O198" s="45" cm="1">
        <f t="array" aca="1" ref="O198" ca="1">SUMPRODUCT((Table1[Gender]="Male")*(Table1[SubscriptionStart]&lt;=A198)*(Table1[EffectiveEndDate]&gt;=A198))</f>
        <v>87</v>
      </c>
      <c r="P198" s="45" cm="1">
        <f t="array" aca="1" ref="P198" ca="1">SUMPRODUCT((Table1[Gender]="Female")*(Table1[SubscriptionStart]&lt;=A198)*(Table1[EffectiveEndDate]&gt;=A198))</f>
        <v>71</v>
      </c>
    </row>
    <row r="199" spans="1:16">
      <c r="A199" s="48">
        <f t="shared" si="15"/>
        <v>44759</v>
      </c>
      <c r="B199" s="45" cm="1">
        <f t="array" aca="1" ref="B199" ca="1">SUMPRODUCT((Table1[SubscriptionStart]&lt;=A199)*(Table1[EffectiveEndDate]&gt;=A199))</f>
        <v>158</v>
      </c>
      <c r="C199" s="45">
        <f>COUNTIFS(Table1[SubscriptionStart], A199)</f>
        <v>1</v>
      </c>
      <c r="D199" s="45">
        <f>COUNTIFS(Table1[CancellationDate], A199)</f>
        <v>1</v>
      </c>
      <c r="E199" s="45">
        <f t="shared" si="12"/>
        <v>0</v>
      </c>
      <c r="F199" s="45">
        <f>SUM($C$2:C199)</f>
        <v>181</v>
      </c>
      <c r="G199" s="49" cm="1">
        <f t="array" aca="1" ref="G199" ca="1">IF(B199=0,"", SUMPRODUCT((Table1[SubscriptionStart]&lt;=A199)*(Table1[EffectiveEndDate]&gt;=A199)*Table1[Age]) / B199 )</f>
        <v>43.753164556962027</v>
      </c>
      <c r="H199" s="22">
        <f>SUMIF(Table1[SubscriptionStart],"&lt;="&amp;A199,Table1[TotalRevenue])</f>
        <v>36922.049999999981</v>
      </c>
      <c r="I199" s="50">
        <f t="shared" si="13"/>
        <v>44773</v>
      </c>
      <c r="J199" s="49">
        <f t="shared" ca="1" si="14"/>
        <v>157.74193548387098</v>
      </c>
      <c r="K199" s="45" cm="1">
        <f t="array" aca="1" ref="K199" ca="1">SUMPRODUCT((Table1[SubscriptionStart] &lt;= $A199) * (Table1[EffectiveEndDate] &gt;= $A199) * (Table1[Region] = "England"))</f>
        <v>41</v>
      </c>
      <c r="L199" s="45" cm="1">
        <f t="array" aca="1" ref="L199" ca="1">SUMPRODUCT((Table1[SubscriptionStart] &lt;= $A199) * (Table1[EffectiveEndDate] &gt;= $A199) * (Table1[Region] = "Scotland"))</f>
        <v>33</v>
      </c>
      <c r="M199" s="45" cm="1">
        <f t="array" aca="1" ref="M199" ca="1">SUMPRODUCT((Table1[SubscriptionStart] &lt;= $A199) * (Table1[EffectiveEndDate] &gt;= $A199) * (Table1[Region] = "Wales"))</f>
        <v>31</v>
      </c>
      <c r="N199" s="45" cm="1">
        <f t="array" aca="1" ref="N199" ca="1">SUMPRODUCT((Table1[SubscriptionStart] &lt;= $A199) * (Table1[EffectiveEndDate] &gt;= $A199) * (Table1[Region] = "Northern Ireland"))</f>
        <v>53</v>
      </c>
      <c r="O199" s="45" cm="1">
        <f t="array" aca="1" ref="O199" ca="1">SUMPRODUCT((Table1[Gender]="Male")*(Table1[SubscriptionStart]&lt;=A199)*(Table1[EffectiveEndDate]&gt;=A199))</f>
        <v>86</v>
      </c>
      <c r="P199" s="45" cm="1">
        <f t="array" aca="1" ref="P199" ca="1">SUMPRODUCT((Table1[Gender]="Female")*(Table1[SubscriptionStart]&lt;=A199)*(Table1[EffectiveEndDate]&gt;=A199))</f>
        <v>72</v>
      </c>
    </row>
    <row r="200" spans="1:16">
      <c r="A200" s="48">
        <f t="shared" si="15"/>
        <v>44760</v>
      </c>
      <c r="B200" s="45" cm="1">
        <f t="array" aca="1" ref="B200" ca="1">SUMPRODUCT((Table1[SubscriptionStart]&lt;=A200)*(Table1[EffectiveEndDate]&gt;=A200))</f>
        <v>159</v>
      </c>
      <c r="C200" s="45">
        <f>COUNTIFS(Table1[SubscriptionStart], A200)</f>
        <v>2</v>
      </c>
      <c r="D200" s="45">
        <f>COUNTIFS(Table1[CancellationDate], A200)</f>
        <v>0</v>
      </c>
      <c r="E200" s="45">
        <f t="shared" si="12"/>
        <v>2</v>
      </c>
      <c r="F200" s="45">
        <f>SUM($C$2:C200)</f>
        <v>183</v>
      </c>
      <c r="G200" s="49" cm="1">
        <f t="array" aca="1" ref="G200" ca="1">IF(B200=0,"", SUMPRODUCT((Table1[SubscriptionStart]&lt;=A200)*(Table1[EffectiveEndDate]&gt;=A200)*Table1[Age]) / B200 )</f>
        <v>43.628930817610062</v>
      </c>
      <c r="H200" s="22">
        <f>SUMIF(Table1[SubscriptionStart],"&lt;="&amp;A200,Table1[TotalRevenue])</f>
        <v>38482.049999999981</v>
      </c>
      <c r="I200" s="50">
        <f t="shared" si="13"/>
        <v>44773</v>
      </c>
      <c r="J200" s="49">
        <f t="shared" ca="1" si="14"/>
        <v>157.74193548387098</v>
      </c>
      <c r="K200" s="45" cm="1">
        <f t="array" aca="1" ref="K200" ca="1">SUMPRODUCT((Table1[SubscriptionStart] &lt;= $A200) * (Table1[EffectiveEndDate] &gt;= $A200) * (Table1[Region] = "England"))</f>
        <v>41</v>
      </c>
      <c r="L200" s="45" cm="1">
        <f t="array" aca="1" ref="L200" ca="1">SUMPRODUCT((Table1[SubscriptionStart] &lt;= $A200) * (Table1[EffectiveEndDate] &gt;= $A200) * (Table1[Region] = "Scotland"))</f>
        <v>33</v>
      </c>
      <c r="M200" s="45" cm="1">
        <f t="array" aca="1" ref="M200" ca="1">SUMPRODUCT((Table1[SubscriptionStart] &lt;= $A200) * (Table1[EffectiveEndDate] &gt;= $A200) * (Table1[Region] = "Wales"))</f>
        <v>31</v>
      </c>
      <c r="N200" s="45" cm="1">
        <f t="array" aca="1" ref="N200" ca="1">SUMPRODUCT((Table1[SubscriptionStart] &lt;= $A200) * (Table1[EffectiveEndDate] &gt;= $A200) * (Table1[Region] = "Northern Ireland"))</f>
        <v>54</v>
      </c>
      <c r="O200" s="45" cm="1">
        <f t="array" aca="1" ref="O200" ca="1">SUMPRODUCT((Table1[Gender]="Male")*(Table1[SubscriptionStart]&lt;=A200)*(Table1[EffectiveEndDate]&gt;=A200))</f>
        <v>88</v>
      </c>
      <c r="P200" s="45" cm="1">
        <f t="array" aca="1" ref="P200" ca="1">SUMPRODUCT((Table1[Gender]="Female")*(Table1[SubscriptionStart]&lt;=A200)*(Table1[EffectiveEndDate]&gt;=A200))</f>
        <v>71</v>
      </c>
    </row>
    <row r="201" spans="1:16">
      <c r="A201" s="48">
        <f t="shared" si="15"/>
        <v>44761</v>
      </c>
      <c r="B201" s="45" cm="1">
        <f t="array" aca="1" ref="B201" ca="1">SUMPRODUCT((Table1[SubscriptionStart]&lt;=A201)*(Table1[EffectiveEndDate]&gt;=A201))</f>
        <v>160</v>
      </c>
      <c r="C201" s="45">
        <f>COUNTIFS(Table1[SubscriptionStart], A201)</f>
        <v>1</v>
      </c>
      <c r="D201" s="45">
        <f>COUNTIFS(Table1[CancellationDate], A201)</f>
        <v>2</v>
      </c>
      <c r="E201" s="45">
        <f t="shared" si="12"/>
        <v>-1</v>
      </c>
      <c r="F201" s="45">
        <f>SUM($C$2:C201)</f>
        <v>184</v>
      </c>
      <c r="G201" s="49" cm="1">
        <f t="array" aca="1" ref="G201" ca="1">IF(B201=0,"", SUMPRODUCT((Table1[SubscriptionStart]&lt;=A201)*(Table1[EffectiveEndDate]&gt;=A201)*Table1[Age]) / B201 )</f>
        <v>43.65</v>
      </c>
      <c r="H201" s="22">
        <f>SUMIF(Table1[SubscriptionStart],"&lt;="&amp;A201,Table1[TotalRevenue])</f>
        <v>38554.049999999981</v>
      </c>
      <c r="I201" s="50">
        <f t="shared" si="13"/>
        <v>44773</v>
      </c>
      <c r="J201" s="49">
        <f t="shared" ca="1" si="14"/>
        <v>157.74193548387098</v>
      </c>
      <c r="K201" s="45" cm="1">
        <f t="array" aca="1" ref="K201" ca="1">SUMPRODUCT((Table1[SubscriptionStart] &lt;= $A201) * (Table1[EffectiveEndDate] &gt;= $A201) * (Table1[Region] = "England"))</f>
        <v>41</v>
      </c>
      <c r="L201" s="45" cm="1">
        <f t="array" aca="1" ref="L201" ca="1">SUMPRODUCT((Table1[SubscriptionStart] &lt;= $A201) * (Table1[EffectiveEndDate] &gt;= $A201) * (Table1[Region] = "Scotland"))</f>
        <v>33</v>
      </c>
      <c r="M201" s="45" cm="1">
        <f t="array" aca="1" ref="M201" ca="1">SUMPRODUCT((Table1[SubscriptionStart] &lt;= $A201) * (Table1[EffectiveEndDate] &gt;= $A201) * (Table1[Region] = "Wales"))</f>
        <v>31</v>
      </c>
      <c r="N201" s="45" cm="1">
        <f t="array" aca="1" ref="N201" ca="1">SUMPRODUCT((Table1[SubscriptionStart] &lt;= $A201) * (Table1[EffectiveEndDate] &gt;= $A201) * (Table1[Region] = "Northern Ireland"))</f>
        <v>55</v>
      </c>
      <c r="O201" s="45" cm="1">
        <f t="array" aca="1" ref="O201" ca="1">SUMPRODUCT((Table1[Gender]="Male")*(Table1[SubscriptionStart]&lt;=A201)*(Table1[EffectiveEndDate]&gt;=A201))</f>
        <v>89</v>
      </c>
      <c r="P201" s="45" cm="1">
        <f t="array" aca="1" ref="P201" ca="1">SUMPRODUCT((Table1[Gender]="Female")*(Table1[SubscriptionStart]&lt;=A201)*(Table1[EffectiveEndDate]&gt;=A201))</f>
        <v>71</v>
      </c>
    </row>
    <row r="202" spans="1:16">
      <c r="A202" s="48">
        <f t="shared" si="15"/>
        <v>44762</v>
      </c>
      <c r="B202" s="45" cm="1">
        <f t="array" aca="1" ref="B202" ca="1">SUMPRODUCT((Table1[SubscriptionStart]&lt;=A202)*(Table1[EffectiveEndDate]&gt;=A202))</f>
        <v>159</v>
      </c>
      <c r="C202" s="45">
        <f>COUNTIFS(Table1[SubscriptionStart], A202)</f>
        <v>1</v>
      </c>
      <c r="D202" s="45">
        <f>COUNTIFS(Table1[CancellationDate], A202)</f>
        <v>0</v>
      </c>
      <c r="E202" s="45">
        <f t="shared" si="12"/>
        <v>1</v>
      </c>
      <c r="F202" s="45">
        <f>SUM($C$2:C202)</f>
        <v>185</v>
      </c>
      <c r="G202" s="49" cm="1">
        <f t="array" aca="1" ref="G202" ca="1">IF(B202=0,"", SUMPRODUCT((Table1[SubscriptionStart]&lt;=A202)*(Table1[EffectiveEndDate]&gt;=A202)*Table1[Age]) / B202 )</f>
        <v>43.547169811320757</v>
      </c>
      <c r="H202" s="22">
        <f>SUMIF(Table1[SubscriptionStart],"&lt;="&amp;A202,Table1[TotalRevenue])</f>
        <v>38655.299999999981</v>
      </c>
      <c r="I202" s="50">
        <f t="shared" si="13"/>
        <v>44773</v>
      </c>
      <c r="J202" s="49">
        <f t="shared" ca="1" si="14"/>
        <v>157.74193548387098</v>
      </c>
      <c r="K202" s="45" cm="1">
        <f t="array" aca="1" ref="K202" ca="1">SUMPRODUCT((Table1[SubscriptionStart] &lt;= $A202) * (Table1[EffectiveEndDate] &gt;= $A202) * (Table1[Region] = "England"))</f>
        <v>40</v>
      </c>
      <c r="L202" s="45" cm="1">
        <f t="array" aca="1" ref="L202" ca="1">SUMPRODUCT((Table1[SubscriptionStart] &lt;= $A202) * (Table1[EffectiveEndDate] &gt;= $A202) * (Table1[Region] = "Scotland"))</f>
        <v>33</v>
      </c>
      <c r="M202" s="45" cm="1">
        <f t="array" aca="1" ref="M202" ca="1">SUMPRODUCT((Table1[SubscriptionStart] &lt;= $A202) * (Table1[EffectiveEndDate] &gt;= $A202) * (Table1[Region] = "Wales"))</f>
        <v>31</v>
      </c>
      <c r="N202" s="45" cm="1">
        <f t="array" aca="1" ref="N202" ca="1">SUMPRODUCT((Table1[SubscriptionStart] &lt;= $A202) * (Table1[EffectiveEndDate] &gt;= $A202) * (Table1[Region] = "Northern Ireland"))</f>
        <v>55</v>
      </c>
      <c r="O202" s="45" cm="1">
        <f t="array" aca="1" ref="O202" ca="1">SUMPRODUCT((Table1[Gender]="Male")*(Table1[SubscriptionStart]&lt;=A202)*(Table1[EffectiveEndDate]&gt;=A202))</f>
        <v>88</v>
      </c>
      <c r="P202" s="45" cm="1">
        <f t="array" aca="1" ref="P202" ca="1">SUMPRODUCT((Table1[Gender]="Female")*(Table1[SubscriptionStart]&lt;=A202)*(Table1[EffectiveEndDate]&gt;=A202))</f>
        <v>71</v>
      </c>
    </row>
    <row r="203" spans="1:16">
      <c r="A203" s="48">
        <f t="shared" si="15"/>
        <v>44763</v>
      </c>
      <c r="B203" s="45" cm="1">
        <f t="array" aca="1" ref="B203" ca="1">SUMPRODUCT((Table1[SubscriptionStart]&lt;=A203)*(Table1[EffectiveEndDate]&gt;=A203))</f>
        <v>160</v>
      </c>
      <c r="C203" s="45">
        <f>COUNTIFS(Table1[SubscriptionStart], A203)</f>
        <v>1</v>
      </c>
      <c r="D203" s="45">
        <f>COUNTIFS(Table1[CancellationDate], A203)</f>
        <v>1</v>
      </c>
      <c r="E203" s="45">
        <f t="shared" si="12"/>
        <v>0</v>
      </c>
      <c r="F203" s="45">
        <f>SUM($C$2:C203)</f>
        <v>186</v>
      </c>
      <c r="G203" s="49" cm="1">
        <f t="array" aca="1" ref="G203" ca="1">IF(B203=0,"", SUMPRODUCT((Table1[SubscriptionStart]&lt;=A203)*(Table1[EffectiveEndDate]&gt;=A203)*Table1[Age]) / B203 )</f>
        <v>43.412500000000001</v>
      </c>
      <c r="H203" s="22">
        <f>SUMIF(Table1[SubscriptionStart],"&lt;="&amp;A203,Table1[TotalRevenue])</f>
        <v>38784.89999999998</v>
      </c>
      <c r="I203" s="50">
        <f t="shared" si="13"/>
        <v>44773</v>
      </c>
      <c r="J203" s="49">
        <f t="shared" ca="1" si="14"/>
        <v>157.74193548387098</v>
      </c>
      <c r="K203" s="45" cm="1">
        <f t="array" aca="1" ref="K203" ca="1">SUMPRODUCT((Table1[SubscriptionStart] &lt;= $A203) * (Table1[EffectiveEndDate] &gt;= $A203) * (Table1[Region] = "England"))</f>
        <v>40</v>
      </c>
      <c r="L203" s="45" cm="1">
        <f t="array" aca="1" ref="L203" ca="1">SUMPRODUCT((Table1[SubscriptionStart] &lt;= $A203) * (Table1[EffectiveEndDate] &gt;= $A203) * (Table1[Region] = "Scotland"))</f>
        <v>33</v>
      </c>
      <c r="M203" s="45" cm="1">
        <f t="array" aca="1" ref="M203" ca="1">SUMPRODUCT((Table1[SubscriptionStart] &lt;= $A203) * (Table1[EffectiveEndDate] &gt;= $A203) * (Table1[Region] = "Wales"))</f>
        <v>32</v>
      </c>
      <c r="N203" s="45" cm="1">
        <f t="array" aca="1" ref="N203" ca="1">SUMPRODUCT((Table1[SubscriptionStart] &lt;= $A203) * (Table1[EffectiveEndDate] &gt;= $A203) * (Table1[Region] = "Northern Ireland"))</f>
        <v>55</v>
      </c>
      <c r="O203" s="45" cm="1">
        <f t="array" aca="1" ref="O203" ca="1">SUMPRODUCT((Table1[Gender]="Male")*(Table1[SubscriptionStart]&lt;=A203)*(Table1[EffectiveEndDate]&gt;=A203))</f>
        <v>89</v>
      </c>
      <c r="P203" s="45" cm="1">
        <f t="array" aca="1" ref="P203" ca="1">SUMPRODUCT((Table1[Gender]="Female")*(Table1[SubscriptionStart]&lt;=A203)*(Table1[EffectiveEndDate]&gt;=A203))</f>
        <v>71</v>
      </c>
    </row>
    <row r="204" spans="1:16">
      <c r="A204" s="48">
        <f t="shared" si="15"/>
        <v>44764</v>
      </c>
      <c r="B204" s="45" cm="1">
        <f t="array" aca="1" ref="B204" ca="1">SUMPRODUCT((Table1[SubscriptionStart]&lt;=A204)*(Table1[EffectiveEndDate]&gt;=A204))</f>
        <v>162</v>
      </c>
      <c r="C204" s="45">
        <f>COUNTIFS(Table1[SubscriptionStart], A204)</f>
        <v>3</v>
      </c>
      <c r="D204" s="45">
        <f>COUNTIFS(Table1[CancellationDate], A204)</f>
        <v>0</v>
      </c>
      <c r="E204" s="45">
        <f t="shared" si="12"/>
        <v>3</v>
      </c>
      <c r="F204" s="45">
        <f>SUM($C$2:C204)</f>
        <v>189</v>
      </c>
      <c r="G204" s="49" cm="1">
        <f t="array" aca="1" ref="G204" ca="1">IF(B204=0,"", SUMPRODUCT((Table1[SubscriptionStart]&lt;=A204)*(Table1[EffectiveEndDate]&gt;=A204)*Table1[Age]) / B204 )</f>
        <v>43.586419753086417</v>
      </c>
      <c r="H204" s="22">
        <f>SUMIF(Table1[SubscriptionStart],"&lt;="&amp;A204,Table1[TotalRevenue])</f>
        <v>39087.749999999978</v>
      </c>
      <c r="I204" s="50">
        <f t="shared" si="13"/>
        <v>44773</v>
      </c>
      <c r="J204" s="49">
        <f t="shared" ca="1" si="14"/>
        <v>157.74193548387098</v>
      </c>
      <c r="K204" s="45" cm="1">
        <f t="array" aca="1" ref="K204" ca="1">SUMPRODUCT((Table1[SubscriptionStart] &lt;= $A204) * (Table1[EffectiveEndDate] &gt;= $A204) * (Table1[Region] = "England"))</f>
        <v>39</v>
      </c>
      <c r="L204" s="45" cm="1">
        <f t="array" aca="1" ref="L204" ca="1">SUMPRODUCT((Table1[SubscriptionStart] &lt;= $A204) * (Table1[EffectiveEndDate] &gt;= $A204) * (Table1[Region] = "Scotland"))</f>
        <v>35</v>
      </c>
      <c r="M204" s="45" cm="1">
        <f t="array" aca="1" ref="M204" ca="1">SUMPRODUCT((Table1[SubscriptionStart] &lt;= $A204) * (Table1[EffectiveEndDate] &gt;= $A204) * (Table1[Region] = "Wales"))</f>
        <v>33</v>
      </c>
      <c r="N204" s="45" cm="1">
        <f t="array" aca="1" ref="N204" ca="1">SUMPRODUCT((Table1[SubscriptionStart] &lt;= $A204) * (Table1[EffectiveEndDate] &gt;= $A204) * (Table1[Region] = "Northern Ireland"))</f>
        <v>55</v>
      </c>
      <c r="O204" s="45" cm="1">
        <f t="array" aca="1" ref="O204" ca="1">SUMPRODUCT((Table1[Gender]="Male")*(Table1[SubscriptionStart]&lt;=A204)*(Table1[EffectiveEndDate]&gt;=A204))</f>
        <v>92</v>
      </c>
      <c r="P204" s="45" cm="1">
        <f t="array" aca="1" ref="P204" ca="1">SUMPRODUCT((Table1[Gender]="Female")*(Table1[SubscriptionStart]&lt;=A204)*(Table1[EffectiveEndDate]&gt;=A204))</f>
        <v>70</v>
      </c>
    </row>
    <row r="205" spans="1:16">
      <c r="A205" s="48">
        <f t="shared" si="15"/>
        <v>44765</v>
      </c>
      <c r="B205" s="45" cm="1">
        <f t="array" aca="1" ref="B205" ca="1">SUMPRODUCT((Table1[SubscriptionStart]&lt;=A205)*(Table1[EffectiveEndDate]&gt;=A205))</f>
        <v>163</v>
      </c>
      <c r="C205" s="45">
        <f>COUNTIFS(Table1[SubscriptionStart], A205)</f>
        <v>1</v>
      </c>
      <c r="D205" s="45">
        <f>COUNTIFS(Table1[CancellationDate], A205)</f>
        <v>0</v>
      </c>
      <c r="E205" s="45">
        <f t="shared" si="12"/>
        <v>1</v>
      </c>
      <c r="F205" s="45">
        <f>SUM($C$2:C205)</f>
        <v>190</v>
      </c>
      <c r="G205" s="49" cm="1">
        <f t="array" aca="1" ref="G205" ca="1">IF(B205=0,"", SUMPRODUCT((Table1[SubscriptionStart]&lt;=A205)*(Table1[EffectiveEndDate]&gt;=A205)*Table1[Age]) / B205 )</f>
        <v>43.699386503067487</v>
      </c>
      <c r="H205" s="22">
        <f>SUMIF(Table1[SubscriptionStart],"&lt;="&amp;A205,Table1[TotalRevenue])</f>
        <v>39159.749999999978</v>
      </c>
      <c r="I205" s="50">
        <f t="shared" si="13"/>
        <v>44773</v>
      </c>
      <c r="J205" s="49">
        <f t="shared" ca="1" si="14"/>
        <v>157.74193548387098</v>
      </c>
      <c r="K205" s="45" cm="1">
        <f t="array" aca="1" ref="K205" ca="1">SUMPRODUCT((Table1[SubscriptionStart] &lt;= $A205) * (Table1[EffectiveEndDate] &gt;= $A205) * (Table1[Region] = "England"))</f>
        <v>40</v>
      </c>
      <c r="L205" s="45" cm="1">
        <f t="array" aca="1" ref="L205" ca="1">SUMPRODUCT((Table1[SubscriptionStart] &lt;= $A205) * (Table1[EffectiveEndDate] &gt;= $A205) * (Table1[Region] = "Scotland"))</f>
        <v>35</v>
      </c>
      <c r="M205" s="45" cm="1">
        <f t="array" aca="1" ref="M205" ca="1">SUMPRODUCT((Table1[SubscriptionStart] &lt;= $A205) * (Table1[EffectiveEndDate] &gt;= $A205) * (Table1[Region] = "Wales"))</f>
        <v>33</v>
      </c>
      <c r="N205" s="45" cm="1">
        <f t="array" aca="1" ref="N205" ca="1">SUMPRODUCT((Table1[SubscriptionStart] &lt;= $A205) * (Table1[EffectiveEndDate] &gt;= $A205) * (Table1[Region] = "Northern Ireland"))</f>
        <v>55</v>
      </c>
      <c r="O205" s="45" cm="1">
        <f t="array" aca="1" ref="O205" ca="1">SUMPRODUCT((Table1[Gender]="Male")*(Table1[SubscriptionStart]&lt;=A205)*(Table1[EffectiveEndDate]&gt;=A205))</f>
        <v>93</v>
      </c>
      <c r="P205" s="45" cm="1">
        <f t="array" aca="1" ref="P205" ca="1">SUMPRODUCT((Table1[Gender]="Female")*(Table1[SubscriptionStart]&lt;=A205)*(Table1[EffectiveEndDate]&gt;=A205))</f>
        <v>70</v>
      </c>
    </row>
    <row r="206" spans="1:16">
      <c r="A206" s="48">
        <f t="shared" si="15"/>
        <v>44766</v>
      </c>
      <c r="B206" s="45" cm="1">
        <f t="array" aca="1" ref="B206" ca="1">SUMPRODUCT((Table1[SubscriptionStart]&lt;=A206)*(Table1[EffectiveEndDate]&gt;=A206))</f>
        <v>164</v>
      </c>
      <c r="C206" s="45">
        <f>COUNTIFS(Table1[SubscriptionStart], A206)</f>
        <v>1</v>
      </c>
      <c r="D206" s="45">
        <f>COUNTIFS(Table1[CancellationDate], A206)</f>
        <v>0</v>
      </c>
      <c r="E206" s="45">
        <f t="shared" si="12"/>
        <v>1</v>
      </c>
      <c r="F206" s="45">
        <f>SUM($C$2:C206)</f>
        <v>191</v>
      </c>
      <c r="G206" s="49" cm="1">
        <f t="array" aca="1" ref="G206" ca="1">IF(B206=0,"", SUMPRODUCT((Table1[SubscriptionStart]&lt;=A206)*(Table1[EffectiveEndDate]&gt;=A206)*Table1[Age]) / B206 )</f>
        <v>43.634146341463413</v>
      </c>
      <c r="H206" s="22">
        <f>SUMIF(Table1[SubscriptionStart],"&lt;="&amp;A206,Table1[TotalRevenue])</f>
        <v>39859.949999999975</v>
      </c>
      <c r="I206" s="50">
        <f t="shared" si="13"/>
        <v>44773</v>
      </c>
      <c r="J206" s="49">
        <f t="shared" ca="1" si="14"/>
        <v>157.74193548387098</v>
      </c>
      <c r="K206" s="45" cm="1">
        <f t="array" aca="1" ref="K206" ca="1">SUMPRODUCT((Table1[SubscriptionStart] &lt;= $A206) * (Table1[EffectiveEndDate] &gt;= $A206) * (Table1[Region] = "England"))</f>
        <v>40</v>
      </c>
      <c r="L206" s="45" cm="1">
        <f t="array" aca="1" ref="L206" ca="1">SUMPRODUCT((Table1[SubscriptionStart] &lt;= $A206) * (Table1[EffectiveEndDate] &gt;= $A206) * (Table1[Region] = "Scotland"))</f>
        <v>36</v>
      </c>
      <c r="M206" s="45" cm="1">
        <f t="array" aca="1" ref="M206" ca="1">SUMPRODUCT((Table1[SubscriptionStart] &lt;= $A206) * (Table1[EffectiveEndDate] &gt;= $A206) * (Table1[Region] = "Wales"))</f>
        <v>33</v>
      </c>
      <c r="N206" s="45" cm="1">
        <f t="array" aca="1" ref="N206" ca="1">SUMPRODUCT((Table1[SubscriptionStart] &lt;= $A206) * (Table1[EffectiveEndDate] &gt;= $A206) * (Table1[Region] = "Northern Ireland"))</f>
        <v>55</v>
      </c>
      <c r="O206" s="45" cm="1">
        <f t="array" aca="1" ref="O206" ca="1">SUMPRODUCT((Table1[Gender]="Male")*(Table1[SubscriptionStart]&lt;=A206)*(Table1[EffectiveEndDate]&gt;=A206))</f>
        <v>94</v>
      </c>
      <c r="P206" s="45" cm="1">
        <f t="array" aca="1" ref="P206" ca="1">SUMPRODUCT((Table1[Gender]="Female")*(Table1[SubscriptionStart]&lt;=A206)*(Table1[EffectiveEndDate]&gt;=A206))</f>
        <v>70</v>
      </c>
    </row>
    <row r="207" spans="1:16">
      <c r="A207" s="48">
        <f t="shared" si="15"/>
        <v>44767</v>
      </c>
      <c r="B207" s="45" cm="1">
        <f t="array" aca="1" ref="B207" ca="1">SUMPRODUCT((Table1[SubscriptionStart]&lt;=A207)*(Table1[EffectiveEndDate]&gt;=A207))</f>
        <v>165</v>
      </c>
      <c r="C207" s="45">
        <f>COUNTIFS(Table1[SubscriptionStart], A207)</f>
        <v>1</v>
      </c>
      <c r="D207" s="45">
        <f>COUNTIFS(Table1[CancellationDate], A207)</f>
        <v>0</v>
      </c>
      <c r="E207" s="45">
        <f t="shared" si="12"/>
        <v>1</v>
      </c>
      <c r="F207" s="45">
        <f>SUM($C$2:C207)</f>
        <v>192</v>
      </c>
      <c r="G207" s="49" cm="1">
        <f t="array" aca="1" ref="G207" ca="1">IF(B207=0,"", SUMPRODUCT((Table1[SubscriptionStart]&lt;=A207)*(Table1[EffectiveEndDate]&gt;=A207)*Table1[Age]) / B207 )</f>
        <v>43.75151515151515</v>
      </c>
      <c r="H207" s="22">
        <f>SUMIF(Table1[SubscriptionStart],"&lt;="&amp;A207,Table1[TotalRevenue])</f>
        <v>39932.849999999977</v>
      </c>
      <c r="I207" s="50">
        <f t="shared" si="13"/>
        <v>44773</v>
      </c>
      <c r="J207" s="49">
        <f t="shared" ca="1" si="14"/>
        <v>157.74193548387098</v>
      </c>
      <c r="K207" s="45" cm="1">
        <f t="array" aca="1" ref="K207" ca="1">SUMPRODUCT((Table1[SubscriptionStart] &lt;= $A207) * (Table1[EffectiveEndDate] &gt;= $A207) * (Table1[Region] = "England"))</f>
        <v>40</v>
      </c>
      <c r="L207" s="45" cm="1">
        <f t="array" aca="1" ref="L207" ca="1">SUMPRODUCT((Table1[SubscriptionStart] &lt;= $A207) * (Table1[EffectiveEndDate] &gt;= $A207) * (Table1[Region] = "Scotland"))</f>
        <v>37</v>
      </c>
      <c r="M207" s="45" cm="1">
        <f t="array" aca="1" ref="M207" ca="1">SUMPRODUCT((Table1[SubscriptionStart] &lt;= $A207) * (Table1[EffectiveEndDate] &gt;= $A207) * (Table1[Region] = "Wales"))</f>
        <v>33</v>
      </c>
      <c r="N207" s="45" cm="1">
        <f t="array" aca="1" ref="N207" ca="1">SUMPRODUCT((Table1[SubscriptionStart] &lt;= $A207) * (Table1[EffectiveEndDate] &gt;= $A207) * (Table1[Region] = "Northern Ireland"))</f>
        <v>55</v>
      </c>
      <c r="O207" s="45" cm="1">
        <f t="array" aca="1" ref="O207" ca="1">SUMPRODUCT((Table1[Gender]="Male")*(Table1[SubscriptionStart]&lt;=A207)*(Table1[EffectiveEndDate]&gt;=A207))</f>
        <v>94</v>
      </c>
      <c r="P207" s="45" cm="1">
        <f t="array" aca="1" ref="P207" ca="1">SUMPRODUCT((Table1[Gender]="Female")*(Table1[SubscriptionStart]&lt;=A207)*(Table1[EffectiveEndDate]&gt;=A207))</f>
        <v>71</v>
      </c>
    </row>
    <row r="208" spans="1:16">
      <c r="A208" s="48">
        <f t="shared" si="15"/>
        <v>44768</v>
      </c>
      <c r="B208" s="45" cm="1">
        <f t="array" aca="1" ref="B208" ca="1">SUMPRODUCT((Table1[SubscriptionStart]&lt;=A208)*(Table1[EffectiveEndDate]&gt;=A208))</f>
        <v>165</v>
      </c>
      <c r="C208" s="45">
        <f>COUNTIFS(Table1[SubscriptionStart], A208)</f>
        <v>0</v>
      </c>
      <c r="D208" s="45">
        <f>COUNTIFS(Table1[CancellationDate], A208)</f>
        <v>0</v>
      </c>
      <c r="E208" s="45">
        <f t="shared" si="12"/>
        <v>0</v>
      </c>
      <c r="F208" s="45">
        <f>SUM($C$2:C208)</f>
        <v>192</v>
      </c>
      <c r="G208" s="49" cm="1">
        <f t="array" aca="1" ref="G208" ca="1">IF(B208=0,"", SUMPRODUCT((Table1[SubscriptionStart]&lt;=A208)*(Table1[EffectiveEndDate]&gt;=A208)*Table1[Age]) / B208 )</f>
        <v>43.75151515151515</v>
      </c>
      <c r="H208" s="22">
        <f>SUMIF(Table1[SubscriptionStart],"&lt;="&amp;A208,Table1[TotalRevenue])</f>
        <v>39932.849999999977</v>
      </c>
      <c r="I208" s="50">
        <f t="shared" si="13"/>
        <v>44773</v>
      </c>
      <c r="J208" s="49">
        <f t="shared" ca="1" si="14"/>
        <v>157.74193548387098</v>
      </c>
      <c r="K208" s="45" cm="1">
        <f t="array" aca="1" ref="K208" ca="1">SUMPRODUCT((Table1[SubscriptionStart] &lt;= $A208) * (Table1[EffectiveEndDate] &gt;= $A208) * (Table1[Region] = "England"))</f>
        <v>40</v>
      </c>
      <c r="L208" s="45" cm="1">
        <f t="array" aca="1" ref="L208" ca="1">SUMPRODUCT((Table1[SubscriptionStart] &lt;= $A208) * (Table1[EffectiveEndDate] &gt;= $A208) * (Table1[Region] = "Scotland"))</f>
        <v>37</v>
      </c>
      <c r="M208" s="45" cm="1">
        <f t="array" aca="1" ref="M208" ca="1">SUMPRODUCT((Table1[SubscriptionStart] &lt;= $A208) * (Table1[EffectiveEndDate] &gt;= $A208) * (Table1[Region] = "Wales"))</f>
        <v>33</v>
      </c>
      <c r="N208" s="45" cm="1">
        <f t="array" aca="1" ref="N208" ca="1">SUMPRODUCT((Table1[SubscriptionStart] &lt;= $A208) * (Table1[EffectiveEndDate] &gt;= $A208) * (Table1[Region] = "Northern Ireland"))</f>
        <v>55</v>
      </c>
      <c r="O208" s="45" cm="1">
        <f t="array" aca="1" ref="O208" ca="1">SUMPRODUCT((Table1[Gender]="Male")*(Table1[SubscriptionStart]&lt;=A208)*(Table1[EffectiveEndDate]&gt;=A208))</f>
        <v>94</v>
      </c>
      <c r="P208" s="45" cm="1">
        <f t="array" aca="1" ref="P208" ca="1">SUMPRODUCT((Table1[Gender]="Female")*(Table1[SubscriptionStart]&lt;=A208)*(Table1[EffectiveEndDate]&gt;=A208))</f>
        <v>71</v>
      </c>
    </row>
    <row r="209" spans="1:16">
      <c r="A209" s="48">
        <f t="shared" si="15"/>
        <v>44769</v>
      </c>
      <c r="B209" s="45" cm="1">
        <f t="array" aca="1" ref="B209" ca="1">SUMPRODUCT((Table1[SubscriptionStart]&lt;=A209)*(Table1[EffectiveEndDate]&gt;=A209))</f>
        <v>168</v>
      </c>
      <c r="C209" s="45">
        <f>COUNTIFS(Table1[SubscriptionStart], A209)</f>
        <v>3</v>
      </c>
      <c r="D209" s="45">
        <f>COUNTIFS(Table1[CancellationDate], A209)</f>
        <v>0</v>
      </c>
      <c r="E209" s="45">
        <f t="shared" si="12"/>
        <v>3</v>
      </c>
      <c r="F209" s="45">
        <f>SUM($C$2:C209)</f>
        <v>195</v>
      </c>
      <c r="G209" s="49" cm="1">
        <f t="array" aca="1" ref="G209" ca="1">IF(B209=0,"", SUMPRODUCT((Table1[SubscriptionStart]&lt;=A209)*(Table1[EffectiveEndDate]&gt;=A209)*Table1[Age]) / B209 )</f>
        <v>44.154761904761905</v>
      </c>
      <c r="H209" s="22">
        <f>SUMIF(Table1[SubscriptionStart],"&lt;="&amp;A209,Table1[TotalRevenue])</f>
        <v>40184.849999999977</v>
      </c>
      <c r="I209" s="50">
        <f t="shared" si="13"/>
        <v>44773</v>
      </c>
      <c r="J209" s="49">
        <f t="shared" ca="1" si="14"/>
        <v>157.74193548387098</v>
      </c>
      <c r="K209" s="45" cm="1">
        <f t="array" aca="1" ref="K209" ca="1">SUMPRODUCT((Table1[SubscriptionStart] &lt;= $A209) * (Table1[EffectiveEndDate] &gt;= $A209) * (Table1[Region] = "England"))</f>
        <v>40</v>
      </c>
      <c r="L209" s="45" cm="1">
        <f t="array" aca="1" ref="L209" ca="1">SUMPRODUCT((Table1[SubscriptionStart] &lt;= $A209) * (Table1[EffectiveEndDate] &gt;= $A209) * (Table1[Region] = "Scotland"))</f>
        <v>37</v>
      </c>
      <c r="M209" s="45" cm="1">
        <f t="array" aca="1" ref="M209" ca="1">SUMPRODUCT((Table1[SubscriptionStart] &lt;= $A209) * (Table1[EffectiveEndDate] &gt;= $A209) * (Table1[Region] = "Wales"))</f>
        <v>35</v>
      </c>
      <c r="N209" s="45" cm="1">
        <f t="array" aca="1" ref="N209" ca="1">SUMPRODUCT((Table1[SubscriptionStart] &lt;= $A209) * (Table1[EffectiveEndDate] &gt;= $A209) * (Table1[Region] = "Northern Ireland"))</f>
        <v>56</v>
      </c>
      <c r="O209" s="45" cm="1">
        <f t="array" aca="1" ref="O209" ca="1">SUMPRODUCT((Table1[Gender]="Male")*(Table1[SubscriptionStart]&lt;=A209)*(Table1[EffectiveEndDate]&gt;=A209))</f>
        <v>95</v>
      </c>
      <c r="P209" s="45" cm="1">
        <f t="array" aca="1" ref="P209" ca="1">SUMPRODUCT((Table1[Gender]="Female")*(Table1[SubscriptionStart]&lt;=A209)*(Table1[EffectiveEndDate]&gt;=A209))</f>
        <v>73</v>
      </c>
    </row>
    <row r="210" spans="1:16">
      <c r="A210" s="48">
        <f t="shared" si="15"/>
        <v>44770</v>
      </c>
      <c r="B210" s="45" cm="1">
        <f t="array" aca="1" ref="B210" ca="1">SUMPRODUCT((Table1[SubscriptionStart]&lt;=A210)*(Table1[EffectiveEndDate]&gt;=A210))</f>
        <v>169</v>
      </c>
      <c r="C210" s="45">
        <f>COUNTIFS(Table1[SubscriptionStart], A210)</f>
        <v>1</v>
      </c>
      <c r="D210" s="45">
        <f>COUNTIFS(Table1[CancellationDate], A210)</f>
        <v>0</v>
      </c>
      <c r="E210" s="45">
        <f t="shared" si="12"/>
        <v>1</v>
      </c>
      <c r="F210" s="45">
        <f>SUM($C$2:C210)</f>
        <v>196</v>
      </c>
      <c r="G210" s="49" cm="1">
        <f t="array" aca="1" ref="G210" ca="1">IF(B210=0,"", SUMPRODUCT((Table1[SubscriptionStart]&lt;=A210)*(Table1[EffectiveEndDate]&gt;=A210)*Table1[Age]) / B210 )</f>
        <v>44.183431952662723</v>
      </c>
      <c r="H210" s="22">
        <f>SUMIF(Table1[SubscriptionStart],"&lt;="&amp;A210,Table1[TotalRevenue])</f>
        <v>40314.449999999975</v>
      </c>
      <c r="I210" s="50">
        <f t="shared" si="13"/>
        <v>44773</v>
      </c>
      <c r="J210" s="49">
        <f t="shared" ca="1" si="14"/>
        <v>157.74193548387098</v>
      </c>
      <c r="K210" s="45" cm="1">
        <f t="array" aca="1" ref="K210" ca="1">SUMPRODUCT((Table1[SubscriptionStart] &lt;= $A210) * (Table1[EffectiveEndDate] &gt;= $A210) * (Table1[Region] = "England"))</f>
        <v>40</v>
      </c>
      <c r="L210" s="45" cm="1">
        <f t="array" aca="1" ref="L210" ca="1">SUMPRODUCT((Table1[SubscriptionStart] &lt;= $A210) * (Table1[EffectiveEndDate] &gt;= $A210) * (Table1[Region] = "Scotland"))</f>
        <v>37</v>
      </c>
      <c r="M210" s="45" cm="1">
        <f t="array" aca="1" ref="M210" ca="1">SUMPRODUCT((Table1[SubscriptionStart] &lt;= $A210) * (Table1[EffectiveEndDate] &gt;= $A210) * (Table1[Region] = "Wales"))</f>
        <v>35</v>
      </c>
      <c r="N210" s="45" cm="1">
        <f t="array" aca="1" ref="N210" ca="1">SUMPRODUCT((Table1[SubscriptionStart] &lt;= $A210) * (Table1[EffectiveEndDate] &gt;= $A210) * (Table1[Region] = "Northern Ireland"))</f>
        <v>57</v>
      </c>
      <c r="O210" s="45" cm="1">
        <f t="array" aca="1" ref="O210" ca="1">SUMPRODUCT((Table1[Gender]="Male")*(Table1[SubscriptionStart]&lt;=A210)*(Table1[EffectiveEndDate]&gt;=A210))</f>
        <v>96</v>
      </c>
      <c r="P210" s="45" cm="1">
        <f t="array" aca="1" ref="P210" ca="1">SUMPRODUCT((Table1[Gender]="Female")*(Table1[SubscriptionStart]&lt;=A210)*(Table1[EffectiveEndDate]&gt;=A210))</f>
        <v>73</v>
      </c>
    </row>
    <row r="211" spans="1:16">
      <c r="A211" s="48">
        <f t="shared" si="15"/>
        <v>44771</v>
      </c>
      <c r="B211" s="45" cm="1">
        <f t="array" aca="1" ref="B211" ca="1">SUMPRODUCT((Table1[SubscriptionStart]&lt;=A211)*(Table1[EffectiveEndDate]&gt;=A211))</f>
        <v>169</v>
      </c>
      <c r="C211" s="45">
        <f>COUNTIFS(Table1[SubscriptionStart], A211)</f>
        <v>0</v>
      </c>
      <c r="D211" s="45">
        <f>COUNTIFS(Table1[CancellationDate], A211)</f>
        <v>1</v>
      </c>
      <c r="E211" s="45">
        <f t="shared" si="12"/>
        <v>-1</v>
      </c>
      <c r="F211" s="45">
        <f>SUM($C$2:C211)</f>
        <v>196</v>
      </c>
      <c r="G211" s="49" cm="1">
        <f t="array" aca="1" ref="G211" ca="1">IF(B211=0,"", SUMPRODUCT((Table1[SubscriptionStart]&lt;=A211)*(Table1[EffectiveEndDate]&gt;=A211)*Table1[Age]) / B211 )</f>
        <v>44.183431952662723</v>
      </c>
      <c r="H211" s="22">
        <f>SUMIF(Table1[SubscriptionStart],"&lt;="&amp;A211,Table1[TotalRevenue])</f>
        <v>40314.449999999975</v>
      </c>
      <c r="I211" s="50">
        <f t="shared" si="13"/>
        <v>44773</v>
      </c>
      <c r="J211" s="49">
        <f t="shared" ca="1" si="14"/>
        <v>157.74193548387098</v>
      </c>
      <c r="K211" s="45" cm="1">
        <f t="array" aca="1" ref="K211" ca="1">SUMPRODUCT((Table1[SubscriptionStart] &lt;= $A211) * (Table1[EffectiveEndDate] &gt;= $A211) * (Table1[Region] = "England"))</f>
        <v>40</v>
      </c>
      <c r="L211" s="45" cm="1">
        <f t="array" aca="1" ref="L211" ca="1">SUMPRODUCT((Table1[SubscriptionStart] &lt;= $A211) * (Table1[EffectiveEndDate] &gt;= $A211) * (Table1[Region] = "Scotland"))</f>
        <v>37</v>
      </c>
      <c r="M211" s="45" cm="1">
        <f t="array" aca="1" ref="M211" ca="1">SUMPRODUCT((Table1[SubscriptionStart] &lt;= $A211) * (Table1[EffectiveEndDate] &gt;= $A211) * (Table1[Region] = "Wales"))</f>
        <v>35</v>
      </c>
      <c r="N211" s="45" cm="1">
        <f t="array" aca="1" ref="N211" ca="1">SUMPRODUCT((Table1[SubscriptionStart] &lt;= $A211) * (Table1[EffectiveEndDate] &gt;= $A211) * (Table1[Region] = "Northern Ireland"))</f>
        <v>57</v>
      </c>
      <c r="O211" s="45" cm="1">
        <f t="array" aca="1" ref="O211" ca="1">SUMPRODUCT((Table1[Gender]="Male")*(Table1[SubscriptionStart]&lt;=A211)*(Table1[EffectiveEndDate]&gt;=A211))</f>
        <v>96</v>
      </c>
      <c r="P211" s="45" cm="1">
        <f t="array" aca="1" ref="P211" ca="1">SUMPRODUCT((Table1[Gender]="Female")*(Table1[SubscriptionStart]&lt;=A211)*(Table1[EffectiveEndDate]&gt;=A211))</f>
        <v>73</v>
      </c>
    </row>
    <row r="212" spans="1:16">
      <c r="A212" s="48">
        <f t="shared" si="15"/>
        <v>44772</v>
      </c>
      <c r="B212" s="45" cm="1">
        <f t="array" aca="1" ref="B212" ca="1">SUMPRODUCT((Table1[SubscriptionStart]&lt;=A212)*(Table1[EffectiveEndDate]&gt;=A212))</f>
        <v>170</v>
      </c>
      <c r="C212" s="45">
        <f>COUNTIFS(Table1[SubscriptionStart], A212)</f>
        <v>2</v>
      </c>
      <c r="D212" s="45">
        <f>COUNTIFS(Table1[CancellationDate], A212)</f>
        <v>0</v>
      </c>
      <c r="E212" s="45">
        <f t="shared" si="12"/>
        <v>2</v>
      </c>
      <c r="F212" s="45">
        <f>SUM($C$2:C212)</f>
        <v>198</v>
      </c>
      <c r="G212" s="49" cm="1">
        <f t="array" aca="1" ref="G212" ca="1">IF(B212=0,"", SUMPRODUCT((Table1[SubscriptionStart]&lt;=A212)*(Table1[EffectiveEndDate]&gt;=A212)*Table1[Age]) / B212 )</f>
        <v>44.194117647058825</v>
      </c>
      <c r="H212" s="22">
        <f>SUMIF(Table1[SubscriptionStart],"&lt;="&amp;A212,Table1[TotalRevenue])</f>
        <v>41259.449999999975</v>
      </c>
      <c r="I212" s="50">
        <f t="shared" si="13"/>
        <v>44773</v>
      </c>
      <c r="J212" s="49">
        <f t="shared" ca="1" si="14"/>
        <v>157.74193548387098</v>
      </c>
      <c r="K212" s="45" cm="1">
        <f t="array" aca="1" ref="K212" ca="1">SUMPRODUCT((Table1[SubscriptionStart] &lt;= $A212) * (Table1[EffectiveEndDate] &gt;= $A212) * (Table1[Region] = "England"))</f>
        <v>42</v>
      </c>
      <c r="L212" s="45" cm="1">
        <f t="array" aca="1" ref="L212" ca="1">SUMPRODUCT((Table1[SubscriptionStart] &lt;= $A212) * (Table1[EffectiveEndDate] &gt;= $A212) * (Table1[Region] = "Scotland"))</f>
        <v>37</v>
      </c>
      <c r="M212" s="45" cm="1">
        <f t="array" aca="1" ref="M212" ca="1">SUMPRODUCT((Table1[SubscriptionStart] &lt;= $A212) * (Table1[EffectiveEndDate] &gt;= $A212) * (Table1[Region] = "Wales"))</f>
        <v>34</v>
      </c>
      <c r="N212" s="45" cm="1">
        <f t="array" aca="1" ref="N212" ca="1">SUMPRODUCT((Table1[SubscriptionStart] &lt;= $A212) * (Table1[EffectiveEndDate] &gt;= $A212) * (Table1[Region] = "Northern Ireland"))</f>
        <v>57</v>
      </c>
      <c r="O212" s="45" cm="1">
        <f t="array" aca="1" ref="O212" ca="1">SUMPRODUCT((Table1[Gender]="Male")*(Table1[SubscriptionStart]&lt;=A212)*(Table1[EffectiveEndDate]&gt;=A212))</f>
        <v>97</v>
      </c>
      <c r="P212" s="45" cm="1">
        <f t="array" aca="1" ref="P212" ca="1">SUMPRODUCT((Table1[Gender]="Female")*(Table1[SubscriptionStart]&lt;=A212)*(Table1[EffectiveEndDate]&gt;=A212))</f>
        <v>73</v>
      </c>
    </row>
    <row r="213" spans="1:16">
      <c r="A213" s="48">
        <f t="shared" si="15"/>
        <v>44773</v>
      </c>
      <c r="B213" s="45" cm="1">
        <f t="array" aca="1" ref="B213" ca="1">SUMPRODUCT((Table1[SubscriptionStart]&lt;=A213)*(Table1[EffectiveEndDate]&gt;=A213))</f>
        <v>170</v>
      </c>
      <c r="C213" s="45">
        <f>COUNTIFS(Table1[SubscriptionStart], A213)</f>
        <v>0</v>
      </c>
      <c r="D213" s="45">
        <f>COUNTIFS(Table1[CancellationDate], A213)</f>
        <v>1</v>
      </c>
      <c r="E213" s="45">
        <f t="shared" si="12"/>
        <v>-1</v>
      </c>
      <c r="F213" s="45">
        <f>SUM($C$2:C213)</f>
        <v>198</v>
      </c>
      <c r="G213" s="49" cm="1">
        <f t="array" aca="1" ref="G213" ca="1">IF(B213=0,"", SUMPRODUCT((Table1[SubscriptionStart]&lt;=A213)*(Table1[EffectiveEndDate]&gt;=A213)*Table1[Age]) / B213 )</f>
        <v>44.194117647058825</v>
      </c>
      <c r="H213" s="22">
        <f>SUMIF(Table1[SubscriptionStart],"&lt;="&amp;A213,Table1[TotalRevenue])</f>
        <v>41259.449999999975</v>
      </c>
      <c r="I213" s="50">
        <f t="shared" si="13"/>
        <v>44773</v>
      </c>
      <c r="J213" s="49">
        <f t="shared" ca="1" si="14"/>
        <v>157.74193548387098</v>
      </c>
      <c r="K213" s="45" cm="1">
        <f t="array" aca="1" ref="K213" ca="1">SUMPRODUCT((Table1[SubscriptionStart] &lt;= $A213) * (Table1[EffectiveEndDate] &gt;= $A213) * (Table1[Region] = "England"))</f>
        <v>42</v>
      </c>
      <c r="L213" s="45" cm="1">
        <f t="array" aca="1" ref="L213" ca="1">SUMPRODUCT((Table1[SubscriptionStart] &lt;= $A213) * (Table1[EffectiveEndDate] &gt;= $A213) * (Table1[Region] = "Scotland"))</f>
        <v>37</v>
      </c>
      <c r="M213" s="45" cm="1">
        <f t="array" aca="1" ref="M213" ca="1">SUMPRODUCT((Table1[SubscriptionStart] &lt;= $A213) * (Table1[EffectiveEndDate] &gt;= $A213) * (Table1[Region] = "Wales"))</f>
        <v>34</v>
      </c>
      <c r="N213" s="45" cm="1">
        <f t="array" aca="1" ref="N213" ca="1">SUMPRODUCT((Table1[SubscriptionStart] &lt;= $A213) * (Table1[EffectiveEndDate] &gt;= $A213) * (Table1[Region] = "Northern Ireland"))</f>
        <v>57</v>
      </c>
      <c r="O213" s="45" cm="1">
        <f t="array" aca="1" ref="O213" ca="1">SUMPRODUCT((Table1[Gender]="Male")*(Table1[SubscriptionStart]&lt;=A213)*(Table1[EffectiveEndDate]&gt;=A213))</f>
        <v>97</v>
      </c>
      <c r="P213" s="45" cm="1">
        <f t="array" aca="1" ref="P213" ca="1">SUMPRODUCT((Table1[Gender]="Female")*(Table1[SubscriptionStart]&lt;=A213)*(Table1[EffectiveEndDate]&gt;=A213))</f>
        <v>73</v>
      </c>
    </row>
    <row r="214" spans="1:16">
      <c r="A214" s="48">
        <f t="shared" si="15"/>
        <v>44774</v>
      </c>
      <c r="B214" s="45" cm="1">
        <f t="array" aca="1" ref="B214" ca="1">SUMPRODUCT((Table1[SubscriptionStart]&lt;=A214)*(Table1[EffectiveEndDate]&gt;=A214))</f>
        <v>170</v>
      </c>
      <c r="C214" s="45">
        <f>COUNTIFS(Table1[SubscriptionStart], A214)</f>
        <v>1</v>
      </c>
      <c r="D214" s="45">
        <f>COUNTIFS(Table1[CancellationDate], A214)</f>
        <v>1</v>
      </c>
      <c r="E214" s="45">
        <f t="shared" si="12"/>
        <v>0</v>
      </c>
      <c r="F214" s="45">
        <f>SUM($C$2:C214)</f>
        <v>199</v>
      </c>
      <c r="G214" s="49" cm="1">
        <f t="array" aca="1" ref="G214" ca="1">IF(B214=0,"", SUMPRODUCT((Table1[SubscriptionStart]&lt;=A214)*(Table1[EffectiveEndDate]&gt;=A214)*Table1[Age]) / B214 )</f>
        <v>44.094117647058823</v>
      </c>
      <c r="H214" s="22">
        <f>SUMIF(Table1[SubscriptionStart],"&lt;="&amp;A214,Table1[TotalRevenue])</f>
        <v>41565.449999999975</v>
      </c>
      <c r="I214" s="50">
        <f t="shared" si="13"/>
        <v>44804</v>
      </c>
      <c r="J214" s="49">
        <f t="shared" ca="1" si="14"/>
        <v>179.25806451612902</v>
      </c>
      <c r="K214" s="45" cm="1">
        <f t="array" aca="1" ref="K214" ca="1">SUMPRODUCT((Table1[SubscriptionStart] &lt;= $A214) * (Table1[EffectiveEndDate] &gt;= $A214) * (Table1[Region] = "England"))</f>
        <v>41</v>
      </c>
      <c r="L214" s="45" cm="1">
        <f t="array" aca="1" ref="L214" ca="1">SUMPRODUCT((Table1[SubscriptionStart] &lt;= $A214) * (Table1[EffectiveEndDate] &gt;= $A214) * (Table1[Region] = "Scotland"))</f>
        <v>37</v>
      </c>
      <c r="M214" s="45" cm="1">
        <f t="array" aca="1" ref="M214" ca="1">SUMPRODUCT((Table1[SubscriptionStart] &lt;= $A214) * (Table1[EffectiveEndDate] &gt;= $A214) * (Table1[Region] = "Wales"))</f>
        <v>35</v>
      </c>
      <c r="N214" s="45" cm="1">
        <f t="array" aca="1" ref="N214" ca="1">SUMPRODUCT((Table1[SubscriptionStart] &lt;= $A214) * (Table1[EffectiveEndDate] &gt;= $A214) * (Table1[Region] = "Northern Ireland"))</f>
        <v>57</v>
      </c>
      <c r="O214" s="45" cm="1">
        <f t="array" aca="1" ref="O214" ca="1">SUMPRODUCT((Table1[Gender]="Male")*(Table1[SubscriptionStart]&lt;=A214)*(Table1[EffectiveEndDate]&gt;=A214))</f>
        <v>97</v>
      </c>
      <c r="P214" s="45" cm="1">
        <f t="array" aca="1" ref="P214" ca="1">SUMPRODUCT((Table1[Gender]="Female")*(Table1[SubscriptionStart]&lt;=A214)*(Table1[EffectiveEndDate]&gt;=A214))</f>
        <v>73</v>
      </c>
    </row>
    <row r="215" spans="1:16">
      <c r="A215" s="48">
        <f t="shared" si="15"/>
        <v>44775</v>
      </c>
      <c r="B215" s="45" cm="1">
        <f t="array" aca="1" ref="B215" ca="1">SUMPRODUCT((Table1[SubscriptionStart]&lt;=A215)*(Table1[EffectiveEndDate]&gt;=A215))</f>
        <v>169</v>
      </c>
      <c r="C215" s="45">
        <f>COUNTIFS(Table1[SubscriptionStart], A215)</f>
        <v>0</v>
      </c>
      <c r="D215" s="45">
        <f>COUNTIFS(Table1[CancellationDate], A215)</f>
        <v>0</v>
      </c>
      <c r="E215" s="45">
        <f t="shared" si="12"/>
        <v>0</v>
      </c>
      <c r="F215" s="45">
        <f>SUM($C$2:C215)</f>
        <v>199</v>
      </c>
      <c r="G215" s="49" cm="1">
        <f t="array" aca="1" ref="G215" ca="1">IF(B215=0,"", SUMPRODUCT((Table1[SubscriptionStart]&lt;=A215)*(Table1[EffectiveEndDate]&gt;=A215)*Table1[Age]) / B215 )</f>
        <v>44.112426035502956</v>
      </c>
      <c r="H215" s="22">
        <f>SUMIF(Table1[SubscriptionStart],"&lt;="&amp;A215,Table1[TotalRevenue])</f>
        <v>41565.449999999975</v>
      </c>
      <c r="I215" s="50">
        <f t="shared" si="13"/>
        <v>44804</v>
      </c>
      <c r="J215" s="49">
        <f t="shared" ca="1" si="14"/>
        <v>179.25806451612902</v>
      </c>
      <c r="K215" s="45" cm="1">
        <f t="array" aca="1" ref="K215" ca="1">SUMPRODUCT((Table1[SubscriptionStart] &lt;= $A215) * (Table1[EffectiveEndDate] &gt;= $A215) * (Table1[Region] = "England"))</f>
        <v>41</v>
      </c>
      <c r="L215" s="45" cm="1">
        <f t="array" aca="1" ref="L215" ca="1">SUMPRODUCT((Table1[SubscriptionStart] &lt;= $A215) * (Table1[EffectiveEndDate] &gt;= $A215) * (Table1[Region] = "Scotland"))</f>
        <v>37</v>
      </c>
      <c r="M215" s="45" cm="1">
        <f t="array" aca="1" ref="M215" ca="1">SUMPRODUCT((Table1[SubscriptionStart] &lt;= $A215) * (Table1[EffectiveEndDate] &gt;= $A215) * (Table1[Region] = "Wales"))</f>
        <v>34</v>
      </c>
      <c r="N215" s="45" cm="1">
        <f t="array" aca="1" ref="N215" ca="1">SUMPRODUCT((Table1[SubscriptionStart] &lt;= $A215) * (Table1[EffectiveEndDate] &gt;= $A215) * (Table1[Region] = "Northern Ireland"))</f>
        <v>57</v>
      </c>
      <c r="O215" s="45" cm="1">
        <f t="array" aca="1" ref="O215" ca="1">SUMPRODUCT((Table1[Gender]="Male")*(Table1[SubscriptionStart]&lt;=A215)*(Table1[EffectiveEndDate]&gt;=A215))</f>
        <v>97</v>
      </c>
      <c r="P215" s="45" cm="1">
        <f t="array" aca="1" ref="P215" ca="1">SUMPRODUCT((Table1[Gender]="Female")*(Table1[SubscriptionStart]&lt;=A215)*(Table1[EffectiveEndDate]&gt;=A215))</f>
        <v>72</v>
      </c>
    </row>
    <row r="216" spans="1:16">
      <c r="A216" s="48">
        <f t="shared" si="15"/>
        <v>44776</v>
      </c>
      <c r="B216" s="45" cm="1">
        <f t="array" aca="1" ref="B216" ca="1">SUMPRODUCT((Table1[SubscriptionStart]&lt;=A216)*(Table1[EffectiveEndDate]&gt;=A216))</f>
        <v>170</v>
      </c>
      <c r="C216" s="45">
        <f>COUNTIFS(Table1[SubscriptionStart], A216)</f>
        <v>1</v>
      </c>
      <c r="D216" s="45">
        <f>COUNTIFS(Table1[CancellationDate], A216)</f>
        <v>1</v>
      </c>
      <c r="E216" s="45">
        <f t="shared" si="12"/>
        <v>0</v>
      </c>
      <c r="F216" s="45">
        <f>SUM($C$2:C216)</f>
        <v>200</v>
      </c>
      <c r="G216" s="49" cm="1">
        <f t="array" aca="1" ref="G216" ca="1">IF(B216=0,"", SUMPRODUCT((Table1[SubscriptionStart]&lt;=A216)*(Table1[EffectiveEndDate]&gt;=A216)*Table1[Age]) / B216 )</f>
        <v>44.170588235294119</v>
      </c>
      <c r="H216" s="22">
        <f>SUMIF(Table1[SubscriptionStart],"&lt;="&amp;A216,Table1[TotalRevenue])</f>
        <v>42116.249999999978</v>
      </c>
      <c r="I216" s="50">
        <f t="shared" si="13"/>
        <v>44804</v>
      </c>
      <c r="J216" s="49">
        <f t="shared" ca="1" si="14"/>
        <v>179.25806451612902</v>
      </c>
      <c r="K216" s="45" cm="1">
        <f t="array" aca="1" ref="K216" ca="1">SUMPRODUCT((Table1[SubscriptionStart] &lt;= $A216) * (Table1[EffectiveEndDate] &gt;= $A216) * (Table1[Region] = "England"))</f>
        <v>41</v>
      </c>
      <c r="L216" s="45" cm="1">
        <f t="array" aca="1" ref="L216" ca="1">SUMPRODUCT((Table1[SubscriptionStart] &lt;= $A216) * (Table1[EffectiveEndDate] &gt;= $A216) * (Table1[Region] = "Scotland"))</f>
        <v>37</v>
      </c>
      <c r="M216" s="45" cm="1">
        <f t="array" aca="1" ref="M216" ca="1">SUMPRODUCT((Table1[SubscriptionStart] &lt;= $A216) * (Table1[EffectiveEndDate] &gt;= $A216) * (Table1[Region] = "Wales"))</f>
        <v>34</v>
      </c>
      <c r="N216" s="45" cm="1">
        <f t="array" aca="1" ref="N216" ca="1">SUMPRODUCT((Table1[SubscriptionStart] &lt;= $A216) * (Table1[EffectiveEndDate] &gt;= $A216) * (Table1[Region] = "Northern Ireland"))</f>
        <v>58</v>
      </c>
      <c r="O216" s="45" cm="1">
        <f t="array" aca="1" ref="O216" ca="1">SUMPRODUCT((Table1[Gender]="Male")*(Table1[SubscriptionStart]&lt;=A216)*(Table1[EffectiveEndDate]&gt;=A216))</f>
        <v>97</v>
      </c>
      <c r="P216" s="45" cm="1">
        <f t="array" aca="1" ref="P216" ca="1">SUMPRODUCT((Table1[Gender]="Female")*(Table1[SubscriptionStart]&lt;=A216)*(Table1[EffectiveEndDate]&gt;=A216))</f>
        <v>73</v>
      </c>
    </row>
    <row r="217" spans="1:16">
      <c r="A217" s="48">
        <f t="shared" si="15"/>
        <v>44777</v>
      </c>
      <c r="B217" s="45" cm="1">
        <f t="array" aca="1" ref="B217" ca="1">SUMPRODUCT((Table1[SubscriptionStart]&lt;=A217)*(Table1[EffectiveEndDate]&gt;=A217))</f>
        <v>169</v>
      </c>
      <c r="C217" s="45">
        <f>COUNTIFS(Table1[SubscriptionStart], A217)</f>
        <v>0</v>
      </c>
      <c r="D217" s="45">
        <f>COUNTIFS(Table1[CancellationDate], A217)</f>
        <v>0</v>
      </c>
      <c r="E217" s="45">
        <f t="shared" si="12"/>
        <v>0</v>
      </c>
      <c r="F217" s="45">
        <f>SUM($C$2:C217)</f>
        <v>200</v>
      </c>
      <c r="G217" s="49" cm="1">
        <f t="array" aca="1" ref="G217" ca="1">IF(B217=0,"", SUMPRODUCT((Table1[SubscriptionStart]&lt;=A217)*(Table1[EffectiveEndDate]&gt;=A217)*Table1[Age]) / B217 )</f>
        <v>44.207100591715978</v>
      </c>
      <c r="H217" s="22">
        <f>SUMIF(Table1[SubscriptionStart],"&lt;="&amp;A217,Table1[TotalRevenue])</f>
        <v>42116.249999999978</v>
      </c>
      <c r="I217" s="50">
        <f t="shared" si="13"/>
        <v>44804</v>
      </c>
      <c r="J217" s="49">
        <f t="shared" ca="1" si="14"/>
        <v>179.25806451612902</v>
      </c>
      <c r="K217" s="45" cm="1">
        <f t="array" aca="1" ref="K217" ca="1">SUMPRODUCT((Table1[SubscriptionStart] &lt;= $A217) * (Table1[EffectiveEndDate] &gt;= $A217) * (Table1[Region] = "England"))</f>
        <v>41</v>
      </c>
      <c r="L217" s="45" cm="1">
        <f t="array" aca="1" ref="L217" ca="1">SUMPRODUCT((Table1[SubscriptionStart] &lt;= $A217) * (Table1[EffectiveEndDate] &gt;= $A217) * (Table1[Region] = "Scotland"))</f>
        <v>37</v>
      </c>
      <c r="M217" s="45" cm="1">
        <f t="array" aca="1" ref="M217" ca="1">SUMPRODUCT((Table1[SubscriptionStart] &lt;= $A217) * (Table1[EffectiveEndDate] &gt;= $A217) * (Table1[Region] = "Wales"))</f>
        <v>34</v>
      </c>
      <c r="N217" s="45" cm="1">
        <f t="array" aca="1" ref="N217" ca="1">SUMPRODUCT((Table1[SubscriptionStart] &lt;= $A217) * (Table1[EffectiveEndDate] &gt;= $A217) * (Table1[Region] = "Northern Ireland"))</f>
        <v>57</v>
      </c>
      <c r="O217" s="45" cm="1">
        <f t="array" aca="1" ref="O217" ca="1">SUMPRODUCT((Table1[Gender]="Male")*(Table1[SubscriptionStart]&lt;=A217)*(Table1[EffectiveEndDate]&gt;=A217))</f>
        <v>96</v>
      </c>
      <c r="P217" s="45" cm="1">
        <f t="array" aca="1" ref="P217" ca="1">SUMPRODUCT((Table1[Gender]="Female")*(Table1[SubscriptionStart]&lt;=A217)*(Table1[EffectiveEndDate]&gt;=A217))</f>
        <v>73</v>
      </c>
    </row>
    <row r="218" spans="1:16">
      <c r="A218" s="48">
        <f t="shared" si="15"/>
        <v>44778</v>
      </c>
      <c r="B218" s="45" cm="1">
        <f t="array" aca="1" ref="B218" ca="1">SUMPRODUCT((Table1[SubscriptionStart]&lt;=A218)*(Table1[EffectiveEndDate]&gt;=A218))</f>
        <v>171</v>
      </c>
      <c r="C218" s="45">
        <f>COUNTIFS(Table1[SubscriptionStart], A218)</f>
        <v>2</v>
      </c>
      <c r="D218" s="45">
        <f>COUNTIFS(Table1[CancellationDate], A218)</f>
        <v>1</v>
      </c>
      <c r="E218" s="45">
        <f t="shared" si="12"/>
        <v>1</v>
      </c>
      <c r="F218" s="45">
        <f>SUM($C$2:C218)</f>
        <v>202</v>
      </c>
      <c r="G218" s="49" cm="1">
        <f t="array" aca="1" ref="G218" ca="1">IF(B218=0,"", SUMPRODUCT((Table1[SubscriptionStart]&lt;=A218)*(Table1[EffectiveEndDate]&gt;=A218)*Table1[Age]) / B218 )</f>
        <v>44.479532163742689</v>
      </c>
      <c r="H218" s="22">
        <f>SUMIF(Table1[SubscriptionStart],"&lt;="&amp;A218,Table1[TotalRevenue])</f>
        <v>42347.099999999977</v>
      </c>
      <c r="I218" s="50">
        <f t="shared" si="13"/>
        <v>44804</v>
      </c>
      <c r="J218" s="49">
        <f t="shared" ca="1" si="14"/>
        <v>179.25806451612902</v>
      </c>
      <c r="K218" s="45" cm="1">
        <f t="array" aca="1" ref="K218" ca="1">SUMPRODUCT((Table1[SubscriptionStart] &lt;= $A218) * (Table1[EffectiveEndDate] &gt;= $A218) * (Table1[Region] = "England"))</f>
        <v>41</v>
      </c>
      <c r="L218" s="45" cm="1">
        <f t="array" aca="1" ref="L218" ca="1">SUMPRODUCT((Table1[SubscriptionStart] &lt;= $A218) * (Table1[EffectiveEndDate] &gt;= $A218) * (Table1[Region] = "Scotland"))</f>
        <v>37</v>
      </c>
      <c r="M218" s="45" cm="1">
        <f t="array" aca="1" ref="M218" ca="1">SUMPRODUCT((Table1[SubscriptionStart] &lt;= $A218) * (Table1[EffectiveEndDate] &gt;= $A218) * (Table1[Region] = "Wales"))</f>
        <v>35</v>
      </c>
      <c r="N218" s="45" cm="1">
        <f t="array" aca="1" ref="N218" ca="1">SUMPRODUCT((Table1[SubscriptionStart] &lt;= $A218) * (Table1[EffectiveEndDate] &gt;= $A218) * (Table1[Region] = "Northern Ireland"))</f>
        <v>58</v>
      </c>
      <c r="O218" s="45" cm="1">
        <f t="array" aca="1" ref="O218" ca="1">SUMPRODUCT((Table1[Gender]="Male")*(Table1[SubscriptionStart]&lt;=A218)*(Table1[EffectiveEndDate]&gt;=A218))</f>
        <v>97</v>
      </c>
      <c r="P218" s="45" cm="1">
        <f t="array" aca="1" ref="P218" ca="1">SUMPRODUCT((Table1[Gender]="Female")*(Table1[SubscriptionStart]&lt;=A218)*(Table1[EffectiveEndDate]&gt;=A218))</f>
        <v>74</v>
      </c>
    </row>
    <row r="219" spans="1:16">
      <c r="A219" s="48">
        <f t="shared" si="15"/>
        <v>44779</v>
      </c>
      <c r="B219" s="45" cm="1">
        <f t="array" aca="1" ref="B219" ca="1">SUMPRODUCT((Table1[SubscriptionStart]&lt;=A219)*(Table1[EffectiveEndDate]&gt;=A219))</f>
        <v>173</v>
      </c>
      <c r="C219" s="45">
        <f>COUNTIFS(Table1[SubscriptionStart], A219)</f>
        <v>3</v>
      </c>
      <c r="D219" s="45">
        <f>COUNTIFS(Table1[CancellationDate], A219)</f>
        <v>0</v>
      </c>
      <c r="E219" s="45">
        <f t="shared" si="12"/>
        <v>3</v>
      </c>
      <c r="F219" s="45">
        <f>SUM($C$2:C219)</f>
        <v>205</v>
      </c>
      <c r="G219" s="49" cm="1">
        <f t="array" aca="1" ref="G219" ca="1">IF(B219=0,"", SUMPRODUCT((Table1[SubscriptionStart]&lt;=A219)*(Table1[EffectiveEndDate]&gt;=A219)*Table1[Age]) / B219 )</f>
        <v>44.710982658959537</v>
      </c>
      <c r="H219" s="22">
        <f>SUMIF(Table1[SubscriptionStart],"&lt;="&amp;A219,Table1[TotalRevenue])</f>
        <v>43241.699999999975</v>
      </c>
      <c r="I219" s="50">
        <f t="shared" si="13"/>
        <v>44804</v>
      </c>
      <c r="J219" s="49">
        <f t="shared" ca="1" si="14"/>
        <v>179.25806451612902</v>
      </c>
      <c r="K219" s="45" cm="1">
        <f t="array" aca="1" ref="K219" ca="1">SUMPRODUCT((Table1[SubscriptionStart] &lt;= $A219) * (Table1[EffectiveEndDate] &gt;= $A219) * (Table1[Region] = "England"))</f>
        <v>42</v>
      </c>
      <c r="L219" s="45" cm="1">
        <f t="array" aca="1" ref="L219" ca="1">SUMPRODUCT((Table1[SubscriptionStart] &lt;= $A219) * (Table1[EffectiveEndDate] &gt;= $A219) * (Table1[Region] = "Scotland"))</f>
        <v>37</v>
      </c>
      <c r="M219" s="45" cm="1">
        <f t="array" aca="1" ref="M219" ca="1">SUMPRODUCT((Table1[SubscriptionStart] &lt;= $A219) * (Table1[EffectiveEndDate] &gt;= $A219) * (Table1[Region] = "Wales"))</f>
        <v>36</v>
      </c>
      <c r="N219" s="45" cm="1">
        <f t="array" aca="1" ref="N219" ca="1">SUMPRODUCT((Table1[SubscriptionStart] &lt;= $A219) * (Table1[EffectiveEndDate] &gt;= $A219) * (Table1[Region] = "Northern Ireland"))</f>
        <v>58</v>
      </c>
      <c r="O219" s="45" cm="1">
        <f t="array" aca="1" ref="O219" ca="1">SUMPRODUCT((Table1[Gender]="Male")*(Table1[SubscriptionStart]&lt;=A219)*(Table1[EffectiveEndDate]&gt;=A219))</f>
        <v>99</v>
      </c>
      <c r="P219" s="45" cm="1">
        <f t="array" aca="1" ref="P219" ca="1">SUMPRODUCT((Table1[Gender]="Female")*(Table1[SubscriptionStart]&lt;=A219)*(Table1[EffectiveEndDate]&gt;=A219))</f>
        <v>74</v>
      </c>
    </row>
    <row r="220" spans="1:16">
      <c r="A220" s="48">
        <f t="shared" si="15"/>
        <v>44780</v>
      </c>
      <c r="B220" s="45" cm="1">
        <f t="array" aca="1" ref="B220" ca="1">SUMPRODUCT((Table1[SubscriptionStart]&lt;=A220)*(Table1[EffectiveEndDate]&gt;=A220))</f>
        <v>173</v>
      </c>
      <c r="C220" s="45">
        <f>COUNTIFS(Table1[SubscriptionStart], A220)</f>
        <v>0</v>
      </c>
      <c r="D220" s="45">
        <f>COUNTIFS(Table1[CancellationDate], A220)</f>
        <v>1</v>
      </c>
      <c r="E220" s="45">
        <f t="shared" si="12"/>
        <v>-1</v>
      </c>
      <c r="F220" s="45">
        <f>SUM($C$2:C220)</f>
        <v>205</v>
      </c>
      <c r="G220" s="49" cm="1">
        <f t="array" aca="1" ref="G220" ca="1">IF(B220=0,"", SUMPRODUCT((Table1[SubscriptionStart]&lt;=A220)*(Table1[EffectiveEndDate]&gt;=A220)*Table1[Age]) / B220 )</f>
        <v>44.710982658959537</v>
      </c>
      <c r="H220" s="22">
        <f>SUMIF(Table1[SubscriptionStart],"&lt;="&amp;A220,Table1[TotalRevenue])</f>
        <v>43241.699999999975</v>
      </c>
      <c r="I220" s="50">
        <f t="shared" si="13"/>
        <v>44804</v>
      </c>
      <c r="J220" s="49">
        <f t="shared" ca="1" si="14"/>
        <v>179.25806451612902</v>
      </c>
      <c r="K220" s="45" cm="1">
        <f t="array" aca="1" ref="K220" ca="1">SUMPRODUCT((Table1[SubscriptionStart] &lt;= $A220) * (Table1[EffectiveEndDate] &gt;= $A220) * (Table1[Region] = "England"))</f>
        <v>42</v>
      </c>
      <c r="L220" s="45" cm="1">
        <f t="array" aca="1" ref="L220" ca="1">SUMPRODUCT((Table1[SubscriptionStart] &lt;= $A220) * (Table1[EffectiveEndDate] &gt;= $A220) * (Table1[Region] = "Scotland"))</f>
        <v>37</v>
      </c>
      <c r="M220" s="45" cm="1">
        <f t="array" aca="1" ref="M220" ca="1">SUMPRODUCT((Table1[SubscriptionStart] &lt;= $A220) * (Table1[EffectiveEndDate] &gt;= $A220) * (Table1[Region] = "Wales"))</f>
        <v>36</v>
      </c>
      <c r="N220" s="45" cm="1">
        <f t="array" aca="1" ref="N220" ca="1">SUMPRODUCT((Table1[SubscriptionStart] &lt;= $A220) * (Table1[EffectiveEndDate] &gt;= $A220) * (Table1[Region] = "Northern Ireland"))</f>
        <v>58</v>
      </c>
      <c r="O220" s="45" cm="1">
        <f t="array" aca="1" ref="O220" ca="1">SUMPRODUCT((Table1[Gender]="Male")*(Table1[SubscriptionStart]&lt;=A220)*(Table1[EffectiveEndDate]&gt;=A220))</f>
        <v>99</v>
      </c>
      <c r="P220" s="45" cm="1">
        <f t="array" aca="1" ref="P220" ca="1">SUMPRODUCT((Table1[Gender]="Female")*(Table1[SubscriptionStart]&lt;=A220)*(Table1[EffectiveEndDate]&gt;=A220))</f>
        <v>74</v>
      </c>
    </row>
    <row r="221" spans="1:16">
      <c r="A221" s="48">
        <f t="shared" si="15"/>
        <v>44781</v>
      </c>
      <c r="B221" s="45" cm="1">
        <f t="array" aca="1" ref="B221" ca="1">SUMPRODUCT((Table1[SubscriptionStart]&lt;=A221)*(Table1[EffectiveEndDate]&gt;=A221))</f>
        <v>173</v>
      </c>
      <c r="C221" s="45">
        <f>COUNTIFS(Table1[SubscriptionStart], A221)</f>
        <v>1</v>
      </c>
      <c r="D221" s="45">
        <f>COUNTIFS(Table1[CancellationDate], A221)</f>
        <v>1</v>
      </c>
      <c r="E221" s="45">
        <f t="shared" si="12"/>
        <v>0</v>
      </c>
      <c r="F221" s="45">
        <f>SUM($C$2:C221)</f>
        <v>206</v>
      </c>
      <c r="G221" s="49" cm="1">
        <f t="array" aca="1" ref="G221" ca="1">IF(B221=0,"", SUMPRODUCT((Table1[SubscriptionStart]&lt;=A221)*(Table1[EffectiveEndDate]&gt;=A221)*Table1[Age]) / B221 )</f>
        <v>44.965317919075147</v>
      </c>
      <c r="H221" s="22">
        <f>SUMIF(Table1[SubscriptionStart],"&lt;="&amp;A221,Table1[TotalRevenue])</f>
        <v>43547.699999999975</v>
      </c>
      <c r="I221" s="50">
        <f t="shared" si="13"/>
        <v>44804</v>
      </c>
      <c r="J221" s="49">
        <f t="shared" ca="1" si="14"/>
        <v>179.25806451612902</v>
      </c>
      <c r="K221" s="45" cm="1">
        <f t="array" aca="1" ref="K221" ca="1">SUMPRODUCT((Table1[SubscriptionStart] &lt;= $A221) * (Table1[EffectiveEndDate] &gt;= $A221) * (Table1[Region] = "England"))</f>
        <v>43</v>
      </c>
      <c r="L221" s="45" cm="1">
        <f t="array" aca="1" ref="L221" ca="1">SUMPRODUCT((Table1[SubscriptionStart] &lt;= $A221) * (Table1[EffectiveEndDate] &gt;= $A221) * (Table1[Region] = "Scotland"))</f>
        <v>37</v>
      </c>
      <c r="M221" s="45" cm="1">
        <f t="array" aca="1" ref="M221" ca="1">SUMPRODUCT((Table1[SubscriptionStart] &lt;= $A221) * (Table1[EffectiveEndDate] &gt;= $A221) * (Table1[Region] = "Wales"))</f>
        <v>36</v>
      </c>
      <c r="N221" s="45" cm="1">
        <f t="array" aca="1" ref="N221" ca="1">SUMPRODUCT((Table1[SubscriptionStart] &lt;= $A221) * (Table1[EffectiveEndDate] &gt;= $A221) * (Table1[Region] = "Northern Ireland"))</f>
        <v>57</v>
      </c>
      <c r="O221" s="45" cm="1">
        <f t="array" aca="1" ref="O221" ca="1">SUMPRODUCT((Table1[Gender]="Male")*(Table1[SubscriptionStart]&lt;=A221)*(Table1[EffectiveEndDate]&gt;=A221))</f>
        <v>100</v>
      </c>
      <c r="P221" s="45" cm="1">
        <f t="array" aca="1" ref="P221" ca="1">SUMPRODUCT((Table1[Gender]="Female")*(Table1[SubscriptionStart]&lt;=A221)*(Table1[EffectiveEndDate]&gt;=A221))</f>
        <v>73</v>
      </c>
    </row>
    <row r="222" spans="1:16">
      <c r="A222" s="48">
        <f t="shared" si="15"/>
        <v>44782</v>
      </c>
      <c r="B222" s="45" cm="1">
        <f t="array" aca="1" ref="B222" ca="1">SUMPRODUCT((Table1[SubscriptionStart]&lt;=A222)*(Table1[EffectiveEndDate]&gt;=A222))</f>
        <v>173</v>
      </c>
      <c r="C222" s="45">
        <f>COUNTIFS(Table1[SubscriptionStart], A222)</f>
        <v>1</v>
      </c>
      <c r="D222" s="45">
        <f>COUNTIFS(Table1[CancellationDate], A222)</f>
        <v>0</v>
      </c>
      <c r="E222" s="45">
        <f t="shared" si="12"/>
        <v>1</v>
      </c>
      <c r="F222" s="45">
        <f>SUM($C$2:C222)</f>
        <v>207</v>
      </c>
      <c r="G222" s="49" cm="1">
        <f t="array" aca="1" ref="G222" ca="1">IF(B222=0,"", SUMPRODUCT((Table1[SubscriptionStart]&lt;=A222)*(Table1[EffectiveEndDate]&gt;=A222)*Table1[Age]) / B222 )</f>
        <v>45.190751445086704</v>
      </c>
      <c r="H222" s="22">
        <f>SUMIF(Table1[SubscriptionStart],"&lt;="&amp;A222,Table1[TotalRevenue])</f>
        <v>43619.699999999975</v>
      </c>
      <c r="I222" s="50">
        <f t="shared" si="13"/>
        <v>44804</v>
      </c>
      <c r="J222" s="49">
        <f t="shared" ca="1" si="14"/>
        <v>179.25806451612902</v>
      </c>
      <c r="K222" s="45" cm="1">
        <f t="array" aca="1" ref="K222" ca="1">SUMPRODUCT((Table1[SubscriptionStart] &lt;= $A222) * (Table1[EffectiveEndDate] &gt;= $A222) * (Table1[Region] = "England"))</f>
        <v>43</v>
      </c>
      <c r="L222" s="45" cm="1">
        <f t="array" aca="1" ref="L222" ca="1">SUMPRODUCT((Table1[SubscriptionStart] &lt;= $A222) * (Table1[EffectiveEndDate] &gt;= $A222) * (Table1[Region] = "Scotland"))</f>
        <v>37</v>
      </c>
      <c r="M222" s="45" cm="1">
        <f t="array" aca="1" ref="M222" ca="1">SUMPRODUCT((Table1[SubscriptionStart] &lt;= $A222) * (Table1[EffectiveEndDate] &gt;= $A222) * (Table1[Region] = "Wales"))</f>
        <v>36</v>
      </c>
      <c r="N222" s="45" cm="1">
        <f t="array" aca="1" ref="N222" ca="1">SUMPRODUCT((Table1[SubscriptionStart] &lt;= $A222) * (Table1[EffectiveEndDate] &gt;= $A222) * (Table1[Region] = "Northern Ireland"))</f>
        <v>57</v>
      </c>
      <c r="O222" s="45" cm="1">
        <f t="array" aca="1" ref="O222" ca="1">SUMPRODUCT((Table1[Gender]="Male")*(Table1[SubscriptionStart]&lt;=A222)*(Table1[EffectiveEndDate]&gt;=A222))</f>
        <v>100</v>
      </c>
      <c r="P222" s="45" cm="1">
        <f t="array" aca="1" ref="P222" ca="1">SUMPRODUCT((Table1[Gender]="Female")*(Table1[SubscriptionStart]&lt;=A222)*(Table1[EffectiveEndDate]&gt;=A222))</f>
        <v>73</v>
      </c>
    </row>
    <row r="223" spans="1:16">
      <c r="A223" s="48">
        <f t="shared" si="15"/>
        <v>44783</v>
      </c>
      <c r="B223" s="45" cm="1">
        <f t="array" aca="1" ref="B223" ca="1">SUMPRODUCT((Table1[SubscriptionStart]&lt;=A223)*(Table1[EffectiveEndDate]&gt;=A223))</f>
        <v>174</v>
      </c>
      <c r="C223" s="45">
        <f>COUNTIFS(Table1[SubscriptionStart], A223)</f>
        <v>1</v>
      </c>
      <c r="D223" s="45">
        <f>COUNTIFS(Table1[CancellationDate], A223)</f>
        <v>0</v>
      </c>
      <c r="E223" s="45">
        <f t="shared" si="12"/>
        <v>1</v>
      </c>
      <c r="F223" s="45">
        <f>SUM($C$2:C223)</f>
        <v>208</v>
      </c>
      <c r="G223" s="49" cm="1">
        <f t="array" aca="1" ref="G223" ca="1">IF(B223=0,"", SUMPRODUCT((Table1[SubscriptionStart]&lt;=A223)*(Table1[EffectiveEndDate]&gt;=A223)*Table1[Age]) / B223 )</f>
        <v>45.339080459770116</v>
      </c>
      <c r="H223" s="22">
        <f>SUMIF(Table1[SubscriptionStart],"&lt;="&amp;A223,Table1[TotalRevenue])</f>
        <v>43691.699999999975</v>
      </c>
      <c r="I223" s="50">
        <f t="shared" si="13"/>
        <v>44804</v>
      </c>
      <c r="J223" s="49">
        <f t="shared" ca="1" si="14"/>
        <v>179.25806451612902</v>
      </c>
      <c r="K223" s="45" cm="1">
        <f t="array" aca="1" ref="K223" ca="1">SUMPRODUCT((Table1[SubscriptionStart] &lt;= $A223) * (Table1[EffectiveEndDate] &gt;= $A223) * (Table1[Region] = "England"))</f>
        <v>44</v>
      </c>
      <c r="L223" s="45" cm="1">
        <f t="array" aca="1" ref="L223" ca="1">SUMPRODUCT((Table1[SubscriptionStart] &lt;= $A223) * (Table1[EffectiveEndDate] &gt;= $A223) * (Table1[Region] = "Scotland"))</f>
        <v>37</v>
      </c>
      <c r="M223" s="45" cm="1">
        <f t="array" aca="1" ref="M223" ca="1">SUMPRODUCT((Table1[SubscriptionStart] &lt;= $A223) * (Table1[EffectiveEndDate] &gt;= $A223) * (Table1[Region] = "Wales"))</f>
        <v>36</v>
      </c>
      <c r="N223" s="45" cm="1">
        <f t="array" aca="1" ref="N223" ca="1">SUMPRODUCT((Table1[SubscriptionStart] &lt;= $A223) * (Table1[EffectiveEndDate] &gt;= $A223) * (Table1[Region] = "Northern Ireland"))</f>
        <v>57</v>
      </c>
      <c r="O223" s="45" cm="1">
        <f t="array" aca="1" ref="O223" ca="1">SUMPRODUCT((Table1[Gender]="Male")*(Table1[SubscriptionStart]&lt;=A223)*(Table1[EffectiveEndDate]&gt;=A223))</f>
        <v>100</v>
      </c>
      <c r="P223" s="45" cm="1">
        <f t="array" aca="1" ref="P223" ca="1">SUMPRODUCT((Table1[Gender]="Female")*(Table1[SubscriptionStart]&lt;=A223)*(Table1[EffectiveEndDate]&gt;=A223))</f>
        <v>74</v>
      </c>
    </row>
    <row r="224" spans="1:16">
      <c r="A224" s="48">
        <f t="shared" si="15"/>
        <v>44784</v>
      </c>
      <c r="B224" s="45" cm="1">
        <f t="array" aca="1" ref="B224" ca="1">SUMPRODUCT((Table1[SubscriptionStart]&lt;=A224)*(Table1[EffectiveEndDate]&gt;=A224))</f>
        <v>176</v>
      </c>
      <c r="C224" s="45">
        <f>COUNTIFS(Table1[SubscriptionStart], A224)</f>
        <v>2</v>
      </c>
      <c r="D224" s="45">
        <f>COUNTIFS(Table1[CancellationDate], A224)</f>
        <v>0</v>
      </c>
      <c r="E224" s="45">
        <f t="shared" si="12"/>
        <v>2</v>
      </c>
      <c r="F224" s="45">
        <f>SUM($C$2:C224)</f>
        <v>210</v>
      </c>
      <c r="G224" s="49" cm="1">
        <f t="array" aca="1" ref="G224" ca="1">IF(B224=0,"", SUMPRODUCT((Table1[SubscriptionStart]&lt;=A224)*(Table1[EffectiveEndDate]&gt;=A224)*Table1[Age]) / B224 )</f>
        <v>45.5</v>
      </c>
      <c r="H224" s="22">
        <f>SUMIF(Table1[SubscriptionStart],"&lt;="&amp;A224,Table1[TotalRevenue])</f>
        <v>43893.299999999974</v>
      </c>
      <c r="I224" s="50">
        <f t="shared" si="13"/>
        <v>44804</v>
      </c>
      <c r="J224" s="49">
        <f t="shared" ca="1" si="14"/>
        <v>179.25806451612902</v>
      </c>
      <c r="K224" s="45" cm="1">
        <f t="array" aca="1" ref="K224" ca="1">SUMPRODUCT((Table1[SubscriptionStart] &lt;= $A224) * (Table1[EffectiveEndDate] &gt;= $A224) * (Table1[Region] = "England"))</f>
        <v>45</v>
      </c>
      <c r="L224" s="45" cm="1">
        <f t="array" aca="1" ref="L224" ca="1">SUMPRODUCT((Table1[SubscriptionStart] &lt;= $A224) * (Table1[EffectiveEndDate] &gt;= $A224) * (Table1[Region] = "Scotland"))</f>
        <v>37</v>
      </c>
      <c r="M224" s="45" cm="1">
        <f t="array" aca="1" ref="M224" ca="1">SUMPRODUCT((Table1[SubscriptionStart] &lt;= $A224) * (Table1[EffectiveEndDate] &gt;= $A224) * (Table1[Region] = "Wales"))</f>
        <v>36</v>
      </c>
      <c r="N224" s="45" cm="1">
        <f t="array" aca="1" ref="N224" ca="1">SUMPRODUCT((Table1[SubscriptionStart] &lt;= $A224) * (Table1[EffectiveEndDate] &gt;= $A224) * (Table1[Region] = "Northern Ireland"))</f>
        <v>58</v>
      </c>
      <c r="O224" s="45" cm="1">
        <f t="array" aca="1" ref="O224" ca="1">SUMPRODUCT((Table1[Gender]="Male")*(Table1[SubscriptionStart]&lt;=A224)*(Table1[EffectiveEndDate]&gt;=A224))</f>
        <v>101</v>
      </c>
      <c r="P224" s="45" cm="1">
        <f t="array" aca="1" ref="P224" ca="1">SUMPRODUCT((Table1[Gender]="Female")*(Table1[SubscriptionStart]&lt;=A224)*(Table1[EffectiveEndDate]&gt;=A224))</f>
        <v>75</v>
      </c>
    </row>
    <row r="225" spans="1:16">
      <c r="A225" s="48">
        <f t="shared" si="15"/>
        <v>44785</v>
      </c>
      <c r="B225" s="45" cm="1">
        <f t="array" aca="1" ref="B225" ca="1">SUMPRODUCT((Table1[SubscriptionStart]&lt;=A225)*(Table1[EffectiveEndDate]&gt;=A225))</f>
        <v>177</v>
      </c>
      <c r="C225" s="45">
        <f>COUNTIFS(Table1[SubscriptionStart], A225)</f>
        <v>1</v>
      </c>
      <c r="D225" s="45">
        <f>COUNTIFS(Table1[CancellationDate], A225)</f>
        <v>1</v>
      </c>
      <c r="E225" s="45">
        <f t="shared" si="12"/>
        <v>0</v>
      </c>
      <c r="F225" s="45">
        <f>SUM($C$2:C225)</f>
        <v>211</v>
      </c>
      <c r="G225" s="49" cm="1">
        <f t="array" aca="1" ref="G225" ca="1">IF(B225=0,"", SUMPRODUCT((Table1[SubscriptionStart]&lt;=A225)*(Table1[EffectiveEndDate]&gt;=A225)*Table1[Age]) / B225 )</f>
        <v>45.581920903954803</v>
      </c>
      <c r="H225" s="22">
        <f>SUMIF(Table1[SubscriptionStart],"&lt;="&amp;A225,Table1[TotalRevenue])</f>
        <v>44073.299999999974</v>
      </c>
      <c r="I225" s="50">
        <f t="shared" si="13"/>
        <v>44804</v>
      </c>
      <c r="J225" s="49">
        <f t="shared" ca="1" si="14"/>
        <v>179.25806451612902</v>
      </c>
      <c r="K225" s="45" cm="1">
        <f t="array" aca="1" ref="K225" ca="1">SUMPRODUCT((Table1[SubscriptionStart] &lt;= $A225) * (Table1[EffectiveEndDate] &gt;= $A225) * (Table1[Region] = "England"))</f>
        <v>45</v>
      </c>
      <c r="L225" s="45" cm="1">
        <f t="array" aca="1" ref="L225" ca="1">SUMPRODUCT((Table1[SubscriptionStart] &lt;= $A225) * (Table1[EffectiveEndDate] &gt;= $A225) * (Table1[Region] = "Scotland"))</f>
        <v>37</v>
      </c>
      <c r="M225" s="45" cm="1">
        <f t="array" aca="1" ref="M225" ca="1">SUMPRODUCT((Table1[SubscriptionStart] &lt;= $A225) * (Table1[EffectiveEndDate] &gt;= $A225) * (Table1[Region] = "Wales"))</f>
        <v>37</v>
      </c>
      <c r="N225" s="45" cm="1">
        <f t="array" aca="1" ref="N225" ca="1">SUMPRODUCT((Table1[SubscriptionStart] &lt;= $A225) * (Table1[EffectiveEndDate] &gt;= $A225) * (Table1[Region] = "Northern Ireland"))</f>
        <v>58</v>
      </c>
      <c r="O225" s="45" cm="1">
        <f t="array" aca="1" ref="O225" ca="1">SUMPRODUCT((Table1[Gender]="Male")*(Table1[SubscriptionStart]&lt;=A225)*(Table1[EffectiveEndDate]&gt;=A225))</f>
        <v>102</v>
      </c>
      <c r="P225" s="45" cm="1">
        <f t="array" aca="1" ref="P225" ca="1">SUMPRODUCT((Table1[Gender]="Female")*(Table1[SubscriptionStart]&lt;=A225)*(Table1[EffectiveEndDate]&gt;=A225))</f>
        <v>75</v>
      </c>
    </row>
    <row r="226" spans="1:16">
      <c r="A226" s="48">
        <f t="shared" si="15"/>
        <v>44786</v>
      </c>
      <c r="B226" s="45" cm="1">
        <f t="array" aca="1" ref="B226" ca="1">SUMPRODUCT((Table1[SubscriptionStart]&lt;=A226)*(Table1[EffectiveEndDate]&gt;=A226))</f>
        <v>177</v>
      </c>
      <c r="C226" s="45">
        <f>COUNTIFS(Table1[SubscriptionStart], A226)</f>
        <v>1</v>
      </c>
      <c r="D226" s="45">
        <f>COUNTIFS(Table1[CancellationDate], A226)</f>
        <v>0</v>
      </c>
      <c r="E226" s="45">
        <f t="shared" si="12"/>
        <v>1</v>
      </c>
      <c r="F226" s="45">
        <f>SUM($C$2:C226)</f>
        <v>212</v>
      </c>
      <c r="G226" s="49" cm="1">
        <f t="array" aca="1" ref="G226" ca="1">IF(B226=0,"", SUMPRODUCT((Table1[SubscriptionStart]&lt;=A226)*(Table1[EffectiveEndDate]&gt;=A226)*Table1[Age]) / B226 )</f>
        <v>45.531073446327682</v>
      </c>
      <c r="H226" s="22">
        <f>SUMIF(Table1[SubscriptionStart],"&lt;="&amp;A226,Table1[TotalRevenue])</f>
        <v>45020.799999999974</v>
      </c>
      <c r="I226" s="50">
        <f t="shared" si="13"/>
        <v>44804</v>
      </c>
      <c r="J226" s="49">
        <f t="shared" ca="1" si="14"/>
        <v>179.25806451612902</v>
      </c>
      <c r="K226" s="45" cm="1">
        <f t="array" aca="1" ref="K226" ca="1">SUMPRODUCT((Table1[SubscriptionStart] &lt;= $A226) * (Table1[EffectiveEndDate] &gt;= $A226) * (Table1[Region] = "England"))</f>
        <v>45</v>
      </c>
      <c r="L226" s="45" cm="1">
        <f t="array" aca="1" ref="L226" ca="1">SUMPRODUCT((Table1[SubscriptionStart] &lt;= $A226) * (Table1[EffectiveEndDate] &gt;= $A226) * (Table1[Region] = "Scotland"))</f>
        <v>37</v>
      </c>
      <c r="M226" s="45" cm="1">
        <f t="array" aca="1" ref="M226" ca="1">SUMPRODUCT((Table1[SubscriptionStart] &lt;= $A226) * (Table1[EffectiveEndDate] &gt;= $A226) * (Table1[Region] = "Wales"))</f>
        <v>37</v>
      </c>
      <c r="N226" s="45" cm="1">
        <f t="array" aca="1" ref="N226" ca="1">SUMPRODUCT((Table1[SubscriptionStart] &lt;= $A226) * (Table1[EffectiveEndDate] &gt;= $A226) * (Table1[Region] = "Northern Ireland"))</f>
        <v>58</v>
      </c>
      <c r="O226" s="45" cm="1">
        <f t="array" aca="1" ref="O226" ca="1">SUMPRODUCT((Table1[Gender]="Male")*(Table1[SubscriptionStart]&lt;=A226)*(Table1[EffectiveEndDate]&gt;=A226))</f>
        <v>102</v>
      </c>
      <c r="P226" s="45" cm="1">
        <f t="array" aca="1" ref="P226" ca="1">SUMPRODUCT((Table1[Gender]="Female")*(Table1[SubscriptionStart]&lt;=A226)*(Table1[EffectiveEndDate]&gt;=A226))</f>
        <v>75</v>
      </c>
    </row>
    <row r="227" spans="1:16">
      <c r="A227" s="48">
        <f t="shared" si="15"/>
        <v>44787</v>
      </c>
      <c r="B227" s="45" cm="1">
        <f t="array" aca="1" ref="B227" ca="1">SUMPRODUCT((Table1[SubscriptionStart]&lt;=A227)*(Table1[EffectiveEndDate]&gt;=A227))</f>
        <v>179</v>
      </c>
      <c r="C227" s="45">
        <f>COUNTIFS(Table1[SubscriptionStart], A227)</f>
        <v>2</v>
      </c>
      <c r="D227" s="45">
        <f>COUNTIFS(Table1[CancellationDate], A227)</f>
        <v>1</v>
      </c>
      <c r="E227" s="45">
        <f t="shared" si="12"/>
        <v>1</v>
      </c>
      <c r="F227" s="45">
        <f>SUM($C$2:C227)</f>
        <v>214</v>
      </c>
      <c r="G227" s="49" cm="1">
        <f t="array" aca="1" ref="G227" ca="1">IF(B227=0,"", SUMPRODUCT((Table1[SubscriptionStart]&lt;=A227)*(Table1[EffectiveEndDate]&gt;=A227)*Table1[Age]) / B227 )</f>
        <v>45.564245810055866</v>
      </c>
      <c r="H227" s="22">
        <f>SUMIF(Table1[SubscriptionStart],"&lt;="&amp;A227,Table1[TotalRevenue])</f>
        <v>45164.799999999974</v>
      </c>
      <c r="I227" s="50">
        <f t="shared" si="13"/>
        <v>44804</v>
      </c>
      <c r="J227" s="49">
        <f t="shared" ca="1" si="14"/>
        <v>179.25806451612902</v>
      </c>
      <c r="K227" s="45" cm="1">
        <f t="array" aca="1" ref="K227" ca="1">SUMPRODUCT((Table1[SubscriptionStart] &lt;= $A227) * (Table1[EffectiveEndDate] &gt;= $A227) * (Table1[Region] = "England"))</f>
        <v>46</v>
      </c>
      <c r="L227" s="45" cm="1">
        <f t="array" aca="1" ref="L227" ca="1">SUMPRODUCT((Table1[SubscriptionStart] &lt;= $A227) * (Table1[EffectiveEndDate] &gt;= $A227) * (Table1[Region] = "Scotland"))</f>
        <v>38</v>
      </c>
      <c r="M227" s="45" cm="1">
        <f t="array" aca="1" ref="M227" ca="1">SUMPRODUCT((Table1[SubscriptionStart] &lt;= $A227) * (Table1[EffectiveEndDate] &gt;= $A227) * (Table1[Region] = "Wales"))</f>
        <v>37</v>
      </c>
      <c r="N227" s="45" cm="1">
        <f t="array" aca="1" ref="N227" ca="1">SUMPRODUCT((Table1[SubscriptionStart] &lt;= $A227) * (Table1[EffectiveEndDate] &gt;= $A227) * (Table1[Region] = "Northern Ireland"))</f>
        <v>58</v>
      </c>
      <c r="O227" s="45" cm="1">
        <f t="array" aca="1" ref="O227" ca="1">SUMPRODUCT((Table1[Gender]="Male")*(Table1[SubscriptionStart]&lt;=A227)*(Table1[EffectiveEndDate]&gt;=A227))</f>
        <v>103</v>
      </c>
      <c r="P227" s="45" cm="1">
        <f t="array" aca="1" ref="P227" ca="1">SUMPRODUCT((Table1[Gender]="Female")*(Table1[SubscriptionStart]&lt;=A227)*(Table1[EffectiveEndDate]&gt;=A227))</f>
        <v>76</v>
      </c>
    </row>
    <row r="228" spans="1:16">
      <c r="A228" s="48">
        <f t="shared" si="15"/>
        <v>44788</v>
      </c>
      <c r="B228" s="45" cm="1">
        <f t="array" aca="1" ref="B228" ca="1">SUMPRODUCT((Table1[SubscriptionStart]&lt;=A228)*(Table1[EffectiveEndDate]&gt;=A228))</f>
        <v>179</v>
      </c>
      <c r="C228" s="45">
        <f>COUNTIFS(Table1[SubscriptionStart], A228)</f>
        <v>1</v>
      </c>
      <c r="D228" s="45">
        <f>COUNTIFS(Table1[CancellationDate], A228)</f>
        <v>2</v>
      </c>
      <c r="E228" s="45">
        <f t="shared" si="12"/>
        <v>-1</v>
      </c>
      <c r="F228" s="45">
        <f>SUM($C$2:C228)</f>
        <v>215</v>
      </c>
      <c r="G228" s="49" cm="1">
        <f t="array" aca="1" ref="G228" ca="1">IF(B228=0,"", SUMPRODUCT((Table1[SubscriptionStart]&lt;=A228)*(Table1[EffectiveEndDate]&gt;=A228)*Table1[Age]) / B228 )</f>
        <v>45.620111731843572</v>
      </c>
      <c r="H228" s="22">
        <f>SUMIF(Table1[SubscriptionStart],"&lt;="&amp;A228,Table1[TotalRevenue])</f>
        <v>46112.299999999974</v>
      </c>
      <c r="I228" s="50">
        <f t="shared" si="13"/>
        <v>44804</v>
      </c>
      <c r="J228" s="49">
        <f t="shared" ca="1" si="14"/>
        <v>179.25806451612902</v>
      </c>
      <c r="K228" s="45" cm="1">
        <f t="array" aca="1" ref="K228" ca="1">SUMPRODUCT((Table1[SubscriptionStart] &lt;= $A228) * (Table1[EffectiveEndDate] &gt;= $A228) * (Table1[Region] = "England"))</f>
        <v>45</v>
      </c>
      <c r="L228" s="45" cm="1">
        <f t="array" aca="1" ref="L228" ca="1">SUMPRODUCT((Table1[SubscriptionStart] &lt;= $A228) * (Table1[EffectiveEndDate] &gt;= $A228) * (Table1[Region] = "Scotland"))</f>
        <v>38</v>
      </c>
      <c r="M228" s="45" cm="1">
        <f t="array" aca="1" ref="M228" ca="1">SUMPRODUCT((Table1[SubscriptionStart] &lt;= $A228) * (Table1[EffectiveEndDate] &gt;= $A228) * (Table1[Region] = "Wales"))</f>
        <v>38</v>
      </c>
      <c r="N228" s="45" cm="1">
        <f t="array" aca="1" ref="N228" ca="1">SUMPRODUCT((Table1[SubscriptionStart] &lt;= $A228) * (Table1[EffectiveEndDate] &gt;= $A228) * (Table1[Region] = "Northern Ireland"))</f>
        <v>58</v>
      </c>
      <c r="O228" s="45" cm="1">
        <f t="array" aca="1" ref="O228" ca="1">SUMPRODUCT((Table1[Gender]="Male")*(Table1[SubscriptionStart]&lt;=A228)*(Table1[EffectiveEndDate]&gt;=A228))</f>
        <v>103</v>
      </c>
      <c r="P228" s="45" cm="1">
        <f t="array" aca="1" ref="P228" ca="1">SUMPRODUCT((Table1[Gender]="Female")*(Table1[SubscriptionStart]&lt;=A228)*(Table1[EffectiveEndDate]&gt;=A228))</f>
        <v>76</v>
      </c>
    </row>
    <row r="229" spans="1:16">
      <c r="A229" s="48">
        <f t="shared" si="15"/>
        <v>44789</v>
      </c>
      <c r="B229" s="45" cm="1">
        <f t="array" aca="1" ref="B229" ca="1">SUMPRODUCT((Table1[SubscriptionStart]&lt;=A229)*(Table1[EffectiveEndDate]&gt;=A229))</f>
        <v>178</v>
      </c>
      <c r="C229" s="45">
        <f>COUNTIFS(Table1[SubscriptionStart], A229)</f>
        <v>1</v>
      </c>
      <c r="D229" s="45">
        <f>COUNTIFS(Table1[CancellationDate], A229)</f>
        <v>1</v>
      </c>
      <c r="E229" s="45">
        <f t="shared" si="12"/>
        <v>0</v>
      </c>
      <c r="F229" s="45">
        <f>SUM($C$2:C229)</f>
        <v>216</v>
      </c>
      <c r="G229" s="49" cm="1">
        <f t="array" aca="1" ref="G229" ca="1">IF(B229=0,"", SUMPRODUCT((Table1[SubscriptionStart]&lt;=A229)*(Table1[EffectiveEndDate]&gt;=A229)*Table1[Age]) / B229 )</f>
        <v>45.606741573033709</v>
      </c>
      <c r="H229" s="22">
        <f>SUMIF(Table1[SubscriptionStart],"&lt;="&amp;A229,Table1[TotalRevenue])</f>
        <v>46491.299999999974</v>
      </c>
      <c r="I229" s="50">
        <f t="shared" si="13"/>
        <v>44804</v>
      </c>
      <c r="J229" s="49">
        <f t="shared" ca="1" si="14"/>
        <v>179.25806451612902</v>
      </c>
      <c r="K229" s="45" cm="1">
        <f t="array" aca="1" ref="K229" ca="1">SUMPRODUCT((Table1[SubscriptionStart] &lt;= $A229) * (Table1[EffectiveEndDate] &gt;= $A229) * (Table1[Region] = "England"))</f>
        <v>44</v>
      </c>
      <c r="L229" s="45" cm="1">
        <f t="array" aca="1" ref="L229" ca="1">SUMPRODUCT((Table1[SubscriptionStart] &lt;= $A229) * (Table1[EffectiveEndDate] &gt;= $A229) * (Table1[Region] = "Scotland"))</f>
        <v>38</v>
      </c>
      <c r="M229" s="45" cm="1">
        <f t="array" aca="1" ref="M229" ca="1">SUMPRODUCT((Table1[SubscriptionStart] &lt;= $A229) * (Table1[EffectiveEndDate] &gt;= $A229) * (Table1[Region] = "Wales"))</f>
        <v>39</v>
      </c>
      <c r="N229" s="45" cm="1">
        <f t="array" aca="1" ref="N229" ca="1">SUMPRODUCT((Table1[SubscriptionStart] &lt;= $A229) * (Table1[EffectiveEndDate] &gt;= $A229) * (Table1[Region] = "Northern Ireland"))</f>
        <v>57</v>
      </c>
      <c r="O229" s="45" cm="1">
        <f t="array" aca="1" ref="O229" ca="1">SUMPRODUCT((Table1[Gender]="Male")*(Table1[SubscriptionStart]&lt;=A229)*(Table1[EffectiveEndDate]&gt;=A229))</f>
        <v>102</v>
      </c>
      <c r="P229" s="45" cm="1">
        <f t="array" aca="1" ref="P229" ca="1">SUMPRODUCT((Table1[Gender]="Female")*(Table1[SubscriptionStart]&lt;=A229)*(Table1[EffectiveEndDate]&gt;=A229))</f>
        <v>76</v>
      </c>
    </row>
    <row r="230" spans="1:16">
      <c r="A230" s="48">
        <f t="shared" si="15"/>
        <v>44790</v>
      </c>
      <c r="B230" s="45" cm="1">
        <f t="array" aca="1" ref="B230" ca="1">SUMPRODUCT((Table1[SubscriptionStart]&lt;=A230)*(Table1[EffectiveEndDate]&gt;=A230))</f>
        <v>178</v>
      </c>
      <c r="C230" s="45">
        <f>COUNTIFS(Table1[SubscriptionStart], A230)</f>
        <v>1</v>
      </c>
      <c r="D230" s="45">
        <f>COUNTIFS(Table1[CancellationDate], A230)</f>
        <v>1</v>
      </c>
      <c r="E230" s="45">
        <f t="shared" si="12"/>
        <v>0</v>
      </c>
      <c r="F230" s="45">
        <f>SUM($C$2:C230)</f>
        <v>217</v>
      </c>
      <c r="G230" s="49" cm="1">
        <f t="array" aca="1" ref="G230" ca="1">IF(B230=0,"", SUMPRODUCT((Table1[SubscriptionStart]&lt;=A230)*(Table1[EffectiveEndDate]&gt;=A230)*Table1[Age]) / B230 )</f>
        <v>45.443820224719104</v>
      </c>
      <c r="H230" s="22">
        <f>SUMIF(Table1[SubscriptionStart],"&lt;="&amp;A230,Table1[TotalRevenue])</f>
        <v>47042.099999999977</v>
      </c>
      <c r="I230" s="50">
        <f t="shared" si="13"/>
        <v>44804</v>
      </c>
      <c r="J230" s="49">
        <f t="shared" ca="1" si="14"/>
        <v>179.25806451612902</v>
      </c>
      <c r="K230" s="45" cm="1">
        <f t="array" aca="1" ref="K230" ca="1">SUMPRODUCT((Table1[SubscriptionStart] &lt;= $A230) * (Table1[EffectiveEndDate] &gt;= $A230) * (Table1[Region] = "England"))</f>
        <v>45</v>
      </c>
      <c r="L230" s="45" cm="1">
        <f t="array" aca="1" ref="L230" ca="1">SUMPRODUCT((Table1[SubscriptionStart] &lt;= $A230) * (Table1[EffectiveEndDate] &gt;= $A230) * (Table1[Region] = "Scotland"))</f>
        <v>37</v>
      </c>
      <c r="M230" s="45" cm="1">
        <f t="array" aca="1" ref="M230" ca="1">SUMPRODUCT((Table1[SubscriptionStart] &lt;= $A230) * (Table1[EffectiveEndDate] &gt;= $A230) * (Table1[Region] = "Wales"))</f>
        <v>39</v>
      </c>
      <c r="N230" s="45" cm="1">
        <f t="array" aca="1" ref="N230" ca="1">SUMPRODUCT((Table1[SubscriptionStart] &lt;= $A230) * (Table1[EffectiveEndDate] &gt;= $A230) * (Table1[Region] = "Northern Ireland"))</f>
        <v>57</v>
      </c>
      <c r="O230" s="45" cm="1">
        <f t="array" aca="1" ref="O230" ca="1">SUMPRODUCT((Table1[Gender]="Male")*(Table1[SubscriptionStart]&lt;=A230)*(Table1[EffectiveEndDate]&gt;=A230))</f>
        <v>103</v>
      </c>
      <c r="P230" s="45" cm="1">
        <f t="array" aca="1" ref="P230" ca="1">SUMPRODUCT((Table1[Gender]="Female")*(Table1[SubscriptionStart]&lt;=A230)*(Table1[EffectiveEndDate]&gt;=A230))</f>
        <v>75</v>
      </c>
    </row>
    <row r="231" spans="1:16">
      <c r="A231" s="48">
        <f t="shared" si="15"/>
        <v>44791</v>
      </c>
      <c r="B231" s="45" cm="1">
        <f t="array" aca="1" ref="B231" ca="1">SUMPRODUCT((Table1[SubscriptionStart]&lt;=A231)*(Table1[EffectiveEndDate]&gt;=A231))</f>
        <v>177</v>
      </c>
      <c r="C231" s="45">
        <f>COUNTIFS(Table1[SubscriptionStart], A231)</f>
        <v>0</v>
      </c>
      <c r="D231" s="45">
        <f>COUNTIFS(Table1[CancellationDate], A231)</f>
        <v>0</v>
      </c>
      <c r="E231" s="45">
        <f t="shared" si="12"/>
        <v>0</v>
      </c>
      <c r="F231" s="45">
        <f>SUM($C$2:C231)</f>
        <v>217</v>
      </c>
      <c r="G231" s="49" cm="1">
        <f t="array" aca="1" ref="G231" ca="1">IF(B231=0,"", SUMPRODUCT((Table1[SubscriptionStart]&lt;=A231)*(Table1[EffectiveEndDate]&gt;=A231)*Table1[Age]) / B231 )</f>
        <v>45.429378531073446</v>
      </c>
      <c r="H231" s="22">
        <f>SUMIF(Table1[SubscriptionStart],"&lt;="&amp;A231,Table1[TotalRevenue])</f>
        <v>47042.099999999977</v>
      </c>
      <c r="I231" s="50">
        <f t="shared" si="13"/>
        <v>44804</v>
      </c>
      <c r="J231" s="49">
        <f t="shared" ca="1" si="14"/>
        <v>179.25806451612902</v>
      </c>
      <c r="K231" s="45" cm="1">
        <f t="array" aca="1" ref="K231" ca="1">SUMPRODUCT((Table1[SubscriptionStart] &lt;= $A231) * (Table1[EffectiveEndDate] &gt;= $A231) * (Table1[Region] = "England"))</f>
        <v>45</v>
      </c>
      <c r="L231" s="45" cm="1">
        <f t="array" aca="1" ref="L231" ca="1">SUMPRODUCT((Table1[SubscriptionStart] &lt;= $A231) * (Table1[EffectiveEndDate] &gt;= $A231) * (Table1[Region] = "Scotland"))</f>
        <v>37</v>
      </c>
      <c r="M231" s="45" cm="1">
        <f t="array" aca="1" ref="M231" ca="1">SUMPRODUCT((Table1[SubscriptionStart] &lt;= $A231) * (Table1[EffectiveEndDate] &gt;= $A231) * (Table1[Region] = "Wales"))</f>
        <v>39</v>
      </c>
      <c r="N231" s="45" cm="1">
        <f t="array" aca="1" ref="N231" ca="1">SUMPRODUCT((Table1[SubscriptionStart] &lt;= $A231) * (Table1[EffectiveEndDate] &gt;= $A231) * (Table1[Region] = "Northern Ireland"))</f>
        <v>56</v>
      </c>
      <c r="O231" s="45" cm="1">
        <f t="array" aca="1" ref="O231" ca="1">SUMPRODUCT((Table1[Gender]="Male")*(Table1[SubscriptionStart]&lt;=A231)*(Table1[EffectiveEndDate]&gt;=A231))</f>
        <v>102</v>
      </c>
      <c r="P231" s="45" cm="1">
        <f t="array" aca="1" ref="P231" ca="1">SUMPRODUCT((Table1[Gender]="Female")*(Table1[SubscriptionStart]&lt;=A231)*(Table1[EffectiveEndDate]&gt;=A231))</f>
        <v>75</v>
      </c>
    </row>
    <row r="232" spans="1:16">
      <c r="A232" s="48">
        <f t="shared" si="15"/>
        <v>44792</v>
      </c>
      <c r="B232" s="45" cm="1">
        <f t="array" aca="1" ref="B232" ca="1">SUMPRODUCT((Table1[SubscriptionStart]&lt;=A232)*(Table1[EffectiveEndDate]&gt;=A232))</f>
        <v>179</v>
      </c>
      <c r="C232" s="45">
        <f>COUNTIFS(Table1[SubscriptionStart], A232)</f>
        <v>2</v>
      </c>
      <c r="D232" s="45">
        <f>COUNTIFS(Table1[CancellationDate], A232)</f>
        <v>0</v>
      </c>
      <c r="E232" s="45">
        <f t="shared" si="12"/>
        <v>2</v>
      </c>
      <c r="F232" s="45">
        <f>SUM($C$2:C232)</f>
        <v>219</v>
      </c>
      <c r="G232" s="49" cm="1">
        <f t="array" aca="1" ref="G232" ca="1">IF(B232=0,"", SUMPRODUCT((Table1[SubscriptionStart]&lt;=A232)*(Table1[EffectiveEndDate]&gt;=A232)*Table1[Age]) / B232 )</f>
        <v>45.614525139664806</v>
      </c>
      <c r="H232" s="22">
        <f>SUMIF(Table1[SubscriptionStart],"&lt;="&amp;A232,Table1[TotalRevenue])</f>
        <v>47215.349999999977</v>
      </c>
      <c r="I232" s="50">
        <f t="shared" si="13"/>
        <v>44804</v>
      </c>
      <c r="J232" s="49">
        <f t="shared" ca="1" si="14"/>
        <v>179.25806451612902</v>
      </c>
      <c r="K232" s="45" cm="1">
        <f t="array" aca="1" ref="K232" ca="1">SUMPRODUCT((Table1[SubscriptionStart] &lt;= $A232) * (Table1[EffectiveEndDate] &gt;= $A232) * (Table1[Region] = "England"))</f>
        <v>45</v>
      </c>
      <c r="L232" s="45" cm="1">
        <f t="array" aca="1" ref="L232" ca="1">SUMPRODUCT((Table1[SubscriptionStart] &lt;= $A232) * (Table1[EffectiveEndDate] &gt;= $A232) * (Table1[Region] = "Scotland"))</f>
        <v>38</v>
      </c>
      <c r="M232" s="45" cm="1">
        <f t="array" aca="1" ref="M232" ca="1">SUMPRODUCT((Table1[SubscriptionStart] &lt;= $A232) * (Table1[EffectiveEndDate] &gt;= $A232) * (Table1[Region] = "Wales"))</f>
        <v>40</v>
      </c>
      <c r="N232" s="45" cm="1">
        <f t="array" aca="1" ref="N232" ca="1">SUMPRODUCT((Table1[SubscriptionStart] &lt;= $A232) * (Table1[EffectiveEndDate] &gt;= $A232) * (Table1[Region] = "Northern Ireland"))</f>
        <v>56</v>
      </c>
      <c r="O232" s="45" cm="1">
        <f t="array" aca="1" ref="O232" ca="1">SUMPRODUCT((Table1[Gender]="Male")*(Table1[SubscriptionStart]&lt;=A232)*(Table1[EffectiveEndDate]&gt;=A232))</f>
        <v>102</v>
      </c>
      <c r="P232" s="45" cm="1">
        <f t="array" aca="1" ref="P232" ca="1">SUMPRODUCT((Table1[Gender]="Female")*(Table1[SubscriptionStart]&lt;=A232)*(Table1[EffectiveEndDate]&gt;=A232))</f>
        <v>77</v>
      </c>
    </row>
    <row r="233" spans="1:16">
      <c r="A233" s="48">
        <f t="shared" si="15"/>
        <v>44793</v>
      </c>
      <c r="B233" s="45" cm="1">
        <f t="array" aca="1" ref="B233" ca="1">SUMPRODUCT((Table1[SubscriptionStart]&lt;=A233)*(Table1[EffectiveEndDate]&gt;=A233))</f>
        <v>180</v>
      </c>
      <c r="C233" s="45">
        <f>COUNTIFS(Table1[SubscriptionStart], A233)</f>
        <v>1</v>
      </c>
      <c r="D233" s="45">
        <f>COUNTIFS(Table1[CancellationDate], A233)</f>
        <v>0</v>
      </c>
      <c r="E233" s="45">
        <f t="shared" si="12"/>
        <v>1</v>
      </c>
      <c r="F233" s="45">
        <f>SUM($C$2:C233)</f>
        <v>220</v>
      </c>
      <c r="G233" s="49" cm="1">
        <f t="array" aca="1" ref="G233" ca="1">IF(B233=0,"", SUMPRODUCT((Table1[SubscriptionStart]&lt;=A233)*(Table1[EffectiveEndDate]&gt;=A233)*Table1[Age]) / B233 )</f>
        <v>45.666666666666664</v>
      </c>
      <c r="H233" s="22">
        <f>SUMIF(Table1[SubscriptionStart],"&lt;="&amp;A233,Table1[TotalRevenue])</f>
        <v>47287.349999999977</v>
      </c>
      <c r="I233" s="50">
        <f t="shared" si="13"/>
        <v>44804</v>
      </c>
      <c r="J233" s="49">
        <f t="shared" ca="1" si="14"/>
        <v>179.25806451612902</v>
      </c>
      <c r="K233" s="45" cm="1">
        <f t="array" aca="1" ref="K233" ca="1">SUMPRODUCT((Table1[SubscriptionStart] &lt;= $A233) * (Table1[EffectiveEndDate] &gt;= $A233) * (Table1[Region] = "England"))</f>
        <v>45</v>
      </c>
      <c r="L233" s="45" cm="1">
        <f t="array" aca="1" ref="L233" ca="1">SUMPRODUCT((Table1[SubscriptionStart] &lt;= $A233) * (Table1[EffectiveEndDate] &gt;= $A233) * (Table1[Region] = "Scotland"))</f>
        <v>38</v>
      </c>
      <c r="M233" s="45" cm="1">
        <f t="array" aca="1" ref="M233" ca="1">SUMPRODUCT((Table1[SubscriptionStart] &lt;= $A233) * (Table1[EffectiveEndDate] &gt;= $A233) * (Table1[Region] = "Wales"))</f>
        <v>41</v>
      </c>
      <c r="N233" s="45" cm="1">
        <f t="array" aca="1" ref="N233" ca="1">SUMPRODUCT((Table1[SubscriptionStart] &lt;= $A233) * (Table1[EffectiveEndDate] &gt;= $A233) * (Table1[Region] = "Northern Ireland"))</f>
        <v>56</v>
      </c>
      <c r="O233" s="45" cm="1">
        <f t="array" aca="1" ref="O233" ca="1">SUMPRODUCT((Table1[Gender]="Male")*(Table1[SubscriptionStart]&lt;=A233)*(Table1[EffectiveEndDate]&gt;=A233))</f>
        <v>102</v>
      </c>
      <c r="P233" s="45" cm="1">
        <f t="array" aca="1" ref="P233" ca="1">SUMPRODUCT((Table1[Gender]="Female")*(Table1[SubscriptionStart]&lt;=A233)*(Table1[EffectiveEndDate]&gt;=A233))</f>
        <v>78</v>
      </c>
    </row>
    <row r="234" spans="1:16">
      <c r="A234" s="48">
        <f t="shared" si="15"/>
        <v>44794</v>
      </c>
      <c r="B234" s="45" cm="1">
        <f t="array" aca="1" ref="B234" ca="1">SUMPRODUCT((Table1[SubscriptionStart]&lt;=A234)*(Table1[EffectiveEndDate]&gt;=A234))</f>
        <v>180</v>
      </c>
      <c r="C234" s="45">
        <f>COUNTIFS(Table1[SubscriptionStart], A234)</f>
        <v>0</v>
      </c>
      <c r="D234" s="45">
        <f>COUNTIFS(Table1[CancellationDate], A234)</f>
        <v>0</v>
      </c>
      <c r="E234" s="45">
        <f t="shared" si="12"/>
        <v>0</v>
      </c>
      <c r="F234" s="45">
        <f>SUM($C$2:C234)</f>
        <v>220</v>
      </c>
      <c r="G234" s="49" cm="1">
        <f t="array" aca="1" ref="G234" ca="1">IF(B234=0,"", SUMPRODUCT((Table1[SubscriptionStart]&lt;=A234)*(Table1[EffectiveEndDate]&gt;=A234)*Table1[Age]) / B234 )</f>
        <v>45.666666666666664</v>
      </c>
      <c r="H234" s="22">
        <f>SUMIF(Table1[SubscriptionStart],"&lt;="&amp;A234,Table1[TotalRevenue])</f>
        <v>47287.349999999977</v>
      </c>
      <c r="I234" s="50">
        <f t="shared" si="13"/>
        <v>44804</v>
      </c>
      <c r="J234" s="49">
        <f t="shared" ca="1" si="14"/>
        <v>179.25806451612902</v>
      </c>
      <c r="K234" s="45" cm="1">
        <f t="array" aca="1" ref="K234" ca="1">SUMPRODUCT((Table1[SubscriptionStart] &lt;= $A234) * (Table1[EffectiveEndDate] &gt;= $A234) * (Table1[Region] = "England"))</f>
        <v>45</v>
      </c>
      <c r="L234" s="45" cm="1">
        <f t="array" aca="1" ref="L234" ca="1">SUMPRODUCT((Table1[SubscriptionStart] &lt;= $A234) * (Table1[EffectiveEndDate] &gt;= $A234) * (Table1[Region] = "Scotland"))</f>
        <v>38</v>
      </c>
      <c r="M234" s="45" cm="1">
        <f t="array" aca="1" ref="M234" ca="1">SUMPRODUCT((Table1[SubscriptionStart] &lt;= $A234) * (Table1[EffectiveEndDate] &gt;= $A234) * (Table1[Region] = "Wales"))</f>
        <v>41</v>
      </c>
      <c r="N234" s="45" cm="1">
        <f t="array" aca="1" ref="N234" ca="1">SUMPRODUCT((Table1[SubscriptionStart] &lt;= $A234) * (Table1[EffectiveEndDate] &gt;= $A234) * (Table1[Region] = "Northern Ireland"))</f>
        <v>56</v>
      </c>
      <c r="O234" s="45" cm="1">
        <f t="array" aca="1" ref="O234" ca="1">SUMPRODUCT((Table1[Gender]="Male")*(Table1[SubscriptionStart]&lt;=A234)*(Table1[EffectiveEndDate]&gt;=A234))</f>
        <v>102</v>
      </c>
      <c r="P234" s="45" cm="1">
        <f t="array" aca="1" ref="P234" ca="1">SUMPRODUCT((Table1[Gender]="Female")*(Table1[SubscriptionStart]&lt;=A234)*(Table1[EffectiveEndDate]&gt;=A234))</f>
        <v>78</v>
      </c>
    </row>
    <row r="235" spans="1:16">
      <c r="A235" s="48">
        <f t="shared" si="15"/>
        <v>44795</v>
      </c>
      <c r="B235" s="45" cm="1">
        <f t="array" aca="1" ref="B235" ca="1">SUMPRODUCT((Table1[SubscriptionStart]&lt;=A235)*(Table1[EffectiveEndDate]&gt;=A235))</f>
        <v>183</v>
      </c>
      <c r="C235" s="45">
        <f>COUNTIFS(Table1[SubscriptionStart], A235)</f>
        <v>3</v>
      </c>
      <c r="D235" s="45">
        <f>COUNTIFS(Table1[CancellationDate], A235)</f>
        <v>0</v>
      </c>
      <c r="E235" s="45">
        <f t="shared" si="12"/>
        <v>3</v>
      </c>
      <c r="F235" s="45">
        <f>SUM($C$2:C235)</f>
        <v>223</v>
      </c>
      <c r="G235" s="49" cm="1">
        <f t="array" aca="1" ref="G235" ca="1">IF(B235=0,"", SUMPRODUCT((Table1[SubscriptionStart]&lt;=A235)*(Table1[EffectiveEndDate]&gt;=A235)*Table1[Age]) / B235 )</f>
        <v>45.677595628415304</v>
      </c>
      <c r="H235" s="22">
        <f>SUMIF(Table1[SubscriptionStart],"&lt;="&amp;A235,Table1[TotalRevenue])</f>
        <v>47919.249999999978</v>
      </c>
      <c r="I235" s="50">
        <f t="shared" si="13"/>
        <v>44804</v>
      </c>
      <c r="J235" s="49">
        <f t="shared" ca="1" si="14"/>
        <v>179.25806451612902</v>
      </c>
      <c r="K235" s="45" cm="1">
        <f t="array" aca="1" ref="K235" ca="1">SUMPRODUCT((Table1[SubscriptionStart] &lt;= $A235) * (Table1[EffectiveEndDate] &gt;= $A235) * (Table1[Region] = "England"))</f>
        <v>47</v>
      </c>
      <c r="L235" s="45" cm="1">
        <f t="array" aca="1" ref="L235" ca="1">SUMPRODUCT((Table1[SubscriptionStart] &lt;= $A235) * (Table1[EffectiveEndDate] &gt;= $A235) * (Table1[Region] = "Scotland"))</f>
        <v>38</v>
      </c>
      <c r="M235" s="45" cm="1">
        <f t="array" aca="1" ref="M235" ca="1">SUMPRODUCT((Table1[SubscriptionStart] &lt;= $A235) * (Table1[EffectiveEndDate] &gt;= $A235) * (Table1[Region] = "Wales"))</f>
        <v>41</v>
      </c>
      <c r="N235" s="45" cm="1">
        <f t="array" aca="1" ref="N235" ca="1">SUMPRODUCT((Table1[SubscriptionStart] &lt;= $A235) * (Table1[EffectiveEndDate] &gt;= $A235) * (Table1[Region] = "Northern Ireland"))</f>
        <v>57</v>
      </c>
      <c r="O235" s="45" cm="1">
        <f t="array" aca="1" ref="O235" ca="1">SUMPRODUCT((Table1[Gender]="Male")*(Table1[SubscriptionStart]&lt;=A235)*(Table1[EffectiveEndDate]&gt;=A235))</f>
        <v>104</v>
      </c>
      <c r="P235" s="45" cm="1">
        <f t="array" aca="1" ref="P235" ca="1">SUMPRODUCT((Table1[Gender]="Female")*(Table1[SubscriptionStart]&lt;=A235)*(Table1[EffectiveEndDate]&gt;=A235))</f>
        <v>79</v>
      </c>
    </row>
    <row r="236" spans="1:16">
      <c r="A236" s="48">
        <f t="shared" si="15"/>
        <v>44796</v>
      </c>
      <c r="B236" s="45" cm="1">
        <f t="array" aca="1" ref="B236" ca="1">SUMPRODUCT((Table1[SubscriptionStart]&lt;=A236)*(Table1[EffectiveEndDate]&gt;=A236))</f>
        <v>184</v>
      </c>
      <c r="C236" s="45">
        <f>COUNTIFS(Table1[SubscriptionStart], A236)</f>
        <v>1</v>
      </c>
      <c r="D236" s="45">
        <f>COUNTIFS(Table1[CancellationDate], A236)</f>
        <v>0</v>
      </c>
      <c r="E236" s="45">
        <f t="shared" si="12"/>
        <v>1</v>
      </c>
      <c r="F236" s="45">
        <f>SUM($C$2:C236)</f>
        <v>224</v>
      </c>
      <c r="G236" s="49" cm="1">
        <f t="array" aca="1" ref="G236" ca="1">IF(B236=0,"", SUMPRODUCT((Table1[SubscriptionStart]&lt;=A236)*(Table1[EffectiveEndDate]&gt;=A236)*Table1[Age]) / B236 )</f>
        <v>45.711956521739133</v>
      </c>
      <c r="H236" s="22">
        <f>SUMIF(Table1[SubscriptionStart],"&lt;="&amp;A236,Table1[TotalRevenue])</f>
        <v>47991.249999999978</v>
      </c>
      <c r="I236" s="50">
        <f t="shared" si="13"/>
        <v>44804</v>
      </c>
      <c r="J236" s="49">
        <f t="shared" ca="1" si="14"/>
        <v>179.25806451612902</v>
      </c>
      <c r="K236" s="45" cm="1">
        <f t="array" aca="1" ref="K236" ca="1">SUMPRODUCT((Table1[SubscriptionStart] &lt;= $A236) * (Table1[EffectiveEndDate] &gt;= $A236) * (Table1[Region] = "England"))</f>
        <v>47</v>
      </c>
      <c r="L236" s="45" cm="1">
        <f t="array" aca="1" ref="L236" ca="1">SUMPRODUCT((Table1[SubscriptionStart] &lt;= $A236) * (Table1[EffectiveEndDate] &gt;= $A236) * (Table1[Region] = "Scotland"))</f>
        <v>39</v>
      </c>
      <c r="M236" s="45" cm="1">
        <f t="array" aca="1" ref="M236" ca="1">SUMPRODUCT((Table1[SubscriptionStart] &lt;= $A236) * (Table1[EffectiveEndDate] &gt;= $A236) * (Table1[Region] = "Wales"))</f>
        <v>41</v>
      </c>
      <c r="N236" s="45" cm="1">
        <f t="array" aca="1" ref="N236" ca="1">SUMPRODUCT((Table1[SubscriptionStart] &lt;= $A236) * (Table1[EffectiveEndDate] &gt;= $A236) * (Table1[Region] = "Northern Ireland"))</f>
        <v>57</v>
      </c>
      <c r="O236" s="45" cm="1">
        <f t="array" aca="1" ref="O236" ca="1">SUMPRODUCT((Table1[Gender]="Male")*(Table1[SubscriptionStart]&lt;=A236)*(Table1[EffectiveEndDate]&gt;=A236))</f>
        <v>105</v>
      </c>
      <c r="P236" s="45" cm="1">
        <f t="array" aca="1" ref="P236" ca="1">SUMPRODUCT((Table1[Gender]="Female")*(Table1[SubscriptionStart]&lt;=A236)*(Table1[EffectiveEndDate]&gt;=A236))</f>
        <v>79</v>
      </c>
    </row>
    <row r="237" spans="1:16">
      <c r="A237" s="48">
        <f t="shared" si="15"/>
        <v>44797</v>
      </c>
      <c r="B237" s="45" cm="1">
        <f t="array" aca="1" ref="B237" ca="1">SUMPRODUCT((Table1[SubscriptionStart]&lt;=A237)*(Table1[EffectiveEndDate]&gt;=A237))</f>
        <v>185</v>
      </c>
      <c r="C237" s="45">
        <f>COUNTIFS(Table1[SubscriptionStart], A237)</f>
        <v>1</v>
      </c>
      <c r="D237" s="45">
        <f>COUNTIFS(Table1[CancellationDate], A237)</f>
        <v>0</v>
      </c>
      <c r="E237" s="45">
        <f t="shared" si="12"/>
        <v>1</v>
      </c>
      <c r="F237" s="45">
        <f>SUM($C$2:C237)</f>
        <v>225</v>
      </c>
      <c r="G237" s="49" cm="1">
        <f t="array" aca="1" ref="G237" ca="1">IF(B237=0,"", SUMPRODUCT((Table1[SubscriptionStart]&lt;=A237)*(Table1[EffectiveEndDate]&gt;=A237)*Table1[Age]) / B237 )</f>
        <v>45.762162162162163</v>
      </c>
      <c r="H237" s="22">
        <f>SUMIF(Table1[SubscriptionStart],"&lt;="&amp;A237,Table1[TotalRevenue])</f>
        <v>48673.449999999975</v>
      </c>
      <c r="I237" s="50">
        <f t="shared" si="13"/>
        <v>44804</v>
      </c>
      <c r="J237" s="49">
        <f t="shared" ca="1" si="14"/>
        <v>179.25806451612902</v>
      </c>
      <c r="K237" s="45" cm="1">
        <f t="array" aca="1" ref="K237" ca="1">SUMPRODUCT((Table1[SubscriptionStart] &lt;= $A237) * (Table1[EffectiveEndDate] &gt;= $A237) * (Table1[Region] = "England"))</f>
        <v>47</v>
      </c>
      <c r="L237" s="45" cm="1">
        <f t="array" aca="1" ref="L237" ca="1">SUMPRODUCT((Table1[SubscriptionStart] &lt;= $A237) * (Table1[EffectiveEndDate] &gt;= $A237) * (Table1[Region] = "Scotland"))</f>
        <v>39</v>
      </c>
      <c r="M237" s="45" cm="1">
        <f t="array" aca="1" ref="M237" ca="1">SUMPRODUCT((Table1[SubscriptionStart] &lt;= $A237) * (Table1[EffectiveEndDate] &gt;= $A237) * (Table1[Region] = "Wales"))</f>
        <v>41</v>
      </c>
      <c r="N237" s="45" cm="1">
        <f t="array" aca="1" ref="N237" ca="1">SUMPRODUCT((Table1[SubscriptionStart] &lt;= $A237) * (Table1[EffectiveEndDate] &gt;= $A237) * (Table1[Region] = "Northern Ireland"))</f>
        <v>58</v>
      </c>
      <c r="O237" s="45" cm="1">
        <f t="array" aca="1" ref="O237" ca="1">SUMPRODUCT((Table1[Gender]="Male")*(Table1[SubscriptionStart]&lt;=A237)*(Table1[EffectiveEndDate]&gt;=A237))</f>
        <v>106</v>
      </c>
      <c r="P237" s="45" cm="1">
        <f t="array" aca="1" ref="P237" ca="1">SUMPRODUCT((Table1[Gender]="Female")*(Table1[SubscriptionStart]&lt;=A237)*(Table1[EffectiveEndDate]&gt;=A237))</f>
        <v>79</v>
      </c>
    </row>
    <row r="238" spans="1:16">
      <c r="A238" s="48">
        <f t="shared" si="15"/>
        <v>44798</v>
      </c>
      <c r="B238" s="45" cm="1">
        <f t="array" aca="1" ref="B238" ca="1">SUMPRODUCT((Table1[SubscriptionStart]&lt;=A238)*(Table1[EffectiveEndDate]&gt;=A238))</f>
        <v>187</v>
      </c>
      <c r="C238" s="45">
        <f>COUNTIFS(Table1[SubscriptionStart], A238)</f>
        <v>2</v>
      </c>
      <c r="D238" s="45">
        <f>COUNTIFS(Table1[CancellationDate], A238)</f>
        <v>0</v>
      </c>
      <c r="E238" s="45">
        <f t="shared" si="12"/>
        <v>2</v>
      </c>
      <c r="F238" s="45">
        <f>SUM($C$2:C238)</f>
        <v>227</v>
      </c>
      <c r="G238" s="49" cm="1">
        <f t="array" aca="1" ref="G238" ca="1">IF(B238=0,"", SUMPRODUCT((Table1[SubscriptionStart]&lt;=A238)*(Table1[EffectiveEndDate]&gt;=A238)*Table1[Age]) / B238 )</f>
        <v>45.967914438502675</v>
      </c>
      <c r="H238" s="22">
        <f>SUMIF(Table1[SubscriptionStart],"&lt;="&amp;A238,Table1[TotalRevenue])</f>
        <v>48774.699999999975</v>
      </c>
      <c r="I238" s="50">
        <f t="shared" si="13"/>
        <v>44804</v>
      </c>
      <c r="J238" s="49">
        <f t="shared" ca="1" si="14"/>
        <v>179.25806451612902</v>
      </c>
      <c r="K238" s="45" cm="1">
        <f t="array" aca="1" ref="K238" ca="1">SUMPRODUCT((Table1[SubscriptionStart] &lt;= $A238) * (Table1[EffectiveEndDate] &gt;= $A238) * (Table1[Region] = "England"))</f>
        <v>47</v>
      </c>
      <c r="L238" s="45" cm="1">
        <f t="array" aca="1" ref="L238" ca="1">SUMPRODUCT((Table1[SubscriptionStart] &lt;= $A238) * (Table1[EffectiveEndDate] &gt;= $A238) * (Table1[Region] = "Scotland"))</f>
        <v>40</v>
      </c>
      <c r="M238" s="45" cm="1">
        <f t="array" aca="1" ref="M238" ca="1">SUMPRODUCT((Table1[SubscriptionStart] &lt;= $A238) * (Table1[EffectiveEndDate] &gt;= $A238) * (Table1[Region] = "Wales"))</f>
        <v>42</v>
      </c>
      <c r="N238" s="45" cm="1">
        <f t="array" aca="1" ref="N238" ca="1">SUMPRODUCT((Table1[SubscriptionStart] &lt;= $A238) * (Table1[EffectiveEndDate] &gt;= $A238) * (Table1[Region] = "Northern Ireland"))</f>
        <v>58</v>
      </c>
      <c r="O238" s="45" cm="1">
        <f t="array" aca="1" ref="O238" ca="1">SUMPRODUCT((Table1[Gender]="Male")*(Table1[SubscriptionStart]&lt;=A238)*(Table1[EffectiveEndDate]&gt;=A238))</f>
        <v>108</v>
      </c>
      <c r="P238" s="45" cm="1">
        <f t="array" aca="1" ref="P238" ca="1">SUMPRODUCT((Table1[Gender]="Female")*(Table1[SubscriptionStart]&lt;=A238)*(Table1[EffectiveEndDate]&gt;=A238))</f>
        <v>79</v>
      </c>
    </row>
    <row r="239" spans="1:16">
      <c r="A239" s="48">
        <f t="shared" si="15"/>
        <v>44799</v>
      </c>
      <c r="B239" s="45" cm="1">
        <f t="array" aca="1" ref="B239" ca="1">SUMPRODUCT((Table1[SubscriptionStart]&lt;=A239)*(Table1[EffectiveEndDate]&gt;=A239))</f>
        <v>189</v>
      </c>
      <c r="C239" s="45">
        <f>COUNTIFS(Table1[SubscriptionStart], A239)</f>
        <v>2</v>
      </c>
      <c r="D239" s="45">
        <f>COUNTIFS(Table1[CancellationDate], A239)</f>
        <v>1</v>
      </c>
      <c r="E239" s="45">
        <f t="shared" si="12"/>
        <v>1</v>
      </c>
      <c r="F239" s="45">
        <f>SUM($C$2:C239)</f>
        <v>229</v>
      </c>
      <c r="G239" s="49" cm="1">
        <f t="array" aca="1" ref="G239" ca="1">IF(B239=0,"", SUMPRODUCT((Table1[SubscriptionStart]&lt;=A239)*(Table1[EffectiveEndDate]&gt;=A239)*Table1[Age]) / B239 )</f>
        <v>46.06878306878307</v>
      </c>
      <c r="H239" s="22">
        <f>SUMIF(Table1[SubscriptionStart],"&lt;="&amp;A239,Table1[TotalRevenue])</f>
        <v>50034.199999999975</v>
      </c>
      <c r="I239" s="50">
        <f t="shared" si="13"/>
        <v>44804</v>
      </c>
      <c r="J239" s="49">
        <f t="shared" ca="1" si="14"/>
        <v>179.25806451612902</v>
      </c>
      <c r="K239" s="45" cm="1">
        <f t="array" aca="1" ref="K239" ca="1">SUMPRODUCT((Table1[SubscriptionStart] &lt;= $A239) * (Table1[EffectiveEndDate] &gt;= $A239) * (Table1[Region] = "England"))</f>
        <v>48</v>
      </c>
      <c r="L239" s="45" cm="1">
        <f t="array" aca="1" ref="L239" ca="1">SUMPRODUCT((Table1[SubscriptionStart] &lt;= $A239) * (Table1[EffectiveEndDate] &gt;= $A239) * (Table1[Region] = "Scotland"))</f>
        <v>41</v>
      </c>
      <c r="M239" s="45" cm="1">
        <f t="array" aca="1" ref="M239" ca="1">SUMPRODUCT((Table1[SubscriptionStart] &lt;= $A239) * (Table1[EffectiveEndDate] &gt;= $A239) * (Table1[Region] = "Wales"))</f>
        <v>42</v>
      </c>
      <c r="N239" s="45" cm="1">
        <f t="array" aca="1" ref="N239" ca="1">SUMPRODUCT((Table1[SubscriptionStart] &lt;= $A239) * (Table1[EffectiveEndDate] &gt;= $A239) * (Table1[Region] = "Northern Ireland"))</f>
        <v>58</v>
      </c>
      <c r="O239" s="45" cm="1">
        <f t="array" aca="1" ref="O239" ca="1">SUMPRODUCT((Table1[Gender]="Male")*(Table1[SubscriptionStart]&lt;=A239)*(Table1[EffectiveEndDate]&gt;=A239))</f>
        <v>109</v>
      </c>
      <c r="P239" s="45" cm="1">
        <f t="array" aca="1" ref="P239" ca="1">SUMPRODUCT((Table1[Gender]="Female")*(Table1[SubscriptionStart]&lt;=A239)*(Table1[EffectiveEndDate]&gt;=A239))</f>
        <v>80</v>
      </c>
    </row>
    <row r="240" spans="1:16">
      <c r="A240" s="48">
        <f t="shared" si="15"/>
        <v>44800</v>
      </c>
      <c r="B240" s="45" cm="1">
        <f t="array" aca="1" ref="B240" ca="1">SUMPRODUCT((Table1[SubscriptionStart]&lt;=A240)*(Table1[EffectiveEndDate]&gt;=A240))</f>
        <v>189</v>
      </c>
      <c r="C240" s="45">
        <f>COUNTIFS(Table1[SubscriptionStart], A240)</f>
        <v>1</v>
      </c>
      <c r="D240" s="45">
        <f>COUNTIFS(Table1[CancellationDate], A240)</f>
        <v>0</v>
      </c>
      <c r="E240" s="45">
        <f t="shared" si="12"/>
        <v>1</v>
      </c>
      <c r="F240" s="45">
        <f>SUM($C$2:C240)</f>
        <v>230</v>
      </c>
      <c r="G240" s="49" cm="1">
        <f t="array" aca="1" ref="G240" ca="1">IF(B240=0,"", SUMPRODUCT((Table1[SubscriptionStart]&lt;=A240)*(Table1[EffectiveEndDate]&gt;=A240)*Table1[Age]) / B240 )</f>
        <v>45.93121693121693</v>
      </c>
      <c r="H240" s="22">
        <f>SUMIF(Table1[SubscriptionStart],"&lt;="&amp;A240,Table1[TotalRevenue])</f>
        <v>50595.799999999974</v>
      </c>
      <c r="I240" s="50">
        <f t="shared" si="13"/>
        <v>44804</v>
      </c>
      <c r="J240" s="49">
        <f t="shared" ca="1" si="14"/>
        <v>179.25806451612902</v>
      </c>
      <c r="K240" s="45" cm="1">
        <f t="array" aca="1" ref="K240" ca="1">SUMPRODUCT((Table1[SubscriptionStart] &lt;= $A240) * (Table1[EffectiveEndDate] &gt;= $A240) * (Table1[Region] = "England"))</f>
        <v>48</v>
      </c>
      <c r="L240" s="45" cm="1">
        <f t="array" aca="1" ref="L240" ca="1">SUMPRODUCT((Table1[SubscriptionStart] &lt;= $A240) * (Table1[EffectiveEndDate] &gt;= $A240) * (Table1[Region] = "Scotland"))</f>
        <v>41</v>
      </c>
      <c r="M240" s="45" cm="1">
        <f t="array" aca="1" ref="M240" ca="1">SUMPRODUCT((Table1[SubscriptionStart] &lt;= $A240) * (Table1[EffectiveEndDate] &gt;= $A240) * (Table1[Region] = "Wales"))</f>
        <v>43</v>
      </c>
      <c r="N240" s="45" cm="1">
        <f t="array" aca="1" ref="N240" ca="1">SUMPRODUCT((Table1[SubscriptionStart] &lt;= $A240) * (Table1[EffectiveEndDate] &gt;= $A240) * (Table1[Region] = "Northern Ireland"))</f>
        <v>57</v>
      </c>
      <c r="O240" s="45" cm="1">
        <f t="array" aca="1" ref="O240" ca="1">SUMPRODUCT((Table1[Gender]="Male")*(Table1[SubscriptionStart]&lt;=A240)*(Table1[EffectiveEndDate]&gt;=A240))</f>
        <v>110</v>
      </c>
      <c r="P240" s="45" cm="1">
        <f t="array" aca="1" ref="P240" ca="1">SUMPRODUCT((Table1[Gender]="Female")*(Table1[SubscriptionStart]&lt;=A240)*(Table1[EffectiveEndDate]&gt;=A240))</f>
        <v>79</v>
      </c>
    </row>
    <row r="241" spans="1:16">
      <c r="A241" s="48">
        <f t="shared" si="15"/>
        <v>44801</v>
      </c>
      <c r="B241" s="45" cm="1">
        <f t="array" aca="1" ref="B241" ca="1">SUMPRODUCT((Table1[SubscriptionStart]&lt;=A241)*(Table1[EffectiveEndDate]&gt;=A241))</f>
        <v>191</v>
      </c>
      <c r="C241" s="45">
        <f>COUNTIFS(Table1[SubscriptionStart], A241)</f>
        <v>2</v>
      </c>
      <c r="D241" s="45">
        <f>COUNTIFS(Table1[CancellationDate], A241)</f>
        <v>0</v>
      </c>
      <c r="E241" s="45">
        <f t="shared" si="12"/>
        <v>2</v>
      </c>
      <c r="F241" s="45">
        <f>SUM($C$2:C241)</f>
        <v>232</v>
      </c>
      <c r="G241" s="49" cm="1">
        <f t="array" aca="1" ref="G241" ca="1">IF(B241=0,"", SUMPRODUCT((Table1[SubscriptionStart]&lt;=A241)*(Table1[EffectiveEndDate]&gt;=A241)*Table1[Age]) / B241 )</f>
        <v>46.125654450261777</v>
      </c>
      <c r="H241" s="22">
        <f>SUMIF(Table1[SubscriptionStart],"&lt;="&amp;A241,Table1[TotalRevenue])</f>
        <v>50739.799999999974</v>
      </c>
      <c r="I241" s="50">
        <f t="shared" si="13"/>
        <v>44804</v>
      </c>
      <c r="J241" s="49">
        <f t="shared" ca="1" si="14"/>
        <v>179.25806451612902</v>
      </c>
      <c r="K241" s="45" cm="1">
        <f t="array" aca="1" ref="K241" ca="1">SUMPRODUCT((Table1[SubscriptionStart] &lt;= $A241) * (Table1[EffectiveEndDate] &gt;= $A241) * (Table1[Region] = "England"))</f>
        <v>48</v>
      </c>
      <c r="L241" s="45" cm="1">
        <f t="array" aca="1" ref="L241" ca="1">SUMPRODUCT((Table1[SubscriptionStart] &lt;= $A241) * (Table1[EffectiveEndDate] &gt;= $A241) * (Table1[Region] = "Scotland"))</f>
        <v>41</v>
      </c>
      <c r="M241" s="45" cm="1">
        <f t="array" aca="1" ref="M241" ca="1">SUMPRODUCT((Table1[SubscriptionStart] &lt;= $A241) * (Table1[EffectiveEndDate] &gt;= $A241) * (Table1[Region] = "Wales"))</f>
        <v>43</v>
      </c>
      <c r="N241" s="45" cm="1">
        <f t="array" aca="1" ref="N241" ca="1">SUMPRODUCT((Table1[SubscriptionStart] &lt;= $A241) * (Table1[EffectiveEndDate] &gt;= $A241) * (Table1[Region] = "Northern Ireland"))</f>
        <v>59</v>
      </c>
      <c r="O241" s="45" cm="1">
        <f t="array" aca="1" ref="O241" ca="1">SUMPRODUCT((Table1[Gender]="Male")*(Table1[SubscriptionStart]&lt;=A241)*(Table1[EffectiveEndDate]&gt;=A241))</f>
        <v>110</v>
      </c>
      <c r="P241" s="45" cm="1">
        <f t="array" aca="1" ref="P241" ca="1">SUMPRODUCT((Table1[Gender]="Female")*(Table1[SubscriptionStart]&lt;=A241)*(Table1[EffectiveEndDate]&gt;=A241))</f>
        <v>81</v>
      </c>
    </row>
    <row r="242" spans="1:16">
      <c r="A242" s="48">
        <f t="shared" si="15"/>
        <v>44802</v>
      </c>
      <c r="B242" s="45" cm="1">
        <f t="array" aca="1" ref="B242" ca="1">SUMPRODUCT((Table1[SubscriptionStart]&lt;=A242)*(Table1[EffectiveEndDate]&gt;=A242))</f>
        <v>191</v>
      </c>
      <c r="C242" s="45">
        <f>COUNTIFS(Table1[SubscriptionStart], A242)</f>
        <v>0</v>
      </c>
      <c r="D242" s="45">
        <f>COUNTIFS(Table1[CancellationDate], A242)</f>
        <v>0</v>
      </c>
      <c r="E242" s="45">
        <f t="shared" si="12"/>
        <v>0</v>
      </c>
      <c r="F242" s="45">
        <f>SUM($C$2:C242)</f>
        <v>232</v>
      </c>
      <c r="G242" s="49" cm="1">
        <f t="array" aca="1" ref="G242" ca="1">IF(B242=0,"", SUMPRODUCT((Table1[SubscriptionStart]&lt;=A242)*(Table1[EffectiveEndDate]&gt;=A242)*Table1[Age]) / B242 )</f>
        <v>46.125654450261777</v>
      </c>
      <c r="H242" s="22">
        <f>SUMIF(Table1[SubscriptionStart],"&lt;="&amp;A242,Table1[TotalRevenue])</f>
        <v>50739.799999999974</v>
      </c>
      <c r="I242" s="50">
        <f t="shared" si="13"/>
        <v>44804</v>
      </c>
      <c r="J242" s="49">
        <f t="shared" ca="1" si="14"/>
        <v>179.25806451612902</v>
      </c>
      <c r="K242" s="45" cm="1">
        <f t="array" aca="1" ref="K242" ca="1">SUMPRODUCT((Table1[SubscriptionStart] &lt;= $A242) * (Table1[EffectiveEndDate] &gt;= $A242) * (Table1[Region] = "England"))</f>
        <v>48</v>
      </c>
      <c r="L242" s="45" cm="1">
        <f t="array" aca="1" ref="L242" ca="1">SUMPRODUCT((Table1[SubscriptionStart] &lt;= $A242) * (Table1[EffectiveEndDate] &gt;= $A242) * (Table1[Region] = "Scotland"))</f>
        <v>41</v>
      </c>
      <c r="M242" s="45" cm="1">
        <f t="array" aca="1" ref="M242" ca="1">SUMPRODUCT((Table1[SubscriptionStart] &lt;= $A242) * (Table1[EffectiveEndDate] &gt;= $A242) * (Table1[Region] = "Wales"))</f>
        <v>43</v>
      </c>
      <c r="N242" s="45" cm="1">
        <f t="array" aca="1" ref="N242" ca="1">SUMPRODUCT((Table1[SubscriptionStart] &lt;= $A242) * (Table1[EffectiveEndDate] &gt;= $A242) * (Table1[Region] = "Northern Ireland"))</f>
        <v>59</v>
      </c>
      <c r="O242" s="45" cm="1">
        <f t="array" aca="1" ref="O242" ca="1">SUMPRODUCT((Table1[Gender]="Male")*(Table1[SubscriptionStart]&lt;=A242)*(Table1[EffectiveEndDate]&gt;=A242))</f>
        <v>110</v>
      </c>
      <c r="P242" s="45" cm="1">
        <f t="array" aca="1" ref="P242" ca="1">SUMPRODUCT((Table1[Gender]="Female")*(Table1[SubscriptionStart]&lt;=A242)*(Table1[EffectiveEndDate]&gt;=A242))</f>
        <v>81</v>
      </c>
    </row>
    <row r="243" spans="1:16">
      <c r="A243" s="48">
        <f t="shared" si="15"/>
        <v>44803</v>
      </c>
      <c r="B243" s="45" cm="1">
        <f t="array" aca="1" ref="B243" ca="1">SUMPRODUCT((Table1[SubscriptionStart]&lt;=A243)*(Table1[EffectiveEndDate]&gt;=A243))</f>
        <v>191</v>
      </c>
      <c r="C243" s="45">
        <f>COUNTIFS(Table1[SubscriptionStart], A243)</f>
        <v>0</v>
      </c>
      <c r="D243" s="45">
        <f>COUNTIFS(Table1[CancellationDate], A243)</f>
        <v>0</v>
      </c>
      <c r="E243" s="45">
        <f t="shared" si="12"/>
        <v>0</v>
      </c>
      <c r="F243" s="45">
        <f>SUM($C$2:C243)</f>
        <v>232</v>
      </c>
      <c r="G243" s="49" cm="1">
        <f t="array" aca="1" ref="G243" ca="1">IF(B243=0,"", SUMPRODUCT((Table1[SubscriptionStart]&lt;=A243)*(Table1[EffectiveEndDate]&gt;=A243)*Table1[Age]) / B243 )</f>
        <v>46.125654450261777</v>
      </c>
      <c r="H243" s="22">
        <f>SUMIF(Table1[SubscriptionStart],"&lt;="&amp;A243,Table1[TotalRevenue])</f>
        <v>50739.799999999974</v>
      </c>
      <c r="I243" s="50">
        <f t="shared" si="13"/>
        <v>44804</v>
      </c>
      <c r="J243" s="49">
        <f t="shared" ca="1" si="14"/>
        <v>179.25806451612902</v>
      </c>
      <c r="K243" s="45" cm="1">
        <f t="array" aca="1" ref="K243" ca="1">SUMPRODUCT((Table1[SubscriptionStart] &lt;= $A243) * (Table1[EffectiveEndDate] &gt;= $A243) * (Table1[Region] = "England"))</f>
        <v>48</v>
      </c>
      <c r="L243" s="45" cm="1">
        <f t="array" aca="1" ref="L243" ca="1">SUMPRODUCT((Table1[SubscriptionStart] &lt;= $A243) * (Table1[EffectiveEndDate] &gt;= $A243) * (Table1[Region] = "Scotland"))</f>
        <v>41</v>
      </c>
      <c r="M243" s="45" cm="1">
        <f t="array" aca="1" ref="M243" ca="1">SUMPRODUCT((Table1[SubscriptionStart] &lt;= $A243) * (Table1[EffectiveEndDate] &gt;= $A243) * (Table1[Region] = "Wales"))</f>
        <v>43</v>
      </c>
      <c r="N243" s="45" cm="1">
        <f t="array" aca="1" ref="N243" ca="1">SUMPRODUCT((Table1[SubscriptionStart] &lt;= $A243) * (Table1[EffectiveEndDate] &gt;= $A243) * (Table1[Region] = "Northern Ireland"))</f>
        <v>59</v>
      </c>
      <c r="O243" s="45" cm="1">
        <f t="array" aca="1" ref="O243" ca="1">SUMPRODUCT((Table1[Gender]="Male")*(Table1[SubscriptionStart]&lt;=A243)*(Table1[EffectiveEndDate]&gt;=A243))</f>
        <v>110</v>
      </c>
      <c r="P243" s="45" cm="1">
        <f t="array" aca="1" ref="P243" ca="1">SUMPRODUCT((Table1[Gender]="Female")*(Table1[SubscriptionStart]&lt;=A243)*(Table1[EffectiveEndDate]&gt;=A243))</f>
        <v>81</v>
      </c>
    </row>
    <row r="244" spans="1:16">
      <c r="A244" s="48">
        <f t="shared" si="15"/>
        <v>44804</v>
      </c>
      <c r="B244" s="45" cm="1">
        <f t="array" aca="1" ref="B244" ca="1">SUMPRODUCT((Table1[SubscriptionStart]&lt;=A244)*(Table1[EffectiveEndDate]&gt;=A244))</f>
        <v>192</v>
      </c>
      <c r="C244" s="45">
        <f>COUNTIFS(Table1[SubscriptionStart], A244)</f>
        <v>1</v>
      </c>
      <c r="D244" s="45">
        <f>COUNTIFS(Table1[CancellationDate], A244)</f>
        <v>0</v>
      </c>
      <c r="E244" s="45">
        <f t="shared" si="12"/>
        <v>1</v>
      </c>
      <c r="F244" s="45">
        <f>SUM($C$2:C244)</f>
        <v>233</v>
      </c>
      <c r="G244" s="49" cm="1">
        <f t="array" aca="1" ref="G244" ca="1">IF(B244=0,"", SUMPRODUCT((Table1[SubscriptionStart]&lt;=A244)*(Table1[EffectiveEndDate]&gt;=A244)*Table1[Age]) / B244 )</f>
        <v>46.208333333333336</v>
      </c>
      <c r="H244" s="22">
        <f>SUMIF(Table1[SubscriptionStart],"&lt;="&amp;A244,Table1[TotalRevenue])</f>
        <v>50811.799999999974</v>
      </c>
      <c r="I244" s="50">
        <f t="shared" si="13"/>
        <v>44804</v>
      </c>
      <c r="J244" s="49">
        <f t="shared" ca="1" si="14"/>
        <v>179.25806451612902</v>
      </c>
      <c r="K244" s="45" cm="1">
        <f t="array" aca="1" ref="K244" ca="1">SUMPRODUCT((Table1[SubscriptionStart] &lt;= $A244) * (Table1[EffectiveEndDate] &gt;= $A244) * (Table1[Region] = "England"))</f>
        <v>48</v>
      </c>
      <c r="L244" s="45" cm="1">
        <f t="array" aca="1" ref="L244" ca="1">SUMPRODUCT((Table1[SubscriptionStart] &lt;= $A244) * (Table1[EffectiveEndDate] &gt;= $A244) * (Table1[Region] = "Scotland"))</f>
        <v>41</v>
      </c>
      <c r="M244" s="45" cm="1">
        <f t="array" aca="1" ref="M244" ca="1">SUMPRODUCT((Table1[SubscriptionStart] &lt;= $A244) * (Table1[EffectiveEndDate] &gt;= $A244) * (Table1[Region] = "Wales"))</f>
        <v>44</v>
      </c>
      <c r="N244" s="45" cm="1">
        <f t="array" aca="1" ref="N244" ca="1">SUMPRODUCT((Table1[SubscriptionStart] &lt;= $A244) * (Table1[EffectiveEndDate] &gt;= $A244) * (Table1[Region] = "Northern Ireland"))</f>
        <v>59</v>
      </c>
      <c r="O244" s="45" cm="1">
        <f t="array" aca="1" ref="O244" ca="1">SUMPRODUCT((Table1[Gender]="Male")*(Table1[SubscriptionStart]&lt;=A244)*(Table1[EffectiveEndDate]&gt;=A244))</f>
        <v>111</v>
      </c>
      <c r="P244" s="45" cm="1">
        <f t="array" aca="1" ref="P244" ca="1">SUMPRODUCT((Table1[Gender]="Female")*(Table1[SubscriptionStart]&lt;=A244)*(Table1[EffectiveEndDate]&gt;=A244))</f>
        <v>81</v>
      </c>
    </row>
    <row r="245" spans="1:16">
      <c r="A245" s="48">
        <f t="shared" si="15"/>
        <v>44805</v>
      </c>
      <c r="B245" s="45" cm="1">
        <f t="array" aca="1" ref="B245" ca="1">SUMPRODUCT((Table1[SubscriptionStart]&lt;=A245)*(Table1[EffectiveEndDate]&gt;=A245))</f>
        <v>194</v>
      </c>
      <c r="C245" s="45">
        <f>COUNTIFS(Table1[SubscriptionStart], A245)</f>
        <v>2</v>
      </c>
      <c r="D245" s="45">
        <f>COUNTIFS(Table1[CancellationDate], A245)</f>
        <v>0</v>
      </c>
      <c r="E245" s="45">
        <f t="shared" si="12"/>
        <v>2</v>
      </c>
      <c r="F245" s="45">
        <f>SUM($C$2:C245)</f>
        <v>235</v>
      </c>
      <c r="G245" s="49" cm="1">
        <f t="array" aca="1" ref="G245" ca="1">IF(B245=0,"", SUMPRODUCT((Table1[SubscriptionStart]&lt;=A245)*(Table1[EffectiveEndDate]&gt;=A245)*Table1[Age]) / B245 )</f>
        <v>46.46907216494845</v>
      </c>
      <c r="H245" s="22">
        <f>SUMIF(Table1[SubscriptionStart],"&lt;="&amp;A245,Table1[TotalRevenue])</f>
        <v>51121.399999999972</v>
      </c>
      <c r="I245" s="50">
        <f t="shared" si="13"/>
        <v>44834</v>
      </c>
      <c r="J245" s="49">
        <f t="shared" ca="1" si="14"/>
        <v>203.33333333333334</v>
      </c>
      <c r="K245" s="45" cm="1">
        <f t="array" aca="1" ref="K245" ca="1">SUMPRODUCT((Table1[SubscriptionStart] &lt;= $A245) * (Table1[EffectiveEndDate] &gt;= $A245) * (Table1[Region] = "England"))</f>
        <v>48</v>
      </c>
      <c r="L245" s="45" cm="1">
        <f t="array" aca="1" ref="L245" ca="1">SUMPRODUCT((Table1[SubscriptionStart] &lt;= $A245) * (Table1[EffectiveEndDate] &gt;= $A245) * (Table1[Region] = "Scotland"))</f>
        <v>41</v>
      </c>
      <c r="M245" s="45" cm="1">
        <f t="array" aca="1" ref="M245" ca="1">SUMPRODUCT((Table1[SubscriptionStart] &lt;= $A245) * (Table1[EffectiveEndDate] &gt;= $A245) * (Table1[Region] = "Wales"))</f>
        <v>46</v>
      </c>
      <c r="N245" s="45" cm="1">
        <f t="array" aca="1" ref="N245" ca="1">SUMPRODUCT((Table1[SubscriptionStart] &lt;= $A245) * (Table1[EffectiveEndDate] &gt;= $A245) * (Table1[Region] = "Northern Ireland"))</f>
        <v>59</v>
      </c>
      <c r="O245" s="45" cm="1">
        <f t="array" aca="1" ref="O245" ca="1">SUMPRODUCT((Table1[Gender]="Male")*(Table1[SubscriptionStart]&lt;=A245)*(Table1[EffectiveEndDate]&gt;=A245))</f>
        <v>111</v>
      </c>
      <c r="P245" s="45" cm="1">
        <f t="array" aca="1" ref="P245" ca="1">SUMPRODUCT((Table1[Gender]="Female")*(Table1[SubscriptionStart]&lt;=A245)*(Table1[EffectiveEndDate]&gt;=A245))</f>
        <v>83</v>
      </c>
    </row>
    <row r="246" spans="1:16">
      <c r="A246" s="48">
        <f t="shared" si="15"/>
        <v>44806</v>
      </c>
      <c r="B246" s="45" cm="1">
        <f t="array" aca="1" ref="B246" ca="1">SUMPRODUCT((Table1[SubscriptionStart]&lt;=A246)*(Table1[EffectiveEndDate]&gt;=A246))</f>
        <v>195</v>
      </c>
      <c r="C246" s="45">
        <f>COUNTIFS(Table1[SubscriptionStart], A246)</f>
        <v>1</v>
      </c>
      <c r="D246" s="45">
        <f>COUNTIFS(Table1[CancellationDate], A246)</f>
        <v>1</v>
      </c>
      <c r="E246" s="45">
        <f t="shared" si="12"/>
        <v>0</v>
      </c>
      <c r="F246" s="45">
        <f>SUM($C$2:C246)</f>
        <v>236</v>
      </c>
      <c r="G246" s="49" cm="1">
        <f t="array" aca="1" ref="G246" ca="1">IF(B246=0,"", SUMPRODUCT((Table1[SubscriptionStart]&lt;=A246)*(Table1[EffectiveEndDate]&gt;=A246)*Table1[Age]) / B246 )</f>
        <v>46.364102564102566</v>
      </c>
      <c r="H246" s="22">
        <f>SUMIF(Table1[SubscriptionStart],"&lt;="&amp;A246,Table1[TotalRevenue])</f>
        <v>51193.399999999972</v>
      </c>
      <c r="I246" s="50">
        <f t="shared" si="13"/>
        <v>44834</v>
      </c>
      <c r="J246" s="49">
        <f t="shared" ca="1" si="14"/>
        <v>203.33333333333334</v>
      </c>
      <c r="K246" s="45" cm="1">
        <f t="array" aca="1" ref="K246" ca="1">SUMPRODUCT((Table1[SubscriptionStart] &lt;= $A246) * (Table1[EffectiveEndDate] &gt;= $A246) * (Table1[Region] = "England"))</f>
        <v>49</v>
      </c>
      <c r="L246" s="45" cm="1">
        <f t="array" aca="1" ref="L246" ca="1">SUMPRODUCT((Table1[SubscriptionStart] &lt;= $A246) * (Table1[EffectiveEndDate] &gt;= $A246) * (Table1[Region] = "Scotland"))</f>
        <v>41</v>
      </c>
      <c r="M246" s="45" cm="1">
        <f t="array" aca="1" ref="M246" ca="1">SUMPRODUCT((Table1[SubscriptionStart] &lt;= $A246) * (Table1[EffectiveEndDate] &gt;= $A246) * (Table1[Region] = "Wales"))</f>
        <v>46</v>
      </c>
      <c r="N246" s="45" cm="1">
        <f t="array" aca="1" ref="N246" ca="1">SUMPRODUCT((Table1[SubscriptionStart] &lt;= $A246) * (Table1[EffectiveEndDate] &gt;= $A246) * (Table1[Region] = "Northern Ireland"))</f>
        <v>59</v>
      </c>
      <c r="O246" s="45" cm="1">
        <f t="array" aca="1" ref="O246" ca="1">SUMPRODUCT((Table1[Gender]="Male")*(Table1[SubscriptionStart]&lt;=A246)*(Table1[EffectiveEndDate]&gt;=A246))</f>
        <v>112</v>
      </c>
      <c r="P246" s="45" cm="1">
        <f t="array" aca="1" ref="P246" ca="1">SUMPRODUCT((Table1[Gender]="Female")*(Table1[SubscriptionStart]&lt;=A246)*(Table1[EffectiveEndDate]&gt;=A246))</f>
        <v>83</v>
      </c>
    </row>
    <row r="247" spans="1:16">
      <c r="A247" s="48">
        <f t="shared" si="15"/>
        <v>44807</v>
      </c>
      <c r="B247" s="45" cm="1">
        <f t="array" aca="1" ref="B247" ca="1">SUMPRODUCT((Table1[SubscriptionStart]&lt;=A247)*(Table1[EffectiveEndDate]&gt;=A247))</f>
        <v>196</v>
      </c>
      <c r="C247" s="45">
        <f>COUNTIFS(Table1[SubscriptionStart], A247)</f>
        <v>2</v>
      </c>
      <c r="D247" s="45">
        <f>COUNTIFS(Table1[CancellationDate], A247)</f>
        <v>0</v>
      </c>
      <c r="E247" s="45">
        <f t="shared" si="12"/>
        <v>2</v>
      </c>
      <c r="F247" s="45">
        <f>SUM($C$2:C247)</f>
        <v>238</v>
      </c>
      <c r="G247" s="49" cm="1">
        <f t="array" aca="1" ref="G247" ca="1">IF(B247=0,"", SUMPRODUCT((Table1[SubscriptionStart]&lt;=A247)*(Table1[EffectiveEndDate]&gt;=A247)*Table1[Age]) / B247 )</f>
        <v>46.403061224489797</v>
      </c>
      <c r="H247" s="22">
        <f>SUMIF(Table1[SubscriptionStart],"&lt;="&amp;A247,Table1[TotalRevenue])</f>
        <v>51816.199999999975</v>
      </c>
      <c r="I247" s="50">
        <f t="shared" si="13"/>
        <v>44834</v>
      </c>
      <c r="J247" s="49">
        <f t="shared" ca="1" si="14"/>
        <v>203.33333333333334</v>
      </c>
      <c r="K247" s="45" cm="1">
        <f t="array" aca="1" ref="K247" ca="1">SUMPRODUCT((Table1[SubscriptionStart] &lt;= $A247) * (Table1[EffectiveEndDate] &gt;= $A247) * (Table1[Region] = "England"))</f>
        <v>49</v>
      </c>
      <c r="L247" s="45" cm="1">
        <f t="array" aca="1" ref="L247" ca="1">SUMPRODUCT((Table1[SubscriptionStart] &lt;= $A247) * (Table1[EffectiveEndDate] &gt;= $A247) * (Table1[Region] = "Scotland"))</f>
        <v>41</v>
      </c>
      <c r="M247" s="45" cm="1">
        <f t="array" aca="1" ref="M247" ca="1">SUMPRODUCT((Table1[SubscriptionStart] &lt;= $A247) * (Table1[EffectiveEndDate] &gt;= $A247) * (Table1[Region] = "Wales"))</f>
        <v>47</v>
      </c>
      <c r="N247" s="45" cm="1">
        <f t="array" aca="1" ref="N247" ca="1">SUMPRODUCT((Table1[SubscriptionStart] &lt;= $A247) * (Table1[EffectiveEndDate] &gt;= $A247) * (Table1[Region] = "Northern Ireland"))</f>
        <v>59</v>
      </c>
      <c r="O247" s="45" cm="1">
        <f t="array" aca="1" ref="O247" ca="1">SUMPRODUCT((Table1[Gender]="Male")*(Table1[SubscriptionStart]&lt;=A247)*(Table1[EffectiveEndDate]&gt;=A247))</f>
        <v>113</v>
      </c>
      <c r="P247" s="45" cm="1">
        <f t="array" aca="1" ref="P247" ca="1">SUMPRODUCT((Table1[Gender]="Female")*(Table1[SubscriptionStart]&lt;=A247)*(Table1[EffectiveEndDate]&gt;=A247))</f>
        <v>83</v>
      </c>
    </row>
    <row r="248" spans="1:16">
      <c r="A248" s="48">
        <f t="shared" si="15"/>
        <v>44808</v>
      </c>
      <c r="B248" s="45" cm="1">
        <f t="array" aca="1" ref="B248" ca="1">SUMPRODUCT((Table1[SubscriptionStart]&lt;=A248)*(Table1[EffectiveEndDate]&gt;=A248))</f>
        <v>196</v>
      </c>
      <c r="C248" s="45">
        <f>COUNTIFS(Table1[SubscriptionStart], A248)</f>
        <v>0</v>
      </c>
      <c r="D248" s="45">
        <f>COUNTIFS(Table1[CancellationDate], A248)</f>
        <v>0</v>
      </c>
      <c r="E248" s="45">
        <f t="shared" si="12"/>
        <v>0</v>
      </c>
      <c r="F248" s="45">
        <f>SUM($C$2:C248)</f>
        <v>238</v>
      </c>
      <c r="G248" s="49" cm="1">
        <f t="array" aca="1" ref="G248" ca="1">IF(B248=0,"", SUMPRODUCT((Table1[SubscriptionStart]&lt;=A248)*(Table1[EffectiveEndDate]&gt;=A248)*Table1[Age]) / B248 )</f>
        <v>46.403061224489797</v>
      </c>
      <c r="H248" s="22">
        <f>SUMIF(Table1[SubscriptionStart],"&lt;="&amp;A248,Table1[TotalRevenue])</f>
        <v>51816.199999999975</v>
      </c>
      <c r="I248" s="50">
        <f t="shared" si="13"/>
        <v>44834</v>
      </c>
      <c r="J248" s="49">
        <f t="shared" ca="1" si="14"/>
        <v>203.33333333333334</v>
      </c>
      <c r="K248" s="45" cm="1">
        <f t="array" aca="1" ref="K248" ca="1">SUMPRODUCT((Table1[SubscriptionStart] &lt;= $A248) * (Table1[EffectiveEndDate] &gt;= $A248) * (Table1[Region] = "England"))</f>
        <v>49</v>
      </c>
      <c r="L248" s="45" cm="1">
        <f t="array" aca="1" ref="L248" ca="1">SUMPRODUCT((Table1[SubscriptionStart] &lt;= $A248) * (Table1[EffectiveEndDate] &gt;= $A248) * (Table1[Region] = "Scotland"))</f>
        <v>41</v>
      </c>
      <c r="M248" s="45" cm="1">
        <f t="array" aca="1" ref="M248" ca="1">SUMPRODUCT((Table1[SubscriptionStart] &lt;= $A248) * (Table1[EffectiveEndDate] &gt;= $A248) * (Table1[Region] = "Wales"))</f>
        <v>47</v>
      </c>
      <c r="N248" s="45" cm="1">
        <f t="array" aca="1" ref="N248" ca="1">SUMPRODUCT((Table1[SubscriptionStart] &lt;= $A248) * (Table1[EffectiveEndDate] &gt;= $A248) * (Table1[Region] = "Northern Ireland"))</f>
        <v>59</v>
      </c>
      <c r="O248" s="45" cm="1">
        <f t="array" aca="1" ref="O248" ca="1">SUMPRODUCT((Table1[Gender]="Male")*(Table1[SubscriptionStart]&lt;=A248)*(Table1[EffectiveEndDate]&gt;=A248))</f>
        <v>113</v>
      </c>
      <c r="P248" s="45" cm="1">
        <f t="array" aca="1" ref="P248" ca="1">SUMPRODUCT((Table1[Gender]="Female")*(Table1[SubscriptionStart]&lt;=A248)*(Table1[EffectiveEndDate]&gt;=A248))</f>
        <v>83</v>
      </c>
    </row>
    <row r="249" spans="1:16">
      <c r="A249" s="48">
        <f t="shared" si="15"/>
        <v>44809</v>
      </c>
      <c r="B249" s="45" cm="1">
        <f t="array" aca="1" ref="B249" ca="1">SUMPRODUCT((Table1[SubscriptionStart]&lt;=A249)*(Table1[EffectiveEndDate]&gt;=A249))</f>
        <v>196</v>
      </c>
      <c r="C249" s="45">
        <f>COUNTIFS(Table1[SubscriptionStart], A249)</f>
        <v>0</v>
      </c>
      <c r="D249" s="45">
        <f>COUNTIFS(Table1[CancellationDate], A249)</f>
        <v>1</v>
      </c>
      <c r="E249" s="45">
        <f t="shared" si="12"/>
        <v>-1</v>
      </c>
      <c r="F249" s="45">
        <f>SUM($C$2:C249)</f>
        <v>238</v>
      </c>
      <c r="G249" s="49" cm="1">
        <f t="array" aca="1" ref="G249" ca="1">IF(B249=0,"", SUMPRODUCT((Table1[SubscriptionStart]&lt;=A249)*(Table1[EffectiveEndDate]&gt;=A249)*Table1[Age]) / B249 )</f>
        <v>46.403061224489797</v>
      </c>
      <c r="H249" s="22">
        <f>SUMIF(Table1[SubscriptionStart],"&lt;="&amp;A249,Table1[TotalRevenue])</f>
        <v>51816.199999999975</v>
      </c>
      <c r="I249" s="50">
        <f t="shared" si="13"/>
        <v>44834</v>
      </c>
      <c r="J249" s="49">
        <f t="shared" ca="1" si="14"/>
        <v>203.33333333333334</v>
      </c>
      <c r="K249" s="45" cm="1">
        <f t="array" aca="1" ref="K249" ca="1">SUMPRODUCT((Table1[SubscriptionStart] &lt;= $A249) * (Table1[EffectiveEndDate] &gt;= $A249) * (Table1[Region] = "England"))</f>
        <v>49</v>
      </c>
      <c r="L249" s="45" cm="1">
        <f t="array" aca="1" ref="L249" ca="1">SUMPRODUCT((Table1[SubscriptionStart] &lt;= $A249) * (Table1[EffectiveEndDate] &gt;= $A249) * (Table1[Region] = "Scotland"))</f>
        <v>41</v>
      </c>
      <c r="M249" s="45" cm="1">
        <f t="array" aca="1" ref="M249" ca="1">SUMPRODUCT((Table1[SubscriptionStart] &lt;= $A249) * (Table1[EffectiveEndDate] &gt;= $A249) * (Table1[Region] = "Wales"))</f>
        <v>47</v>
      </c>
      <c r="N249" s="45" cm="1">
        <f t="array" aca="1" ref="N249" ca="1">SUMPRODUCT((Table1[SubscriptionStart] &lt;= $A249) * (Table1[EffectiveEndDate] &gt;= $A249) * (Table1[Region] = "Northern Ireland"))</f>
        <v>59</v>
      </c>
      <c r="O249" s="45" cm="1">
        <f t="array" aca="1" ref="O249" ca="1">SUMPRODUCT((Table1[Gender]="Male")*(Table1[SubscriptionStart]&lt;=A249)*(Table1[EffectiveEndDate]&gt;=A249))</f>
        <v>113</v>
      </c>
      <c r="P249" s="45" cm="1">
        <f t="array" aca="1" ref="P249" ca="1">SUMPRODUCT((Table1[Gender]="Female")*(Table1[SubscriptionStart]&lt;=A249)*(Table1[EffectiveEndDate]&gt;=A249))</f>
        <v>83</v>
      </c>
    </row>
    <row r="250" spans="1:16">
      <c r="A250" s="48">
        <f t="shared" si="15"/>
        <v>44810</v>
      </c>
      <c r="B250" s="45" cm="1">
        <f t="array" aca="1" ref="B250" ca="1">SUMPRODUCT((Table1[SubscriptionStart]&lt;=A250)*(Table1[EffectiveEndDate]&gt;=A250))</f>
        <v>195</v>
      </c>
      <c r="C250" s="45">
        <f>COUNTIFS(Table1[SubscriptionStart], A250)</f>
        <v>0</v>
      </c>
      <c r="D250" s="45">
        <f>COUNTIFS(Table1[CancellationDate], A250)</f>
        <v>0</v>
      </c>
      <c r="E250" s="45">
        <f t="shared" si="12"/>
        <v>0</v>
      </c>
      <c r="F250" s="45">
        <f>SUM($C$2:C250)</f>
        <v>238</v>
      </c>
      <c r="G250" s="49" cm="1">
        <f t="array" aca="1" ref="G250" ca="1">IF(B250=0,"", SUMPRODUCT((Table1[SubscriptionStart]&lt;=A250)*(Table1[EffectiveEndDate]&gt;=A250)*Table1[Age]) / B250 )</f>
        <v>46.353846153846156</v>
      </c>
      <c r="H250" s="22">
        <f>SUMIF(Table1[SubscriptionStart],"&lt;="&amp;A250,Table1[TotalRevenue])</f>
        <v>51816.199999999975</v>
      </c>
      <c r="I250" s="50">
        <f t="shared" si="13"/>
        <v>44834</v>
      </c>
      <c r="J250" s="49">
        <f t="shared" ca="1" si="14"/>
        <v>203.33333333333334</v>
      </c>
      <c r="K250" s="45" cm="1">
        <f t="array" aca="1" ref="K250" ca="1">SUMPRODUCT((Table1[SubscriptionStart] &lt;= $A250) * (Table1[EffectiveEndDate] &gt;= $A250) * (Table1[Region] = "England"))</f>
        <v>49</v>
      </c>
      <c r="L250" s="45" cm="1">
        <f t="array" aca="1" ref="L250" ca="1">SUMPRODUCT((Table1[SubscriptionStart] &lt;= $A250) * (Table1[EffectiveEndDate] &gt;= $A250) * (Table1[Region] = "Scotland"))</f>
        <v>40</v>
      </c>
      <c r="M250" s="45" cm="1">
        <f t="array" aca="1" ref="M250" ca="1">SUMPRODUCT((Table1[SubscriptionStart] &lt;= $A250) * (Table1[EffectiveEndDate] &gt;= $A250) * (Table1[Region] = "Wales"))</f>
        <v>47</v>
      </c>
      <c r="N250" s="45" cm="1">
        <f t="array" aca="1" ref="N250" ca="1">SUMPRODUCT((Table1[SubscriptionStart] &lt;= $A250) * (Table1[EffectiveEndDate] &gt;= $A250) * (Table1[Region] = "Northern Ireland"))</f>
        <v>59</v>
      </c>
      <c r="O250" s="45" cm="1">
        <f t="array" aca="1" ref="O250" ca="1">SUMPRODUCT((Table1[Gender]="Male")*(Table1[SubscriptionStart]&lt;=A250)*(Table1[EffectiveEndDate]&gt;=A250))</f>
        <v>112</v>
      </c>
      <c r="P250" s="45" cm="1">
        <f t="array" aca="1" ref="P250" ca="1">SUMPRODUCT((Table1[Gender]="Female")*(Table1[SubscriptionStart]&lt;=A250)*(Table1[EffectiveEndDate]&gt;=A250))</f>
        <v>83</v>
      </c>
    </row>
    <row r="251" spans="1:16">
      <c r="A251" s="48">
        <f t="shared" si="15"/>
        <v>44811</v>
      </c>
      <c r="B251" s="45" cm="1">
        <f t="array" aca="1" ref="B251" ca="1">SUMPRODUCT((Table1[SubscriptionStart]&lt;=A251)*(Table1[EffectiveEndDate]&gt;=A251))</f>
        <v>196</v>
      </c>
      <c r="C251" s="45">
        <f>COUNTIFS(Table1[SubscriptionStart], A251)</f>
        <v>1</v>
      </c>
      <c r="D251" s="45">
        <f>COUNTIFS(Table1[CancellationDate], A251)</f>
        <v>0</v>
      </c>
      <c r="E251" s="45">
        <f t="shared" si="12"/>
        <v>1</v>
      </c>
      <c r="F251" s="45">
        <f>SUM($C$2:C251)</f>
        <v>239</v>
      </c>
      <c r="G251" s="49" cm="1">
        <f t="array" aca="1" ref="G251" ca="1">IF(B251=0,"", SUMPRODUCT((Table1[SubscriptionStart]&lt;=A251)*(Table1[EffectiveEndDate]&gt;=A251)*Table1[Age]) / B251 )</f>
        <v>46.377551020408163</v>
      </c>
      <c r="H251" s="22">
        <f>SUMIF(Table1[SubscriptionStart],"&lt;="&amp;A251,Table1[TotalRevenue])</f>
        <v>51945.799999999974</v>
      </c>
      <c r="I251" s="50">
        <f t="shared" si="13"/>
        <v>44834</v>
      </c>
      <c r="J251" s="49">
        <f t="shared" ca="1" si="14"/>
        <v>203.33333333333334</v>
      </c>
      <c r="K251" s="45" cm="1">
        <f t="array" aca="1" ref="K251" ca="1">SUMPRODUCT((Table1[SubscriptionStart] &lt;= $A251) * (Table1[EffectiveEndDate] &gt;= $A251) * (Table1[Region] = "England"))</f>
        <v>49</v>
      </c>
      <c r="L251" s="45" cm="1">
        <f t="array" aca="1" ref="L251" ca="1">SUMPRODUCT((Table1[SubscriptionStart] &lt;= $A251) * (Table1[EffectiveEndDate] &gt;= $A251) * (Table1[Region] = "Scotland"))</f>
        <v>40</v>
      </c>
      <c r="M251" s="45" cm="1">
        <f t="array" aca="1" ref="M251" ca="1">SUMPRODUCT((Table1[SubscriptionStart] &lt;= $A251) * (Table1[EffectiveEndDate] &gt;= $A251) * (Table1[Region] = "Wales"))</f>
        <v>48</v>
      </c>
      <c r="N251" s="45" cm="1">
        <f t="array" aca="1" ref="N251" ca="1">SUMPRODUCT((Table1[SubscriptionStart] &lt;= $A251) * (Table1[EffectiveEndDate] &gt;= $A251) * (Table1[Region] = "Northern Ireland"))</f>
        <v>59</v>
      </c>
      <c r="O251" s="45" cm="1">
        <f t="array" aca="1" ref="O251" ca="1">SUMPRODUCT((Table1[Gender]="Male")*(Table1[SubscriptionStart]&lt;=A251)*(Table1[EffectiveEndDate]&gt;=A251))</f>
        <v>113</v>
      </c>
      <c r="P251" s="45" cm="1">
        <f t="array" aca="1" ref="P251" ca="1">SUMPRODUCT((Table1[Gender]="Female")*(Table1[SubscriptionStart]&lt;=A251)*(Table1[EffectiveEndDate]&gt;=A251))</f>
        <v>83</v>
      </c>
    </row>
    <row r="252" spans="1:16">
      <c r="A252" s="48">
        <f t="shared" si="15"/>
        <v>44812</v>
      </c>
      <c r="B252" s="45" cm="1">
        <f t="array" aca="1" ref="B252" ca="1">SUMPRODUCT((Table1[SubscriptionStart]&lt;=A252)*(Table1[EffectiveEndDate]&gt;=A252))</f>
        <v>197</v>
      </c>
      <c r="C252" s="45">
        <f>COUNTIFS(Table1[SubscriptionStart], A252)</f>
        <v>1</v>
      </c>
      <c r="D252" s="45">
        <f>COUNTIFS(Table1[CancellationDate], A252)</f>
        <v>0</v>
      </c>
      <c r="E252" s="45">
        <f t="shared" si="12"/>
        <v>1</v>
      </c>
      <c r="F252" s="45">
        <f>SUM($C$2:C252)</f>
        <v>240</v>
      </c>
      <c r="G252" s="49" cm="1">
        <f t="array" aca="1" ref="G252" ca="1">IF(B252=0,"", SUMPRODUCT((Table1[SubscriptionStart]&lt;=A252)*(Table1[EffectiveEndDate]&gt;=A252)*Table1[Age]) / B252 )</f>
        <v>46.482233502538072</v>
      </c>
      <c r="H252" s="22">
        <f>SUMIF(Table1[SubscriptionStart],"&lt;="&amp;A252,Table1[TotalRevenue])</f>
        <v>52075.399999999972</v>
      </c>
      <c r="I252" s="50">
        <f t="shared" si="13"/>
        <v>44834</v>
      </c>
      <c r="J252" s="49">
        <f t="shared" ca="1" si="14"/>
        <v>203.33333333333334</v>
      </c>
      <c r="K252" s="45" cm="1">
        <f t="array" aca="1" ref="K252" ca="1">SUMPRODUCT((Table1[SubscriptionStart] &lt;= $A252) * (Table1[EffectiveEndDate] &gt;= $A252) * (Table1[Region] = "England"))</f>
        <v>49</v>
      </c>
      <c r="L252" s="45" cm="1">
        <f t="array" aca="1" ref="L252" ca="1">SUMPRODUCT((Table1[SubscriptionStart] &lt;= $A252) * (Table1[EffectiveEndDate] &gt;= $A252) * (Table1[Region] = "Scotland"))</f>
        <v>41</v>
      </c>
      <c r="M252" s="45" cm="1">
        <f t="array" aca="1" ref="M252" ca="1">SUMPRODUCT((Table1[SubscriptionStart] &lt;= $A252) * (Table1[EffectiveEndDate] &gt;= $A252) * (Table1[Region] = "Wales"))</f>
        <v>48</v>
      </c>
      <c r="N252" s="45" cm="1">
        <f t="array" aca="1" ref="N252" ca="1">SUMPRODUCT((Table1[SubscriptionStart] &lt;= $A252) * (Table1[EffectiveEndDate] &gt;= $A252) * (Table1[Region] = "Northern Ireland"))</f>
        <v>59</v>
      </c>
      <c r="O252" s="45" cm="1">
        <f t="array" aca="1" ref="O252" ca="1">SUMPRODUCT((Table1[Gender]="Male")*(Table1[SubscriptionStart]&lt;=A252)*(Table1[EffectiveEndDate]&gt;=A252))</f>
        <v>114</v>
      </c>
      <c r="P252" s="45" cm="1">
        <f t="array" aca="1" ref="P252" ca="1">SUMPRODUCT((Table1[Gender]="Female")*(Table1[SubscriptionStart]&lt;=A252)*(Table1[EffectiveEndDate]&gt;=A252))</f>
        <v>83</v>
      </c>
    </row>
    <row r="253" spans="1:16">
      <c r="A253" s="48">
        <f t="shared" si="15"/>
        <v>44813</v>
      </c>
      <c r="B253" s="45" cm="1">
        <f t="array" aca="1" ref="B253" ca="1">SUMPRODUCT((Table1[SubscriptionStart]&lt;=A253)*(Table1[EffectiveEndDate]&gt;=A253))</f>
        <v>198</v>
      </c>
      <c r="C253" s="45">
        <f>COUNTIFS(Table1[SubscriptionStart], A253)</f>
        <v>1</v>
      </c>
      <c r="D253" s="45">
        <f>COUNTIFS(Table1[CancellationDate], A253)</f>
        <v>0</v>
      </c>
      <c r="E253" s="45">
        <f t="shared" si="12"/>
        <v>1</v>
      </c>
      <c r="F253" s="45">
        <f>SUM($C$2:C253)</f>
        <v>241</v>
      </c>
      <c r="G253" s="49" cm="1">
        <f t="array" aca="1" ref="G253" ca="1">IF(B253=0,"", SUMPRODUCT((Table1[SubscriptionStart]&lt;=A253)*(Table1[EffectiveEndDate]&gt;=A253)*Table1[Age]) / B253 )</f>
        <v>46.378787878787875</v>
      </c>
      <c r="H253" s="22">
        <f>SUMIF(Table1[SubscriptionStart],"&lt;="&amp;A253,Table1[TotalRevenue])</f>
        <v>52255.399999999972</v>
      </c>
      <c r="I253" s="50">
        <f t="shared" si="13"/>
        <v>44834</v>
      </c>
      <c r="J253" s="49">
        <f t="shared" ca="1" si="14"/>
        <v>203.33333333333334</v>
      </c>
      <c r="K253" s="45" cm="1">
        <f t="array" aca="1" ref="K253" ca="1">SUMPRODUCT((Table1[SubscriptionStart] &lt;= $A253) * (Table1[EffectiveEndDate] &gt;= $A253) * (Table1[Region] = "England"))</f>
        <v>49</v>
      </c>
      <c r="L253" s="45" cm="1">
        <f t="array" aca="1" ref="L253" ca="1">SUMPRODUCT((Table1[SubscriptionStart] &lt;= $A253) * (Table1[EffectiveEndDate] &gt;= $A253) * (Table1[Region] = "Scotland"))</f>
        <v>42</v>
      </c>
      <c r="M253" s="45" cm="1">
        <f t="array" aca="1" ref="M253" ca="1">SUMPRODUCT((Table1[SubscriptionStart] &lt;= $A253) * (Table1[EffectiveEndDate] &gt;= $A253) * (Table1[Region] = "Wales"))</f>
        <v>48</v>
      </c>
      <c r="N253" s="45" cm="1">
        <f t="array" aca="1" ref="N253" ca="1">SUMPRODUCT((Table1[SubscriptionStart] &lt;= $A253) * (Table1[EffectiveEndDate] &gt;= $A253) * (Table1[Region] = "Northern Ireland"))</f>
        <v>59</v>
      </c>
      <c r="O253" s="45" cm="1">
        <f t="array" aca="1" ref="O253" ca="1">SUMPRODUCT((Table1[Gender]="Male")*(Table1[SubscriptionStart]&lt;=A253)*(Table1[EffectiveEndDate]&gt;=A253))</f>
        <v>114</v>
      </c>
      <c r="P253" s="45" cm="1">
        <f t="array" aca="1" ref="P253" ca="1">SUMPRODUCT((Table1[Gender]="Female")*(Table1[SubscriptionStart]&lt;=A253)*(Table1[EffectiveEndDate]&gt;=A253))</f>
        <v>84</v>
      </c>
    </row>
    <row r="254" spans="1:16">
      <c r="A254" s="48">
        <f t="shared" si="15"/>
        <v>44814</v>
      </c>
      <c r="B254" s="45" cm="1">
        <f t="array" aca="1" ref="B254" ca="1">SUMPRODUCT((Table1[SubscriptionStart]&lt;=A254)*(Table1[EffectiveEndDate]&gt;=A254))</f>
        <v>198</v>
      </c>
      <c r="C254" s="45">
        <f>COUNTIFS(Table1[SubscriptionStart], A254)</f>
        <v>0</v>
      </c>
      <c r="D254" s="45">
        <f>COUNTIFS(Table1[CancellationDate], A254)</f>
        <v>0</v>
      </c>
      <c r="E254" s="45">
        <f t="shared" si="12"/>
        <v>0</v>
      </c>
      <c r="F254" s="45">
        <f>SUM($C$2:C254)</f>
        <v>241</v>
      </c>
      <c r="G254" s="49" cm="1">
        <f t="array" aca="1" ref="G254" ca="1">IF(B254=0,"", SUMPRODUCT((Table1[SubscriptionStart]&lt;=A254)*(Table1[EffectiveEndDate]&gt;=A254)*Table1[Age]) / B254 )</f>
        <v>46.378787878787875</v>
      </c>
      <c r="H254" s="22">
        <f>SUMIF(Table1[SubscriptionStart],"&lt;="&amp;A254,Table1[TotalRevenue])</f>
        <v>52255.399999999972</v>
      </c>
      <c r="I254" s="50">
        <f t="shared" si="13"/>
        <v>44834</v>
      </c>
      <c r="J254" s="49">
        <f t="shared" ca="1" si="14"/>
        <v>203.33333333333334</v>
      </c>
      <c r="K254" s="45" cm="1">
        <f t="array" aca="1" ref="K254" ca="1">SUMPRODUCT((Table1[SubscriptionStart] &lt;= $A254) * (Table1[EffectiveEndDate] &gt;= $A254) * (Table1[Region] = "England"))</f>
        <v>49</v>
      </c>
      <c r="L254" s="45" cm="1">
        <f t="array" aca="1" ref="L254" ca="1">SUMPRODUCT((Table1[SubscriptionStart] &lt;= $A254) * (Table1[EffectiveEndDate] &gt;= $A254) * (Table1[Region] = "Scotland"))</f>
        <v>42</v>
      </c>
      <c r="M254" s="45" cm="1">
        <f t="array" aca="1" ref="M254" ca="1">SUMPRODUCT((Table1[SubscriptionStart] &lt;= $A254) * (Table1[EffectiveEndDate] &gt;= $A254) * (Table1[Region] = "Wales"))</f>
        <v>48</v>
      </c>
      <c r="N254" s="45" cm="1">
        <f t="array" aca="1" ref="N254" ca="1">SUMPRODUCT((Table1[SubscriptionStart] &lt;= $A254) * (Table1[EffectiveEndDate] &gt;= $A254) * (Table1[Region] = "Northern Ireland"))</f>
        <v>59</v>
      </c>
      <c r="O254" s="45" cm="1">
        <f t="array" aca="1" ref="O254" ca="1">SUMPRODUCT((Table1[Gender]="Male")*(Table1[SubscriptionStart]&lt;=A254)*(Table1[EffectiveEndDate]&gt;=A254))</f>
        <v>114</v>
      </c>
      <c r="P254" s="45" cm="1">
        <f t="array" aca="1" ref="P254" ca="1">SUMPRODUCT((Table1[Gender]="Female")*(Table1[SubscriptionStart]&lt;=A254)*(Table1[EffectiveEndDate]&gt;=A254))</f>
        <v>84</v>
      </c>
    </row>
    <row r="255" spans="1:16">
      <c r="A255" s="48">
        <f t="shared" si="15"/>
        <v>44815</v>
      </c>
      <c r="B255" s="45" cm="1">
        <f t="array" aca="1" ref="B255" ca="1">SUMPRODUCT((Table1[SubscriptionStart]&lt;=A255)*(Table1[EffectiveEndDate]&gt;=A255))</f>
        <v>200</v>
      </c>
      <c r="C255" s="45">
        <f>COUNTIFS(Table1[SubscriptionStart], A255)</f>
        <v>2</v>
      </c>
      <c r="D255" s="45">
        <f>COUNTIFS(Table1[CancellationDate], A255)</f>
        <v>1</v>
      </c>
      <c r="E255" s="45">
        <f t="shared" si="12"/>
        <v>1</v>
      </c>
      <c r="F255" s="45">
        <f>SUM($C$2:C255)</f>
        <v>243</v>
      </c>
      <c r="G255" s="49" cm="1">
        <f t="array" aca="1" ref="G255" ca="1">IF(B255=0,"", SUMPRODUCT((Table1[SubscriptionStart]&lt;=A255)*(Table1[EffectiveEndDate]&gt;=A255)*Table1[Age]) / B255 )</f>
        <v>46.155000000000001</v>
      </c>
      <c r="H255" s="22">
        <f>SUMIF(Table1[SubscriptionStart],"&lt;="&amp;A255,Table1[TotalRevenue])</f>
        <v>53249.899999999972</v>
      </c>
      <c r="I255" s="50">
        <f t="shared" si="13"/>
        <v>44834</v>
      </c>
      <c r="J255" s="49">
        <f t="shared" ca="1" si="14"/>
        <v>203.33333333333334</v>
      </c>
      <c r="K255" s="45" cm="1">
        <f t="array" aca="1" ref="K255" ca="1">SUMPRODUCT((Table1[SubscriptionStart] &lt;= $A255) * (Table1[EffectiveEndDate] &gt;= $A255) * (Table1[Region] = "England"))</f>
        <v>50</v>
      </c>
      <c r="L255" s="45" cm="1">
        <f t="array" aca="1" ref="L255" ca="1">SUMPRODUCT((Table1[SubscriptionStart] &lt;= $A255) * (Table1[EffectiveEndDate] &gt;= $A255) * (Table1[Region] = "Scotland"))</f>
        <v>42</v>
      </c>
      <c r="M255" s="45" cm="1">
        <f t="array" aca="1" ref="M255" ca="1">SUMPRODUCT((Table1[SubscriptionStart] &lt;= $A255) * (Table1[EffectiveEndDate] &gt;= $A255) * (Table1[Region] = "Wales"))</f>
        <v>48</v>
      </c>
      <c r="N255" s="45" cm="1">
        <f t="array" aca="1" ref="N255" ca="1">SUMPRODUCT((Table1[SubscriptionStart] &lt;= $A255) * (Table1[EffectiveEndDate] &gt;= $A255) * (Table1[Region] = "Northern Ireland"))</f>
        <v>60</v>
      </c>
      <c r="O255" s="45" cm="1">
        <f t="array" aca="1" ref="O255" ca="1">SUMPRODUCT((Table1[Gender]="Male")*(Table1[SubscriptionStart]&lt;=A255)*(Table1[EffectiveEndDate]&gt;=A255))</f>
        <v>115</v>
      </c>
      <c r="P255" s="45" cm="1">
        <f t="array" aca="1" ref="P255" ca="1">SUMPRODUCT((Table1[Gender]="Female")*(Table1[SubscriptionStart]&lt;=A255)*(Table1[EffectiveEndDate]&gt;=A255))</f>
        <v>85</v>
      </c>
    </row>
    <row r="256" spans="1:16">
      <c r="A256" s="48">
        <f t="shared" si="15"/>
        <v>44816</v>
      </c>
      <c r="B256" s="45" cm="1">
        <f t="array" aca="1" ref="B256" ca="1">SUMPRODUCT((Table1[SubscriptionStart]&lt;=A256)*(Table1[EffectiveEndDate]&gt;=A256))</f>
        <v>200</v>
      </c>
      <c r="C256" s="45">
        <f>COUNTIFS(Table1[SubscriptionStart], A256)</f>
        <v>1</v>
      </c>
      <c r="D256" s="45">
        <f>COUNTIFS(Table1[CancellationDate], A256)</f>
        <v>1</v>
      </c>
      <c r="E256" s="45">
        <f t="shared" si="12"/>
        <v>0</v>
      </c>
      <c r="F256" s="45">
        <f>SUM($C$2:C256)</f>
        <v>244</v>
      </c>
      <c r="G256" s="49" cm="1">
        <f t="array" aca="1" ref="G256" ca="1">IF(B256=0,"", SUMPRODUCT((Table1[SubscriptionStart]&lt;=A256)*(Table1[EffectiveEndDate]&gt;=A256)*Table1[Age]) / B256 )</f>
        <v>46.11</v>
      </c>
      <c r="H256" s="22">
        <f>SUMIF(Table1[SubscriptionStart],"&lt;="&amp;A256,Table1[TotalRevenue])</f>
        <v>53379.499999999971</v>
      </c>
      <c r="I256" s="50">
        <f t="shared" si="13"/>
        <v>44834</v>
      </c>
      <c r="J256" s="49">
        <f t="shared" ca="1" si="14"/>
        <v>203.33333333333334</v>
      </c>
      <c r="K256" s="45" cm="1">
        <f t="array" aca="1" ref="K256" ca="1">SUMPRODUCT((Table1[SubscriptionStart] &lt;= $A256) * (Table1[EffectiveEndDate] &gt;= $A256) * (Table1[Region] = "England"))</f>
        <v>50</v>
      </c>
      <c r="L256" s="45" cm="1">
        <f t="array" aca="1" ref="L256" ca="1">SUMPRODUCT((Table1[SubscriptionStart] &lt;= $A256) * (Table1[EffectiveEndDate] &gt;= $A256) * (Table1[Region] = "Scotland"))</f>
        <v>42</v>
      </c>
      <c r="M256" s="45" cm="1">
        <f t="array" aca="1" ref="M256" ca="1">SUMPRODUCT((Table1[SubscriptionStart] &lt;= $A256) * (Table1[EffectiveEndDate] &gt;= $A256) * (Table1[Region] = "Wales"))</f>
        <v>48</v>
      </c>
      <c r="N256" s="45" cm="1">
        <f t="array" aca="1" ref="N256" ca="1">SUMPRODUCT((Table1[SubscriptionStart] &lt;= $A256) * (Table1[EffectiveEndDate] &gt;= $A256) * (Table1[Region] = "Northern Ireland"))</f>
        <v>60</v>
      </c>
      <c r="O256" s="45" cm="1">
        <f t="array" aca="1" ref="O256" ca="1">SUMPRODUCT((Table1[Gender]="Male")*(Table1[SubscriptionStart]&lt;=A256)*(Table1[EffectiveEndDate]&gt;=A256))</f>
        <v>115</v>
      </c>
      <c r="P256" s="45" cm="1">
        <f t="array" aca="1" ref="P256" ca="1">SUMPRODUCT((Table1[Gender]="Female")*(Table1[SubscriptionStart]&lt;=A256)*(Table1[EffectiveEndDate]&gt;=A256))</f>
        <v>85</v>
      </c>
    </row>
    <row r="257" spans="1:16">
      <c r="A257" s="48">
        <f t="shared" si="15"/>
        <v>44817</v>
      </c>
      <c r="B257" s="45" cm="1">
        <f t="array" aca="1" ref="B257" ca="1">SUMPRODUCT((Table1[SubscriptionStart]&lt;=A257)*(Table1[EffectiveEndDate]&gt;=A257))</f>
        <v>200</v>
      </c>
      <c r="C257" s="45">
        <f>COUNTIFS(Table1[SubscriptionStart], A257)</f>
        <v>1</v>
      </c>
      <c r="D257" s="45">
        <f>COUNTIFS(Table1[CancellationDate], A257)</f>
        <v>0</v>
      </c>
      <c r="E257" s="45">
        <f t="shared" si="12"/>
        <v>1</v>
      </c>
      <c r="F257" s="45">
        <f>SUM($C$2:C257)</f>
        <v>245</v>
      </c>
      <c r="G257" s="49" cm="1">
        <f t="array" aca="1" ref="G257" ca="1">IF(B257=0,"", SUMPRODUCT((Table1[SubscriptionStart]&lt;=A257)*(Table1[EffectiveEndDate]&gt;=A257)*Table1[Age]) / B257 )</f>
        <v>46.234999999999999</v>
      </c>
      <c r="H257" s="22">
        <f>SUMIF(Table1[SubscriptionStart],"&lt;="&amp;A257,Table1[TotalRevenue])</f>
        <v>54301.999999999971</v>
      </c>
      <c r="I257" s="50">
        <f t="shared" si="13"/>
        <v>44834</v>
      </c>
      <c r="J257" s="49">
        <f t="shared" ca="1" si="14"/>
        <v>203.33333333333334</v>
      </c>
      <c r="K257" s="45" cm="1">
        <f t="array" aca="1" ref="K257" ca="1">SUMPRODUCT((Table1[SubscriptionStart] &lt;= $A257) * (Table1[EffectiveEndDate] &gt;= $A257) * (Table1[Region] = "England"))</f>
        <v>50</v>
      </c>
      <c r="L257" s="45" cm="1">
        <f t="array" aca="1" ref="L257" ca="1">SUMPRODUCT((Table1[SubscriptionStart] &lt;= $A257) * (Table1[EffectiveEndDate] &gt;= $A257) * (Table1[Region] = "Scotland"))</f>
        <v>42</v>
      </c>
      <c r="M257" s="45" cm="1">
        <f t="array" aca="1" ref="M257" ca="1">SUMPRODUCT((Table1[SubscriptionStart] &lt;= $A257) * (Table1[EffectiveEndDate] &gt;= $A257) * (Table1[Region] = "Wales"))</f>
        <v>48</v>
      </c>
      <c r="N257" s="45" cm="1">
        <f t="array" aca="1" ref="N257" ca="1">SUMPRODUCT((Table1[SubscriptionStart] &lt;= $A257) * (Table1[EffectiveEndDate] &gt;= $A257) * (Table1[Region] = "Northern Ireland"))</f>
        <v>60</v>
      </c>
      <c r="O257" s="45" cm="1">
        <f t="array" aca="1" ref="O257" ca="1">SUMPRODUCT((Table1[Gender]="Male")*(Table1[SubscriptionStart]&lt;=A257)*(Table1[EffectiveEndDate]&gt;=A257))</f>
        <v>116</v>
      </c>
      <c r="P257" s="45" cm="1">
        <f t="array" aca="1" ref="P257" ca="1">SUMPRODUCT((Table1[Gender]="Female")*(Table1[SubscriptionStart]&lt;=A257)*(Table1[EffectiveEndDate]&gt;=A257))</f>
        <v>84</v>
      </c>
    </row>
    <row r="258" spans="1:16">
      <c r="A258" s="48">
        <f t="shared" si="15"/>
        <v>44818</v>
      </c>
      <c r="B258" s="45" cm="1">
        <f t="array" aca="1" ref="B258" ca="1">SUMPRODUCT((Table1[SubscriptionStart]&lt;=A258)*(Table1[EffectiveEndDate]&gt;=A258))</f>
        <v>202</v>
      </c>
      <c r="C258" s="45">
        <f>COUNTIFS(Table1[SubscriptionStart], A258)</f>
        <v>2</v>
      </c>
      <c r="D258" s="45">
        <f>COUNTIFS(Table1[CancellationDate], A258)</f>
        <v>0</v>
      </c>
      <c r="E258" s="45">
        <f t="shared" ref="E258:E321" si="16" xml:space="preserve"> C258 - D258</f>
        <v>2</v>
      </c>
      <c r="F258" s="45">
        <f>SUM($C$2:C258)</f>
        <v>247</v>
      </c>
      <c r="G258" s="49" cm="1">
        <f t="array" aca="1" ref="G258" ca="1">IF(B258=0,"", SUMPRODUCT((Table1[SubscriptionStart]&lt;=A258)*(Table1[EffectiveEndDate]&gt;=A258)*Table1[Age]) / B258 )</f>
        <v>46.099009900990097</v>
      </c>
      <c r="H258" s="22">
        <f>SUMIF(Table1[SubscriptionStart],"&lt;="&amp;A258,Table1[TotalRevenue])</f>
        <v>54431.599999999969</v>
      </c>
      <c r="I258" s="50">
        <f t="shared" ref="I258:I321" si="17">EOMONTH(A258,0)</f>
        <v>44834</v>
      </c>
      <c r="J258" s="49">
        <f t="shared" ref="J258:J321" ca="1" si="18">AVERAGEIFS(B:B, I:I, I258)</f>
        <v>203.33333333333334</v>
      </c>
      <c r="K258" s="45" cm="1">
        <f t="array" aca="1" ref="K258" ca="1">SUMPRODUCT((Table1[SubscriptionStart] &lt;= $A258) * (Table1[EffectiveEndDate] &gt;= $A258) * (Table1[Region] = "England"))</f>
        <v>51</v>
      </c>
      <c r="L258" s="45" cm="1">
        <f t="array" aca="1" ref="L258" ca="1">SUMPRODUCT((Table1[SubscriptionStart] &lt;= $A258) * (Table1[EffectiveEndDate] &gt;= $A258) * (Table1[Region] = "Scotland"))</f>
        <v>43</v>
      </c>
      <c r="M258" s="45" cm="1">
        <f t="array" aca="1" ref="M258" ca="1">SUMPRODUCT((Table1[SubscriptionStart] &lt;= $A258) * (Table1[EffectiveEndDate] &gt;= $A258) * (Table1[Region] = "Wales"))</f>
        <v>48</v>
      </c>
      <c r="N258" s="45" cm="1">
        <f t="array" aca="1" ref="N258" ca="1">SUMPRODUCT((Table1[SubscriptionStart] &lt;= $A258) * (Table1[EffectiveEndDate] &gt;= $A258) * (Table1[Region] = "Northern Ireland"))</f>
        <v>60</v>
      </c>
      <c r="O258" s="45" cm="1">
        <f t="array" aca="1" ref="O258" ca="1">SUMPRODUCT((Table1[Gender]="Male")*(Table1[SubscriptionStart]&lt;=A258)*(Table1[EffectiveEndDate]&gt;=A258))</f>
        <v>118</v>
      </c>
      <c r="P258" s="45" cm="1">
        <f t="array" aca="1" ref="P258" ca="1">SUMPRODUCT((Table1[Gender]="Female")*(Table1[SubscriptionStart]&lt;=A258)*(Table1[EffectiveEndDate]&gt;=A258))</f>
        <v>84</v>
      </c>
    </row>
    <row r="259" spans="1:16">
      <c r="A259" s="48">
        <f t="shared" si="15"/>
        <v>44819</v>
      </c>
      <c r="B259" s="45" cm="1">
        <f t="array" aca="1" ref="B259" ca="1">SUMPRODUCT((Table1[SubscriptionStart]&lt;=A259)*(Table1[EffectiveEndDate]&gt;=A259))</f>
        <v>205</v>
      </c>
      <c r="C259" s="45">
        <f>COUNTIFS(Table1[SubscriptionStart], A259)</f>
        <v>3</v>
      </c>
      <c r="D259" s="45">
        <f>COUNTIFS(Table1[CancellationDate], A259)</f>
        <v>0</v>
      </c>
      <c r="E259" s="45">
        <f t="shared" si="16"/>
        <v>3</v>
      </c>
      <c r="F259" s="45">
        <f>SUM($C$2:C259)</f>
        <v>250</v>
      </c>
      <c r="G259" s="49" cm="1">
        <f t="array" aca="1" ref="G259" ca="1">IF(B259=0,"", SUMPRODUCT((Table1[SubscriptionStart]&lt;=A259)*(Table1[EffectiveEndDate]&gt;=A259)*Table1[Age]) / B259 )</f>
        <v>46.487804878048777</v>
      </c>
      <c r="H259" s="22">
        <f>SUMIF(Table1[SubscriptionStart],"&lt;="&amp;A259,Table1[TotalRevenue])</f>
        <v>54791.599999999969</v>
      </c>
      <c r="I259" s="50">
        <f t="shared" si="17"/>
        <v>44834</v>
      </c>
      <c r="J259" s="49">
        <f t="shared" ca="1" si="18"/>
        <v>203.33333333333334</v>
      </c>
      <c r="K259" s="45" cm="1">
        <f t="array" aca="1" ref="K259" ca="1">SUMPRODUCT((Table1[SubscriptionStart] &lt;= $A259) * (Table1[EffectiveEndDate] &gt;= $A259) * (Table1[Region] = "England"))</f>
        <v>52</v>
      </c>
      <c r="L259" s="45" cm="1">
        <f t="array" aca="1" ref="L259" ca="1">SUMPRODUCT((Table1[SubscriptionStart] &lt;= $A259) * (Table1[EffectiveEndDate] &gt;= $A259) * (Table1[Region] = "Scotland"))</f>
        <v>44</v>
      </c>
      <c r="M259" s="45" cm="1">
        <f t="array" aca="1" ref="M259" ca="1">SUMPRODUCT((Table1[SubscriptionStart] &lt;= $A259) * (Table1[EffectiveEndDate] &gt;= $A259) * (Table1[Region] = "Wales"))</f>
        <v>48</v>
      </c>
      <c r="N259" s="45" cm="1">
        <f t="array" aca="1" ref="N259" ca="1">SUMPRODUCT((Table1[SubscriptionStart] &lt;= $A259) * (Table1[EffectiveEndDate] &gt;= $A259) * (Table1[Region] = "Northern Ireland"))</f>
        <v>61</v>
      </c>
      <c r="O259" s="45" cm="1">
        <f t="array" aca="1" ref="O259" ca="1">SUMPRODUCT((Table1[Gender]="Male")*(Table1[SubscriptionStart]&lt;=A259)*(Table1[EffectiveEndDate]&gt;=A259))</f>
        <v>119</v>
      </c>
      <c r="P259" s="45" cm="1">
        <f t="array" aca="1" ref="P259" ca="1">SUMPRODUCT((Table1[Gender]="Female")*(Table1[SubscriptionStart]&lt;=A259)*(Table1[EffectiveEndDate]&gt;=A259))</f>
        <v>86</v>
      </c>
    </row>
    <row r="260" spans="1:16">
      <c r="A260" s="48">
        <f t="shared" ref="A260:A323" si="19">A259+1</f>
        <v>44820</v>
      </c>
      <c r="B260" s="45" cm="1">
        <f t="array" aca="1" ref="B260" ca="1">SUMPRODUCT((Table1[SubscriptionStart]&lt;=A260)*(Table1[EffectiveEndDate]&gt;=A260))</f>
        <v>205</v>
      </c>
      <c r="C260" s="45">
        <f>COUNTIFS(Table1[SubscriptionStart], A260)</f>
        <v>0</v>
      </c>
      <c r="D260" s="45">
        <f>COUNTIFS(Table1[CancellationDate], A260)</f>
        <v>0</v>
      </c>
      <c r="E260" s="45">
        <f t="shared" si="16"/>
        <v>0</v>
      </c>
      <c r="F260" s="45">
        <f>SUM($C$2:C260)</f>
        <v>250</v>
      </c>
      <c r="G260" s="49" cm="1">
        <f t="array" aca="1" ref="G260" ca="1">IF(B260=0,"", SUMPRODUCT((Table1[SubscriptionStart]&lt;=A260)*(Table1[EffectiveEndDate]&gt;=A260)*Table1[Age]) / B260 )</f>
        <v>46.487804878048777</v>
      </c>
      <c r="H260" s="22">
        <f>SUMIF(Table1[SubscriptionStart],"&lt;="&amp;A260,Table1[TotalRevenue])</f>
        <v>54791.599999999969</v>
      </c>
      <c r="I260" s="50">
        <f t="shared" si="17"/>
        <v>44834</v>
      </c>
      <c r="J260" s="49">
        <f t="shared" ca="1" si="18"/>
        <v>203.33333333333334</v>
      </c>
      <c r="K260" s="45" cm="1">
        <f t="array" aca="1" ref="K260" ca="1">SUMPRODUCT((Table1[SubscriptionStart] &lt;= $A260) * (Table1[EffectiveEndDate] &gt;= $A260) * (Table1[Region] = "England"))</f>
        <v>52</v>
      </c>
      <c r="L260" s="45" cm="1">
        <f t="array" aca="1" ref="L260" ca="1">SUMPRODUCT((Table1[SubscriptionStart] &lt;= $A260) * (Table1[EffectiveEndDate] &gt;= $A260) * (Table1[Region] = "Scotland"))</f>
        <v>44</v>
      </c>
      <c r="M260" s="45" cm="1">
        <f t="array" aca="1" ref="M260" ca="1">SUMPRODUCT((Table1[SubscriptionStart] &lt;= $A260) * (Table1[EffectiveEndDate] &gt;= $A260) * (Table1[Region] = "Wales"))</f>
        <v>48</v>
      </c>
      <c r="N260" s="45" cm="1">
        <f t="array" aca="1" ref="N260" ca="1">SUMPRODUCT((Table1[SubscriptionStart] &lt;= $A260) * (Table1[EffectiveEndDate] &gt;= $A260) * (Table1[Region] = "Northern Ireland"))</f>
        <v>61</v>
      </c>
      <c r="O260" s="45" cm="1">
        <f t="array" aca="1" ref="O260" ca="1">SUMPRODUCT((Table1[Gender]="Male")*(Table1[SubscriptionStart]&lt;=A260)*(Table1[EffectiveEndDate]&gt;=A260))</f>
        <v>119</v>
      </c>
      <c r="P260" s="45" cm="1">
        <f t="array" aca="1" ref="P260" ca="1">SUMPRODUCT((Table1[Gender]="Female")*(Table1[SubscriptionStart]&lt;=A260)*(Table1[EffectiveEndDate]&gt;=A260))</f>
        <v>86</v>
      </c>
    </row>
    <row r="261" spans="1:16">
      <c r="A261" s="48">
        <f t="shared" si="19"/>
        <v>44821</v>
      </c>
      <c r="B261" s="45" cm="1">
        <f t="array" aca="1" ref="B261" ca="1">SUMPRODUCT((Table1[SubscriptionStart]&lt;=A261)*(Table1[EffectiveEndDate]&gt;=A261))</f>
        <v>205</v>
      </c>
      <c r="C261" s="45">
        <f>COUNTIFS(Table1[SubscriptionStart], A261)</f>
        <v>0</v>
      </c>
      <c r="D261" s="45">
        <f>COUNTIFS(Table1[CancellationDate], A261)</f>
        <v>0</v>
      </c>
      <c r="E261" s="45">
        <f t="shared" si="16"/>
        <v>0</v>
      </c>
      <c r="F261" s="45">
        <f>SUM($C$2:C261)</f>
        <v>250</v>
      </c>
      <c r="G261" s="49" cm="1">
        <f t="array" aca="1" ref="G261" ca="1">IF(B261=0,"", SUMPRODUCT((Table1[SubscriptionStart]&lt;=A261)*(Table1[EffectiveEndDate]&gt;=A261)*Table1[Age]) / B261 )</f>
        <v>46.487804878048777</v>
      </c>
      <c r="H261" s="22">
        <f>SUMIF(Table1[SubscriptionStart],"&lt;="&amp;A261,Table1[TotalRevenue])</f>
        <v>54791.599999999969</v>
      </c>
      <c r="I261" s="50">
        <f t="shared" si="17"/>
        <v>44834</v>
      </c>
      <c r="J261" s="49">
        <f t="shared" ca="1" si="18"/>
        <v>203.33333333333334</v>
      </c>
      <c r="K261" s="45" cm="1">
        <f t="array" aca="1" ref="K261" ca="1">SUMPRODUCT((Table1[SubscriptionStart] &lt;= $A261) * (Table1[EffectiveEndDate] &gt;= $A261) * (Table1[Region] = "England"))</f>
        <v>52</v>
      </c>
      <c r="L261" s="45" cm="1">
        <f t="array" aca="1" ref="L261" ca="1">SUMPRODUCT((Table1[SubscriptionStart] &lt;= $A261) * (Table1[EffectiveEndDate] &gt;= $A261) * (Table1[Region] = "Scotland"))</f>
        <v>44</v>
      </c>
      <c r="M261" s="45" cm="1">
        <f t="array" aca="1" ref="M261" ca="1">SUMPRODUCT((Table1[SubscriptionStart] &lt;= $A261) * (Table1[EffectiveEndDate] &gt;= $A261) * (Table1[Region] = "Wales"))</f>
        <v>48</v>
      </c>
      <c r="N261" s="45" cm="1">
        <f t="array" aca="1" ref="N261" ca="1">SUMPRODUCT((Table1[SubscriptionStart] &lt;= $A261) * (Table1[EffectiveEndDate] &gt;= $A261) * (Table1[Region] = "Northern Ireland"))</f>
        <v>61</v>
      </c>
      <c r="O261" s="45" cm="1">
        <f t="array" aca="1" ref="O261" ca="1">SUMPRODUCT((Table1[Gender]="Male")*(Table1[SubscriptionStart]&lt;=A261)*(Table1[EffectiveEndDate]&gt;=A261))</f>
        <v>119</v>
      </c>
      <c r="P261" s="45" cm="1">
        <f t="array" aca="1" ref="P261" ca="1">SUMPRODUCT((Table1[Gender]="Female")*(Table1[SubscriptionStart]&lt;=A261)*(Table1[EffectiveEndDate]&gt;=A261))</f>
        <v>86</v>
      </c>
    </row>
    <row r="262" spans="1:16">
      <c r="A262" s="48">
        <f t="shared" si="19"/>
        <v>44822</v>
      </c>
      <c r="B262" s="45" cm="1">
        <f t="array" aca="1" ref="B262" ca="1">SUMPRODUCT((Table1[SubscriptionStart]&lt;=A262)*(Table1[EffectiveEndDate]&gt;=A262))</f>
        <v>206</v>
      </c>
      <c r="C262" s="45">
        <f>COUNTIFS(Table1[SubscriptionStart], A262)</f>
        <v>1</v>
      </c>
      <c r="D262" s="45">
        <f>COUNTIFS(Table1[CancellationDate], A262)</f>
        <v>0</v>
      </c>
      <c r="E262" s="45">
        <f t="shared" si="16"/>
        <v>1</v>
      </c>
      <c r="F262" s="45">
        <f>SUM($C$2:C262)</f>
        <v>251</v>
      </c>
      <c r="G262" s="49" cm="1">
        <f t="array" aca="1" ref="G262" ca="1">IF(B262=0,"", SUMPRODUCT((Table1[SubscriptionStart]&lt;=A262)*(Table1[EffectiveEndDate]&gt;=A262)*Table1[Age]) / B262 )</f>
        <v>46.432038834951456</v>
      </c>
      <c r="H262" s="22">
        <f>SUMIF(Table1[SubscriptionStart],"&lt;="&amp;A262,Table1[TotalRevenue])</f>
        <v>54921.199999999968</v>
      </c>
      <c r="I262" s="50">
        <f t="shared" si="17"/>
        <v>44834</v>
      </c>
      <c r="J262" s="49">
        <f t="shared" ca="1" si="18"/>
        <v>203.33333333333334</v>
      </c>
      <c r="K262" s="45" cm="1">
        <f t="array" aca="1" ref="K262" ca="1">SUMPRODUCT((Table1[SubscriptionStart] &lt;= $A262) * (Table1[EffectiveEndDate] &gt;= $A262) * (Table1[Region] = "England"))</f>
        <v>52</v>
      </c>
      <c r="L262" s="45" cm="1">
        <f t="array" aca="1" ref="L262" ca="1">SUMPRODUCT((Table1[SubscriptionStart] &lt;= $A262) * (Table1[EffectiveEndDate] &gt;= $A262) * (Table1[Region] = "Scotland"))</f>
        <v>45</v>
      </c>
      <c r="M262" s="45" cm="1">
        <f t="array" aca="1" ref="M262" ca="1">SUMPRODUCT((Table1[SubscriptionStart] &lt;= $A262) * (Table1[EffectiveEndDate] &gt;= $A262) * (Table1[Region] = "Wales"))</f>
        <v>48</v>
      </c>
      <c r="N262" s="45" cm="1">
        <f t="array" aca="1" ref="N262" ca="1">SUMPRODUCT((Table1[SubscriptionStart] &lt;= $A262) * (Table1[EffectiveEndDate] &gt;= $A262) * (Table1[Region] = "Northern Ireland"))</f>
        <v>61</v>
      </c>
      <c r="O262" s="45" cm="1">
        <f t="array" aca="1" ref="O262" ca="1">SUMPRODUCT((Table1[Gender]="Male")*(Table1[SubscriptionStart]&lt;=A262)*(Table1[EffectiveEndDate]&gt;=A262))</f>
        <v>119</v>
      </c>
      <c r="P262" s="45" cm="1">
        <f t="array" aca="1" ref="P262" ca="1">SUMPRODUCT((Table1[Gender]="Female")*(Table1[SubscriptionStart]&lt;=A262)*(Table1[EffectiveEndDate]&gt;=A262))</f>
        <v>87</v>
      </c>
    </row>
    <row r="263" spans="1:16">
      <c r="A263" s="48">
        <f t="shared" si="19"/>
        <v>44823</v>
      </c>
      <c r="B263" s="45" cm="1">
        <f t="array" aca="1" ref="B263" ca="1">SUMPRODUCT((Table1[SubscriptionStart]&lt;=A263)*(Table1[EffectiveEndDate]&gt;=A263))</f>
        <v>206</v>
      </c>
      <c r="C263" s="45">
        <f>COUNTIFS(Table1[SubscriptionStart], A263)</f>
        <v>0</v>
      </c>
      <c r="D263" s="45">
        <f>COUNTIFS(Table1[CancellationDate], A263)</f>
        <v>0</v>
      </c>
      <c r="E263" s="45">
        <f t="shared" si="16"/>
        <v>0</v>
      </c>
      <c r="F263" s="45">
        <f>SUM($C$2:C263)</f>
        <v>251</v>
      </c>
      <c r="G263" s="49" cm="1">
        <f t="array" aca="1" ref="G263" ca="1">IF(B263=0,"", SUMPRODUCT((Table1[SubscriptionStart]&lt;=A263)*(Table1[EffectiveEndDate]&gt;=A263)*Table1[Age]) / B263 )</f>
        <v>46.432038834951456</v>
      </c>
      <c r="H263" s="22">
        <f>SUMIF(Table1[SubscriptionStart],"&lt;="&amp;A263,Table1[TotalRevenue])</f>
        <v>54921.199999999968</v>
      </c>
      <c r="I263" s="50">
        <f t="shared" si="17"/>
        <v>44834</v>
      </c>
      <c r="J263" s="49">
        <f t="shared" ca="1" si="18"/>
        <v>203.33333333333334</v>
      </c>
      <c r="K263" s="45" cm="1">
        <f t="array" aca="1" ref="K263" ca="1">SUMPRODUCT((Table1[SubscriptionStart] &lt;= $A263) * (Table1[EffectiveEndDate] &gt;= $A263) * (Table1[Region] = "England"))</f>
        <v>52</v>
      </c>
      <c r="L263" s="45" cm="1">
        <f t="array" aca="1" ref="L263" ca="1">SUMPRODUCT((Table1[SubscriptionStart] &lt;= $A263) * (Table1[EffectiveEndDate] &gt;= $A263) * (Table1[Region] = "Scotland"))</f>
        <v>45</v>
      </c>
      <c r="M263" s="45" cm="1">
        <f t="array" aca="1" ref="M263" ca="1">SUMPRODUCT((Table1[SubscriptionStart] &lt;= $A263) * (Table1[EffectiveEndDate] &gt;= $A263) * (Table1[Region] = "Wales"))</f>
        <v>48</v>
      </c>
      <c r="N263" s="45" cm="1">
        <f t="array" aca="1" ref="N263" ca="1">SUMPRODUCT((Table1[SubscriptionStart] &lt;= $A263) * (Table1[EffectiveEndDate] &gt;= $A263) * (Table1[Region] = "Northern Ireland"))</f>
        <v>61</v>
      </c>
      <c r="O263" s="45" cm="1">
        <f t="array" aca="1" ref="O263" ca="1">SUMPRODUCT((Table1[Gender]="Male")*(Table1[SubscriptionStart]&lt;=A263)*(Table1[EffectiveEndDate]&gt;=A263))</f>
        <v>119</v>
      </c>
      <c r="P263" s="45" cm="1">
        <f t="array" aca="1" ref="P263" ca="1">SUMPRODUCT((Table1[Gender]="Female")*(Table1[SubscriptionStart]&lt;=A263)*(Table1[EffectiveEndDate]&gt;=A263))</f>
        <v>87</v>
      </c>
    </row>
    <row r="264" spans="1:16">
      <c r="A264" s="48">
        <f t="shared" si="19"/>
        <v>44824</v>
      </c>
      <c r="B264" s="45" cm="1">
        <f t="array" aca="1" ref="B264" ca="1">SUMPRODUCT((Table1[SubscriptionStart]&lt;=A264)*(Table1[EffectiveEndDate]&gt;=A264))</f>
        <v>208</v>
      </c>
      <c r="C264" s="45">
        <f>COUNTIFS(Table1[SubscriptionStart], A264)</f>
        <v>2</v>
      </c>
      <c r="D264" s="45">
        <f>COUNTIFS(Table1[CancellationDate], A264)</f>
        <v>0</v>
      </c>
      <c r="E264" s="45">
        <f t="shared" si="16"/>
        <v>2</v>
      </c>
      <c r="F264" s="45">
        <f>SUM($C$2:C264)</f>
        <v>253</v>
      </c>
      <c r="G264" s="49" cm="1">
        <f t="array" aca="1" ref="G264" ca="1">IF(B264=0,"", SUMPRODUCT((Table1[SubscriptionStart]&lt;=A264)*(Table1[EffectiveEndDate]&gt;=A264)*Table1[Age]) / B264 )</f>
        <v>46.394230769230766</v>
      </c>
      <c r="H264" s="22">
        <f>SUMIF(Table1[SubscriptionStart],"&lt;="&amp;A264,Table1[TotalRevenue])</f>
        <v>55830.799999999967</v>
      </c>
      <c r="I264" s="50">
        <f t="shared" si="17"/>
        <v>44834</v>
      </c>
      <c r="J264" s="49">
        <f t="shared" ca="1" si="18"/>
        <v>203.33333333333334</v>
      </c>
      <c r="K264" s="45" cm="1">
        <f t="array" aca="1" ref="K264" ca="1">SUMPRODUCT((Table1[SubscriptionStart] &lt;= $A264) * (Table1[EffectiveEndDate] &gt;= $A264) * (Table1[Region] = "England"))</f>
        <v>52</v>
      </c>
      <c r="L264" s="45" cm="1">
        <f t="array" aca="1" ref="L264" ca="1">SUMPRODUCT((Table1[SubscriptionStart] &lt;= $A264) * (Table1[EffectiveEndDate] &gt;= $A264) * (Table1[Region] = "Scotland"))</f>
        <v>46</v>
      </c>
      <c r="M264" s="45" cm="1">
        <f t="array" aca="1" ref="M264" ca="1">SUMPRODUCT((Table1[SubscriptionStart] &lt;= $A264) * (Table1[EffectiveEndDate] &gt;= $A264) * (Table1[Region] = "Wales"))</f>
        <v>48</v>
      </c>
      <c r="N264" s="45" cm="1">
        <f t="array" aca="1" ref="N264" ca="1">SUMPRODUCT((Table1[SubscriptionStart] &lt;= $A264) * (Table1[EffectiveEndDate] &gt;= $A264) * (Table1[Region] = "Northern Ireland"))</f>
        <v>62</v>
      </c>
      <c r="O264" s="45" cm="1">
        <f t="array" aca="1" ref="O264" ca="1">SUMPRODUCT((Table1[Gender]="Male")*(Table1[SubscriptionStart]&lt;=A264)*(Table1[EffectiveEndDate]&gt;=A264))</f>
        <v>121</v>
      </c>
      <c r="P264" s="45" cm="1">
        <f t="array" aca="1" ref="P264" ca="1">SUMPRODUCT((Table1[Gender]="Female")*(Table1[SubscriptionStart]&lt;=A264)*(Table1[EffectiveEndDate]&gt;=A264))</f>
        <v>87</v>
      </c>
    </row>
    <row r="265" spans="1:16">
      <c r="A265" s="48">
        <f t="shared" si="19"/>
        <v>44825</v>
      </c>
      <c r="B265" s="45" cm="1">
        <f t="array" aca="1" ref="B265" ca="1">SUMPRODUCT((Table1[SubscriptionStart]&lt;=A265)*(Table1[EffectiveEndDate]&gt;=A265))</f>
        <v>209</v>
      </c>
      <c r="C265" s="45">
        <f>COUNTIFS(Table1[SubscriptionStart], A265)</f>
        <v>1</v>
      </c>
      <c r="D265" s="45">
        <f>COUNTIFS(Table1[CancellationDate], A265)</f>
        <v>1</v>
      </c>
      <c r="E265" s="45">
        <f t="shared" si="16"/>
        <v>0</v>
      </c>
      <c r="F265" s="45">
        <f>SUM($C$2:C265)</f>
        <v>254</v>
      </c>
      <c r="G265" s="49" cm="1">
        <f t="array" aca="1" ref="G265" ca="1">IF(B265=0,"", SUMPRODUCT((Table1[SubscriptionStart]&lt;=A265)*(Table1[EffectiveEndDate]&gt;=A265)*Table1[Age]) / B265 )</f>
        <v>46.354066985645936</v>
      </c>
      <c r="H265" s="22">
        <f>SUMIF(Table1[SubscriptionStart],"&lt;="&amp;A265,Table1[TotalRevenue])</f>
        <v>55960.399999999965</v>
      </c>
      <c r="I265" s="50">
        <f t="shared" si="17"/>
        <v>44834</v>
      </c>
      <c r="J265" s="49">
        <f t="shared" ca="1" si="18"/>
        <v>203.33333333333334</v>
      </c>
      <c r="K265" s="45" cm="1">
        <f t="array" aca="1" ref="K265" ca="1">SUMPRODUCT((Table1[SubscriptionStart] &lt;= $A265) * (Table1[EffectiveEndDate] &gt;= $A265) * (Table1[Region] = "England"))</f>
        <v>52</v>
      </c>
      <c r="L265" s="45" cm="1">
        <f t="array" aca="1" ref="L265" ca="1">SUMPRODUCT((Table1[SubscriptionStart] &lt;= $A265) * (Table1[EffectiveEndDate] &gt;= $A265) * (Table1[Region] = "Scotland"))</f>
        <v>47</v>
      </c>
      <c r="M265" s="45" cm="1">
        <f t="array" aca="1" ref="M265" ca="1">SUMPRODUCT((Table1[SubscriptionStart] &lt;= $A265) * (Table1[EffectiveEndDate] &gt;= $A265) * (Table1[Region] = "Wales"))</f>
        <v>48</v>
      </c>
      <c r="N265" s="45" cm="1">
        <f t="array" aca="1" ref="N265" ca="1">SUMPRODUCT((Table1[SubscriptionStart] &lt;= $A265) * (Table1[EffectiveEndDate] &gt;= $A265) * (Table1[Region] = "Northern Ireland"))</f>
        <v>62</v>
      </c>
      <c r="O265" s="45" cm="1">
        <f t="array" aca="1" ref="O265" ca="1">SUMPRODUCT((Table1[Gender]="Male")*(Table1[SubscriptionStart]&lt;=A265)*(Table1[EffectiveEndDate]&gt;=A265))</f>
        <v>121</v>
      </c>
      <c r="P265" s="45" cm="1">
        <f t="array" aca="1" ref="P265" ca="1">SUMPRODUCT((Table1[Gender]="Female")*(Table1[SubscriptionStart]&lt;=A265)*(Table1[EffectiveEndDate]&gt;=A265))</f>
        <v>88</v>
      </c>
    </row>
    <row r="266" spans="1:16">
      <c r="A266" s="48">
        <f t="shared" si="19"/>
        <v>44826</v>
      </c>
      <c r="B266" s="45" cm="1">
        <f t="array" aca="1" ref="B266" ca="1">SUMPRODUCT((Table1[SubscriptionStart]&lt;=A266)*(Table1[EffectiveEndDate]&gt;=A266))</f>
        <v>209</v>
      </c>
      <c r="C266" s="45">
        <f>COUNTIFS(Table1[SubscriptionStart], A266)</f>
        <v>1</v>
      </c>
      <c r="D266" s="45">
        <f>COUNTIFS(Table1[CancellationDate], A266)</f>
        <v>0</v>
      </c>
      <c r="E266" s="45">
        <f t="shared" si="16"/>
        <v>1</v>
      </c>
      <c r="F266" s="45">
        <f>SUM($C$2:C266)</f>
        <v>255</v>
      </c>
      <c r="G266" s="49" cm="1">
        <f t="array" aca="1" ref="G266" ca="1">IF(B266=0,"", SUMPRODUCT((Table1[SubscriptionStart]&lt;=A266)*(Table1[EffectiveEndDate]&gt;=A266)*Table1[Age]) / B266 )</f>
        <v>46.210526315789473</v>
      </c>
      <c r="H266" s="22">
        <f>SUMIF(Table1[SubscriptionStart],"&lt;="&amp;A266,Table1[TotalRevenue])</f>
        <v>56089.999999999964</v>
      </c>
      <c r="I266" s="50">
        <f t="shared" si="17"/>
        <v>44834</v>
      </c>
      <c r="J266" s="49">
        <f t="shared" ca="1" si="18"/>
        <v>203.33333333333334</v>
      </c>
      <c r="K266" s="45" cm="1">
        <f t="array" aca="1" ref="K266" ca="1">SUMPRODUCT((Table1[SubscriptionStart] &lt;= $A266) * (Table1[EffectiveEndDate] &gt;= $A266) * (Table1[Region] = "England"))</f>
        <v>53</v>
      </c>
      <c r="L266" s="45" cm="1">
        <f t="array" aca="1" ref="L266" ca="1">SUMPRODUCT((Table1[SubscriptionStart] &lt;= $A266) * (Table1[EffectiveEndDate] &gt;= $A266) * (Table1[Region] = "Scotland"))</f>
        <v>46</v>
      </c>
      <c r="M266" s="45" cm="1">
        <f t="array" aca="1" ref="M266" ca="1">SUMPRODUCT((Table1[SubscriptionStart] &lt;= $A266) * (Table1[EffectiveEndDate] &gt;= $A266) * (Table1[Region] = "Wales"))</f>
        <v>48</v>
      </c>
      <c r="N266" s="45" cm="1">
        <f t="array" aca="1" ref="N266" ca="1">SUMPRODUCT((Table1[SubscriptionStart] &lt;= $A266) * (Table1[EffectiveEndDate] &gt;= $A266) * (Table1[Region] = "Northern Ireland"))</f>
        <v>62</v>
      </c>
      <c r="O266" s="45" cm="1">
        <f t="array" aca="1" ref="O266" ca="1">SUMPRODUCT((Table1[Gender]="Male")*(Table1[SubscriptionStart]&lt;=A266)*(Table1[EffectiveEndDate]&gt;=A266))</f>
        <v>121</v>
      </c>
      <c r="P266" s="45" cm="1">
        <f t="array" aca="1" ref="P266" ca="1">SUMPRODUCT((Table1[Gender]="Female")*(Table1[SubscriptionStart]&lt;=A266)*(Table1[EffectiveEndDate]&gt;=A266))</f>
        <v>88</v>
      </c>
    </row>
    <row r="267" spans="1:16">
      <c r="A267" s="48">
        <f t="shared" si="19"/>
        <v>44827</v>
      </c>
      <c r="B267" s="45" cm="1">
        <f t="array" aca="1" ref="B267" ca="1">SUMPRODUCT((Table1[SubscriptionStart]&lt;=A267)*(Table1[EffectiveEndDate]&gt;=A267))</f>
        <v>210</v>
      </c>
      <c r="C267" s="45">
        <f>COUNTIFS(Table1[SubscriptionStart], A267)</f>
        <v>1</v>
      </c>
      <c r="D267" s="45">
        <f>COUNTIFS(Table1[CancellationDate], A267)</f>
        <v>0</v>
      </c>
      <c r="E267" s="45">
        <f t="shared" si="16"/>
        <v>1</v>
      </c>
      <c r="F267" s="45">
        <f>SUM($C$2:C267)</f>
        <v>256</v>
      </c>
      <c r="G267" s="49" cm="1">
        <f t="array" aca="1" ref="G267" ca="1">IF(B267=0,"", SUMPRODUCT((Table1[SubscriptionStart]&lt;=A267)*(Table1[EffectiveEndDate]&gt;=A267)*Table1[Age]) / B267 )</f>
        <v>46.25714285714286</v>
      </c>
      <c r="H267" s="22">
        <f>SUMIF(Table1[SubscriptionStart],"&lt;="&amp;A267,Table1[TotalRevenue])</f>
        <v>56089.999999999964</v>
      </c>
      <c r="I267" s="50">
        <f t="shared" si="17"/>
        <v>44834</v>
      </c>
      <c r="J267" s="49">
        <f t="shared" ca="1" si="18"/>
        <v>203.33333333333334</v>
      </c>
      <c r="K267" s="45" cm="1">
        <f t="array" aca="1" ref="K267" ca="1">SUMPRODUCT((Table1[SubscriptionStart] &lt;= $A267) * (Table1[EffectiveEndDate] &gt;= $A267) * (Table1[Region] = "England"))</f>
        <v>54</v>
      </c>
      <c r="L267" s="45" cm="1">
        <f t="array" aca="1" ref="L267" ca="1">SUMPRODUCT((Table1[SubscriptionStart] &lt;= $A267) * (Table1[EffectiveEndDate] &gt;= $A267) * (Table1[Region] = "Scotland"))</f>
        <v>46</v>
      </c>
      <c r="M267" s="45" cm="1">
        <f t="array" aca="1" ref="M267" ca="1">SUMPRODUCT((Table1[SubscriptionStart] &lt;= $A267) * (Table1[EffectiveEndDate] &gt;= $A267) * (Table1[Region] = "Wales"))</f>
        <v>48</v>
      </c>
      <c r="N267" s="45" cm="1">
        <f t="array" aca="1" ref="N267" ca="1">SUMPRODUCT((Table1[SubscriptionStart] &lt;= $A267) * (Table1[EffectiveEndDate] &gt;= $A267) * (Table1[Region] = "Northern Ireland"))</f>
        <v>62</v>
      </c>
      <c r="O267" s="45" cm="1">
        <f t="array" aca="1" ref="O267" ca="1">SUMPRODUCT((Table1[Gender]="Male")*(Table1[SubscriptionStart]&lt;=A267)*(Table1[EffectiveEndDate]&gt;=A267))</f>
        <v>122</v>
      </c>
      <c r="P267" s="45" cm="1">
        <f t="array" aca="1" ref="P267" ca="1">SUMPRODUCT((Table1[Gender]="Female")*(Table1[SubscriptionStart]&lt;=A267)*(Table1[EffectiveEndDate]&gt;=A267))</f>
        <v>88</v>
      </c>
    </row>
    <row r="268" spans="1:16">
      <c r="A268" s="48">
        <f t="shared" si="19"/>
        <v>44828</v>
      </c>
      <c r="B268" s="45" cm="1">
        <f t="array" aca="1" ref="B268" ca="1">SUMPRODUCT((Table1[SubscriptionStart]&lt;=A268)*(Table1[EffectiveEndDate]&gt;=A268))</f>
        <v>210</v>
      </c>
      <c r="C268" s="45">
        <f>COUNTIFS(Table1[SubscriptionStart], A268)</f>
        <v>0</v>
      </c>
      <c r="D268" s="45">
        <f>COUNTIFS(Table1[CancellationDate], A268)</f>
        <v>1</v>
      </c>
      <c r="E268" s="45">
        <f t="shared" si="16"/>
        <v>-1</v>
      </c>
      <c r="F268" s="45">
        <f>SUM($C$2:C268)</f>
        <v>256</v>
      </c>
      <c r="G268" s="49" cm="1">
        <f t="array" aca="1" ref="G268" ca="1">IF(B268=0,"", SUMPRODUCT((Table1[SubscriptionStart]&lt;=A268)*(Table1[EffectiveEndDate]&gt;=A268)*Table1[Age]) / B268 )</f>
        <v>46.25714285714286</v>
      </c>
      <c r="H268" s="22">
        <f>SUMIF(Table1[SubscriptionStart],"&lt;="&amp;A268,Table1[TotalRevenue])</f>
        <v>56089.999999999964</v>
      </c>
      <c r="I268" s="50">
        <f t="shared" si="17"/>
        <v>44834</v>
      </c>
      <c r="J268" s="49">
        <f t="shared" ca="1" si="18"/>
        <v>203.33333333333334</v>
      </c>
      <c r="K268" s="45" cm="1">
        <f t="array" aca="1" ref="K268" ca="1">SUMPRODUCT((Table1[SubscriptionStart] &lt;= $A268) * (Table1[EffectiveEndDate] &gt;= $A268) * (Table1[Region] = "England"))</f>
        <v>54</v>
      </c>
      <c r="L268" s="45" cm="1">
        <f t="array" aca="1" ref="L268" ca="1">SUMPRODUCT((Table1[SubscriptionStart] &lt;= $A268) * (Table1[EffectiveEndDate] &gt;= $A268) * (Table1[Region] = "Scotland"))</f>
        <v>46</v>
      </c>
      <c r="M268" s="45" cm="1">
        <f t="array" aca="1" ref="M268" ca="1">SUMPRODUCT((Table1[SubscriptionStart] &lt;= $A268) * (Table1[EffectiveEndDate] &gt;= $A268) * (Table1[Region] = "Wales"))</f>
        <v>48</v>
      </c>
      <c r="N268" s="45" cm="1">
        <f t="array" aca="1" ref="N268" ca="1">SUMPRODUCT((Table1[SubscriptionStart] &lt;= $A268) * (Table1[EffectiveEndDate] &gt;= $A268) * (Table1[Region] = "Northern Ireland"))</f>
        <v>62</v>
      </c>
      <c r="O268" s="45" cm="1">
        <f t="array" aca="1" ref="O268" ca="1">SUMPRODUCT((Table1[Gender]="Male")*(Table1[SubscriptionStart]&lt;=A268)*(Table1[EffectiveEndDate]&gt;=A268))</f>
        <v>122</v>
      </c>
      <c r="P268" s="45" cm="1">
        <f t="array" aca="1" ref="P268" ca="1">SUMPRODUCT((Table1[Gender]="Female")*(Table1[SubscriptionStart]&lt;=A268)*(Table1[EffectiveEndDate]&gt;=A268))</f>
        <v>88</v>
      </c>
    </row>
    <row r="269" spans="1:16">
      <c r="A269" s="48">
        <f t="shared" si="19"/>
        <v>44829</v>
      </c>
      <c r="B269" s="45" cm="1">
        <f t="array" aca="1" ref="B269" ca="1">SUMPRODUCT((Table1[SubscriptionStart]&lt;=A269)*(Table1[EffectiveEndDate]&gt;=A269))</f>
        <v>210</v>
      </c>
      <c r="C269" s="45">
        <f>COUNTIFS(Table1[SubscriptionStart], A269)</f>
        <v>1</v>
      </c>
      <c r="D269" s="45">
        <f>COUNTIFS(Table1[CancellationDate], A269)</f>
        <v>0</v>
      </c>
      <c r="E269" s="45">
        <f t="shared" si="16"/>
        <v>1</v>
      </c>
      <c r="F269" s="45">
        <f>SUM($C$2:C269)</f>
        <v>257</v>
      </c>
      <c r="G269" s="49" cm="1">
        <f t="array" aca="1" ref="G269" ca="1">IF(B269=0,"", SUMPRODUCT((Table1[SubscriptionStart]&lt;=A269)*(Table1[EffectiveEndDate]&gt;=A269)*Table1[Age]) / B269 )</f>
        <v>46.014285714285712</v>
      </c>
      <c r="H269" s="22">
        <f>SUMIF(Table1[SubscriptionStart],"&lt;="&amp;A269,Table1[TotalRevenue])</f>
        <v>56089.999999999964</v>
      </c>
      <c r="I269" s="50">
        <f t="shared" si="17"/>
        <v>44834</v>
      </c>
      <c r="J269" s="49">
        <f t="shared" ca="1" si="18"/>
        <v>203.33333333333334</v>
      </c>
      <c r="K269" s="45" cm="1">
        <f t="array" aca="1" ref="K269" ca="1">SUMPRODUCT((Table1[SubscriptionStart] &lt;= $A269) * (Table1[EffectiveEndDate] &gt;= $A269) * (Table1[Region] = "England"))</f>
        <v>54</v>
      </c>
      <c r="L269" s="45" cm="1">
        <f t="array" aca="1" ref="L269" ca="1">SUMPRODUCT((Table1[SubscriptionStart] &lt;= $A269) * (Table1[EffectiveEndDate] &gt;= $A269) * (Table1[Region] = "Scotland"))</f>
        <v>46</v>
      </c>
      <c r="M269" s="45" cm="1">
        <f t="array" aca="1" ref="M269" ca="1">SUMPRODUCT((Table1[SubscriptionStart] &lt;= $A269) * (Table1[EffectiveEndDate] &gt;= $A269) * (Table1[Region] = "Wales"))</f>
        <v>48</v>
      </c>
      <c r="N269" s="45" cm="1">
        <f t="array" aca="1" ref="N269" ca="1">SUMPRODUCT((Table1[SubscriptionStart] &lt;= $A269) * (Table1[EffectiveEndDate] &gt;= $A269) * (Table1[Region] = "Northern Ireland"))</f>
        <v>62</v>
      </c>
      <c r="O269" s="45" cm="1">
        <f t="array" aca="1" ref="O269" ca="1">SUMPRODUCT((Table1[Gender]="Male")*(Table1[SubscriptionStart]&lt;=A269)*(Table1[EffectiveEndDate]&gt;=A269))</f>
        <v>122</v>
      </c>
      <c r="P269" s="45" cm="1">
        <f t="array" aca="1" ref="P269" ca="1">SUMPRODUCT((Table1[Gender]="Female")*(Table1[SubscriptionStart]&lt;=A269)*(Table1[EffectiveEndDate]&gt;=A269))</f>
        <v>88</v>
      </c>
    </row>
    <row r="270" spans="1:16">
      <c r="A270" s="48">
        <f t="shared" si="19"/>
        <v>44830</v>
      </c>
      <c r="B270" s="45" cm="1">
        <f t="array" aca="1" ref="B270" ca="1">SUMPRODUCT((Table1[SubscriptionStart]&lt;=A270)*(Table1[EffectiveEndDate]&gt;=A270))</f>
        <v>210</v>
      </c>
      <c r="C270" s="45">
        <f>COUNTIFS(Table1[SubscriptionStart], A270)</f>
        <v>0</v>
      </c>
      <c r="D270" s="45">
        <f>COUNTIFS(Table1[CancellationDate], A270)</f>
        <v>0</v>
      </c>
      <c r="E270" s="45">
        <f t="shared" si="16"/>
        <v>0</v>
      </c>
      <c r="F270" s="45">
        <f>SUM($C$2:C270)</f>
        <v>257</v>
      </c>
      <c r="G270" s="49" cm="1">
        <f t="array" aca="1" ref="G270" ca="1">IF(B270=0,"", SUMPRODUCT((Table1[SubscriptionStart]&lt;=A270)*(Table1[EffectiveEndDate]&gt;=A270)*Table1[Age]) / B270 )</f>
        <v>46.014285714285712</v>
      </c>
      <c r="H270" s="22">
        <f>SUMIF(Table1[SubscriptionStart],"&lt;="&amp;A270,Table1[TotalRevenue])</f>
        <v>56089.999999999964</v>
      </c>
      <c r="I270" s="50">
        <f t="shared" si="17"/>
        <v>44834</v>
      </c>
      <c r="J270" s="49">
        <f t="shared" ca="1" si="18"/>
        <v>203.33333333333334</v>
      </c>
      <c r="K270" s="45" cm="1">
        <f t="array" aca="1" ref="K270" ca="1">SUMPRODUCT((Table1[SubscriptionStart] &lt;= $A270) * (Table1[EffectiveEndDate] &gt;= $A270) * (Table1[Region] = "England"))</f>
        <v>54</v>
      </c>
      <c r="L270" s="45" cm="1">
        <f t="array" aca="1" ref="L270" ca="1">SUMPRODUCT((Table1[SubscriptionStart] &lt;= $A270) * (Table1[EffectiveEndDate] &gt;= $A270) * (Table1[Region] = "Scotland"))</f>
        <v>46</v>
      </c>
      <c r="M270" s="45" cm="1">
        <f t="array" aca="1" ref="M270" ca="1">SUMPRODUCT((Table1[SubscriptionStart] &lt;= $A270) * (Table1[EffectiveEndDate] &gt;= $A270) * (Table1[Region] = "Wales"))</f>
        <v>48</v>
      </c>
      <c r="N270" s="45" cm="1">
        <f t="array" aca="1" ref="N270" ca="1">SUMPRODUCT((Table1[SubscriptionStart] &lt;= $A270) * (Table1[EffectiveEndDate] &gt;= $A270) * (Table1[Region] = "Northern Ireland"))</f>
        <v>62</v>
      </c>
      <c r="O270" s="45" cm="1">
        <f t="array" aca="1" ref="O270" ca="1">SUMPRODUCT((Table1[Gender]="Male")*(Table1[SubscriptionStart]&lt;=A270)*(Table1[EffectiveEndDate]&gt;=A270))</f>
        <v>122</v>
      </c>
      <c r="P270" s="45" cm="1">
        <f t="array" aca="1" ref="P270" ca="1">SUMPRODUCT((Table1[Gender]="Female")*(Table1[SubscriptionStart]&lt;=A270)*(Table1[EffectiveEndDate]&gt;=A270))</f>
        <v>88</v>
      </c>
    </row>
    <row r="271" spans="1:16">
      <c r="A271" s="48">
        <f t="shared" si="19"/>
        <v>44831</v>
      </c>
      <c r="B271" s="45" cm="1">
        <f t="array" aca="1" ref="B271" ca="1">SUMPRODUCT((Table1[SubscriptionStart]&lt;=A271)*(Table1[EffectiveEndDate]&gt;=A271))</f>
        <v>211</v>
      </c>
      <c r="C271" s="45">
        <f>COUNTIFS(Table1[SubscriptionStart], A271)</f>
        <v>1</v>
      </c>
      <c r="D271" s="45">
        <f>COUNTIFS(Table1[CancellationDate], A271)</f>
        <v>1</v>
      </c>
      <c r="E271" s="45">
        <f t="shared" si="16"/>
        <v>0</v>
      </c>
      <c r="F271" s="45">
        <f>SUM($C$2:C271)</f>
        <v>258</v>
      </c>
      <c r="G271" s="49" cm="1">
        <f t="array" aca="1" ref="G271" ca="1">IF(B271=0,"", SUMPRODUCT((Table1[SubscriptionStart]&lt;=A271)*(Table1[EffectiveEndDate]&gt;=A271)*Table1[Age]) / B271 )</f>
        <v>46.113744075829381</v>
      </c>
      <c r="H271" s="22">
        <f>SUMIF(Table1[SubscriptionStart],"&lt;="&amp;A271,Table1[TotalRevenue])</f>
        <v>56854.999999999964</v>
      </c>
      <c r="I271" s="50">
        <f t="shared" si="17"/>
        <v>44834</v>
      </c>
      <c r="J271" s="49">
        <f t="shared" ca="1" si="18"/>
        <v>203.33333333333334</v>
      </c>
      <c r="K271" s="45" cm="1">
        <f t="array" aca="1" ref="K271" ca="1">SUMPRODUCT((Table1[SubscriptionStart] &lt;= $A271) * (Table1[EffectiveEndDate] &gt;= $A271) * (Table1[Region] = "England"))</f>
        <v>54</v>
      </c>
      <c r="L271" s="45" cm="1">
        <f t="array" aca="1" ref="L271" ca="1">SUMPRODUCT((Table1[SubscriptionStart] &lt;= $A271) * (Table1[EffectiveEndDate] &gt;= $A271) * (Table1[Region] = "Scotland"))</f>
        <v>46</v>
      </c>
      <c r="M271" s="45" cm="1">
        <f t="array" aca="1" ref="M271" ca="1">SUMPRODUCT((Table1[SubscriptionStart] &lt;= $A271) * (Table1[EffectiveEndDate] &gt;= $A271) * (Table1[Region] = "Wales"))</f>
        <v>49</v>
      </c>
      <c r="N271" s="45" cm="1">
        <f t="array" aca="1" ref="N271" ca="1">SUMPRODUCT((Table1[SubscriptionStart] &lt;= $A271) * (Table1[EffectiveEndDate] &gt;= $A271) * (Table1[Region] = "Northern Ireland"))</f>
        <v>62</v>
      </c>
      <c r="O271" s="45" cm="1">
        <f t="array" aca="1" ref="O271" ca="1">SUMPRODUCT((Table1[Gender]="Male")*(Table1[SubscriptionStart]&lt;=A271)*(Table1[EffectiveEndDate]&gt;=A271))</f>
        <v>122</v>
      </c>
      <c r="P271" s="45" cm="1">
        <f t="array" aca="1" ref="P271" ca="1">SUMPRODUCT((Table1[Gender]="Female")*(Table1[SubscriptionStart]&lt;=A271)*(Table1[EffectiveEndDate]&gt;=A271))</f>
        <v>89</v>
      </c>
    </row>
    <row r="272" spans="1:16">
      <c r="A272" s="48">
        <f t="shared" si="19"/>
        <v>44832</v>
      </c>
      <c r="B272" s="45" cm="1">
        <f t="array" aca="1" ref="B272" ca="1">SUMPRODUCT((Table1[SubscriptionStart]&lt;=A272)*(Table1[EffectiveEndDate]&gt;=A272))</f>
        <v>210</v>
      </c>
      <c r="C272" s="45">
        <f>COUNTIFS(Table1[SubscriptionStart], A272)</f>
        <v>0</v>
      </c>
      <c r="D272" s="45">
        <f>COUNTIFS(Table1[CancellationDate], A272)</f>
        <v>0</v>
      </c>
      <c r="E272" s="45">
        <f t="shared" si="16"/>
        <v>0</v>
      </c>
      <c r="F272" s="45">
        <f>SUM($C$2:C272)</f>
        <v>258</v>
      </c>
      <c r="G272" s="49" cm="1">
        <f t="array" aca="1" ref="G272" ca="1">IF(B272=0,"", SUMPRODUCT((Table1[SubscriptionStart]&lt;=A272)*(Table1[EffectiveEndDate]&gt;=A272)*Table1[Age]) / B272 )</f>
        <v>46.180952380952384</v>
      </c>
      <c r="H272" s="22">
        <f>SUMIF(Table1[SubscriptionStart],"&lt;="&amp;A272,Table1[TotalRevenue])</f>
        <v>56854.999999999964</v>
      </c>
      <c r="I272" s="50">
        <f t="shared" si="17"/>
        <v>44834</v>
      </c>
      <c r="J272" s="49">
        <f t="shared" ca="1" si="18"/>
        <v>203.33333333333334</v>
      </c>
      <c r="K272" s="45" cm="1">
        <f t="array" aca="1" ref="K272" ca="1">SUMPRODUCT((Table1[SubscriptionStart] &lt;= $A272) * (Table1[EffectiveEndDate] &gt;= $A272) * (Table1[Region] = "England"))</f>
        <v>54</v>
      </c>
      <c r="L272" s="45" cm="1">
        <f t="array" aca="1" ref="L272" ca="1">SUMPRODUCT((Table1[SubscriptionStart] &lt;= $A272) * (Table1[EffectiveEndDate] &gt;= $A272) * (Table1[Region] = "Scotland"))</f>
        <v>45</v>
      </c>
      <c r="M272" s="45" cm="1">
        <f t="array" aca="1" ref="M272" ca="1">SUMPRODUCT((Table1[SubscriptionStart] &lt;= $A272) * (Table1[EffectiveEndDate] &gt;= $A272) * (Table1[Region] = "Wales"))</f>
        <v>49</v>
      </c>
      <c r="N272" s="45" cm="1">
        <f t="array" aca="1" ref="N272" ca="1">SUMPRODUCT((Table1[SubscriptionStart] &lt;= $A272) * (Table1[EffectiveEndDate] &gt;= $A272) * (Table1[Region] = "Northern Ireland"))</f>
        <v>62</v>
      </c>
      <c r="O272" s="45" cm="1">
        <f t="array" aca="1" ref="O272" ca="1">SUMPRODUCT((Table1[Gender]="Male")*(Table1[SubscriptionStart]&lt;=A272)*(Table1[EffectiveEndDate]&gt;=A272))</f>
        <v>122</v>
      </c>
      <c r="P272" s="45" cm="1">
        <f t="array" aca="1" ref="P272" ca="1">SUMPRODUCT((Table1[Gender]="Female")*(Table1[SubscriptionStart]&lt;=A272)*(Table1[EffectiveEndDate]&gt;=A272))</f>
        <v>88</v>
      </c>
    </row>
    <row r="273" spans="1:16">
      <c r="A273" s="48">
        <f t="shared" si="19"/>
        <v>44833</v>
      </c>
      <c r="B273" s="45" cm="1">
        <f t="array" aca="1" ref="B273" ca="1">SUMPRODUCT((Table1[SubscriptionStart]&lt;=A273)*(Table1[EffectiveEndDate]&gt;=A273))</f>
        <v>211</v>
      </c>
      <c r="C273" s="45">
        <f>COUNTIFS(Table1[SubscriptionStart], A273)</f>
        <v>1</v>
      </c>
      <c r="D273" s="45">
        <f>COUNTIFS(Table1[CancellationDate], A273)</f>
        <v>0</v>
      </c>
      <c r="E273" s="45">
        <f t="shared" si="16"/>
        <v>1</v>
      </c>
      <c r="F273" s="45">
        <f>SUM($C$2:C273)</f>
        <v>259</v>
      </c>
      <c r="G273" s="49" cm="1">
        <f t="array" aca="1" ref="G273" ca="1">IF(B273=0,"", SUMPRODUCT((Table1[SubscriptionStart]&lt;=A273)*(Table1[EffectiveEndDate]&gt;=A273)*Table1[Age]) / B273 )</f>
        <v>46.241706161137444</v>
      </c>
      <c r="H273" s="22">
        <f>SUMIF(Table1[SubscriptionStart],"&lt;="&amp;A273,Table1[TotalRevenue])</f>
        <v>56926.999999999964</v>
      </c>
      <c r="I273" s="50">
        <f t="shared" si="17"/>
        <v>44834</v>
      </c>
      <c r="J273" s="49">
        <f t="shared" ca="1" si="18"/>
        <v>203.33333333333334</v>
      </c>
      <c r="K273" s="45" cm="1">
        <f t="array" aca="1" ref="K273" ca="1">SUMPRODUCT((Table1[SubscriptionStart] &lt;= $A273) * (Table1[EffectiveEndDate] &gt;= $A273) * (Table1[Region] = "England"))</f>
        <v>54</v>
      </c>
      <c r="L273" s="45" cm="1">
        <f t="array" aca="1" ref="L273" ca="1">SUMPRODUCT((Table1[SubscriptionStart] &lt;= $A273) * (Table1[EffectiveEndDate] &gt;= $A273) * (Table1[Region] = "Scotland"))</f>
        <v>45</v>
      </c>
      <c r="M273" s="45" cm="1">
        <f t="array" aca="1" ref="M273" ca="1">SUMPRODUCT((Table1[SubscriptionStart] &lt;= $A273) * (Table1[EffectiveEndDate] &gt;= $A273) * (Table1[Region] = "Wales"))</f>
        <v>49</v>
      </c>
      <c r="N273" s="45" cm="1">
        <f t="array" aca="1" ref="N273" ca="1">SUMPRODUCT((Table1[SubscriptionStart] &lt;= $A273) * (Table1[EffectiveEndDate] &gt;= $A273) * (Table1[Region] = "Northern Ireland"))</f>
        <v>63</v>
      </c>
      <c r="O273" s="45" cm="1">
        <f t="array" aca="1" ref="O273" ca="1">SUMPRODUCT((Table1[Gender]="Male")*(Table1[SubscriptionStart]&lt;=A273)*(Table1[EffectiveEndDate]&gt;=A273))</f>
        <v>122</v>
      </c>
      <c r="P273" s="45" cm="1">
        <f t="array" aca="1" ref="P273" ca="1">SUMPRODUCT((Table1[Gender]="Female")*(Table1[SubscriptionStart]&lt;=A273)*(Table1[EffectiveEndDate]&gt;=A273))</f>
        <v>89</v>
      </c>
    </row>
    <row r="274" spans="1:16">
      <c r="A274" s="48">
        <f t="shared" si="19"/>
        <v>44834</v>
      </c>
      <c r="B274" s="45" cm="1">
        <f t="array" aca="1" ref="B274" ca="1">SUMPRODUCT((Table1[SubscriptionStart]&lt;=A274)*(Table1[EffectiveEndDate]&gt;=A274))</f>
        <v>212</v>
      </c>
      <c r="C274" s="45">
        <f>COUNTIFS(Table1[SubscriptionStart], A274)</f>
        <v>1</v>
      </c>
      <c r="D274" s="45">
        <f>COUNTIFS(Table1[CancellationDate], A274)</f>
        <v>0</v>
      </c>
      <c r="E274" s="45">
        <f t="shared" si="16"/>
        <v>1</v>
      </c>
      <c r="F274" s="45">
        <f>SUM($C$2:C274)</f>
        <v>260</v>
      </c>
      <c r="G274" s="49" cm="1">
        <f t="array" aca="1" ref="G274" ca="1">IF(B274=0,"", SUMPRODUCT((Table1[SubscriptionStart]&lt;=A274)*(Table1[EffectiveEndDate]&gt;=A274)*Table1[Age]) / B274 )</f>
        <v>46.363207547169814</v>
      </c>
      <c r="H274" s="22">
        <f>SUMIF(Table1[SubscriptionStart],"&lt;="&amp;A274,Table1[TotalRevenue])</f>
        <v>57056.599999999962</v>
      </c>
      <c r="I274" s="50">
        <f t="shared" si="17"/>
        <v>44834</v>
      </c>
      <c r="J274" s="49">
        <f t="shared" ca="1" si="18"/>
        <v>203.33333333333334</v>
      </c>
      <c r="K274" s="45" cm="1">
        <f t="array" aca="1" ref="K274" ca="1">SUMPRODUCT((Table1[SubscriptionStart] &lt;= $A274) * (Table1[EffectiveEndDate] &gt;= $A274) * (Table1[Region] = "England"))</f>
        <v>55</v>
      </c>
      <c r="L274" s="45" cm="1">
        <f t="array" aca="1" ref="L274" ca="1">SUMPRODUCT((Table1[SubscriptionStart] &lt;= $A274) * (Table1[EffectiveEndDate] &gt;= $A274) * (Table1[Region] = "Scotland"))</f>
        <v>45</v>
      </c>
      <c r="M274" s="45" cm="1">
        <f t="array" aca="1" ref="M274" ca="1">SUMPRODUCT((Table1[SubscriptionStart] &lt;= $A274) * (Table1[EffectiveEndDate] &gt;= $A274) * (Table1[Region] = "Wales"))</f>
        <v>49</v>
      </c>
      <c r="N274" s="45" cm="1">
        <f t="array" aca="1" ref="N274" ca="1">SUMPRODUCT((Table1[SubscriptionStart] &lt;= $A274) * (Table1[EffectiveEndDate] &gt;= $A274) * (Table1[Region] = "Northern Ireland"))</f>
        <v>63</v>
      </c>
      <c r="O274" s="45" cm="1">
        <f t="array" aca="1" ref="O274" ca="1">SUMPRODUCT((Table1[Gender]="Male")*(Table1[SubscriptionStart]&lt;=A274)*(Table1[EffectiveEndDate]&gt;=A274))</f>
        <v>122</v>
      </c>
      <c r="P274" s="45" cm="1">
        <f t="array" aca="1" ref="P274" ca="1">SUMPRODUCT((Table1[Gender]="Female")*(Table1[SubscriptionStart]&lt;=A274)*(Table1[EffectiveEndDate]&gt;=A274))</f>
        <v>90</v>
      </c>
    </row>
    <row r="275" spans="1:16">
      <c r="A275" s="48">
        <f t="shared" si="19"/>
        <v>44835</v>
      </c>
      <c r="B275" s="45" cm="1">
        <f t="array" aca="1" ref="B275" ca="1">SUMPRODUCT((Table1[SubscriptionStart]&lt;=A275)*(Table1[EffectiveEndDate]&gt;=A275))</f>
        <v>214</v>
      </c>
      <c r="C275" s="45">
        <f>COUNTIFS(Table1[SubscriptionStart], A275)</f>
        <v>2</v>
      </c>
      <c r="D275" s="45">
        <f>COUNTIFS(Table1[CancellationDate], A275)</f>
        <v>1</v>
      </c>
      <c r="E275" s="45">
        <f t="shared" si="16"/>
        <v>1</v>
      </c>
      <c r="F275" s="45">
        <f>SUM($C$2:C275)</f>
        <v>262</v>
      </c>
      <c r="G275" s="49" cm="1">
        <f t="array" aca="1" ref="G275" ca="1">IF(B275=0,"", SUMPRODUCT((Table1[SubscriptionStart]&lt;=A275)*(Table1[EffectiveEndDate]&gt;=A275)*Table1[Age]) / B275 )</f>
        <v>46.27570093457944</v>
      </c>
      <c r="H275" s="22">
        <f>SUMIF(Table1[SubscriptionStart],"&lt;="&amp;A275,Table1[TotalRevenue])</f>
        <v>57900.799999999959</v>
      </c>
      <c r="I275" s="50">
        <f t="shared" si="17"/>
        <v>44865</v>
      </c>
      <c r="J275" s="49">
        <f t="shared" ca="1" si="18"/>
        <v>226.09677419354838</v>
      </c>
      <c r="K275" s="45" cm="1">
        <f t="array" aca="1" ref="K275" ca="1">SUMPRODUCT((Table1[SubscriptionStart] &lt;= $A275) * (Table1[EffectiveEndDate] &gt;= $A275) * (Table1[Region] = "England"))</f>
        <v>55</v>
      </c>
      <c r="L275" s="45" cm="1">
        <f t="array" aca="1" ref="L275" ca="1">SUMPRODUCT((Table1[SubscriptionStart] &lt;= $A275) * (Table1[EffectiveEndDate] &gt;= $A275) * (Table1[Region] = "Scotland"))</f>
        <v>46</v>
      </c>
      <c r="M275" s="45" cm="1">
        <f t="array" aca="1" ref="M275" ca="1">SUMPRODUCT((Table1[SubscriptionStart] &lt;= $A275) * (Table1[EffectiveEndDate] &gt;= $A275) * (Table1[Region] = "Wales"))</f>
        <v>50</v>
      </c>
      <c r="N275" s="45" cm="1">
        <f t="array" aca="1" ref="N275" ca="1">SUMPRODUCT((Table1[SubscriptionStart] &lt;= $A275) * (Table1[EffectiveEndDate] &gt;= $A275) * (Table1[Region] = "Northern Ireland"))</f>
        <v>63</v>
      </c>
      <c r="O275" s="45" cm="1">
        <f t="array" aca="1" ref="O275" ca="1">SUMPRODUCT((Table1[Gender]="Male")*(Table1[SubscriptionStart]&lt;=A275)*(Table1[EffectiveEndDate]&gt;=A275))</f>
        <v>122</v>
      </c>
      <c r="P275" s="45" cm="1">
        <f t="array" aca="1" ref="P275" ca="1">SUMPRODUCT((Table1[Gender]="Female")*(Table1[SubscriptionStart]&lt;=A275)*(Table1[EffectiveEndDate]&gt;=A275))</f>
        <v>92</v>
      </c>
    </row>
    <row r="276" spans="1:16">
      <c r="A276" s="48">
        <f t="shared" si="19"/>
        <v>44836</v>
      </c>
      <c r="B276" s="45" cm="1">
        <f t="array" aca="1" ref="B276" ca="1">SUMPRODUCT((Table1[SubscriptionStart]&lt;=A276)*(Table1[EffectiveEndDate]&gt;=A276))</f>
        <v>213</v>
      </c>
      <c r="C276" s="45">
        <f>COUNTIFS(Table1[SubscriptionStart], A276)</f>
        <v>0</v>
      </c>
      <c r="D276" s="45">
        <f>COUNTIFS(Table1[CancellationDate], A276)</f>
        <v>0</v>
      </c>
      <c r="E276" s="45">
        <f t="shared" si="16"/>
        <v>0</v>
      </c>
      <c r="F276" s="45">
        <f>SUM($C$2:C276)</f>
        <v>262</v>
      </c>
      <c r="G276" s="49" cm="1">
        <f t="array" aca="1" ref="G276" ca="1">IF(B276=0,"", SUMPRODUCT((Table1[SubscriptionStart]&lt;=A276)*(Table1[EffectiveEndDate]&gt;=A276)*Table1[Age]) / B276 )</f>
        <v>46.36150234741784</v>
      </c>
      <c r="H276" s="22">
        <f>SUMIF(Table1[SubscriptionStart],"&lt;="&amp;A276,Table1[TotalRevenue])</f>
        <v>57900.799999999959</v>
      </c>
      <c r="I276" s="50">
        <f t="shared" si="17"/>
        <v>44865</v>
      </c>
      <c r="J276" s="49">
        <f t="shared" ca="1" si="18"/>
        <v>226.09677419354838</v>
      </c>
      <c r="K276" s="45" cm="1">
        <f t="array" aca="1" ref="K276" ca="1">SUMPRODUCT((Table1[SubscriptionStart] &lt;= $A276) * (Table1[EffectiveEndDate] &gt;= $A276) * (Table1[Region] = "England"))</f>
        <v>55</v>
      </c>
      <c r="L276" s="45" cm="1">
        <f t="array" aca="1" ref="L276" ca="1">SUMPRODUCT((Table1[SubscriptionStart] &lt;= $A276) * (Table1[EffectiveEndDate] &gt;= $A276) * (Table1[Region] = "Scotland"))</f>
        <v>45</v>
      </c>
      <c r="M276" s="45" cm="1">
        <f t="array" aca="1" ref="M276" ca="1">SUMPRODUCT((Table1[SubscriptionStart] &lt;= $A276) * (Table1[EffectiveEndDate] &gt;= $A276) * (Table1[Region] = "Wales"))</f>
        <v>50</v>
      </c>
      <c r="N276" s="45" cm="1">
        <f t="array" aca="1" ref="N276" ca="1">SUMPRODUCT((Table1[SubscriptionStart] &lt;= $A276) * (Table1[EffectiveEndDate] &gt;= $A276) * (Table1[Region] = "Northern Ireland"))</f>
        <v>63</v>
      </c>
      <c r="O276" s="45" cm="1">
        <f t="array" aca="1" ref="O276" ca="1">SUMPRODUCT((Table1[Gender]="Male")*(Table1[SubscriptionStart]&lt;=A276)*(Table1[EffectiveEndDate]&gt;=A276))</f>
        <v>121</v>
      </c>
      <c r="P276" s="45" cm="1">
        <f t="array" aca="1" ref="P276" ca="1">SUMPRODUCT((Table1[Gender]="Female")*(Table1[SubscriptionStart]&lt;=A276)*(Table1[EffectiveEndDate]&gt;=A276))</f>
        <v>92</v>
      </c>
    </row>
    <row r="277" spans="1:16">
      <c r="A277" s="48">
        <f t="shared" si="19"/>
        <v>44837</v>
      </c>
      <c r="B277" s="45" cm="1">
        <f t="array" aca="1" ref="B277" ca="1">SUMPRODUCT((Table1[SubscriptionStart]&lt;=A277)*(Table1[EffectiveEndDate]&gt;=A277))</f>
        <v>216</v>
      </c>
      <c r="C277" s="45">
        <f>COUNTIFS(Table1[SubscriptionStart], A277)</f>
        <v>3</v>
      </c>
      <c r="D277" s="45">
        <f>COUNTIFS(Table1[CancellationDate], A277)</f>
        <v>0</v>
      </c>
      <c r="E277" s="45">
        <f t="shared" si="16"/>
        <v>3</v>
      </c>
      <c r="F277" s="45">
        <f>SUM($C$2:C277)</f>
        <v>265</v>
      </c>
      <c r="G277" s="49" cm="1">
        <f t="array" aca="1" ref="G277" ca="1">IF(B277=0,"", SUMPRODUCT((Table1[SubscriptionStart]&lt;=A277)*(Table1[EffectiveEndDate]&gt;=A277)*Table1[Age]) / B277 )</f>
        <v>46.25</v>
      </c>
      <c r="H277" s="22">
        <f>SUMIF(Table1[SubscriptionStart],"&lt;="&amp;A277,Table1[TotalRevenue])</f>
        <v>58222.549999999959</v>
      </c>
      <c r="I277" s="50">
        <f t="shared" si="17"/>
        <v>44865</v>
      </c>
      <c r="J277" s="49">
        <f t="shared" ca="1" si="18"/>
        <v>226.09677419354838</v>
      </c>
      <c r="K277" s="45" cm="1">
        <f t="array" aca="1" ref="K277" ca="1">SUMPRODUCT((Table1[SubscriptionStart] &lt;= $A277) * (Table1[EffectiveEndDate] &gt;= $A277) * (Table1[Region] = "England"))</f>
        <v>55</v>
      </c>
      <c r="L277" s="45" cm="1">
        <f t="array" aca="1" ref="L277" ca="1">SUMPRODUCT((Table1[SubscriptionStart] &lt;= $A277) * (Table1[EffectiveEndDate] &gt;= $A277) * (Table1[Region] = "Scotland"))</f>
        <v>46</v>
      </c>
      <c r="M277" s="45" cm="1">
        <f t="array" aca="1" ref="M277" ca="1">SUMPRODUCT((Table1[SubscriptionStart] &lt;= $A277) * (Table1[EffectiveEndDate] &gt;= $A277) * (Table1[Region] = "Wales"))</f>
        <v>50</v>
      </c>
      <c r="N277" s="45" cm="1">
        <f t="array" aca="1" ref="N277" ca="1">SUMPRODUCT((Table1[SubscriptionStart] &lt;= $A277) * (Table1[EffectiveEndDate] &gt;= $A277) * (Table1[Region] = "Northern Ireland"))</f>
        <v>65</v>
      </c>
      <c r="O277" s="45" cm="1">
        <f t="array" aca="1" ref="O277" ca="1">SUMPRODUCT((Table1[Gender]="Male")*(Table1[SubscriptionStart]&lt;=A277)*(Table1[EffectiveEndDate]&gt;=A277))</f>
        <v>123</v>
      </c>
      <c r="P277" s="45" cm="1">
        <f t="array" aca="1" ref="P277" ca="1">SUMPRODUCT((Table1[Gender]="Female")*(Table1[SubscriptionStart]&lt;=A277)*(Table1[EffectiveEndDate]&gt;=A277))</f>
        <v>93</v>
      </c>
    </row>
    <row r="278" spans="1:16">
      <c r="A278" s="48">
        <f t="shared" si="19"/>
        <v>44838</v>
      </c>
      <c r="B278" s="45" cm="1">
        <f t="array" aca="1" ref="B278" ca="1">SUMPRODUCT((Table1[SubscriptionStart]&lt;=A278)*(Table1[EffectiveEndDate]&gt;=A278))</f>
        <v>216</v>
      </c>
      <c r="C278" s="45">
        <f>COUNTIFS(Table1[SubscriptionStart], A278)</f>
        <v>0</v>
      </c>
      <c r="D278" s="45">
        <f>COUNTIFS(Table1[CancellationDate], A278)</f>
        <v>0</v>
      </c>
      <c r="E278" s="45">
        <f t="shared" si="16"/>
        <v>0</v>
      </c>
      <c r="F278" s="45">
        <f>SUM($C$2:C278)</f>
        <v>265</v>
      </c>
      <c r="G278" s="49" cm="1">
        <f t="array" aca="1" ref="G278" ca="1">IF(B278=0,"", SUMPRODUCT((Table1[SubscriptionStart]&lt;=A278)*(Table1[EffectiveEndDate]&gt;=A278)*Table1[Age]) / B278 )</f>
        <v>46.25</v>
      </c>
      <c r="H278" s="22">
        <f>SUMIF(Table1[SubscriptionStart],"&lt;="&amp;A278,Table1[TotalRevenue])</f>
        <v>58222.549999999959</v>
      </c>
      <c r="I278" s="50">
        <f t="shared" si="17"/>
        <v>44865</v>
      </c>
      <c r="J278" s="49">
        <f t="shared" ca="1" si="18"/>
        <v>226.09677419354838</v>
      </c>
      <c r="K278" s="45" cm="1">
        <f t="array" aca="1" ref="K278" ca="1">SUMPRODUCT((Table1[SubscriptionStart] &lt;= $A278) * (Table1[EffectiveEndDate] &gt;= $A278) * (Table1[Region] = "England"))</f>
        <v>55</v>
      </c>
      <c r="L278" s="45" cm="1">
        <f t="array" aca="1" ref="L278" ca="1">SUMPRODUCT((Table1[SubscriptionStart] &lt;= $A278) * (Table1[EffectiveEndDate] &gt;= $A278) * (Table1[Region] = "Scotland"))</f>
        <v>46</v>
      </c>
      <c r="M278" s="45" cm="1">
        <f t="array" aca="1" ref="M278" ca="1">SUMPRODUCT((Table1[SubscriptionStart] &lt;= $A278) * (Table1[EffectiveEndDate] &gt;= $A278) * (Table1[Region] = "Wales"))</f>
        <v>50</v>
      </c>
      <c r="N278" s="45" cm="1">
        <f t="array" aca="1" ref="N278" ca="1">SUMPRODUCT((Table1[SubscriptionStart] &lt;= $A278) * (Table1[EffectiveEndDate] &gt;= $A278) * (Table1[Region] = "Northern Ireland"))</f>
        <v>65</v>
      </c>
      <c r="O278" s="45" cm="1">
        <f t="array" aca="1" ref="O278" ca="1">SUMPRODUCT((Table1[Gender]="Male")*(Table1[SubscriptionStart]&lt;=A278)*(Table1[EffectiveEndDate]&gt;=A278))</f>
        <v>123</v>
      </c>
      <c r="P278" s="45" cm="1">
        <f t="array" aca="1" ref="P278" ca="1">SUMPRODUCT((Table1[Gender]="Female")*(Table1[SubscriptionStart]&lt;=A278)*(Table1[EffectiveEndDate]&gt;=A278))</f>
        <v>93</v>
      </c>
    </row>
    <row r="279" spans="1:16">
      <c r="A279" s="48">
        <f t="shared" si="19"/>
        <v>44839</v>
      </c>
      <c r="B279" s="45" cm="1">
        <f t="array" aca="1" ref="B279" ca="1">SUMPRODUCT((Table1[SubscriptionStart]&lt;=A279)*(Table1[EffectiveEndDate]&gt;=A279))</f>
        <v>218</v>
      </c>
      <c r="C279" s="45">
        <f>COUNTIFS(Table1[SubscriptionStart], A279)</f>
        <v>2</v>
      </c>
      <c r="D279" s="45">
        <f>COUNTIFS(Table1[CancellationDate], A279)</f>
        <v>0</v>
      </c>
      <c r="E279" s="45">
        <f t="shared" si="16"/>
        <v>2</v>
      </c>
      <c r="F279" s="45">
        <f>SUM($C$2:C279)</f>
        <v>267</v>
      </c>
      <c r="G279" s="49" cm="1">
        <f t="array" aca="1" ref="G279" ca="1">IF(B279=0,"", SUMPRODUCT((Table1[SubscriptionStart]&lt;=A279)*(Table1[EffectiveEndDate]&gt;=A279)*Table1[Age]) / B279 )</f>
        <v>46.27064220183486</v>
      </c>
      <c r="H279" s="22">
        <f>SUMIF(Table1[SubscriptionStart],"&lt;="&amp;A279,Table1[TotalRevenue])</f>
        <v>58366.549999999959</v>
      </c>
      <c r="I279" s="50">
        <f t="shared" si="17"/>
        <v>44865</v>
      </c>
      <c r="J279" s="49">
        <f t="shared" ca="1" si="18"/>
        <v>226.09677419354838</v>
      </c>
      <c r="K279" s="45" cm="1">
        <f t="array" aca="1" ref="K279" ca="1">SUMPRODUCT((Table1[SubscriptionStart] &lt;= $A279) * (Table1[EffectiveEndDate] &gt;= $A279) * (Table1[Region] = "England"))</f>
        <v>55</v>
      </c>
      <c r="L279" s="45" cm="1">
        <f t="array" aca="1" ref="L279" ca="1">SUMPRODUCT((Table1[SubscriptionStart] &lt;= $A279) * (Table1[EffectiveEndDate] &gt;= $A279) * (Table1[Region] = "Scotland"))</f>
        <v>48</v>
      </c>
      <c r="M279" s="45" cm="1">
        <f t="array" aca="1" ref="M279" ca="1">SUMPRODUCT((Table1[SubscriptionStart] &lt;= $A279) * (Table1[EffectiveEndDate] &gt;= $A279) * (Table1[Region] = "Wales"))</f>
        <v>50</v>
      </c>
      <c r="N279" s="45" cm="1">
        <f t="array" aca="1" ref="N279" ca="1">SUMPRODUCT((Table1[SubscriptionStart] &lt;= $A279) * (Table1[EffectiveEndDate] &gt;= $A279) * (Table1[Region] = "Northern Ireland"))</f>
        <v>65</v>
      </c>
      <c r="O279" s="45" cm="1">
        <f t="array" aca="1" ref="O279" ca="1">SUMPRODUCT((Table1[Gender]="Male")*(Table1[SubscriptionStart]&lt;=A279)*(Table1[EffectiveEndDate]&gt;=A279))</f>
        <v>124</v>
      </c>
      <c r="P279" s="45" cm="1">
        <f t="array" aca="1" ref="P279" ca="1">SUMPRODUCT((Table1[Gender]="Female")*(Table1[SubscriptionStart]&lt;=A279)*(Table1[EffectiveEndDate]&gt;=A279))</f>
        <v>94</v>
      </c>
    </row>
    <row r="280" spans="1:16">
      <c r="A280" s="48">
        <f t="shared" si="19"/>
        <v>44840</v>
      </c>
      <c r="B280" s="45" cm="1">
        <f t="array" aca="1" ref="B280" ca="1">SUMPRODUCT((Table1[SubscriptionStart]&lt;=A280)*(Table1[EffectiveEndDate]&gt;=A280))</f>
        <v>218</v>
      </c>
      <c r="C280" s="45">
        <f>COUNTIFS(Table1[SubscriptionStart], A280)</f>
        <v>0</v>
      </c>
      <c r="D280" s="45">
        <f>COUNTIFS(Table1[CancellationDate], A280)</f>
        <v>0</v>
      </c>
      <c r="E280" s="45">
        <f t="shared" si="16"/>
        <v>0</v>
      </c>
      <c r="F280" s="45">
        <f>SUM($C$2:C280)</f>
        <v>267</v>
      </c>
      <c r="G280" s="49" cm="1">
        <f t="array" aca="1" ref="G280" ca="1">IF(B280=0,"", SUMPRODUCT((Table1[SubscriptionStart]&lt;=A280)*(Table1[EffectiveEndDate]&gt;=A280)*Table1[Age]) / B280 )</f>
        <v>46.27064220183486</v>
      </c>
      <c r="H280" s="22">
        <f>SUMIF(Table1[SubscriptionStart],"&lt;="&amp;A280,Table1[TotalRevenue])</f>
        <v>58366.549999999959</v>
      </c>
      <c r="I280" s="50">
        <f t="shared" si="17"/>
        <v>44865</v>
      </c>
      <c r="J280" s="49">
        <f t="shared" ca="1" si="18"/>
        <v>226.09677419354838</v>
      </c>
      <c r="K280" s="45" cm="1">
        <f t="array" aca="1" ref="K280" ca="1">SUMPRODUCT((Table1[SubscriptionStart] &lt;= $A280) * (Table1[EffectiveEndDate] &gt;= $A280) * (Table1[Region] = "England"))</f>
        <v>55</v>
      </c>
      <c r="L280" s="45" cm="1">
        <f t="array" aca="1" ref="L280" ca="1">SUMPRODUCT((Table1[SubscriptionStart] &lt;= $A280) * (Table1[EffectiveEndDate] &gt;= $A280) * (Table1[Region] = "Scotland"))</f>
        <v>48</v>
      </c>
      <c r="M280" s="45" cm="1">
        <f t="array" aca="1" ref="M280" ca="1">SUMPRODUCT((Table1[SubscriptionStart] &lt;= $A280) * (Table1[EffectiveEndDate] &gt;= $A280) * (Table1[Region] = "Wales"))</f>
        <v>50</v>
      </c>
      <c r="N280" s="45" cm="1">
        <f t="array" aca="1" ref="N280" ca="1">SUMPRODUCT((Table1[SubscriptionStart] &lt;= $A280) * (Table1[EffectiveEndDate] &gt;= $A280) * (Table1[Region] = "Northern Ireland"))</f>
        <v>65</v>
      </c>
      <c r="O280" s="45" cm="1">
        <f t="array" aca="1" ref="O280" ca="1">SUMPRODUCT((Table1[Gender]="Male")*(Table1[SubscriptionStart]&lt;=A280)*(Table1[EffectiveEndDate]&gt;=A280))</f>
        <v>124</v>
      </c>
      <c r="P280" s="45" cm="1">
        <f t="array" aca="1" ref="P280" ca="1">SUMPRODUCT((Table1[Gender]="Female")*(Table1[SubscriptionStart]&lt;=A280)*(Table1[EffectiveEndDate]&gt;=A280))</f>
        <v>94</v>
      </c>
    </row>
    <row r="281" spans="1:16">
      <c r="A281" s="48">
        <f t="shared" si="19"/>
        <v>44841</v>
      </c>
      <c r="B281" s="45" cm="1">
        <f t="array" aca="1" ref="B281" ca="1">SUMPRODUCT((Table1[SubscriptionStart]&lt;=A281)*(Table1[EffectiveEndDate]&gt;=A281))</f>
        <v>219</v>
      </c>
      <c r="C281" s="45">
        <f>COUNTIFS(Table1[SubscriptionStart], A281)</f>
        <v>1</v>
      </c>
      <c r="D281" s="45">
        <f>COUNTIFS(Table1[CancellationDate], A281)</f>
        <v>0</v>
      </c>
      <c r="E281" s="45">
        <f t="shared" si="16"/>
        <v>1</v>
      </c>
      <c r="F281" s="45">
        <f>SUM($C$2:C281)</f>
        <v>268</v>
      </c>
      <c r="G281" s="49" cm="1">
        <f t="array" aca="1" ref="G281" ca="1">IF(B281=0,"", SUMPRODUCT((Table1[SubscriptionStart]&lt;=A281)*(Table1[EffectiveEndDate]&gt;=A281)*Table1[Age]) / B281 )</f>
        <v>46.173515981735157</v>
      </c>
      <c r="H281" s="22">
        <f>SUMIF(Table1[SubscriptionStart],"&lt;="&amp;A281,Table1[TotalRevenue])</f>
        <v>58439.449999999961</v>
      </c>
      <c r="I281" s="50">
        <f t="shared" si="17"/>
        <v>44865</v>
      </c>
      <c r="J281" s="49">
        <f t="shared" ca="1" si="18"/>
        <v>226.09677419354838</v>
      </c>
      <c r="K281" s="45" cm="1">
        <f t="array" aca="1" ref="K281" ca="1">SUMPRODUCT((Table1[SubscriptionStart] &lt;= $A281) * (Table1[EffectiveEndDate] &gt;= $A281) * (Table1[Region] = "England"))</f>
        <v>55</v>
      </c>
      <c r="L281" s="45" cm="1">
        <f t="array" aca="1" ref="L281" ca="1">SUMPRODUCT((Table1[SubscriptionStart] &lt;= $A281) * (Table1[EffectiveEndDate] &gt;= $A281) * (Table1[Region] = "Scotland"))</f>
        <v>49</v>
      </c>
      <c r="M281" s="45" cm="1">
        <f t="array" aca="1" ref="M281" ca="1">SUMPRODUCT((Table1[SubscriptionStart] &lt;= $A281) * (Table1[EffectiveEndDate] &gt;= $A281) * (Table1[Region] = "Wales"))</f>
        <v>50</v>
      </c>
      <c r="N281" s="45" cm="1">
        <f t="array" aca="1" ref="N281" ca="1">SUMPRODUCT((Table1[SubscriptionStart] &lt;= $A281) * (Table1[EffectiveEndDate] &gt;= $A281) * (Table1[Region] = "Northern Ireland"))</f>
        <v>65</v>
      </c>
      <c r="O281" s="45" cm="1">
        <f t="array" aca="1" ref="O281" ca="1">SUMPRODUCT((Table1[Gender]="Male")*(Table1[SubscriptionStart]&lt;=A281)*(Table1[EffectiveEndDate]&gt;=A281))</f>
        <v>125</v>
      </c>
      <c r="P281" s="45" cm="1">
        <f t="array" aca="1" ref="P281" ca="1">SUMPRODUCT((Table1[Gender]="Female")*(Table1[SubscriptionStart]&lt;=A281)*(Table1[EffectiveEndDate]&gt;=A281))</f>
        <v>94</v>
      </c>
    </row>
    <row r="282" spans="1:16">
      <c r="A282" s="48">
        <f t="shared" si="19"/>
        <v>44842</v>
      </c>
      <c r="B282" s="45" cm="1">
        <f t="array" aca="1" ref="B282" ca="1">SUMPRODUCT((Table1[SubscriptionStart]&lt;=A282)*(Table1[EffectiveEndDate]&gt;=A282))</f>
        <v>219</v>
      </c>
      <c r="C282" s="45">
        <f>COUNTIFS(Table1[SubscriptionStart], A282)</f>
        <v>0</v>
      </c>
      <c r="D282" s="45">
        <f>COUNTIFS(Table1[CancellationDate], A282)</f>
        <v>0</v>
      </c>
      <c r="E282" s="45">
        <f t="shared" si="16"/>
        <v>0</v>
      </c>
      <c r="F282" s="45">
        <f>SUM($C$2:C282)</f>
        <v>268</v>
      </c>
      <c r="G282" s="49" cm="1">
        <f t="array" aca="1" ref="G282" ca="1">IF(B282=0,"", SUMPRODUCT((Table1[SubscriptionStart]&lt;=A282)*(Table1[EffectiveEndDate]&gt;=A282)*Table1[Age]) / B282 )</f>
        <v>46.173515981735157</v>
      </c>
      <c r="H282" s="22">
        <f>SUMIF(Table1[SubscriptionStart],"&lt;="&amp;A282,Table1[TotalRevenue])</f>
        <v>58439.449999999961</v>
      </c>
      <c r="I282" s="50">
        <f t="shared" si="17"/>
        <v>44865</v>
      </c>
      <c r="J282" s="49">
        <f t="shared" ca="1" si="18"/>
        <v>226.09677419354838</v>
      </c>
      <c r="K282" s="45" cm="1">
        <f t="array" aca="1" ref="K282" ca="1">SUMPRODUCT((Table1[SubscriptionStart] &lt;= $A282) * (Table1[EffectiveEndDate] &gt;= $A282) * (Table1[Region] = "England"))</f>
        <v>55</v>
      </c>
      <c r="L282" s="45" cm="1">
        <f t="array" aca="1" ref="L282" ca="1">SUMPRODUCT((Table1[SubscriptionStart] &lt;= $A282) * (Table1[EffectiveEndDate] &gt;= $A282) * (Table1[Region] = "Scotland"))</f>
        <v>49</v>
      </c>
      <c r="M282" s="45" cm="1">
        <f t="array" aca="1" ref="M282" ca="1">SUMPRODUCT((Table1[SubscriptionStart] &lt;= $A282) * (Table1[EffectiveEndDate] &gt;= $A282) * (Table1[Region] = "Wales"))</f>
        <v>50</v>
      </c>
      <c r="N282" s="45" cm="1">
        <f t="array" aca="1" ref="N282" ca="1">SUMPRODUCT((Table1[SubscriptionStart] &lt;= $A282) * (Table1[EffectiveEndDate] &gt;= $A282) * (Table1[Region] = "Northern Ireland"))</f>
        <v>65</v>
      </c>
      <c r="O282" s="45" cm="1">
        <f t="array" aca="1" ref="O282" ca="1">SUMPRODUCT((Table1[Gender]="Male")*(Table1[SubscriptionStart]&lt;=A282)*(Table1[EffectiveEndDate]&gt;=A282))</f>
        <v>125</v>
      </c>
      <c r="P282" s="45" cm="1">
        <f t="array" aca="1" ref="P282" ca="1">SUMPRODUCT((Table1[Gender]="Female")*(Table1[SubscriptionStart]&lt;=A282)*(Table1[EffectiveEndDate]&gt;=A282))</f>
        <v>94</v>
      </c>
    </row>
    <row r="283" spans="1:16">
      <c r="A283" s="48">
        <f t="shared" si="19"/>
        <v>44843</v>
      </c>
      <c r="B283" s="45" cm="1">
        <f t="array" aca="1" ref="B283" ca="1">SUMPRODUCT((Table1[SubscriptionStart]&lt;=A283)*(Table1[EffectiveEndDate]&gt;=A283))</f>
        <v>219</v>
      </c>
      <c r="C283" s="45">
        <f>COUNTIFS(Table1[SubscriptionStart], A283)</f>
        <v>0</v>
      </c>
      <c r="D283" s="45">
        <f>COUNTIFS(Table1[CancellationDate], A283)</f>
        <v>0</v>
      </c>
      <c r="E283" s="45">
        <f t="shared" si="16"/>
        <v>0</v>
      </c>
      <c r="F283" s="45">
        <f>SUM($C$2:C283)</f>
        <v>268</v>
      </c>
      <c r="G283" s="49" cm="1">
        <f t="array" aca="1" ref="G283" ca="1">IF(B283=0,"", SUMPRODUCT((Table1[SubscriptionStart]&lt;=A283)*(Table1[EffectiveEndDate]&gt;=A283)*Table1[Age]) / B283 )</f>
        <v>46.173515981735157</v>
      </c>
      <c r="H283" s="22">
        <f>SUMIF(Table1[SubscriptionStart],"&lt;="&amp;A283,Table1[TotalRevenue])</f>
        <v>58439.449999999961</v>
      </c>
      <c r="I283" s="50">
        <f t="shared" si="17"/>
        <v>44865</v>
      </c>
      <c r="J283" s="49">
        <f t="shared" ca="1" si="18"/>
        <v>226.09677419354838</v>
      </c>
      <c r="K283" s="45" cm="1">
        <f t="array" aca="1" ref="K283" ca="1">SUMPRODUCT((Table1[SubscriptionStart] &lt;= $A283) * (Table1[EffectiveEndDate] &gt;= $A283) * (Table1[Region] = "England"))</f>
        <v>55</v>
      </c>
      <c r="L283" s="45" cm="1">
        <f t="array" aca="1" ref="L283" ca="1">SUMPRODUCT((Table1[SubscriptionStart] &lt;= $A283) * (Table1[EffectiveEndDate] &gt;= $A283) * (Table1[Region] = "Scotland"))</f>
        <v>49</v>
      </c>
      <c r="M283" s="45" cm="1">
        <f t="array" aca="1" ref="M283" ca="1">SUMPRODUCT((Table1[SubscriptionStart] &lt;= $A283) * (Table1[EffectiveEndDate] &gt;= $A283) * (Table1[Region] = "Wales"))</f>
        <v>50</v>
      </c>
      <c r="N283" s="45" cm="1">
        <f t="array" aca="1" ref="N283" ca="1">SUMPRODUCT((Table1[SubscriptionStart] &lt;= $A283) * (Table1[EffectiveEndDate] &gt;= $A283) * (Table1[Region] = "Northern Ireland"))</f>
        <v>65</v>
      </c>
      <c r="O283" s="45" cm="1">
        <f t="array" aca="1" ref="O283" ca="1">SUMPRODUCT((Table1[Gender]="Male")*(Table1[SubscriptionStart]&lt;=A283)*(Table1[EffectiveEndDate]&gt;=A283))</f>
        <v>125</v>
      </c>
      <c r="P283" s="45" cm="1">
        <f t="array" aca="1" ref="P283" ca="1">SUMPRODUCT((Table1[Gender]="Female")*(Table1[SubscriptionStart]&lt;=A283)*(Table1[EffectiveEndDate]&gt;=A283))</f>
        <v>94</v>
      </c>
    </row>
    <row r="284" spans="1:16">
      <c r="A284" s="48">
        <f t="shared" si="19"/>
        <v>44844</v>
      </c>
      <c r="B284" s="45" cm="1">
        <f t="array" aca="1" ref="B284" ca="1">SUMPRODUCT((Table1[SubscriptionStart]&lt;=A284)*(Table1[EffectiveEndDate]&gt;=A284))</f>
        <v>220</v>
      </c>
      <c r="C284" s="45">
        <f>COUNTIFS(Table1[SubscriptionStart], A284)</f>
        <v>1</v>
      </c>
      <c r="D284" s="45">
        <f>COUNTIFS(Table1[CancellationDate], A284)</f>
        <v>0</v>
      </c>
      <c r="E284" s="45">
        <f t="shared" si="16"/>
        <v>1</v>
      </c>
      <c r="F284" s="45">
        <f>SUM($C$2:C284)</f>
        <v>269</v>
      </c>
      <c r="G284" s="49" cm="1">
        <f t="array" aca="1" ref="G284" ca="1">IF(B284=0,"", SUMPRODUCT((Table1[SubscriptionStart]&lt;=A284)*(Table1[EffectiveEndDate]&gt;=A284)*Table1[Age]) / B284 )</f>
        <v>46.05</v>
      </c>
      <c r="H284" s="22">
        <f>SUMIF(Table1[SubscriptionStart],"&lt;="&amp;A284,Table1[TotalRevenue])</f>
        <v>58511.449999999961</v>
      </c>
      <c r="I284" s="50">
        <f t="shared" si="17"/>
        <v>44865</v>
      </c>
      <c r="J284" s="49">
        <f t="shared" ca="1" si="18"/>
        <v>226.09677419354838</v>
      </c>
      <c r="K284" s="45" cm="1">
        <f t="array" aca="1" ref="K284" ca="1">SUMPRODUCT((Table1[SubscriptionStart] &lt;= $A284) * (Table1[EffectiveEndDate] &gt;= $A284) * (Table1[Region] = "England"))</f>
        <v>55</v>
      </c>
      <c r="L284" s="45" cm="1">
        <f t="array" aca="1" ref="L284" ca="1">SUMPRODUCT((Table1[SubscriptionStart] &lt;= $A284) * (Table1[EffectiveEndDate] &gt;= $A284) * (Table1[Region] = "Scotland"))</f>
        <v>50</v>
      </c>
      <c r="M284" s="45" cm="1">
        <f t="array" aca="1" ref="M284" ca="1">SUMPRODUCT((Table1[SubscriptionStart] &lt;= $A284) * (Table1[EffectiveEndDate] &gt;= $A284) * (Table1[Region] = "Wales"))</f>
        <v>50</v>
      </c>
      <c r="N284" s="45" cm="1">
        <f t="array" aca="1" ref="N284" ca="1">SUMPRODUCT((Table1[SubscriptionStart] &lt;= $A284) * (Table1[EffectiveEndDate] &gt;= $A284) * (Table1[Region] = "Northern Ireland"))</f>
        <v>65</v>
      </c>
      <c r="O284" s="45" cm="1">
        <f t="array" aca="1" ref="O284" ca="1">SUMPRODUCT((Table1[Gender]="Male")*(Table1[SubscriptionStart]&lt;=A284)*(Table1[EffectiveEndDate]&gt;=A284))</f>
        <v>125</v>
      </c>
      <c r="P284" s="45" cm="1">
        <f t="array" aca="1" ref="P284" ca="1">SUMPRODUCT((Table1[Gender]="Female")*(Table1[SubscriptionStart]&lt;=A284)*(Table1[EffectiveEndDate]&gt;=A284))</f>
        <v>95</v>
      </c>
    </row>
    <row r="285" spans="1:16">
      <c r="A285" s="48">
        <f t="shared" si="19"/>
        <v>44845</v>
      </c>
      <c r="B285" s="45" cm="1">
        <f t="array" aca="1" ref="B285" ca="1">SUMPRODUCT((Table1[SubscriptionStart]&lt;=A285)*(Table1[EffectiveEndDate]&gt;=A285))</f>
        <v>222</v>
      </c>
      <c r="C285" s="45">
        <f>COUNTIFS(Table1[SubscriptionStart], A285)</f>
        <v>2</v>
      </c>
      <c r="D285" s="45">
        <f>COUNTIFS(Table1[CancellationDate], A285)</f>
        <v>1</v>
      </c>
      <c r="E285" s="45">
        <f t="shared" si="16"/>
        <v>1</v>
      </c>
      <c r="F285" s="45">
        <f>SUM($C$2:C285)</f>
        <v>271</v>
      </c>
      <c r="G285" s="49" cm="1">
        <f t="array" aca="1" ref="G285" ca="1">IF(B285=0,"", SUMPRODUCT((Table1[SubscriptionStart]&lt;=A285)*(Table1[EffectiveEndDate]&gt;=A285)*Table1[Age]) / B285 )</f>
        <v>46.27927927927928</v>
      </c>
      <c r="H285" s="22">
        <f>SUMIF(Table1[SubscriptionStart],"&lt;="&amp;A285,Table1[TotalRevenue])</f>
        <v>58764.349999999962</v>
      </c>
      <c r="I285" s="50">
        <f t="shared" si="17"/>
        <v>44865</v>
      </c>
      <c r="J285" s="49">
        <f t="shared" ca="1" si="18"/>
        <v>226.09677419354838</v>
      </c>
      <c r="K285" s="45" cm="1">
        <f t="array" aca="1" ref="K285" ca="1">SUMPRODUCT((Table1[SubscriptionStart] &lt;= $A285) * (Table1[EffectiveEndDate] &gt;= $A285) * (Table1[Region] = "England"))</f>
        <v>55</v>
      </c>
      <c r="L285" s="45" cm="1">
        <f t="array" aca="1" ref="L285" ca="1">SUMPRODUCT((Table1[SubscriptionStart] &lt;= $A285) * (Table1[EffectiveEndDate] &gt;= $A285) * (Table1[Region] = "Scotland"))</f>
        <v>50</v>
      </c>
      <c r="M285" s="45" cm="1">
        <f t="array" aca="1" ref="M285" ca="1">SUMPRODUCT((Table1[SubscriptionStart] &lt;= $A285) * (Table1[EffectiveEndDate] &gt;= $A285) * (Table1[Region] = "Wales"))</f>
        <v>52</v>
      </c>
      <c r="N285" s="45" cm="1">
        <f t="array" aca="1" ref="N285" ca="1">SUMPRODUCT((Table1[SubscriptionStart] &lt;= $A285) * (Table1[EffectiveEndDate] &gt;= $A285) * (Table1[Region] = "Northern Ireland"))</f>
        <v>65</v>
      </c>
      <c r="O285" s="45" cm="1">
        <f t="array" aca="1" ref="O285" ca="1">SUMPRODUCT((Table1[Gender]="Male")*(Table1[SubscriptionStart]&lt;=A285)*(Table1[EffectiveEndDate]&gt;=A285))</f>
        <v>126</v>
      </c>
      <c r="P285" s="45" cm="1">
        <f t="array" aca="1" ref="P285" ca="1">SUMPRODUCT((Table1[Gender]="Female")*(Table1[SubscriptionStart]&lt;=A285)*(Table1[EffectiveEndDate]&gt;=A285))</f>
        <v>96</v>
      </c>
    </row>
    <row r="286" spans="1:16">
      <c r="A286" s="48">
        <f t="shared" si="19"/>
        <v>44846</v>
      </c>
      <c r="B286" s="45" cm="1">
        <f t="array" aca="1" ref="B286" ca="1">SUMPRODUCT((Table1[SubscriptionStart]&lt;=A286)*(Table1[EffectiveEndDate]&gt;=A286))</f>
        <v>222</v>
      </c>
      <c r="C286" s="45">
        <f>COUNTIFS(Table1[SubscriptionStart], A286)</f>
        <v>1</v>
      </c>
      <c r="D286" s="45">
        <f>COUNTIFS(Table1[CancellationDate], A286)</f>
        <v>0</v>
      </c>
      <c r="E286" s="45">
        <f t="shared" si="16"/>
        <v>1</v>
      </c>
      <c r="F286" s="45">
        <f>SUM($C$2:C286)</f>
        <v>272</v>
      </c>
      <c r="G286" s="49" cm="1">
        <f t="array" aca="1" ref="G286" ca="1">IF(B286=0,"", SUMPRODUCT((Table1[SubscriptionStart]&lt;=A286)*(Table1[EffectiveEndDate]&gt;=A286)*Table1[Age]) / B286 )</f>
        <v>46.274774774774777</v>
      </c>
      <c r="H286" s="22">
        <f>SUMIF(Table1[SubscriptionStart],"&lt;="&amp;A286,Table1[TotalRevenue])</f>
        <v>58865.599999999962</v>
      </c>
      <c r="I286" s="50">
        <f t="shared" si="17"/>
        <v>44865</v>
      </c>
      <c r="J286" s="49">
        <f t="shared" ca="1" si="18"/>
        <v>226.09677419354838</v>
      </c>
      <c r="K286" s="45" cm="1">
        <f t="array" aca="1" ref="K286" ca="1">SUMPRODUCT((Table1[SubscriptionStart] &lt;= $A286) * (Table1[EffectiveEndDate] &gt;= $A286) * (Table1[Region] = "England"))</f>
        <v>55</v>
      </c>
      <c r="L286" s="45" cm="1">
        <f t="array" aca="1" ref="L286" ca="1">SUMPRODUCT((Table1[SubscriptionStart] &lt;= $A286) * (Table1[EffectiveEndDate] &gt;= $A286) * (Table1[Region] = "Scotland"))</f>
        <v>49</v>
      </c>
      <c r="M286" s="45" cm="1">
        <f t="array" aca="1" ref="M286" ca="1">SUMPRODUCT((Table1[SubscriptionStart] &lt;= $A286) * (Table1[EffectiveEndDate] &gt;= $A286) * (Table1[Region] = "Wales"))</f>
        <v>52</v>
      </c>
      <c r="N286" s="45" cm="1">
        <f t="array" aca="1" ref="N286" ca="1">SUMPRODUCT((Table1[SubscriptionStart] &lt;= $A286) * (Table1[EffectiveEndDate] &gt;= $A286) * (Table1[Region] = "Northern Ireland"))</f>
        <v>66</v>
      </c>
      <c r="O286" s="45" cm="1">
        <f t="array" aca="1" ref="O286" ca="1">SUMPRODUCT((Table1[Gender]="Male")*(Table1[SubscriptionStart]&lt;=A286)*(Table1[EffectiveEndDate]&gt;=A286))</f>
        <v>126</v>
      </c>
      <c r="P286" s="45" cm="1">
        <f t="array" aca="1" ref="P286" ca="1">SUMPRODUCT((Table1[Gender]="Female")*(Table1[SubscriptionStart]&lt;=A286)*(Table1[EffectiveEndDate]&gt;=A286))</f>
        <v>96</v>
      </c>
    </row>
    <row r="287" spans="1:16">
      <c r="A287" s="48">
        <f t="shared" si="19"/>
        <v>44847</v>
      </c>
      <c r="B287" s="45" cm="1">
        <f t="array" aca="1" ref="B287" ca="1">SUMPRODUCT((Table1[SubscriptionStart]&lt;=A287)*(Table1[EffectiveEndDate]&gt;=A287))</f>
        <v>223</v>
      </c>
      <c r="C287" s="45">
        <f>COUNTIFS(Table1[SubscriptionStart], A287)</f>
        <v>1</v>
      </c>
      <c r="D287" s="45">
        <f>COUNTIFS(Table1[CancellationDate], A287)</f>
        <v>0</v>
      </c>
      <c r="E287" s="45">
        <f t="shared" si="16"/>
        <v>1</v>
      </c>
      <c r="F287" s="45">
        <f>SUM($C$2:C287)</f>
        <v>273</v>
      </c>
      <c r="G287" s="49" cm="1">
        <f t="array" aca="1" ref="G287" ca="1">IF(B287=0,"", SUMPRODUCT((Table1[SubscriptionStart]&lt;=A287)*(Table1[EffectiveEndDate]&gt;=A287)*Table1[Age]) / B287 )</f>
        <v>46.403587443946186</v>
      </c>
      <c r="H287" s="22">
        <f>SUMIF(Table1[SubscriptionStart],"&lt;="&amp;A287,Table1[TotalRevenue])</f>
        <v>58937.599999999962</v>
      </c>
      <c r="I287" s="50">
        <f t="shared" si="17"/>
        <v>44865</v>
      </c>
      <c r="J287" s="49">
        <f t="shared" ca="1" si="18"/>
        <v>226.09677419354838</v>
      </c>
      <c r="K287" s="45" cm="1">
        <f t="array" aca="1" ref="K287" ca="1">SUMPRODUCT((Table1[SubscriptionStart] &lt;= $A287) * (Table1[EffectiveEndDate] &gt;= $A287) * (Table1[Region] = "England"))</f>
        <v>55</v>
      </c>
      <c r="L287" s="45" cm="1">
        <f t="array" aca="1" ref="L287" ca="1">SUMPRODUCT((Table1[SubscriptionStart] &lt;= $A287) * (Table1[EffectiveEndDate] &gt;= $A287) * (Table1[Region] = "Scotland"))</f>
        <v>50</v>
      </c>
      <c r="M287" s="45" cm="1">
        <f t="array" aca="1" ref="M287" ca="1">SUMPRODUCT((Table1[SubscriptionStart] &lt;= $A287) * (Table1[EffectiveEndDate] &gt;= $A287) * (Table1[Region] = "Wales"))</f>
        <v>52</v>
      </c>
      <c r="N287" s="45" cm="1">
        <f t="array" aca="1" ref="N287" ca="1">SUMPRODUCT((Table1[SubscriptionStart] &lt;= $A287) * (Table1[EffectiveEndDate] &gt;= $A287) * (Table1[Region] = "Northern Ireland"))</f>
        <v>66</v>
      </c>
      <c r="O287" s="45" cm="1">
        <f t="array" aca="1" ref="O287" ca="1">SUMPRODUCT((Table1[Gender]="Male")*(Table1[SubscriptionStart]&lt;=A287)*(Table1[EffectiveEndDate]&gt;=A287))</f>
        <v>127</v>
      </c>
      <c r="P287" s="45" cm="1">
        <f t="array" aca="1" ref="P287" ca="1">SUMPRODUCT((Table1[Gender]="Female")*(Table1[SubscriptionStart]&lt;=A287)*(Table1[EffectiveEndDate]&gt;=A287))</f>
        <v>96</v>
      </c>
    </row>
    <row r="288" spans="1:16">
      <c r="A288" s="48">
        <f t="shared" si="19"/>
        <v>44848</v>
      </c>
      <c r="B288" s="45" cm="1">
        <f t="array" aca="1" ref="B288" ca="1">SUMPRODUCT((Table1[SubscriptionStart]&lt;=A288)*(Table1[EffectiveEndDate]&gt;=A288))</f>
        <v>224</v>
      </c>
      <c r="C288" s="45">
        <f>COUNTIFS(Table1[SubscriptionStart], A288)</f>
        <v>1</v>
      </c>
      <c r="D288" s="45">
        <f>COUNTIFS(Table1[CancellationDate], A288)</f>
        <v>1</v>
      </c>
      <c r="E288" s="45">
        <f t="shared" si="16"/>
        <v>0</v>
      </c>
      <c r="F288" s="45">
        <f>SUM($C$2:C288)</f>
        <v>274</v>
      </c>
      <c r="G288" s="49" cm="1">
        <f t="array" aca="1" ref="G288" ca="1">IF(B288=0,"", SUMPRODUCT((Table1[SubscriptionStart]&lt;=A288)*(Table1[EffectiveEndDate]&gt;=A288)*Table1[Age]) / B288 )</f>
        <v>46.392857142857146</v>
      </c>
      <c r="H288" s="22">
        <f>SUMIF(Table1[SubscriptionStart],"&lt;="&amp;A288,Table1[TotalRevenue])</f>
        <v>59117.599999999962</v>
      </c>
      <c r="I288" s="50">
        <f t="shared" si="17"/>
        <v>44865</v>
      </c>
      <c r="J288" s="49">
        <f t="shared" ca="1" si="18"/>
        <v>226.09677419354838</v>
      </c>
      <c r="K288" s="45" cm="1">
        <f t="array" aca="1" ref="K288" ca="1">SUMPRODUCT((Table1[SubscriptionStart] &lt;= $A288) * (Table1[EffectiveEndDate] &gt;= $A288) * (Table1[Region] = "England"))</f>
        <v>55</v>
      </c>
      <c r="L288" s="45" cm="1">
        <f t="array" aca="1" ref="L288" ca="1">SUMPRODUCT((Table1[SubscriptionStart] &lt;= $A288) * (Table1[EffectiveEndDate] &gt;= $A288) * (Table1[Region] = "Scotland"))</f>
        <v>50</v>
      </c>
      <c r="M288" s="45" cm="1">
        <f t="array" aca="1" ref="M288" ca="1">SUMPRODUCT((Table1[SubscriptionStart] &lt;= $A288) * (Table1[EffectiveEndDate] &gt;= $A288) * (Table1[Region] = "Wales"))</f>
        <v>53</v>
      </c>
      <c r="N288" s="45" cm="1">
        <f t="array" aca="1" ref="N288" ca="1">SUMPRODUCT((Table1[SubscriptionStart] &lt;= $A288) * (Table1[EffectiveEndDate] &gt;= $A288) * (Table1[Region] = "Northern Ireland"))</f>
        <v>66</v>
      </c>
      <c r="O288" s="45" cm="1">
        <f t="array" aca="1" ref="O288" ca="1">SUMPRODUCT((Table1[Gender]="Male")*(Table1[SubscriptionStart]&lt;=A288)*(Table1[EffectiveEndDate]&gt;=A288))</f>
        <v>127</v>
      </c>
      <c r="P288" s="45" cm="1">
        <f t="array" aca="1" ref="P288" ca="1">SUMPRODUCT((Table1[Gender]="Female")*(Table1[SubscriptionStart]&lt;=A288)*(Table1[EffectiveEndDate]&gt;=A288))</f>
        <v>97</v>
      </c>
    </row>
    <row r="289" spans="1:16">
      <c r="A289" s="48">
        <f t="shared" si="19"/>
        <v>44849</v>
      </c>
      <c r="B289" s="45" cm="1">
        <f t="array" aca="1" ref="B289" ca="1">SUMPRODUCT((Table1[SubscriptionStart]&lt;=A289)*(Table1[EffectiveEndDate]&gt;=A289))</f>
        <v>224</v>
      </c>
      <c r="C289" s="45">
        <f>COUNTIFS(Table1[SubscriptionStart], A289)</f>
        <v>1</v>
      </c>
      <c r="D289" s="45">
        <f>COUNTIFS(Table1[CancellationDate], A289)</f>
        <v>1</v>
      </c>
      <c r="E289" s="45">
        <f t="shared" si="16"/>
        <v>0</v>
      </c>
      <c r="F289" s="45">
        <f>SUM($C$2:C289)</f>
        <v>275</v>
      </c>
      <c r="G289" s="49" cm="1">
        <f t="array" aca="1" ref="G289" ca="1">IF(B289=0,"", SUMPRODUCT((Table1[SubscriptionStart]&lt;=A289)*(Table1[EffectiveEndDate]&gt;=A289)*Table1[Age]) / B289 )</f>
        <v>46.513392857142854</v>
      </c>
      <c r="H289" s="22">
        <f>SUMIF(Table1[SubscriptionStart],"&lt;="&amp;A289,Table1[TotalRevenue])</f>
        <v>59218.849999999962</v>
      </c>
      <c r="I289" s="50">
        <f t="shared" si="17"/>
        <v>44865</v>
      </c>
      <c r="J289" s="49">
        <f t="shared" ca="1" si="18"/>
        <v>226.09677419354838</v>
      </c>
      <c r="K289" s="45" cm="1">
        <f t="array" aca="1" ref="K289" ca="1">SUMPRODUCT((Table1[SubscriptionStart] &lt;= $A289) * (Table1[EffectiveEndDate] &gt;= $A289) * (Table1[Region] = "England"))</f>
        <v>55</v>
      </c>
      <c r="L289" s="45" cm="1">
        <f t="array" aca="1" ref="L289" ca="1">SUMPRODUCT((Table1[SubscriptionStart] &lt;= $A289) * (Table1[EffectiveEndDate] &gt;= $A289) * (Table1[Region] = "Scotland"))</f>
        <v>50</v>
      </c>
      <c r="M289" s="45" cm="1">
        <f t="array" aca="1" ref="M289" ca="1">SUMPRODUCT((Table1[SubscriptionStart] &lt;= $A289) * (Table1[EffectiveEndDate] &gt;= $A289) * (Table1[Region] = "Wales"))</f>
        <v>53</v>
      </c>
      <c r="N289" s="45" cm="1">
        <f t="array" aca="1" ref="N289" ca="1">SUMPRODUCT((Table1[SubscriptionStart] &lt;= $A289) * (Table1[EffectiveEndDate] &gt;= $A289) * (Table1[Region] = "Northern Ireland"))</f>
        <v>66</v>
      </c>
      <c r="O289" s="45" cm="1">
        <f t="array" aca="1" ref="O289" ca="1">SUMPRODUCT((Table1[Gender]="Male")*(Table1[SubscriptionStart]&lt;=A289)*(Table1[EffectiveEndDate]&gt;=A289))</f>
        <v>127</v>
      </c>
      <c r="P289" s="45" cm="1">
        <f t="array" aca="1" ref="P289" ca="1">SUMPRODUCT((Table1[Gender]="Female")*(Table1[SubscriptionStart]&lt;=A289)*(Table1[EffectiveEndDate]&gt;=A289))</f>
        <v>97</v>
      </c>
    </row>
    <row r="290" spans="1:16">
      <c r="A290" s="48">
        <f t="shared" si="19"/>
        <v>44850</v>
      </c>
      <c r="B290" s="45" cm="1">
        <f t="array" aca="1" ref="B290" ca="1">SUMPRODUCT((Table1[SubscriptionStart]&lt;=A290)*(Table1[EffectiveEndDate]&gt;=A290))</f>
        <v>226</v>
      </c>
      <c r="C290" s="45">
        <f>COUNTIFS(Table1[SubscriptionStart], A290)</f>
        <v>3</v>
      </c>
      <c r="D290" s="45">
        <f>COUNTIFS(Table1[CancellationDate], A290)</f>
        <v>0</v>
      </c>
      <c r="E290" s="45">
        <f t="shared" si="16"/>
        <v>3</v>
      </c>
      <c r="F290" s="45">
        <f>SUM($C$2:C290)</f>
        <v>278</v>
      </c>
      <c r="G290" s="49" cm="1">
        <f t="array" aca="1" ref="G290" ca="1">IF(B290=0,"", SUMPRODUCT((Table1[SubscriptionStart]&lt;=A290)*(Table1[EffectiveEndDate]&gt;=A290)*Table1[Age]) / B290 )</f>
        <v>46.43362831858407</v>
      </c>
      <c r="H290" s="22">
        <f>SUMIF(Table1[SubscriptionStart],"&lt;="&amp;A290,Table1[TotalRevenue])</f>
        <v>60177.049999999959</v>
      </c>
      <c r="I290" s="50">
        <f t="shared" si="17"/>
        <v>44865</v>
      </c>
      <c r="J290" s="49">
        <f t="shared" ca="1" si="18"/>
        <v>226.09677419354838</v>
      </c>
      <c r="K290" s="45" cm="1">
        <f t="array" aca="1" ref="K290" ca="1">SUMPRODUCT((Table1[SubscriptionStart] &lt;= $A290) * (Table1[EffectiveEndDate] &gt;= $A290) * (Table1[Region] = "England"))</f>
        <v>55</v>
      </c>
      <c r="L290" s="45" cm="1">
        <f t="array" aca="1" ref="L290" ca="1">SUMPRODUCT((Table1[SubscriptionStart] &lt;= $A290) * (Table1[EffectiveEndDate] &gt;= $A290) * (Table1[Region] = "Scotland"))</f>
        <v>50</v>
      </c>
      <c r="M290" s="45" cm="1">
        <f t="array" aca="1" ref="M290" ca="1">SUMPRODUCT((Table1[SubscriptionStart] &lt;= $A290) * (Table1[EffectiveEndDate] &gt;= $A290) * (Table1[Region] = "Wales"))</f>
        <v>54</v>
      </c>
      <c r="N290" s="45" cm="1">
        <f t="array" aca="1" ref="N290" ca="1">SUMPRODUCT((Table1[SubscriptionStart] &lt;= $A290) * (Table1[EffectiveEndDate] &gt;= $A290) * (Table1[Region] = "Northern Ireland"))</f>
        <v>67</v>
      </c>
      <c r="O290" s="45" cm="1">
        <f t="array" aca="1" ref="O290" ca="1">SUMPRODUCT((Table1[Gender]="Male")*(Table1[SubscriptionStart]&lt;=A290)*(Table1[EffectiveEndDate]&gt;=A290))</f>
        <v>128</v>
      </c>
      <c r="P290" s="45" cm="1">
        <f t="array" aca="1" ref="P290" ca="1">SUMPRODUCT((Table1[Gender]="Female")*(Table1[SubscriptionStart]&lt;=A290)*(Table1[EffectiveEndDate]&gt;=A290))</f>
        <v>98</v>
      </c>
    </row>
    <row r="291" spans="1:16">
      <c r="A291" s="48">
        <f t="shared" si="19"/>
        <v>44851</v>
      </c>
      <c r="B291" s="45" cm="1">
        <f t="array" aca="1" ref="B291" ca="1">SUMPRODUCT((Table1[SubscriptionStart]&lt;=A291)*(Table1[EffectiveEndDate]&gt;=A291))</f>
        <v>227</v>
      </c>
      <c r="C291" s="45">
        <f>COUNTIFS(Table1[SubscriptionStart], A291)</f>
        <v>1</v>
      </c>
      <c r="D291" s="45">
        <f>COUNTIFS(Table1[CancellationDate], A291)</f>
        <v>0</v>
      </c>
      <c r="E291" s="45">
        <f t="shared" si="16"/>
        <v>1</v>
      </c>
      <c r="F291" s="45">
        <f>SUM($C$2:C291)</f>
        <v>279</v>
      </c>
      <c r="G291" s="49" cm="1">
        <f t="array" aca="1" ref="G291" ca="1">IF(B291=0,"", SUMPRODUCT((Table1[SubscriptionStart]&lt;=A291)*(Table1[EffectiveEndDate]&gt;=A291)*Table1[Age]) / B291 )</f>
        <v>46.317180616740089</v>
      </c>
      <c r="H291" s="22">
        <f>SUMIF(Table1[SubscriptionStart],"&lt;="&amp;A291,Table1[TotalRevenue])</f>
        <v>60357.049999999959</v>
      </c>
      <c r="I291" s="50">
        <f t="shared" si="17"/>
        <v>44865</v>
      </c>
      <c r="J291" s="49">
        <f t="shared" ca="1" si="18"/>
        <v>226.09677419354838</v>
      </c>
      <c r="K291" s="45" cm="1">
        <f t="array" aca="1" ref="K291" ca="1">SUMPRODUCT((Table1[SubscriptionStart] &lt;= $A291) * (Table1[EffectiveEndDate] &gt;= $A291) * (Table1[Region] = "England"))</f>
        <v>55</v>
      </c>
      <c r="L291" s="45" cm="1">
        <f t="array" aca="1" ref="L291" ca="1">SUMPRODUCT((Table1[SubscriptionStart] &lt;= $A291) * (Table1[EffectiveEndDate] &gt;= $A291) * (Table1[Region] = "Scotland"))</f>
        <v>50</v>
      </c>
      <c r="M291" s="45" cm="1">
        <f t="array" aca="1" ref="M291" ca="1">SUMPRODUCT((Table1[SubscriptionStart] &lt;= $A291) * (Table1[EffectiveEndDate] &gt;= $A291) * (Table1[Region] = "Wales"))</f>
        <v>54</v>
      </c>
      <c r="N291" s="45" cm="1">
        <f t="array" aca="1" ref="N291" ca="1">SUMPRODUCT((Table1[SubscriptionStart] &lt;= $A291) * (Table1[EffectiveEndDate] &gt;= $A291) * (Table1[Region] = "Northern Ireland"))</f>
        <v>68</v>
      </c>
      <c r="O291" s="45" cm="1">
        <f t="array" aca="1" ref="O291" ca="1">SUMPRODUCT((Table1[Gender]="Male")*(Table1[SubscriptionStart]&lt;=A291)*(Table1[EffectiveEndDate]&gt;=A291))</f>
        <v>128</v>
      </c>
      <c r="P291" s="45" cm="1">
        <f t="array" aca="1" ref="P291" ca="1">SUMPRODUCT((Table1[Gender]="Female")*(Table1[SubscriptionStart]&lt;=A291)*(Table1[EffectiveEndDate]&gt;=A291))</f>
        <v>99</v>
      </c>
    </row>
    <row r="292" spans="1:16">
      <c r="A292" s="48">
        <f t="shared" si="19"/>
        <v>44852</v>
      </c>
      <c r="B292" s="45" cm="1">
        <f t="array" aca="1" ref="B292" ca="1">SUMPRODUCT((Table1[SubscriptionStart]&lt;=A292)*(Table1[EffectiveEndDate]&gt;=A292))</f>
        <v>227</v>
      </c>
      <c r="C292" s="45">
        <f>COUNTIFS(Table1[SubscriptionStart], A292)</f>
        <v>0</v>
      </c>
      <c r="D292" s="45">
        <f>COUNTIFS(Table1[CancellationDate], A292)</f>
        <v>1</v>
      </c>
      <c r="E292" s="45">
        <f t="shared" si="16"/>
        <v>-1</v>
      </c>
      <c r="F292" s="45">
        <f>SUM($C$2:C292)</f>
        <v>279</v>
      </c>
      <c r="G292" s="49" cm="1">
        <f t="array" aca="1" ref="G292" ca="1">IF(B292=0,"", SUMPRODUCT((Table1[SubscriptionStart]&lt;=A292)*(Table1[EffectiveEndDate]&gt;=A292)*Table1[Age]) / B292 )</f>
        <v>46.317180616740089</v>
      </c>
      <c r="H292" s="22">
        <f>SUMIF(Table1[SubscriptionStart],"&lt;="&amp;A292,Table1[TotalRevenue])</f>
        <v>60357.049999999959</v>
      </c>
      <c r="I292" s="50">
        <f t="shared" si="17"/>
        <v>44865</v>
      </c>
      <c r="J292" s="49">
        <f t="shared" ca="1" si="18"/>
        <v>226.09677419354838</v>
      </c>
      <c r="K292" s="45" cm="1">
        <f t="array" aca="1" ref="K292" ca="1">SUMPRODUCT((Table1[SubscriptionStart] &lt;= $A292) * (Table1[EffectiveEndDate] &gt;= $A292) * (Table1[Region] = "England"))</f>
        <v>55</v>
      </c>
      <c r="L292" s="45" cm="1">
        <f t="array" aca="1" ref="L292" ca="1">SUMPRODUCT((Table1[SubscriptionStart] &lt;= $A292) * (Table1[EffectiveEndDate] &gt;= $A292) * (Table1[Region] = "Scotland"))</f>
        <v>50</v>
      </c>
      <c r="M292" s="45" cm="1">
        <f t="array" aca="1" ref="M292" ca="1">SUMPRODUCT((Table1[SubscriptionStart] &lt;= $A292) * (Table1[EffectiveEndDate] &gt;= $A292) * (Table1[Region] = "Wales"))</f>
        <v>54</v>
      </c>
      <c r="N292" s="45" cm="1">
        <f t="array" aca="1" ref="N292" ca="1">SUMPRODUCT((Table1[SubscriptionStart] &lt;= $A292) * (Table1[EffectiveEndDate] &gt;= $A292) * (Table1[Region] = "Northern Ireland"))</f>
        <v>68</v>
      </c>
      <c r="O292" s="45" cm="1">
        <f t="array" aca="1" ref="O292" ca="1">SUMPRODUCT((Table1[Gender]="Male")*(Table1[SubscriptionStart]&lt;=A292)*(Table1[EffectiveEndDate]&gt;=A292))</f>
        <v>128</v>
      </c>
      <c r="P292" s="45" cm="1">
        <f t="array" aca="1" ref="P292" ca="1">SUMPRODUCT((Table1[Gender]="Female")*(Table1[SubscriptionStart]&lt;=A292)*(Table1[EffectiveEndDate]&gt;=A292))</f>
        <v>99</v>
      </c>
    </row>
    <row r="293" spans="1:16">
      <c r="A293" s="48">
        <f t="shared" si="19"/>
        <v>44853</v>
      </c>
      <c r="B293" s="45" cm="1">
        <f t="array" aca="1" ref="B293" ca="1">SUMPRODUCT((Table1[SubscriptionStart]&lt;=A293)*(Table1[EffectiveEndDate]&gt;=A293))</f>
        <v>227</v>
      </c>
      <c r="C293" s="45">
        <f>COUNTIFS(Table1[SubscriptionStart], A293)</f>
        <v>1</v>
      </c>
      <c r="D293" s="45">
        <f>COUNTIFS(Table1[CancellationDate], A293)</f>
        <v>0</v>
      </c>
      <c r="E293" s="45">
        <f t="shared" si="16"/>
        <v>1</v>
      </c>
      <c r="F293" s="45">
        <f>SUM($C$2:C293)</f>
        <v>280</v>
      </c>
      <c r="G293" s="49" cm="1">
        <f t="array" aca="1" ref="G293" ca="1">IF(B293=0,"", SUMPRODUCT((Table1[SubscriptionStart]&lt;=A293)*(Table1[EffectiveEndDate]&gt;=A293)*Table1[Age]) / B293 )</f>
        <v>46.33920704845815</v>
      </c>
      <c r="H293" s="22">
        <f>SUMIF(Table1[SubscriptionStart],"&lt;="&amp;A293,Table1[TotalRevenue])</f>
        <v>60357.049999999959</v>
      </c>
      <c r="I293" s="50">
        <f t="shared" si="17"/>
        <v>44865</v>
      </c>
      <c r="J293" s="49">
        <f t="shared" ca="1" si="18"/>
        <v>226.09677419354838</v>
      </c>
      <c r="K293" s="45" cm="1">
        <f t="array" aca="1" ref="K293" ca="1">SUMPRODUCT((Table1[SubscriptionStart] &lt;= $A293) * (Table1[EffectiveEndDate] &gt;= $A293) * (Table1[Region] = "England"))</f>
        <v>55</v>
      </c>
      <c r="L293" s="45" cm="1">
        <f t="array" aca="1" ref="L293" ca="1">SUMPRODUCT((Table1[SubscriptionStart] &lt;= $A293) * (Table1[EffectiveEndDate] &gt;= $A293) * (Table1[Region] = "Scotland"))</f>
        <v>50</v>
      </c>
      <c r="M293" s="45" cm="1">
        <f t="array" aca="1" ref="M293" ca="1">SUMPRODUCT((Table1[SubscriptionStart] &lt;= $A293) * (Table1[EffectiveEndDate] &gt;= $A293) * (Table1[Region] = "Wales"))</f>
        <v>55</v>
      </c>
      <c r="N293" s="45" cm="1">
        <f t="array" aca="1" ref="N293" ca="1">SUMPRODUCT((Table1[SubscriptionStart] &lt;= $A293) * (Table1[EffectiveEndDate] &gt;= $A293) * (Table1[Region] = "Northern Ireland"))</f>
        <v>67</v>
      </c>
      <c r="O293" s="45" cm="1">
        <f t="array" aca="1" ref="O293" ca="1">SUMPRODUCT((Table1[Gender]="Male")*(Table1[SubscriptionStart]&lt;=A293)*(Table1[EffectiveEndDate]&gt;=A293))</f>
        <v>129</v>
      </c>
      <c r="P293" s="45" cm="1">
        <f t="array" aca="1" ref="P293" ca="1">SUMPRODUCT((Table1[Gender]="Female")*(Table1[SubscriptionStart]&lt;=A293)*(Table1[EffectiveEndDate]&gt;=A293))</f>
        <v>98</v>
      </c>
    </row>
    <row r="294" spans="1:16">
      <c r="A294" s="48">
        <f t="shared" si="19"/>
        <v>44854</v>
      </c>
      <c r="B294" s="45" cm="1">
        <f t="array" aca="1" ref="B294" ca="1">SUMPRODUCT((Table1[SubscriptionStart]&lt;=A294)*(Table1[EffectiveEndDate]&gt;=A294))</f>
        <v>227</v>
      </c>
      <c r="C294" s="45">
        <f>COUNTIFS(Table1[SubscriptionStart], A294)</f>
        <v>0</v>
      </c>
      <c r="D294" s="45">
        <f>COUNTIFS(Table1[CancellationDate], A294)</f>
        <v>1</v>
      </c>
      <c r="E294" s="45">
        <f t="shared" si="16"/>
        <v>-1</v>
      </c>
      <c r="F294" s="45">
        <f>SUM($C$2:C294)</f>
        <v>280</v>
      </c>
      <c r="G294" s="49" cm="1">
        <f t="array" aca="1" ref="G294" ca="1">IF(B294=0,"", SUMPRODUCT((Table1[SubscriptionStart]&lt;=A294)*(Table1[EffectiveEndDate]&gt;=A294)*Table1[Age]) / B294 )</f>
        <v>46.33920704845815</v>
      </c>
      <c r="H294" s="22">
        <f>SUMIF(Table1[SubscriptionStart],"&lt;="&amp;A294,Table1[TotalRevenue])</f>
        <v>60357.049999999959</v>
      </c>
      <c r="I294" s="50">
        <f t="shared" si="17"/>
        <v>44865</v>
      </c>
      <c r="J294" s="49">
        <f t="shared" ca="1" si="18"/>
        <v>226.09677419354838</v>
      </c>
      <c r="K294" s="45" cm="1">
        <f t="array" aca="1" ref="K294" ca="1">SUMPRODUCT((Table1[SubscriptionStart] &lt;= $A294) * (Table1[EffectiveEndDate] &gt;= $A294) * (Table1[Region] = "England"))</f>
        <v>55</v>
      </c>
      <c r="L294" s="45" cm="1">
        <f t="array" aca="1" ref="L294" ca="1">SUMPRODUCT((Table1[SubscriptionStart] &lt;= $A294) * (Table1[EffectiveEndDate] &gt;= $A294) * (Table1[Region] = "Scotland"))</f>
        <v>50</v>
      </c>
      <c r="M294" s="45" cm="1">
        <f t="array" aca="1" ref="M294" ca="1">SUMPRODUCT((Table1[SubscriptionStart] &lt;= $A294) * (Table1[EffectiveEndDate] &gt;= $A294) * (Table1[Region] = "Wales"))</f>
        <v>55</v>
      </c>
      <c r="N294" s="45" cm="1">
        <f t="array" aca="1" ref="N294" ca="1">SUMPRODUCT((Table1[SubscriptionStart] &lt;= $A294) * (Table1[EffectiveEndDate] &gt;= $A294) * (Table1[Region] = "Northern Ireland"))</f>
        <v>67</v>
      </c>
      <c r="O294" s="45" cm="1">
        <f t="array" aca="1" ref="O294" ca="1">SUMPRODUCT((Table1[Gender]="Male")*(Table1[SubscriptionStart]&lt;=A294)*(Table1[EffectiveEndDate]&gt;=A294))</f>
        <v>129</v>
      </c>
      <c r="P294" s="45" cm="1">
        <f t="array" aca="1" ref="P294" ca="1">SUMPRODUCT((Table1[Gender]="Female")*(Table1[SubscriptionStart]&lt;=A294)*(Table1[EffectiveEndDate]&gt;=A294))</f>
        <v>98</v>
      </c>
    </row>
    <row r="295" spans="1:16">
      <c r="A295" s="48">
        <f t="shared" si="19"/>
        <v>44855</v>
      </c>
      <c r="B295" s="45" cm="1">
        <f t="array" aca="1" ref="B295" ca="1">SUMPRODUCT((Table1[SubscriptionStart]&lt;=A295)*(Table1[EffectiveEndDate]&gt;=A295))</f>
        <v>228</v>
      </c>
      <c r="C295" s="45">
        <f>COUNTIFS(Table1[SubscriptionStart], A295)</f>
        <v>2</v>
      </c>
      <c r="D295" s="45">
        <f>COUNTIFS(Table1[CancellationDate], A295)</f>
        <v>0</v>
      </c>
      <c r="E295" s="45">
        <f t="shared" si="16"/>
        <v>2</v>
      </c>
      <c r="F295" s="45">
        <f>SUM($C$2:C295)</f>
        <v>282</v>
      </c>
      <c r="G295" s="49" cm="1">
        <f t="array" aca="1" ref="G295" ca="1">IF(B295=0,"", SUMPRODUCT((Table1[SubscriptionStart]&lt;=A295)*(Table1[EffectiveEndDate]&gt;=A295)*Table1[Age]) / B295 )</f>
        <v>46.228070175438596</v>
      </c>
      <c r="H295" s="22">
        <f>SUMIF(Table1[SubscriptionStart],"&lt;="&amp;A295,Table1[TotalRevenue])</f>
        <v>60849.049999999959</v>
      </c>
      <c r="I295" s="50">
        <f t="shared" si="17"/>
        <v>44865</v>
      </c>
      <c r="J295" s="49">
        <f t="shared" ca="1" si="18"/>
        <v>226.09677419354838</v>
      </c>
      <c r="K295" s="45" cm="1">
        <f t="array" aca="1" ref="K295" ca="1">SUMPRODUCT((Table1[SubscriptionStart] &lt;= $A295) * (Table1[EffectiveEndDate] &gt;= $A295) * (Table1[Region] = "England"))</f>
        <v>55</v>
      </c>
      <c r="L295" s="45" cm="1">
        <f t="array" aca="1" ref="L295" ca="1">SUMPRODUCT((Table1[SubscriptionStart] &lt;= $A295) * (Table1[EffectiveEndDate] &gt;= $A295) * (Table1[Region] = "Scotland"))</f>
        <v>49</v>
      </c>
      <c r="M295" s="45" cm="1">
        <f t="array" aca="1" ref="M295" ca="1">SUMPRODUCT((Table1[SubscriptionStart] &lt;= $A295) * (Table1[EffectiveEndDate] &gt;= $A295) * (Table1[Region] = "Wales"))</f>
        <v>56</v>
      </c>
      <c r="N295" s="45" cm="1">
        <f t="array" aca="1" ref="N295" ca="1">SUMPRODUCT((Table1[SubscriptionStart] &lt;= $A295) * (Table1[EffectiveEndDate] &gt;= $A295) * (Table1[Region] = "Northern Ireland"))</f>
        <v>68</v>
      </c>
      <c r="O295" s="45" cm="1">
        <f t="array" aca="1" ref="O295" ca="1">SUMPRODUCT((Table1[Gender]="Male")*(Table1[SubscriptionStart]&lt;=A295)*(Table1[EffectiveEndDate]&gt;=A295))</f>
        <v>130</v>
      </c>
      <c r="P295" s="45" cm="1">
        <f t="array" aca="1" ref="P295" ca="1">SUMPRODUCT((Table1[Gender]="Female")*(Table1[SubscriptionStart]&lt;=A295)*(Table1[EffectiveEndDate]&gt;=A295))</f>
        <v>98</v>
      </c>
    </row>
    <row r="296" spans="1:16">
      <c r="A296" s="48">
        <f t="shared" si="19"/>
        <v>44856</v>
      </c>
      <c r="B296" s="45" cm="1">
        <f t="array" aca="1" ref="B296" ca="1">SUMPRODUCT((Table1[SubscriptionStart]&lt;=A296)*(Table1[EffectiveEndDate]&gt;=A296))</f>
        <v>230</v>
      </c>
      <c r="C296" s="45">
        <f>COUNTIFS(Table1[SubscriptionStart], A296)</f>
        <v>2</v>
      </c>
      <c r="D296" s="45">
        <f>COUNTIFS(Table1[CancellationDate], A296)</f>
        <v>0</v>
      </c>
      <c r="E296" s="45">
        <f t="shared" si="16"/>
        <v>2</v>
      </c>
      <c r="F296" s="45">
        <f>SUM($C$2:C296)</f>
        <v>284</v>
      </c>
      <c r="G296" s="49" cm="1">
        <f t="array" aca="1" ref="G296" ca="1">IF(B296=0,"", SUMPRODUCT((Table1[SubscriptionStart]&lt;=A296)*(Table1[EffectiveEndDate]&gt;=A296)*Table1[Age]) / B296 )</f>
        <v>46.265217391304347</v>
      </c>
      <c r="H296" s="22">
        <f>SUMIF(Table1[SubscriptionStart],"&lt;="&amp;A296,Table1[TotalRevenue])</f>
        <v>61029.049999999959</v>
      </c>
      <c r="I296" s="50">
        <f t="shared" si="17"/>
        <v>44865</v>
      </c>
      <c r="J296" s="49">
        <f t="shared" ca="1" si="18"/>
        <v>226.09677419354838</v>
      </c>
      <c r="K296" s="45" cm="1">
        <f t="array" aca="1" ref="K296" ca="1">SUMPRODUCT((Table1[SubscriptionStart] &lt;= $A296) * (Table1[EffectiveEndDate] &gt;= $A296) * (Table1[Region] = "England"))</f>
        <v>55</v>
      </c>
      <c r="L296" s="45" cm="1">
        <f t="array" aca="1" ref="L296" ca="1">SUMPRODUCT((Table1[SubscriptionStart] &lt;= $A296) * (Table1[EffectiveEndDate] &gt;= $A296) * (Table1[Region] = "Scotland"))</f>
        <v>50</v>
      </c>
      <c r="M296" s="45" cm="1">
        <f t="array" aca="1" ref="M296" ca="1">SUMPRODUCT((Table1[SubscriptionStart] &lt;= $A296) * (Table1[EffectiveEndDate] &gt;= $A296) * (Table1[Region] = "Wales"))</f>
        <v>56</v>
      </c>
      <c r="N296" s="45" cm="1">
        <f t="array" aca="1" ref="N296" ca="1">SUMPRODUCT((Table1[SubscriptionStart] &lt;= $A296) * (Table1[EffectiveEndDate] &gt;= $A296) * (Table1[Region] = "Northern Ireland"))</f>
        <v>69</v>
      </c>
      <c r="O296" s="45" cm="1">
        <f t="array" aca="1" ref="O296" ca="1">SUMPRODUCT((Table1[Gender]="Male")*(Table1[SubscriptionStart]&lt;=A296)*(Table1[EffectiveEndDate]&gt;=A296))</f>
        <v>131</v>
      </c>
      <c r="P296" s="45" cm="1">
        <f t="array" aca="1" ref="P296" ca="1">SUMPRODUCT((Table1[Gender]="Female")*(Table1[SubscriptionStart]&lt;=A296)*(Table1[EffectiveEndDate]&gt;=A296))</f>
        <v>99</v>
      </c>
    </row>
    <row r="297" spans="1:16">
      <c r="A297" s="48">
        <f t="shared" si="19"/>
        <v>44857</v>
      </c>
      <c r="B297" s="45" cm="1">
        <f t="array" aca="1" ref="B297" ca="1">SUMPRODUCT((Table1[SubscriptionStart]&lt;=A297)*(Table1[EffectiveEndDate]&gt;=A297))</f>
        <v>233</v>
      </c>
      <c r="C297" s="45">
        <f>COUNTIFS(Table1[SubscriptionStart], A297)</f>
        <v>3</v>
      </c>
      <c r="D297" s="45">
        <f>COUNTIFS(Table1[CancellationDate], A297)</f>
        <v>1</v>
      </c>
      <c r="E297" s="45">
        <f t="shared" si="16"/>
        <v>2</v>
      </c>
      <c r="F297" s="45">
        <f>SUM($C$2:C297)</f>
        <v>287</v>
      </c>
      <c r="G297" s="49" cm="1">
        <f t="array" aca="1" ref="G297" ca="1">IF(B297=0,"", SUMPRODUCT((Table1[SubscriptionStart]&lt;=A297)*(Table1[EffectiveEndDate]&gt;=A297)*Table1[Age]) / B297 )</f>
        <v>46.369098712446352</v>
      </c>
      <c r="H297" s="22">
        <f>SUMIF(Table1[SubscriptionStart],"&lt;="&amp;A297,Table1[TotalRevenue])</f>
        <v>61375.549999999959</v>
      </c>
      <c r="I297" s="50">
        <f t="shared" si="17"/>
        <v>44865</v>
      </c>
      <c r="J297" s="49">
        <f t="shared" ca="1" si="18"/>
        <v>226.09677419354838</v>
      </c>
      <c r="K297" s="45" cm="1">
        <f t="array" aca="1" ref="K297" ca="1">SUMPRODUCT((Table1[SubscriptionStart] &lt;= $A297) * (Table1[EffectiveEndDate] &gt;= $A297) * (Table1[Region] = "England"))</f>
        <v>56</v>
      </c>
      <c r="L297" s="45" cm="1">
        <f t="array" aca="1" ref="L297" ca="1">SUMPRODUCT((Table1[SubscriptionStart] &lt;= $A297) * (Table1[EffectiveEndDate] &gt;= $A297) * (Table1[Region] = "Scotland"))</f>
        <v>50</v>
      </c>
      <c r="M297" s="45" cm="1">
        <f t="array" aca="1" ref="M297" ca="1">SUMPRODUCT((Table1[SubscriptionStart] &lt;= $A297) * (Table1[EffectiveEndDate] &gt;= $A297) * (Table1[Region] = "Wales"))</f>
        <v>57</v>
      </c>
      <c r="N297" s="45" cm="1">
        <f t="array" aca="1" ref="N297" ca="1">SUMPRODUCT((Table1[SubscriptionStart] &lt;= $A297) * (Table1[EffectiveEndDate] &gt;= $A297) * (Table1[Region] = "Northern Ireland"))</f>
        <v>70</v>
      </c>
      <c r="O297" s="45" cm="1">
        <f t="array" aca="1" ref="O297" ca="1">SUMPRODUCT((Table1[Gender]="Male")*(Table1[SubscriptionStart]&lt;=A297)*(Table1[EffectiveEndDate]&gt;=A297))</f>
        <v>133</v>
      </c>
      <c r="P297" s="45" cm="1">
        <f t="array" aca="1" ref="P297" ca="1">SUMPRODUCT((Table1[Gender]="Female")*(Table1[SubscriptionStart]&lt;=A297)*(Table1[EffectiveEndDate]&gt;=A297))</f>
        <v>100</v>
      </c>
    </row>
    <row r="298" spans="1:16">
      <c r="A298" s="48">
        <f t="shared" si="19"/>
        <v>44858</v>
      </c>
      <c r="B298" s="45" cm="1">
        <f t="array" aca="1" ref="B298" ca="1">SUMPRODUCT((Table1[SubscriptionStart]&lt;=A298)*(Table1[EffectiveEndDate]&gt;=A298))</f>
        <v>233</v>
      </c>
      <c r="C298" s="45">
        <f>COUNTIFS(Table1[SubscriptionStart], A298)</f>
        <v>1</v>
      </c>
      <c r="D298" s="45">
        <f>COUNTIFS(Table1[CancellationDate], A298)</f>
        <v>0</v>
      </c>
      <c r="E298" s="45">
        <f t="shared" si="16"/>
        <v>1</v>
      </c>
      <c r="F298" s="45">
        <f>SUM($C$2:C298)</f>
        <v>288</v>
      </c>
      <c r="G298" s="49" cm="1">
        <f t="array" aca="1" ref="G298" ca="1">IF(B298=0,"", SUMPRODUCT((Table1[SubscriptionStart]&lt;=A298)*(Table1[EffectiveEndDate]&gt;=A298)*Table1[Age]) / B298 )</f>
        <v>46.317596566523605</v>
      </c>
      <c r="H298" s="22">
        <f>SUMIF(Table1[SubscriptionStart],"&lt;="&amp;A298,Table1[TotalRevenue])</f>
        <v>61447.549999999959</v>
      </c>
      <c r="I298" s="50">
        <f t="shared" si="17"/>
        <v>44865</v>
      </c>
      <c r="J298" s="49">
        <f t="shared" ca="1" si="18"/>
        <v>226.09677419354838</v>
      </c>
      <c r="K298" s="45" cm="1">
        <f t="array" aca="1" ref="K298" ca="1">SUMPRODUCT((Table1[SubscriptionStart] &lt;= $A298) * (Table1[EffectiveEndDate] &gt;= $A298) * (Table1[Region] = "England"))</f>
        <v>55</v>
      </c>
      <c r="L298" s="45" cm="1">
        <f t="array" aca="1" ref="L298" ca="1">SUMPRODUCT((Table1[SubscriptionStart] &lt;= $A298) * (Table1[EffectiveEndDate] &gt;= $A298) * (Table1[Region] = "Scotland"))</f>
        <v>51</v>
      </c>
      <c r="M298" s="45" cm="1">
        <f t="array" aca="1" ref="M298" ca="1">SUMPRODUCT((Table1[SubscriptionStart] &lt;= $A298) * (Table1[EffectiveEndDate] &gt;= $A298) * (Table1[Region] = "Wales"))</f>
        <v>57</v>
      </c>
      <c r="N298" s="45" cm="1">
        <f t="array" aca="1" ref="N298" ca="1">SUMPRODUCT((Table1[SubscriptionStart] &lt;= $A298) * (Table1[EffectiveEndDate] &gt;= $A298) * (Table1[Region] = "Northern Ireland"))</f>
        <v>70</v>
      </c>
      <c r="O298" s="45" cm="1">
        <f t="array" aca="1" ref="O298" ca="1">SUMPRODUCT((Table1[Gender]="Male")*(Table1[SubscriptionStart]&lt;=A298)*(Table1[EffectiveEndDate]&gt;=A298))</f>
        <v>133</v>
      </c>
      <c r="P298" s="45" cm="1">
        <f t="array" aca="1" ref="P298" ca="1">SUMPRODUCT((Table1[Gender]="Female")*(Table1[SubscriptionStart]&lt;=A298)*(Table1[EffectiveEndDate]&gt;=A298))</f>
        <v>100</v>
      </c>
    </row>
    <row r="299" spans="1:16">
      <c r="A299" s="48">
        <f t="shared" si="19"/>
        <v>44859</v>
      </c>
      <c r="B299" s="45" cm="1">
        <f t="array" aca="1" ref="B299" ca="1">SUMPRODUCT((Table1[SubscriptionStart]&lt;=A299)*(Table1[EffectiveEndDate]&gt;=A299))</f>
        <v>234</v>
      </c>
      <c r="C299" s="45">
        <f>COUNTIFS(Table1[SubscriptionStart], A299)</f>
        <v>1</v>
      </c>
      <c r="D299" s="45">
        <f>COUNTIFS(Table1[CancellationDate], A299)</f>
        <v>1</v>
      </c>
      <c r="E299" s="45">
        <f t="shared" si="16"/>
        <v>0</v>
      </c>
      <c r="F299" s="45">
        <f>SUM($C$2:C299)</f>
        <v>289</v>
      </c>
      <c r="G299" s="49" cm="1">
        <f t="array" aca="1" ref="G299" ca="1">IF(B299=0,"", SUMPRODUCT((Table1[SubscriptionStart]&lt;=A299)*(Table1[EffectiveEndDate]&gt;=A299)*Table1[Age]) / B299 )</f>
        <v>46.410256410256409</v>
      </c>
      <c r="H299" s="22">
        <f>SUMIF(Table1[SubscriptionStart],"&lt;="&amp;A299,Table1[TotalRevenue])</f>
        <v>62345.049999999959</v>
      </c>
      <c r="I299" s="50">
        <f t="shared" si="17"/>
        <v>44865</v>
      </c>
      <c r="J299" s="49">
        <f t="shared" ca="1" si="18"/>
        <v>226.09677419354838</v>
      </c>
      <c r="K299" s="45" cm="1">
        <f t="array" aca="1" ref="K299" ca="1">SUMPRODUCT((Table1[SubscriptionStart] &lt;= $A299) * (Table1[EffectiveEndDate] &gt;= $A299) * (Table1[Region] = "England"))</f>
        <v>55</v>
      </c>
      <c r="L299" s="45" cm="1">
        <f t="array" aca="1" ref="L299" ca="1">SUMPRODUCT((Table1[SubscriptionStart] &lt;= $A299) * (Table1[EffectiveEndDate] &gt;= $A299) * (Table1[Region] = "Scotland"))</f>
        <v>51</v>
      </c>
      <c r="M299" s="45" cm="1">
        <f t="array" aca="1" ref="M299" ca="1">SUMPRODUCT((Table1[SubscriptionStart] &lt;= $A299) * (Table1[EffectiveEndDate] &gt;= $A299) * (Table1[Region] = "Wales"))</f>
        <v>57</v>
      </c>
      <c r="N299" s="45" cm="1">
        <f t="array" aca="1" ref="N299" ca="1">SUMPRODUCT((Table1[SubscriptionStart] &lt;= $A299) * (Table1[EffectiveEndDate] &gt;= $A299) * (Table1[Region] = "Northern Ireland"))</f>
        <v>71</v>
      </c>
      <c r="O299" s="45" cm="1">
        <f t="array" aca="1" ref="O299" ca="1">SUMPRODUCT((Table1[Gender]="Male")*(Table1[SubscriptionStart]&lt;=A299)*(Table1[EffectiveEndDate]&gt;=A299))</f>
        <v>133</v>
      </c>
      <c r="P299" s="45" cm="1">
        <f t="array" aca="1" ref="P299" ca="1">SUMPRODUCT((Table1[Gender]="Female")*(Table1[SubscriptionStart]&lt;=A299)*(Table1[EffectiveEndDate]&gt;=A299))</f>
        <v>101</v>
      </c>
    </row>
    <row r="300" spans="1:16">
      <c r="A300" s="48">
        <f t="shared" si="19"/>
        <v>44860</v>
      </c>
      <c r="B300" s="45" cm="1">
        <f t="array" aca="1" ref="B300" ca="1">SUMPRODUCT((Table1[SubscriptionStart]&lt;=A300)*(Table1[EffectiveEndDate]&gt;=A300))</f>
        <v>234</v>
      </c>
      <c r="C300" s="45">
        <f>COUNTIFS(Table1[SubscriptionStart], A300)</f>
        <v>1</v>
      </c>
      <c r="D300" s="45">
        <f>COUNTIFS(Table1[CancellationDate], A300)</f>
        <v>0</v>
      </c>
      <c r="E300" s="45">
        <f t="shared" si="16"/>
        <v>1</v>
      </c>
      <c r="F300" s="45">
        <f>SUM($C$2:C300)</f>
        <v>290</v>
      </c>
      <c r="G300" s="49" cm="1">
        <f t="array" aca="1" ref="G300" ca="1">IF(B300=0,"", SUMPRODUCT((Table1[SubscriptionStart]&lt;=A300)*(Table1[EffectiveEndDate]&gt;=A300)*Table1[Age]) / B300 )</f>
        <v>46.542735042735046</v>
      </c>
      <c r="H300" s="22">
        <f>SUMIF(Table1[SubscriptionStart],"&lt;="&amp;A300,Table1[TotalRevenue])</f>
        <v>62991.249999999956</v>
      </c>
      <c r="I300" s="50">
        <f t="shared" si="17"/>
        <v>44865</v>
      </c>
      <c r="J300" s="49">
        <f t="shared" ca="1" si="18"/>
        <v>226.09677419354838</v>
      </c>
      <c r="K300" s="45" cm="1">
        <f t="array" aca="1" ref="K300" ca="1">SUMPRODUCT((Table1[SubscriptionStart] &lt;= $A300) * (Table1[EffectiveEndDate] &gt;= $A300) * (Table1[Region] = "England"))</f>
        <v>55</v>
      </c>
      <c r="L300" s="45" cm="1">
        <f t="array" aca="1" ref="L300" ca="1">SUMPRODUCT((Table1[SubscriptionStart] &lt;= $A300) * (Table1[EffectiveEndDate] &gt;= $A300) * (Table1[Region] = "Scotland"))</f>
        <v>51</v>
      </c>
      <c r="M300" s="45" cm="1">
        <f t="array" aca="1" ref="M300" ca="1">SUMPRODUCT((Table1[SubscriptionStart] &lt;= $A300) * (Table1[EffectiveEndDate] &gt;= $A300) * (Table1[Region] = "Wales"))</f>
        <v>57</v>
      </c>
      <c r="N300" s="45" cm="1">
        <f t="array" aca="1" ref="N300" ca="1">SUMPRODUCT((Table1[SubscriptionStart] &lt;= $A300) * (Table1[EffectiveEndDate] &gt;= $A300) * (Table1[Region] = "Northern Ireland"))</f>
        <v>71</v>
      </c>
      <c r="O300" s="45" cm="1">
        <f t="array" aca="1" ref="O300" ca="1">SUMPRODUCT((Table1[Gender]="Male")*(Table1[SubscriptionStart]&lt;=A300)*(Table1[EffectiveEndDate]&gt;=A300))</f>
        <v>132</v>
      </c>
      <c r="P300" s="45" cm="1">
        <f t="array" aca="1" ref="P300" ca="1">SUMPRODUCT((Table1[Gender]="Female")*(Table1[SubscriptionStart]&lt;=A300)*(Table1[EffectiveEndDate]&gt;=A300))</f>
        <v>102</v>
      </c>
    </row>
    <row r="301" spans="1:16">
      <c r="A301" s="48">
        <f t="shared" si="19"/>
        <v>44861</v>
      </c>
      <c r="B301" s="45" cm="1">
        <f t="array" aca="1" ref="B301" ca="1">SUMPRODUCT((Table1[SubscriptionStart]&lt;=A301)*(Table1[EffectiveEndDate]&gt;=A301))</f>
        <v>237</v>
      </c>
      <c r="C301" s="45">
        <f>COUNTIFS(Table1[SubscriptionStart], A301)</f>
        <v>3</v>
      </c>
      <c r="D301" s="45">
        <f>COUNTIFS(Table1[CancellationDate], A301)</f>
        <v>0</v>
      </c>
      <c r="E301" s="45">
        <f t="shared" si="16"/>
        <v>3</v>
      </c>
      <c r="F301" s="45">
        <f>SUM($C$2:C301)</f>
        <v>293</v>
      </c>
      <c r="G301" s="49" cm="1">
        <f t="array" aca="1" ref="G301" ca="1">IF(B301=0,"", SUMPRODUCT((Table1[SubscriptionStart]&lt;=A301)*(Table1[EffectiveEndDate]&gt;=A301)*Table1[Age]) / B301 )</f>
        <v>46.687763713080166</v>
      </c>
      <c r="H301" s="22">
        <f>SUMIF(Table1[SubscriptionStart],"&lt;="&amp;A301,Table1[TotalRevenue])</f>
        <v>63193.749999999956</v>
      </c>
      <c r="I301" s="50">
        <f t="shared" si="17"/>
        <v>44865</v>
      </c>
      <c r="J301" s="49">
        <f t="shared" ca="1" si="18"/>
        <v>226.09677419354838</v>
      </c>
      <c r="K301" s="45" cm="1">
        <f t="array" aca="1" ref="K301" ca="1">SUMPRODUCT((Table1[SubscriptionStart] &lt;= $A301) * (Table1[EffectiveEndDate] &gt;= $A301) * (Table1[Region] = "England"))</f>
        <v>55</v>
      </c>
      <c r="L301" s="45" cm="1">
        <f t="array" aca="1" ref="L301" ca="1">SUMPRODUCT((Table1[SubscriptionStart] &lt;= $A301) * (Table1[EffectiveEndDate] &gt;= $A301) * (Table1[Region] = "Scotland"))</f>
        <v>52</v>
      </c>
      <c r="M301" s="45" cm="1">
        <f t="array" aca="1" ref="M301" ca="1">SUMPRODUCT((Table1[SubscriptionStart] &lt;= $A301) * (Table1[EffectiveEndDate] &gt;= $A301) * (Table1[Region] = "Wales"))</f>
        <v>58</v>
      </c>
      <c r="N301" s="45" cm="1">
        <f t="array" aca="1" ref="N301" ca="1">SUMPRODUCT((Table1[SubscriptionStart] &lt;= $A301) * (Table1[EffectiveEndDate] &gt;= $A301) * (Table1[Region] = "Northern Ireland"))</f>
        <v>72</v>
      </c>
      <c r="O301" s="45" cm="1">
        <f t="array" aca="1" ref="O301" ca="1">SUMPRODUCT((Table1[Gender]="Male")*(Table1[SubscriptionStart]&lt;=A301)*(Table1[EffectiveEndDate]&gt;=A301))</f>
        <v>134</v>
      </c>
      <c r="P301" s="45" cm="1">
        <f t="array" aca="1" ref="P301" ca="1">SUMPRODUCT((Table1[Gender]="Female")*(Table1[SubscriptionStart]&lt;=A301)*(Table1[EffectiveEndDate]&gt;=A301))</f>
        <v>103</v>
      </c>
    </row>
    <row r="302" spans="1:16">
      <c r="A302" s="48">
        <f t="shared" si="19"/>
        <v>44862</v>
      </c>
      <c r="B302" s="45" cm="1">
        <f t="array" aca="1" ref="B302" ca="1">SUMPRODUCT((Table1[SubscriptionStart]&lt;=A302)*(Table1[EffectiveEndDate]&gt;=A302))</f>
        <v>238</v>
      </c>
      <c r="C302" s="45">
        <f>COUNTIFS(Table1[SubscriptionStart], A302)</f>
        <v>1</v>
      </c>
      <c r="D302" s="45">
        <f>COUNTIFS(Table1[CancellationDate], A302)</f>
        <v>0</v>
      </c>
      <c r="E302" s="45">
        <f t="shared" si="16"/>
        <v>1</v>
      </c>
      <c r="F302" s="45">
        <f>SUM($C$2:C302)</f>
        <v>294</v>
      </c>
      <c r="G302" s="49" cm="1">
        <f t="array" aca="1" ref="G302" ca="1">IF(B302=0,"", SUMPRODUCT((Table1[SubscriptionStart]&lt;=A302)*(Table1[EffectiveEndDate]&gt;=A302)*Table1[Age]) / B302 )</f>
        <v>46.588235294117645</v>
      </c>
      <c r="H302" s="22">
        <f>SUMIF(Table1[SubscriptionStart],"&lt;="&amp;A302,Table1[TotalRevenue])</f>
        <v>63839.949999999953</v>
      </c>
      <c r="I302" s="50">
        <f t="shared" si="17"/>
        <v>44865</v>
      </c>
      <c r="J302" s="49">
        <f t="shared" ca="1" si="18"/>
        <v>226.09677419354838</v>
      </c>
      <c r="K302" s="45" cm="1">
        <f t="array" aca="1" ref="K302" ca="1">SUMPRODUCT((Table1[SubscriptionStart] &lt;= $A302) * (Table1[EffectiveEndDate] &gt;= $A302) * (Table1[Region] = "England"))</f>
        <v>55</v>
      </c>
      <c r="L302" s="45" cm="1">
        <f t="array" aca="1" ref="L302" ca="1">SUMPRODUCT((Table1[SubscriptionStart] &lt;= $A302) * (Table1[EffectiveEndDate] &gt;= $A302) * (Table1[Region] = "Scotland"))</f>
        <v>52</v>
      </c>
      <c r="M302" s="45" cm="1">
        <f t="array" aca="1" ref="M302" ca="1">SUMPRODUCT((Table1[SubscriptionStart] &lt;= $A302) * (Table1[EffectiveEndDate] &gt;= $A302) * (Table1[Region] = "Wales"))</f>
        <v>59</v>
      </c>
      <c r="N302" s="45" cm="1">
        <f t="array" aca="1" ref="N302" ca="1">SUMPRODUCT((Table1[SubscriptionStart] &lt;= $A302) * (Table1[EffectiveEndDate] &gt;= $A302) * (Table1[Region] = "Northern Ireland"))</f>
        <v>72</v>
      </c>
      <c r="O302" s="45" cm="1">
        <f t="array" aca="1" ref="O302" ca="1">SUMPRODUCT((Table1[Gender]="Male")*(Table1[SubscriptionStart]&lt;=A302)*(Table1[EffectiveEndDate]&gt;=A302))</f>
        <v>135</v>
      </c>
      <c r="P302" s="45" cm="1">
        <f t="array" aca="1" ref="P302" ca="1">SUMPRODUCT((Table1[Gender]="Female")*(Table1[SubscriptionStart]&lt;=A302)*(Table1[EffectiveEndDate]&gt;=A302))</f>
        <v>103</v>
      </c>
    </row>
    <row r="303" spans="1:16">
      <c r="A303" s="48">
        <f t="shared" si="19"/>
        <v>44863</v>
      </c>
      <c r="B303" s="45" cm="1">
        <f t="array" aca="1" ref="B303" ca="1">SUMPRODUCT((Table1[SubscriptionStart]&lt;=A303)*(Table1[EffectiveEndDate]&gt;=A303))</f>
        <v>240</v>
      </c>
      <c r="C303" s="45">
        <f>COUNTIFS(Table1[SubscriptionStart], A303)</f>
        <v>2</v>
      </c>
      <c r="D303" s="45">
        <f>COUNTIFS(Table1[CancellationDate], A303)</f>
        <v>0</v>
      </c>
      <c r="E303" s="45">
        <f t="shared" si="16"/>
        <v>2</v>
      </c>
      <c r="F303" s="45">
        <f>SUM($C$2:C303)</f>
        <v>296</v>
      </c>
      <c r="G303" s="49" cm="1">
        <f t="array" aca="1" ref="G303" ca="1">IF(B303=0,"", SUMPRODUCT((Table1[SubscriptionStart]&lt;=A303)*(Table1[EffectiveEndDate]&gt;=A303)*Table1[Age]) / B303 )</f>
        <v>46.587499999999999</v>
      </c>
      <c r="H303" s="22">
        <f>SUMIF(Table1[SubscriptionStart],"&lt;="&amp;A303,Table1[TotalRevenue])</f>
        <v>64502.799999999952</v>
      </c>
      <c r="I303" s="50">
        <f t="shared" si="17"/>
        <v>44865</v>
      </c>
      <c r="J303" s="49">
        <f t="shared" ca="1" si="18"/>
        <v>226.09677419354838</v>
      </c>
      <c r="K303" s="45" cm="1">
        <f t="array" aca="1" ref="K303" ca="1">SUMPRODUCT((Table1[SubscriptionStart] &lt;= $A303) * (Table1[EffectiveEndDate] &gt;= $A303) * (Table1[Region] = "England"))</f>
        <v>56</v>
      </c>
      <c r="L303" s="45" cm="1">
        <f t="array" aca="1" ref="L303" ca="1">SUMPRODUCT((Table1[SubscriptionStart] &lt;= $A303) * (Table1[EffectiveEndDate] &gt;= $A303) * (Table1[Region] = "Scotland"))</f>
        <v>53</v>
      </c>
      <c r="M303" s="45" cm="1">
        <f t="array" aca="1" ref="M303" ca="1">SUMPRODUCT((Table1[SubscriptionStart] &lt;= $A303) * (Table1[EffectiveEndDate] &gt;= $A303) * (Table1[Region] = "Wales"))</f>
        <v>59</v>
      </c>
      <c r="N303" s="45" cm="1">
        <f t="array" aca="1" ref="N303" ca="1">SUMPRODUCT((Table1[SubscriptionStart] &lt;= $A303) * (Table1[EffectiveEndDate] &gt;= $A303) * (Table1[Region] = "Northern Ireland"))</f>
        <v>72</v>
      </c>
      <c r="O303" s="45" cm="1">
        <f t="array" aca="1" ref="O303" ca="1">SUMPRODUCT((Table1[Gender]="Male")*(Table1[SubscriptionStart]&lt;=A303)*(Table1[EffectiveEndDate]&gt;=A303))</f>
        <v>137</v>
      </c>
      <c r="P303" s="45" cm="1">
        <f t="array" aca="1" ref="P303" ca="1">SUMPRODUCT((Table1[Gender]="Female")*(Table1[SubscriptionStart]&lt;=A303)*(Table1[EffectiveEndDate]&gt;=A303))</f>
        <v>103</v>
      </c>
    </row>
    <row r="304" spans="1:16">
      <c r="A304" s="48">
        <f t="shared" si="19"/>
        <v>44864</v>
      </c>
      <c r="B304" s="45" cm="1">
        <f t="array" aca="1" ref="B304" ca="1">SUMPRODUCT((Table1[SubscriptionStart]&lt;=A304)*(Table1[EffectiveEndDate]&gt;=A304))</f>
        <v>241</v>
      </c>
      <c r="C304" s="45">
        <f>COUNTIFS(Table1[SubscriptionStart], A304)</f>
        <v>1</v>
      </c>
      <c r="D304" s="45">
        <f>COUNTIFS(Table1[CancellationDate], A304)</f>
        <v>1</v>
      </c>
      <c r="E304" s="45">
        <f t="shared" si="16"/>
        <v>0</v>
      </c>
      <c r="F304" s="45">
        <f>SUM($C$2:C304)</f>
        <v>297</v>
      </c>
      <c r="G304" s="49" cm="1">
        <f t="array" aca="1" ref="G304" ca="1">IF(B304=0,"", SUMPRODUCT((Table1[SubscriptionStart]&lt;=A304)*(Table1[EffectiveEndDate]&gt;=A304)*Table1[Age]) / B304 )</f>
        <v>46.643153526970956</v>
      </c>
      <c r="H304" s="22">
        <f>SUMIF(Table1[SubscriptionStart],"&lt;="&amp;A304,Table1[TotalRevenue])</f>
        <v>64574.799999999952</v>
      </c>
      <c r="I304" s="50">
        <f t="shared" si="17"/>
        <v>44865</v>
      </c>
      <c r="J304" s="49">
        <f t="shared" ca="1" si="18"/>
        <v>226.09677419354838</v>
      </c>
      <c r="K304" s="45" cm="1">
        <f t="array" aca="1" ref="K304" ca="1">SUMPRODUCT((Table1[SubscriptionStart] &lt;= $A304) * (Table1[EffectiveEndDate] &gt;= $A304) * (Table1[Region] = "England"))</f>
        <v>57</v>
      </c>
      <c r="L304" s="45" cm="1">
        <f t="array" aca="1" ref="L304" ca="1">SUMPRODUCT((Table1[SubscriptionStart] &lt;= $A304) * (Table1[EffectiveEndDate] &gt;= $A304) * (Table1[Region] = "Scotland"))</f>
        <v>53</v>
      </c>
      <c r="M304" s="45" cm="1">
        <f t="array" aca="1" ref="M304" ca="1">SUMPRODUCT((Table1[SubscriptionStart] &lt;= $A304) * (Table1[EffectiveEndDate] &gt;= $A304) * (Table1[Region] = "Wales"))</f>
        <v>59</v>
      </c>
      <c r="N304" s="45" cm="1">
        <f t="array" aca="1" ref="N304" ca="1">SUMPRODUCT((Table1[SubscriptionStart] &lt;= $A304) * (Table1[EffectiveEndDate] &gt;= $A304) * (Table1[Region] = "Northern Ireland"))</f>
        <v>72</v>
      </c>
      <c r="O304" s="45" cm="1">
        <f t="array" aca="1" ref="O304" ca="1">SUMPRODUCT((Table1[Gender]="Male")*(Table1[SubscriptionStart]&lt;=A304)*(Table1[EffectiveEndDate]&gt;=A304))</f>
        <v>138</v>
      </c>
      <c r="P304" s="45" cm="1">
        <f t="array" aca="1" ref="P304" ca="1">SUMPRODUCT((Table1[Gender]="Female")*(Table1[SubscriptionStart]&lt;=A304)*(Table1[EffectiveEndDate]&gt;=A304))</f>
        <v>103</v>
      </c>
    </row>
    <row r="305" spans="1:16">
      <c r="A305" s="48">
        <f t="shared" si="19"/>
        <v>44865</v>
      </c>
      <c r="B305" s="45" cm="1">
        <f t="array" aca="1" ref="B305" ca="1">SUMPRODUCT((Table1[SubscriptionStart]&lt;=A305)*(Table1[EffectiveEndDate]&gt;=A305))</f>
        <v>240</v>
      </c>
      <c r="C305" s="45">
        <f>COUNTIFS(Table1[SubscriptionStart], A305)</f>
        <v>0</v>
      </c>
      <c r="D305" s="45">
        <f>COUNTIFS(Table1[CancellationDate], A305)</f>
        <v>0</v>
      </c>
      <c r="E305" s="45">
        <f t="shared" si="16"/>
        <v>0</v>
      </c>
      <c r="F305" s="45">
        <f>SUM($C$2:C305)</f>
        <v>297</v>
      </c>
      <c r="G305" s="49" cm="1">
        <f t="array" aca="1" ref="G305" ca="1">IF(B305=0,"", SUMPRODUCT((Table1[SubscriptionStart]&lt;=A305)*(Table1[EffectiveEndDate]&gt;=A305)*Table1[Age]) / B305 )</f>
        <v>46.5625</v>
      </c>
      <c r="H305" s="22">
        <f>SUMIF(Table1[SubscriptionStart],"&lt;="&amp;A305,Table1[TotalRevenue])</f>
        <v>64574.799999999952</v>
      </c>
      <c r="I305" s="50">
        <f t="shared" si="17"/>
        <v>44865</v>
      </c>
      <c r="J305" s="49">
        <f t="shared" ca="1" si="18"/>
        <v>226.09677419354838</v>
      </c>
      <c r="K305" s="45" cm="1">
        <f t="array" aca="1" ref="K305" ca="1">SUMPRODUCT((Table1[SubscriptionStart] &lt;= $A305) * (Table1[EffectiveEndDate] &gt;= $A305) * (Table1[Region] = "England"))</f>
        <v>57</v>
      </c>
      <c r="L305" s="45" cm="1">
        <f t="array" aca="1" ref="L305" ca="1">SUMPRODUCT((Table1[SubscriptionStart] &lt;= $A305) * (Table1[EffectiveEndDate] &gt;= $A305) * (Table1[Region] = "Scotland"))</f>
        <v>52</v>
      </c>
      <c r="M305" s="45" cm="1">
        <f t="array" aca="1" ref="M305" ca="1">SUMPRODUCT((Table1[SubscriptionStart] &lt;= $A305) * (Table1[EffectiveEndDate] &gt;= $A305) * (Table1[Region] = "Wales"))</f>
        <v>59</v>
      </c>
      <c r="N305" s="45" cm="1">
        <f t="array" aca="1" ref="N305" ca="1">SUMPRODUCT((Table1[SubscriptionStart] &lt;= $A305) * (Table1[EffectiveEndDate] &gt;= $A305) * (Table1[Region] = "Northern Ireland"))</f>
        <v>72</v>
      </c>
      <c r="O305" s="45" cm="1">
        <f t="array" aca="1" ref="O305" ca="1">SUMPRODUCT((Table1[Gender]="Male")*(Table1[SubscriptionStart]&lt;=A305)*(Table1[EffectiveEndDate]&gt;=A305))</f>
        <v>137</v>
      </c>
      <c r="P305" s="45" cm="1">
        <f t="array" aca="1" ref="P305" ca="1">SUMPRODUCT((Table1[Gender]="Female")*(Table1[SubscriptionStart]&lt;=A305)*(Table1[EffectiveEndDate]&gt;=A305))</f>
        <v>103</v>
      </c>
    </row>
    <row r="306" spans="1:16">
      <c r="A306" s="48">
        <f t="shared" si="19"/>
        <v>44866</v>
      </c>
      <c r="B306" s="45" cm="1">
        <f t="array" aca="1" ref="B306" ca="1">SUMPRODUCT((Table1[SubscriptionStart]&lt;=A306)*(Table1[EffectiveEndDate]&gt;=A306))</f>
        <v>241</v>
      </c>
      <c r="C306" s="45">
        <f>COUNTIFS(Table1[SubscriptionStart], A306)</f>
        <v>1</v>
      </c>
      <c r="D306" s="45">
        <f>COUNTIFS(Table1[CancellationDate], A306)</f>
        <v>0</v>
      </c>
      <c r="E306" s="45">
        <f t="shared" si="16"/>
        <v>1</v>
      </c>
      <c r="F306" s="45">
        <f>SUM($C$2:C306)</f>
        <v>298</v>
      </c>
      <c r="G306" s="49" cm="1">
        <f t="array" aca="1" ref="G306" ca="1">IF(B306=0,"", SUMPRODUCT((Table1[SubscriptionStart]&lt;=A306)*(Table1[EffectiveEndDate]&gt;=A306)*Table1[Age]) / B306 )</f>
        <v>46.514522821576762</v>
      </c>
      <c r="H306" s="22">
        <f>SUMIF(Table1[SubscriptionStart],"&lt;="&amp;A306,Table1[TotalRevenue])</f>
        <v>64754.799999999952</v>
      </c>
      <c r="I306" s="50">
        <f t="shared" si="17"/>
        <v>44895</v>
      </c>
      <c r="J306" s="49">
        <f t="shared" ca="1" si="18"/>
        <v>256.2</v>
      </c>
      <c r="K306" s="45" cm="1">
        <f t="array" aca="1" ref="K306" ca="1">SUMPRODUCT((Table1[SubscriptionStart] &lt;= $A306) * (Table1[EffectiveEndDate] &gt;= $A306) * (Table1[Region] = "England"))</f>
        <v>58</v>
      </c>
      <c r="L306" s="45" cm="1">
        <f t="array" aca="1" ref="L306" ca="1">SUMPRODUCT((Table1[SubscriptionStart] &lt;= $A306) * (Table1[EffectiveEndDate] &gt;= $A306) * (Table1[Region] = "Scotland"))</f>
        <v>52</v>
      </c>
      <c r="M306" s="45" cm="1">
        <f t="array" aca="1" ref="M306" ca="1">SUMPRODUCT((Table1[SubscriptionStart] &lt;= $A306) * (Table1[EffectiveEndDate] &gt;= $A306) * (Table1[Region] = "Wales"))</f>
        <v>59</v>
      </c>
      <c r="N306" s="45" cm="1">
        <f t="array" aca="1" ref="N306" ca="1">SUMPRODUCT((Table1[SubscriptionStart] &lt;= $A306) * (Table1[EffectiveEndDate] &gt;= $A306) * (Table1[Region] = "Northern Ireland"))</f>
        <v>72</v>
      </c>
      <c r="O306" s="45" cm="1">
        <f t="array" aca="1" ref="O306" ca="1">SUMPRODUCT((Table1[Gender]="Male")*(Table1[SubscriptionStart]&lt;=A306)*(Table1[EffectiveEndDate]&gt;=A306))</f>
        <v>137</v>
      </c>
      <c r="P306" s="45" cm="1">
        <f t="array" aca="1" ref="P306" ca="1">SUMPRODUCT((Table1[Gender]="Female")*(Table1[SubscriptionStart]&lt;=A306)*(Table1[EffectiveEndDate]&gt;=A306))</f>
        <v>104</v>
      </c>
    </row>
    <row r="307" spans="1:16">
      <c r="A307" s="48">
        <f t="shared" si="19"/>
        <v>44867</v>
      </c>
      <c r="B307" s="45" cm="1">
        <f t="array" aca="1" ref="B307" ca="1">SUMPRODUCT((Table1[SubscriptionStart]&lt;=A307)*(Table1[EffectiveEndDate]&gt;=A307))</f>
        <v>244</v>
      </c>
      <c r="C307" s="45">
        <f>COUNTIFS(Table1[SubscriptionStart], A307)</f>
        <v>3</v>
      </c>
      <c r="D307" s="45">
        <f>COUNTIFS(Table1[CancellationDate], A307)</f>
        <v>0</v>
      </c>
      <c r="E307" s="45">
        <f t="shared" si="16"/>
        <v>3</v>
      </c>
      <c r="F307" s="45">
        <f>SUM($C$2:C307)</f>
        <v>301</v>
      </c>
      <c r="G307" s="49" cm="1">
        <f t="array" aca="1" ref="G307" ca="1">IF(B307=0,"", SUMPRODUCT((Table1[SubscriptionStart]&lt;=A307)*(Table1[EffectiveEndDate]&gt;=A307)*Table1[Age]) / B307 )</f>
        <v>46.405737704918032</v>
      </c>
      <c r="H307" s="22">
        <f>SUMIF(Table1[SubscriptionStart],"&lt;="&amp;A307,Table1[TotalRevenue])</f>
        <v>66200.199999999953</v>
      </c>
      <c r="I307" s="50">
        <f t="shared" si="17"/>
        <v>44895</v>
      </c>
      <c r="J307" s="49">
        <f t="shared" ca="1" si="18"/>
        <v>256.2</v>
      </c>
      <c r="K307" s="45" cm="1">
        <f t="array" aca="1" ref="K307" ca="1">SUMPRODUCT((Table1[SubscriptionStart] &lt;= $A307) * (Table1[EffectiveEndDate] &gt;= $A307) * (Table1[Region] = "England"))</f>
        <v>59</v>
      </c>
      <c r="L307" s="45" cm="1">
        <f t="array" aca="1" ref="L307" ca="1">SUMPRODUCT((Table1[SubscriptionStart] &lt;= $A307) * (Table1[EffectiveEndDate] &gt;= $A307) * (Table1[Region] = "Scotland"))</f>
        <v>52</v>
      </c>
      <c r="M307" s="45" cm="1">
        <f t="array" aca="1" ref="M307" ca="1">SUMPRODUCT((Table1[SubscriptionStart] &lt;= $A307) * (Table1[EffectiveEndDate] &gt;= $A307) * (Table1[Region] = "Wales"))</f>
        <v>61</v>
      </c>
      <c r="N307" s="45" cm="1">
        <f t="array" aca="1" ref="N307" ca="1">SUMPRODUCT((Table1[SubscriptionStart] &lt;= $A307) * (Table1[EffectiveEndDate] &gt;= $A307) * (Table1[Region] = "Northern Ireland"))</f>
        <v>72</v>
      </c>
      <c r="O307" s="45" cm="1">
        <f t="array" aca="1" ref="O307" ca="1">SUMPRODUCT((Table1[Gender]="Male")*(Table1[SubscriptionStart]&lt;=A307)*(Table1[EffectiveEndDate]&gt;=A307))</f>
        <v>138</v>
      </c>
      <c r="P307" s="45" cm="1">
        <f t="array" aca="1" ref="P307" ca="1">SUMPRODUCT((Table1[Gender]="Female")*(Table1[SubscriptionStart]&lt;=A307)*(Table1[EffectiveEndDate]&gt;=A307))</f>
        <v>106</v>
      </c>
    </row>
    <row r="308" spans="1:16">
      <c r="A308" s="48">
        <f t="shared" si="19"/>
        <v>44868</v>
      </c>
      <c r="B308" s="45" cm="1">
        <f t="array" aca="1" ref="B308" ca="1">SUMPRODUCT((Table1[SubscriptionStart]&lt;=A308)*(Table1[EffectiveEndDate]&gt;=A308))</f>
        <v>244</v>
      </c>
      <c r="C308" s="45">
        <f>COUNTIFS(Table1[SubscriptionStart], A308)</f>
        <v>0</v>
      </c>
      <c r="D308" s="45">
        <f>COUNTIFS(Table1[CancellationDate], A308)</f>
        <v>0</v>
      </c>
      <c r="E308" s="45">
        <f t="shared" si="16"/>
        <v>0</v>
      </c>
      <c r="F308" s="45">
        <f>SUM($C$2:C308)</f>
        <v>301</v>
      </c>
      <c r="G308" s="49" cm="1">
        <f t="array" aca="1" ref="G308" ca="1">IF(B308=0,"", SUMPRODUCT((Table1[SubscriptionStart]&lt;=A308)*(Table1[EffectiveEndDate]&gt;=A308)*Table1[Age]) / B308 )</f>
        <v>46.405737704918032</v>
      </c>
      <c r="H308" s="22">
        <f>SUMIF(Table1[SubscriptionStart],"&lt;="&amp;A308,Table1[TotalRevenue])</f>
        <v>66200.199999999953</v>
      </c>
      <c r="I308" s="50">
        <f t="shared" si="17"/>
        <v>44895</v>
      </c>
      <c r="J308" s="49">
        <f t="shared" ca="1" si="18"/>
        <v>256.2</v>
      </c>
      <c r="K308" s="45" cm="1">
        <f t="array" aca="1" ref="K308" ca="1">SUMPRODUCT((Table1[SubscriptionStart] &lt;= $A308) * (Table1[EffectiveEndDate] &gt;= $A308) * (Table1[Region] = "England"))</f>
        <v>59</v>
      </c>
      <c r="L308" s="45" cm="1">
        <f t="array" aca="1" ref="L308" ca="1">SUMPRODUCT((Table1[SubscriptionStart] &lt;= $A308) * (Table1[EffectiveEndDate] &gt;= $A308) * (Table1[Region] = "Scotland"))</f>
        <v>52</v>
      </c>
      <c r="M308" s="45" cm="1">
        <f t="array" aca="1" ref="M308" ca="1">SUMPRODUCT((Table1[SubscriptionStart] &lt;= $A308) * (Table1[EffectiveEndDate] &gt;= $A308) * (Table1[Region] = "Wales"))</f>
        <v>61</v>
      </c>
      <c r="N308" s="45" cm="1">
        <f t="array" aca="1" ref="N308" ca="1">SUMPRODUCT((Table1[SubscriptionStart] &lt;= $A308) * (Table1[EffectiveEndDate] &gt;= $A308) * (Table1[Region] = "Northern Ireland"))</f>
        <v>72</v>
      </c>
      <c r="O308" s="45" cm="1">
        <f t="array" aca="1" ref="O308" ca="1">SUMPRODUCT((Table1[Gender]="Male")*(Table1[SubscriptionStart]&lt;=A308)*(Table1[EffectiveEndDate]&gt;=A308))</f>
        <v>138</v>
      </c>
      <c r="P308" s="45" cm="1">
        <f t="array" aca="1" ref="P308" ca="1">SUMPRODUCT((Table1[Gender]="Female")*(Table1[SubscriptionStart]&lt;=A308)*(Table1[EffectiveEndDate]&gt;=A308))</f>
        <v>106</v>
      </c>
    </row>
    <row r="309" spans="1:16">
      <c r="A309" s="48">
        <f t="shared" si="19"/>
        <v>44869</v>
      </c>
      <c r="B309" s="45" cm="1">
        <f t="array" aca="1" ref="B309" ca="1">SUMPRODUCT((Table1[SubscriptionStart]&lt;=A309)*(Table1[EffectiveEndDate]&gt;=A309))</f>
        <v>245</v>
      </c>
      <c r="C309" s="45">
        <f>COUNTIFS(Table1[SubscriptionStart], A309)</f>
        <v>1</v>
      </c>
      <c r="D309" s="45">
        <f>COUNTIFS(Table1[CancellationDate], A309)</f>
        <v>1</v>
      </c>
      <c r="E309" s="45">
        <f t="shared" si="16"/>
        <v>0</v>
      </c>
      <c r="F309" s="45">
        <f>SUM($C$2:C309)</f>
        <v>302</v>
      </c>
      <c r="G309" s="49" cm="1">
        <f t="array" aca="1" ref="G309" ca="1">IF(B309=0,"", SUMPRODUCT((Table1[SubscriptionStart]&lt;=A309)*(Table1[EffectiveEndDate]&gt;=A309)*Table1[Age]) / B309 )</f>
        <v>46.522448979591836</v>
      </c>
      <c r="H309" s="22">
        <f>SUMIF(Table1[SubscriptionStart],"&lt;="&amp;A309,Table1[TotalRevenue])</f>
        <v>66273.099999999948</v>
      </c>
      <c r="I309" s="50">
        <f t="shared" si="17"/>
        <v>44895</v>
      </c>
      <c r="J309" s="49">
        <f t="shared" ca="1" si="18"/>
        <v>256.2</v>
      </c>
      <c r="K309" s="45" cm="1">
        <f t="array" aca="1" ref="K309" ca="1">SUMPRODUCT((Table1[SubscriptionStart] &lt;= $A309) * (Table1[EffectiveEndDate] &gt;= $A309) * (Table1[Region] = "England"))</f>
        <v>59</v>
      </c>
      <c r="L309" s="45" cm="1">
        <f t="array" aca="1" ref="L309" ca="1">SUMPRODUCT((Table1[SubscriptionStart] &lt;= $A309) * (Table1[EffectiveEndDate] &gt;= $A309) * (Table1[Region] = "Scotland"))</f>
        <v>53</v>
      </c>
      <c r="M309" s="45" cm="1">
        <f t="array" aca="1" ref="M309" ca="1">SUMPRODUCT((Table1[SubscriptionStart] &lt;= $A309) * (Table1[EffectiveEndDate] &gt;= $A309) * (Table1[Region] = "Wales"))</f>
        <v>61</v>
      </c>
      <c r="N309" s="45" cm="1">
        <f t="array" aca="1" ref="N309" ca="1">SUMPRODUCT((Table1[SubscriptionStart] &lt;= $A309) * (Table1[EffectiveEndDate] &gt;= $A309) * (Table1[Region] = "Northern Ireland"))</f>
        <v>72</v>
      </c>
      <c r="O309" s="45" cm="1">
        <f t="array" aca="1" ref="O309" ca="1">SUMPRODUCT((Table1[Gender]="Male")*(Table1[SubscriptionStart]&lt;=A309)*(Table1[EffectiveEndDate]&gt;=A309))</f>
        <v>138</v>
      </c>
      <c r="P309" s="45" cm="1">
        <f t="array" aca="1" ref="P309" ca="1">SUMPRODUCT((Table1[Gender]="Female")*(Table1[SubscriptionStart]&lt;=A309)*(Table1[EffectiveEndDate]&gt;=A309))</f>
        <v>107</v>
      </c>
    </row>
    <row r="310" spans="1:16">
      <c r="A310" s="48">
        <f t="shared" si="19"/>
        <v>44870</v>
      </c>
      <c r="B310" s="45" cm="1">
        <f t="array" aca="1" ref="B310" ca="1">SUMPRODUCT((Table1[SubscriptionStart]&lt;=A310)*(Table1[EffectiveEndDate]&gt;=A310))</f>
        <v>246</v>
      </c>
      <c r="C310" s="45">
        <f>COUNTIFS(Table1[SubscriptionStart], A310)</f>
        <v>2</v>
      </c>
      <c r="D310" s="45">
        <f>COUNTIFS(Table1[CancellationDate], A310)</f>
        <v>0</v>
      </c>
      <c r="E310" s="45">
        <f t="shared" si="16"/>
        <v>2</v>
      </c>
      <c r="F310" s="45">
        <f>SUM($C$2:C310)</f>
        <v>304</v>
      </c>
      <c r="G310" s="49" cm="1">
        <f t="array" aca="1" ref="G310" ca="1">IF(B310=0,"", SUMPRODUCT((Table1[SubscriptionStart]&lt;=A310)*(Table1[EffectiveEndDate]&gt;=A310)*Table1[Age]) / B310 )</f>
        <v>46.585365853658537</v>
      </c>
      <c r="H310" s="22">
        <f>SUMIF(Table1[SubscriptionStart],"&lt;="&amp;A310,Table1[TotalRevenue])</f>
        <v>66453.099999999948</v>
      </c>
      <c r="I310" s="50">
        <f t="shared" si="17"/>
        <v>44895</v>
      </c>
      <c r="J310" s="49">
        <f t="shared" ca="1" si="18"/>
        <v>256.2</v>
      </c>
      <c r="K310" s="45" cm="1">
        <f t="array" aca="1" ref="K310" ca="1">SUMPRODUCT((Table1[SubscriptionStart] &lt;= $A310) * (Table1[EffectiveEndDate] &gt;= $A310) * (Table1[Region] = "England"))</f>
        <v>59</v>
      </c>
      <c r="L310" s="45" cm="1">
        <f t="array" aca="1" ref="L310" ca="1">SUMPRODUCT((Table1[SubscriptionStart] &lt;= $A310) * (Table1[EffectiveEndDate] &gt;= $A310) * (Table1[Region] = "Scotland"))</f>
        <v>53</v>
      </c>
      <c r="M310" s="45" cm="1">
        <f t="array" aca="1" ref="M310" ca="1">SUMPRODUCT((Table1[SubscriptionStart] &lt;= $A310) * (Table1[EffectiveEndDate] &gt;= $A310) * (Table1[Region] = "Wales"))</f>
        <v>61</v>
      </c>
      <c r="N310" s="45" cm="1">
        <f t="array" aca="1" ref="N310" ca="1">SUMPRODUCT((Table1[SubscriptionStart] &lt;= $A310) * (Table1[EffectiveEndDate] &gt;= $A310) * (Table1[Region] = "Northern Ireland"))</f>
        <v>73</v>
      </c>
      <c r="O310" s="45" cm="1">
        <f t="array" aca="1" ref="O310" ca="1">SUMPRODUCT((Table1[Gender]="Male")*(Table1[SubscriptionStart]&lt;=A310)*(Table1[EffectiveEndDate]&gt;=A310))</f>
        <v>138</v>
      </c>
      <c r="P310" s="45" cm="1">
        <f t="array" aca="1" ref="P310" ca="1">SUMPRODUCT((Table1[Gender]="Female")*(Table1[SubscriptionStart]&lt;=A310)*(Table1[EffectiveEndDate]&gt;=A310))</f>
        <v>108</v>
      </c>
    </row>
    <row r="311" spans="1:16">
      <c r="A311" s="48">
        <f t="shared" si="19"/>
        <v>44871</v>
      </c>
      <c r="B311" s="45" cm="1">
        <f t="array" aca="1" ref="B311" ca="1">SUMPRODUCT((Table1[SubscriptionStart]&lt;=A311)*(Table1[EffectiveEndDate]&gt;=A311))</f>
        <v>247</v>
      </c>
      <c r="C311" s="45">
        <f>COUNTIFS(Table1[SubscriptionStart], A311)</f>
        <v>1</v>
      </c>
      <c r="D311" s="45">
        <f>COUNTIFS(Table1[CancellationDate], A311)</f>
        <v>0</v>
      </c>
      <c r="E311" s="45">
        <f t="shared" si="16"/>
        <v>1</v>
      </c>
      <c r="F311" s="45">
        <f>SUM($C$2:C311)</f>
        <v>305</v>
      </c>
      <c r="G311" s="49" cm="1">
        <f t="array" aca="1" ref="G311" ca="1">IF(B311=0,"", SUMPRODUCT((Table1[SubscriptionStart]&lt;=A311)*(Table1[EffectiveEndDate]&gt;=A311)*Table1[Age]) / B311 )</f>
        <v>46.684210526315788</v>
      </c>
      <c r="H311" s="22">
        <f>SUMIF(Table1[SubscriptionStart],"&lt;="&amp;A311,Table1[TotalRevenue])</f>
        <v>66493.599999999948</v>
      </c>
      <c r="I311" s="50">
        <f t="shared" si="17"/>
        <v>44895</v>
      </c>
      <c r="J311" s="49">
        <f t="shared" ca="1" si="18"/>
        <v>256.2</v>
      </c>
      <c r="K311" s="45" cm="1">
        <f t="array" aca="1" ref="K311" ca="1">SUMPRODUCT((Table1[SubscriptionStart] &lt;= $A311) * (Table1[EffectiveEndDate] &gt;= $A311) * (Table1[Region] = "England"))</f>
        <v>59</v>
      </c>
      <c r="L311" s="45" cm="1">
        <f t="array" aca="1" ref="L311" ca="1">SUMPRODUCT((Table1[SubscriptionStart] &lt;= $A311) * (Table1[EffectiveEndDate] &gt;= $A311) * (Table1[Region] = "Scotland"))</f>
        <v>53</v>
      </c>
      <c r="M311" s="45" cm="1">
        <f t="array" aca="1" ref="M311" ca="1">SUMPRODUCT((Table1[SubscriptionStart] &lt;= $A311) * (Table1[EffectiveEndDate] &gt;= $A311) * (Table1[Region] = "Wales"))</f>
        <v>61</v>
      </c>
      <c r="N311" s="45" cm="1">
        <f t="array" aca="1" ref="N311" ca="1">SUMPRODUCT((Table1[SubscriptionStart] &lt;= $A311) * (Table1[EffectiveEndDate] &gt;= $A311) * (Table1[Region] = "Northern Ireland"))</f>
        <v>74</v>
      </c>
      <c r="O311" s="45" cm="1">
        <f t="array" aca="1" ref="O311" ca="1">SUMPRODUCT((Table1[Gender]="Male")*(Table1[SubscriptionStart]&lt;=A311)*(Table1[EffectiveEndDate]&gt;=A311))</f>
        <v>139</v>
      </c>
      <c r="P311" s="45" cm="1">
        <f t="array" aca="1" ref="P311" ca="1">SUMPRODUCT((Table1[Gender]="Female")*(Table1[SubscriptionStart]&lt;=A311)*(Table1[EffectiveEndDate]&gt;=A311))</f>
        <v>108</v>
      </c>
    </row>
    <row r="312" spans="1:16">
      <c r="A312" s="48">
        <f t="shared" si="19"/>
        <v>44872</v>
      </c>
      <c r="B312" s="45" cm="1">
        <f t="array" aca="1" ref="B312" ca="1">SUMPRODUCT((Table1[SubscriptionStart]&lt;=A312)*(Table1[EffectiveEndDate]&gt;=A312))</f>
        <v>248</v>
      </c>
      <c r="C312" s="45">
        <f>COUNTIFS(Table1[SubscriptionStart], A312)</f>
        <v>1</v>
      </c>
      <c r="D312" s="45">
        <f>COUNTIFS(Table1[CancellationDate], A312)</f>
        <v>0</v>
      </c>
      <c r="E312" s="45">
        <f t="shared" si="16"/>
        <v>1</v>
      </c>
      <c r="F312" s="45">
        <f>SUM($C$2:C312)</f>
        <v>306</v>
      </c>
      <c r="G312" s="49" cm="1">
        <f t="array" aca="1" ref="G312" ca="1">IF(B312=0,"", SUMPRODUCT((Table1[SubscriptionStart]&lt;=A312)*(Table1[EffectiveEndDate]&gt;=A312)*Table1[Age]) / B312 )</f>
        <v>46.681451612903224</v>
      </c>
      <c r="H312" s="22">
        <f>SUMIF(Table1[SubscriptionStart],"&lt;="&amp;A312,Table1[TotalRevenue])</f>
        <v>66623.199999999953</v>
      </c>
      <c r="I312" s="50">
        <f t="shared" si="17"/>
        <v>44895</v>
      </c>
      <c r="J312" s="49">
        <f t="shared" ca="1" si="18"/>
        <v>256.2</v>
      </c>
      <c r="K312" s="45" cm="1">
        <f t="array" aca="1" ref="K312" ca="1">SUMPRODUCT((Table1[SubscriptionStart] &lt;= $A312) * (Table1[EffectiveEndDate] &gt;= $A312) * (Table1[Region] = "England"))</f>
        <v>59</v>
      </c>
      <c r="L312" s="45" cm="1">
        <f t="array" aca="1" ref="L312" ca="1">SUMPRODUCT((Table1[SubscriptionStart] &lt;= $A312) * (Table1[EffectiveEndDate] &gt;= $A312) * (Table1[Region] = "Scotland"))</f>
        <v>53</v>
      </c>
      <c r="M312" s="45" cm="1">
        <f t="array" aca="1" ref="M312" ca="1">SUMPRODUCT((Table1[SubscriptionStart] &lt;= $A312) * (Table1[EffectiveEndDate] &gt;= $A312) * (Table1[Region] = "Wales"))</f>
        <v>61</v>
      </c>
      <c r="N312" s="45" cm="1">
        <f t="array" aca="1" ref="N312" ca="1">SUMPRODUCT((Table1[SubscriptionStart] &lt;= $A312) * (Table1[EffectiveEndDate] &gt;= $A312) * (Table1[Region] = "Northern Ireland"))</f>
        <v>75</v>
      </c>
      <c r="O312" s="45" cm="1">
        <f t="array" aca="1" ref="O312" ca="1">SUMPRODUCT((Table1[Gender]="Male")*(Table1[SubscriptionStart]&lt;=A312)*(Table1[EffectiveEndDate]&gt;=A312))</f>
        <v>139</v>
      </c>
      <c r="P312" s="45" cm="1">
        <f t="array" aca="1" ref="P312" ca="1">SUMPRODUCT((Table1[Gender]="Female")*(Table1[SubscriptionStart]&lt;=A312)*(Table1[EffectiveEndDate]&gt;=A312))</f>
        <v>109</v>
      </c>
    </row>
    <row r="313" spans="1:16">
      <c r="A313" s="48">
        <f t="shared" si="19"/>
        <v>44873</v>
      </c>
      <c r="B313" s="45" cm="1">
        <f t="array" aca="1" ref="B313" ca="1">SUMPRODUCT((Table1[SubscriptionStart]&lt;=A313)*(Table1[EffectiveEndDate]&gt;=A313))</f>
        <v>249</v>
      </c>
      <c r="C313" s="45">
        <f>COUNTIFS(Table1[SubscriptionStart], A313)</f>
        <v>1</v>
      </c>
      <c r="D313" s="45">
        <f>COUNTIFS(Table1[CancellationDate], A313)</f>
        <v>0</v>
      </c>
      <c r="E313" s="45">
        <f t="shared" si="16"/>
        <v>1</v>
      </c>
      <c r="F313" s="45">
        <f>SUM($C$2:C313)</f>
        <v>307</v>
      </c>
      <c r="G313" s="49" cm="1">
        <f t="array" aca="1" ref="G313" ca="1">IF(B313=0,"", SUMPRODUCT((Table1[SubscriptionStart]&lt;=A313)*(Table1[EffectiveEndDate]&gt;=A313)*Table1[Age]) / B313 )</f>
        <v>46.578313253012048</v>
      </c>
      <c r="H313" s="22">
        <f>SUMIF(Table1[SubscriptionStart],"&lt;="&amp;A313,Table1[TotalRevenue])</f>
        <v>66695.199999999953</v>
      </c>
      <c r="I313" s="50">
        <f t="shared" si="17"/>
        <v>44895</v>
      </c>
      <c r="J313" s="49">
        <f t="shared" ca="1" si="18"/>
        <v>256.2</v>
      </c>
      <c r="K313" s="45" cm="1">
        <f t="array" aca="1" ref="K313" ca="1">SUMPRODUCT((Table1[SubscriptionStart] &lt;= $A313) * (Table1[EffectiveEndDate] &gt;= $A313) * (Table1[Region] = "England"))</f>
        <v>59</v>
      </c>
      <c r="L313" s="45" cm="1">
        <f t="array" aca="1" ref="L313" ca="1">SUMPRODUCT((Table1[SubscriptionStart] &lt;= $A313) * (Table1[EffectiveEndDate] &gt;= $A313) * (Table1[Region] = "Scotland"))</f>
        <v>54</v>
      </c>
      <c r="M313" s="45" cm="1">
        <f t="array" aca="1" ref="M313" ca="1">SUMPRODUCT((Table1[SubscriptionStart] &lt;= $A313) * (Table1[EffectiveEndDate] &gt;= $A313) * (Table1[Region] = "Wales"))</f>
        <v>61</v>
      </c>
      <c r="N313" s="45" cm="1">
        <f t="array" aca="1" ref="N313" ca="1">SUMPRODUCT((Table1[SubscriptionStart] &lt;= $A313) * (Table1[EffectiveEndDate] &gt;= $A313) * (Table1[Region] = "Northern Ireland"))</f>
        <v>75</v>
      </c>
      <c r="O313" s="45" cm="1">
        <f t="array" aca="1" ref="O313" ca="1">SUMPRODUCT((Table1[Gender]="Male")*(Table1[SubscriptionStart]&lt;=A313)*(Table1[EffectiveEndDate]&gt;=A313))</f>
        <v>140</v>
      </c>
      <c r="P313" s="45" cm="1">
        <f t="array" aca="1" ref="P313" ca="1">SUMPRODUCT((Table1[Gender]="Female")*(Table1[SubscriptionStart]&lt;=A313)*(Table1[EffectiveEndDate]&gt;=A313))</f>
        <v>109</v>
      </c>
    </row>
    <row r="314" spans="1:16">
      <c r="A314" s="48">
        <f t="shared" si="19"/>
        <v>44874</v>
      </c>
      <c r="B314" s="45" cm="1">
        <f t="array" aca="1" ref="B314" ca="1">SUMPRODUCT((Table1[SubscriptionStart]&lt;=A314)*(Table1[EffectiveEndDate]&gt;=A314))</f>
        <v>250</v>
      </c>
      <c r="C314" s="45">
        <f>COUNTIFS(Table1[SubscriptionStart], A314)</f>
        <v>1</v>
      </c>
      <c r="D314" s="45">
        <f>COUNTIFS(Table1[CancellationDate], A314)</f>
        <v>0</v>
      </c>
      <c r="E314" s="45">
        <f t="shared" si="16"/>
        <v>1</v>
      </c>
      <c r="F314" s="45">
        <f>SUM($C$2:C314)</f>
        <v>308</v>
      </c>
      <c r="G314" s="49" cm="1">
        <f t="array" aca="1" ref="G314" ca="1">IF(B314=0,"", SUMPRODUCT((Table1[SubscriptionStart]&lt;=A314)*(Table1[EffectiveEndDate]&gt;=A314)*Table1[Age]) / B314 )</f>
        <v>46.588000000000001</v>
      </c>
      <c r="H314" s="22">
        <f>SUMIF(Table1[SubscriptionStart],"&lt;="&amp;A314,Table1[TotalRevenue])</f>
        <v>66768.099999999948</v>
      </c>
      <c r="I314" s="50">
        <f t="shared" si="17"/>
        <v>44895</v>
      </c>
      <c r="J314" s="49">
        <f t="shared" ca="1" si="18"/>
        <v>256.2</v>
      </c>
      <c r="K314" s="45" cm="1">
        <f t="array" aca="1" ref="K314" ca="1">SUMPRODUCT((Table1[SubscriptionStart] &lt;= $A314) * (Table1[EffectiveEndDate] &gt;= $A314) * (Table1[Region] = "England"))</f>
        <v>59</v>
      </c>
      <c r="L314" s="45" cm="1">
        <f t="array" aca="1" ref="L314" ca="1">SUMPRODUCT((Table1[SubscriptionStart] &lt;= $A314) * (Table1[EffectiveEndDate] &gt;= $A314) * (Table1[Region] = "Scotland"))</f>
        <v>54</v>
      </c>
      <c r="M314" s="45" cm="1">
        <f t="array" aca="1" ref="M314" ca="1">SUMPRODUCT((Table1[SubscriptionStart] &lt;= $A314) * (Table1[EffectiveEndDate] &gt;= $A314) * (Table1[Region] = "Wales"))</f>
        <v>62</v>
      </c>
      <c r="N314" s="45" cm="1">
        <f t="array" aca="1" ref="N314" ca="1">SUMPRODUCT((Table1[SubscriptionStart] &lt;= $A314) * (Table1[EffectiveEndDate] &gt;= $A314) * (Table1[Region] = "Northern Ireland"))</f>
        <v>75</v>
      </c>
      <c r="O314" s="45" cm="1">
        <f t="array" aca="1" ref="O314" ca="1">SUMPRODUCT((Table1[Gender]="Male")*(Table1[SubscriptionStart]&lt;=A314)*(Table1[EffectiveEndDate]&gt;=A314))</f>
        <v>140</v>
      </c>
      <c r="P314" s="45" cm="1">
        <f t="array" aca="1" ref="P314" ca="1">SUMPRODUCT((Table1[Gender]="Female")*(Table1[SubscriptionStart]&lt;=A314)*(Table1[EffectiveEndDate]&gt;=A314))</f>
        <v>110</v>
      </c>
    </row>
    <row r="315" spans="1:16">
      <c r="A315" s="48">
        <f t="shared" si="19"/>
        <v>44875</v>
      </c>
      <c r="B315" s="45" cm="1">
        <f t="array" aca="1" ref="B315" ca="1">SUMPRODUCT((Table1[SubscriptionStart]&lt;=A315)*(Table1[EffectiveEndDate]&gt;=A315))</f>
        <v>251</v>
      </c>
      <c r="C315" s="45">
        <f>COUNTIFS(Table1[SubscriptionStart], A315)</f>
        <v>1</v>
      </c>
      <c r="D315" s="45">
        <f>COUNTIFS(Table1[CancellationDate], A315)</f>
        <v>0</v>
      </c>
      <c r="E315" s="45">
        <f t="shared" si="16"/>
        <v>1</v>
      </c>
      <c r="F315" s="45">
        <f>SUM($C$2:C315)</f>
        <v>309</v>
      </c>
      <c r="G315" s="49" cm="1">
        <f t="array" aca="1" ref="G315" ca="1">IF(B315=0,"", SUMPRODUCT((Table1[SubscriptionStart]&lt;=A315)*(Table1[EffectiveEndDate]&gt;=A315)*Table1[Age]) / B315 )</f>
        <v>46.533864541832671</v>
      </c>
      <c r="H315" s="22">
        <f>SUMIF(Table1[SubscriptionStart],"&lt;="&amp;A315,Table1[TotalRevenue])</f>
        <v>66948.099999999948</v>
      </c>
      <c r="I315" s="50">
        <f t="shared" si="17"/>
        <v>44895</v>
      </c>
      <c r="J315" s="49">
        <f t="shared" ca="1" si="18"/>
        <v>256.2</v>
      </c>
      <c r="K315" s="45" cm="1">
        <f t="array" aca="1" ref="K315" ca="1">SUMPRODUCT((Table1[SubscriptionStart] &lt;= $A315) * (Table1[EffectiveEndDate] &gt;= $A315) * (Table1[Region] = "England"))</f>
        <v>60</v>
      </c>
      <c r="L315" s="45" cm="1">
        <f t="array" aca="1" ref="L315" ca="1">SUMPRODUCT((Table1[SubscriptionStart] &lt;= $A315) * (Table1[EffectiveEndDate] &gt;= $A315) * (Table1[Region] = "Scotland"))</f>
        <v>54</v>
      </c>
      <c r="M315" s="45" cm="1">
        <f t="array" aca="1" ref="M315" ca="1">SUMPRODUCT((Table1[SubscriptionStart] &lt;= $A315) * (Table1[EffectiveEndDate] &gt;= $A315) * (Table1[Region] = "Wales"))</f>
        <v>62</v>
      </c>
      <c r="N315" s="45" cm="1">
        <f t="array" aca="1" ref="N315" ca="1">SUMPRODUCT((Table1[SubscriptionStart] &lt;= $A315) * (Table1[EffectiveEndDate] &gt;= $A315) * (Table1[Region] = "Northern Ireland"))</f>
        <v>75</v>
      </c>
      <c r="O315" s="45" cm="1">
        <f t="array" aca="1" ref="O315" ca="1">SUMPRODUCT((Table1[Gender]="Male")*(Table1[SubscriptionStart]&lt;=A315)*(Table1[EffectiveEndDate]&gt;=A315))</f>
        <v>141</v>
      </c>
      <c r="P315" s="45" cm="1">
        <f t="array" aca="1" ref="P315" ca="1">SUMPRODUCT((Table1[Gender]="Female")*(Table1[SubscriptionStart]&lt;=A315)*(Table1[EffectiveEndDate]&gt;=A315))</f>
        <v>110</v>
      </c>
    </row>
    <row r="316" spans="1:16">
      <c r="A316" s="48">
        <f t="shared" si="19"/>
        <v>44876</v>
      </c>
      <c r="B316" s="45" cm="1">
        <f t="array" aca="1" ref="B316" ca="1">SUMPRODUCT((Table1[SubscriptionStart]&lt;=A316)*(Table1[EffectiveEndDate]&gt;=A316))</f>
        <v>253</v>
      </c>
      <c r="C316" s="45">
        <f>COUNTIFS(Table1[SubscriptionStart], A316)</f>
        <v>2</v>
      </c>
      <c r="D316" s="45">
        <f>COUNTIFS(Table1[CancellationDate], A316)</f>
        <v>0</v>
      </c>
      <c r="E316" s="45">
        <f t="shared" si="16"/>
        <v>2</v>
      </c>
      <c r="F316" s="45">
        <f>SUM($C$2:C316)</f>
        <v>311</v>
      </c>
      <c r="G316" s="49" cm="1">
        <f t="array" aca="1" ref="G316" ca="1">IF(B316=0,"", SUMPRODUCT((Table1[SubscriptionStart]&lt;=A316)*(Table1[EffectiveEndDate]&gt;=A316)*Table1[Age]) / B316 )</f>
        <v>46.474308300395258</v>
      </c>
      <c r="H316" s="22">
        <f>SUMIF(Table1[SubscriptionStart],"&lt;="&amp;A316,Table1[TotalRevenue])</f>
        <v>67149.699999999953</v>
      </c>
      <c r="I316" s="50">
        <f t="shared" si="17"/>
        <v>44895</v>
      </c>
      <c r="J316" s="49">
        <f t="shared" ca="1" si="18"/>
        <v>256.2</v>
      </c>
      <c r="K316" s="45" cm="1">
        <f t="array" aca="1" ref="K316" ca="1">SUMPRODUCT((Table1[SubscriptionStart] &lt;= $A316) * (Table1[EffectiveEndDate] &gt;= $A316) * (Table1[Region] = "England"))</f>
        <v>62</v>
      </c>
      <c r="L316" s="45" cm="1">
        <f t="array" aca="1" ref="L316" ca="1">SUMPRODUCT((Table1[SubscriptionStart] &lt;= $A316) * (Table1[EffectiveEndDate] &gt;= $A316) * (Table1[Region] = "Scotland"))</f>
        <v>54</v>
      </c>
      <c r="M316" s="45" cm="1">
        <f t="array" aca="1" ref="M316" ca="1">SUMPRODUCT((Table1[SubscriptionStart] &lt;= $A316) * (Table1[EffectiveEndDate] &gt;= $A316) * (Table1[Region] = "Wales"))</f>
        <v>62</v>
      </c>
      <c r="N316" s="45" cm="1">
        <f t="array" aca="1" ref="N316" ca="1">SUMPRODUCT((Table1[SubscriptionStart] &lt;= $A316) * (Table1[EffectiveEndDate] &gt;= $A316) * (Table1[Region] = "Northern Ireland"))</f>
        <v>75</v>
      </c>
      <c r="O316" s="45" cm="1">
        <f t="array" aca="1" ref="O316" ca="1">SUMPRODUCT((Table1[Gender]="Male")*(Table1[SubscriptionStart]&lt;=A316)*(Table1[EffectiveEndDate]&gt;=A316))</f>
        <v>142</v>
      </c>
      <c r="P316" s="45" cm="1">
        <f t="array" aca="1" ref="P316" ca="1">SUMPRODUCT((Table1[Gender]="Female")*(Table1[SubscriptionStart]&lt;=A316)*(Table1[EffectiveEndDate]&gt;=A316))</f>
        <v>111</v>
      </c>
    </row>
    <row r="317" spans="1:16">
      <c r="A317" s="48">
        <f t="shared" si="19"/>
        <v>44877</v>
      </c>
      <c r="B317" s="45" cm="1">
        <f t="array" aca="1" ref="B317" ca="1">SUMPRODUCT((Table1[SubscriptionStart]&lt;=A317)*(Table1[EffectiveEndDate]&gt;=A317))</f>
        <v>253</v>
      </c>
      <c r="C317" s="45">
        <f>COUNTIFS(Table1[SubscriptionStart], A317)</f>
        <v>0</v>
      </c>
      <c r="D317" s="45">
        <f>COUNTIFS(Table1[CancellationDate], A317)</f>
        <v>0</v>
      </c>
      <c r="E317" s="45">
        <f t="shared" si="16"/>
        <v>0</v>
      </c>
      <c r="F317" s="45">
        <f>SUM($C$2:C317)</f>
        <v>311</v>
      </c>
      <c r="G317" s="49" cm="1">
        <f t="array" aca="1" ref="G317" ca="1">IF(B317=0,"", SUMPRODUCT((Table1[SubscriptionStart]&lt;=A317)*(Table1[EffectiveEndDate]&gt;=A317)*Table1[Age]) / B317 )</f>
        <v>46.474308300395258</v>
      </c>
      <c r="H317" s="22">
        <f>SUMIF(Table1[SubscriptionStart],"&lt;="&amp;A317,Table1[TotalRevenue])</f>
        <v>67149.699999999953</v>
      </c>
      <c r="I317" s="50">
        <f t="shared" si="17"/>
        <v>44895</v>
      </c>
      <c r="J317" s="49">
        <f t="shared" ca="1" si="18"/>
        <v>256.2</v>
      </c>
      <c r="K317" s="45" cm="1">
        <f t="array" aca="1" ref="K317" ca="1">SUMPRODUCT((Table1[SubscriptionStart] &lt;= $A317) * (Table1[EffectiveEndDate] &gt;= $A317) * (Table1[Region] = "England"))</f>
        <v>62</v>
      </c>
      <c r="L317" s="45" cm="1">
        <f t="array" aca="1" ref="L317" ca="1">SUMPRODUCT((Table1[SubscriptionStart] &lt;= $A317) * (Table1[EffectiveEndDate] &gt;= $A317) * (Table1[Region] = "Scotland"))</f>
        <v>54</v>
      </c>
      <c r="M317" s="45" cm="1">
        <f t="array" aca="1" ref="M317" ca="1">SUMPRODUCT((Table1[SubscriptionStart] &lt;= $A317) * (Table1[EffectiveEndDate] &gt;= $A317) * (Table1[Region] = "Wales"))</f>
        <v>62</v>
      </c>
      <c r="N317" s="45" cm="1">
        <f t="array" aca="1" ref="N317" ca="1">SUMPRODUCT((Table1[SubscriptionStart] &lt;= $A317) * (Table1[EffectiveEndDate] &gt;= $A317) * (Table1[Region] = "Northern Ireland"))</f>
        <v>75</v>
      </c>
      <c r="O317" s="45" cm="1">
        <f t="array" aca="1" ref="O317" ca="1">SUMPRODUCT((Table1[Gender]="Male")*(Table1[SubscriptionStart]&lt;=A317)*(Table1[EffectiveEndDate]&gt;=A317))</f>
        <v>142</v>
      </c>
      <c r="P317" s="45" cm="1">
        <f t="array" aca="1" ref="P317" ca="1">SUMPRODUCT((Table1[Gender]="Female")*(Table1[SubscriptionStart]&lt;=A317)*(Table1[EffectiveEndDate]&gt;=A317))</f>
        <v>111</v>
      </c>
    </row>
    <row r="318" spans="1:16">
      <c r="A318" s="48">
        <f t="shared" si="19"/>
        <v>44878</v>
      </c>
      <c r="B318" s="45" cm="1">
        <f t="array" aca="1" ref="B318" ca="1">SUMPRODUCT((Table1[SubscriptionStart]&lt;=A318)*(Table1[EffectiveEndDate]&gt;=A318))</f>
        <v>254</v>
      </c>
      <c r="C318" s="45">
        <f>COUNTIFS(Table1[SubscriptionStart], A318)</f>
        <v>1</v>
      </c>
      <c r="D318" s="45">
        <f>COUNTIFS(Table1[CancellationDate], A318)</f>
        <v>0</v>
      </c>
      <c r="E318" s="45">
        <f t="shared" si="16"/>
        <v>1</v>
      </c>
      <c r="F318" s="45">
        <f>SUM($C$2:C318)</f>
        <v>312</v>
      </c>
      <c r="G318" s="49" cm="1">
        <f t="array" aca="1" ref="G318" ca="1">IF(B318=0,"", SUMPRODUCT((Table1[SubscriptionStart]&lt;=A318)*(Table1[EffectiveEndDate]&gt;=A318)*Table1[Age]) / B318 )</f>
        <v>46.515748031496067</v>
      </c>
      <c r="H318" s="22">
        <f>SUMIF(Table1[SubscriptionStart],"&lt;="&amp;A318,Table1[TotalRevenue])</f>
        <v>67700.499999999956</v>
      </c>
      <c r="I318" s="50">
        <f t="shared" si="17"/>
        <v>44895</v>
      </c>
      <c r="J318" s="49">
        <f t="shared" ca="1" si="18"/>
        <v>256.2</v>
      </c>
      <c r="K318" s="45" cm="1">
        <f t="array" aca="1" ref="K318" ca="1">SUMPRODUCT((Table1[SubscriptionStart] &lt;= $A318) * (Table1[EffectiveEndDate] &gt;= $A318) * (Table1[Region] = "England"))</f>
        <v>63</v>
      </c>
      <c r="L318" s="45" cm="1">
        <f t="array" aca="1" ref="L318" ca="1">SUMPRODUCT((Table1[SubscriptionStart] &lt;= $A318) * (Table1[EffectiveEndDate] &gt;= $A318) * (Table1[Region] = "Scotland"))</f>
        <v>54</v>
      </c>
      <c r="M318" s="45" cm="1">
        <f t="array" aca="1" ref="M318" ca="1">SUMPRODUCT((Table1[SubscriptionStart] &lt;= $A318) * (Table1[EffectiveEndDate] &gt;= $A318) * (Table1[Region] = "Wales"))</f>
        <v>62</v>
      </c>
      <c r="N318" s="45" cm="1">
        <f t="array" aca="1" ref="N318" ca="1">SUMPRODUCT((Table1[SubscriptionStart] &lt;= $A318) * (Table1[EffectiveEndDate] &gt;= $A318) * (Table1[Region] = "Northern Ireland"))</f>
        <v>75</v>
      </c>
      <c r="O318" s="45" cm="1">
        <f t="array" aca="1" ref="O318" ca="1">SUMPRODUCT((Table1[Gender]="Male")*(Table1[SubscriptionStart]&lt;=A318)*(Table1[EffectiveEndDate]&gt;=A318))</f>
        <v>143</v>
      </c>
      <c r="P318" s="45" cm="1">
        <f t="array" aca="1" ref="P318" ca="1">SUMPRODUCT((Table1[Gender]="Female")*(Table1[SubscriptionStart]&lt;=A318)*(Table1[EffectiveEndDate]&gt;=A318))</f>
        <v>111</v>
      </c>
    </row>
    <row r="319" spans="1:16">
      <c r="A319" s="48">
        <f t="shared" si="19"/>
        <v>44879</v>
      </c>
      <c r="B319" s="45" cm="1">
        <f t="array" aca="1" ref="B319" ca="1">SUMPRODUCT((Table1[SubscriptionStart]&lt;=A319)*(Table1[EffectiveEndDate]&gt;=A319))</f>
        <v>255</v>
      </c>
      <c r="C319" s="45">
        <f>COUNTIFS(Table1[SubscriptionStart], A319)</f>
        <v>1</v>
      </c>
      <c r="D319" s="45">
        <f>COUNTIFS(Table1[CancellationDate], A319)</f>
        <v>0</v>
      </c>
      <c r="E319" s="45">
        <f t="shared" si="16"/>
        <v>1</v>
      </c>
      <c r="F319" s="45">
        <f>SUM($C$2:C319)</f>
        <v>313</v>
      </c>
      <c r="G319" s="49" cm="1">
        <f t="array" aca="1" ref="G319" ca="1">IF(B319=0,"", SUMPRODUCT((Table1[SubscriptionStart]&lt;=A319)*(Table1[EffectiveEndDate]&gt;=A319)*Table1[Age]) / B319 )</f>
        <v>46.572549019607841</v>
      </c>
      <c r="H319" s="22">
        <f>SUMIF(Table1[SubscriptionStart],"&lt;="&amp;A319,Table1[TotalRevenue])</f>
        <v>67880.499999999956</v>
      </c>
      <c r="I319" s="50">
        <f t="shared" si="17"/>
        <v>44895</v>
      </c>
      <c r="J319" s="49">
        <f t="shared" ca="1" si="18"/>
        <v>256.2</v>
      </c>
      <c r="K319" s="45" cm="1">
        <f t="array" aca="1" ref="K319" ca="1">SUMPRODUCT((Table1[SubscriptionStart] &lt;= $A319) * (Table1[EffectiveEndDate] &gt;= $A319) * (Table1[Region] = "England"))</f>
        <v>63</v>
      </c>
      <c r="L319" s="45" cm="1">
        <f t="array" aca="1" ref="L319" ca="1">SUMPRODUCT((Table1[SubscriptionStart] &lt;= $A319) * (Table1[EffectiveEndDate] &gt;= $A319) * (Table1[Region] = "Scotland"))</f>
        <v>54</v>
      </c>
      <c r="M319" s="45" cm="1">
        <f t="array" aca="1" ref="M319" ca="1">SUMPRODUCT((Table1[SubscriptionStart] &lt;= $A319) * (Table1[EffectiveEndDate] &gt;= $A319) * (Table1[Region] = "Wales"))</f>
        <v>62</v>
      </c>
      <c r="N319" s="45" cm="1">
        <f t="array" aca="1" ref="N319" ca="1">SUMPRODUCT((Table1[SubscriptionStart] &lt;= $A319) * (Table1[EffectiveEndDate] &gt;= $A319) * (Table1[Region] = "Northern Ireland"))</f>
        <v>76</v>
      </c>
      <c r="O319" s="45" cm="1">
        <f t="array" aca="1" ref="O319" ca="1">SUMPRODUCT((Table1[Gender]="Male")*(Table1[SubscriptionStart]&lt;=A319)*(Table1[EffectiveEndDate]&gt;=A319))</f>
        <v>143</v>
      </c>
      <c r="P319" s="45" cm="1">
        <f t="array" aca="1" ref="P319" ca="1">SUMPRODUCT((Table1[Gender]="Female")*(Table1[SubscriptionStart]&lt;=A319)*(Table1[EffectiveEndDate]&gt;=A319))</f>
        <v>112</v>
      </c>
    </row>
    <row r="320" spans="1:16">
      <c r="A320" s="48">
        <f t="shared" si="19"/>
        <v>44880</v>
      </c>
      <c r="B320" s="45" cm="1">
        <f t="array" aca="1" ref="B320" ca="1">SUMPRODUCT((Table1[SubscriptionStart]&lt;=A320)*(Table1[EffectiveEndDate]&gt;=A320))</f>
        <v>257</v>
      </c>
      <c r="C320" s="45">
        <f>COUNTIFS(Table1[SubscriptionStart], A320)</f>
        <v>2</v>
      </c>
      <c r="D320" s="45">
        <f>COUNTIFS(Table1[CancellationDate], A320)</f>
        <v>1</v>
      </c>
      <c r="E320" s="45">
        <f t="shared" si="16"/>
        <v>1</v>
      </c>
      <c r="F320" s="45">
        <f>SUM($C$2:C320)</f>
        <v>315</v>
      </c>
      <c r="G320" s="49" cm="1">
        <f t="array" aca="1" ref="G320" ca="1">IF(B320=0,"", SUMPRODUCT((Table1[SubscriptionStart]&lt;=A320)*(Table1[EffectiveEndDate]&gt;=A320)*Table1[Age]) / B320 )</f>
        <v>46.564202334630352</v>
      </c>
      <c r="H320" s="22">
        <f>SUMIF(Table1[SubscriptionStart],"&lt;="&amp;A320,Table1[TotalRevenue])</f>
        <v>69314.599999999962</v>
      </c>
      <c r="I320" s="50">
        <f t="shared" si="17"/>
        <v>44895</v>
      </c>
      <c r="J320" s="49">
        <f t="shared" ca="1" si="18"/>
        <v>256.2</v>
      </c>
      <c r="K320" s="45" cm="1">
        <f t="array" aca="1" ref="K320" ca="1">SUMPRODUCT((Table1[SubscriptionStart] &lt;= $A320) * (Table1[EffectiveEndDate] &gt;= $A320) * (Table1[Region] = "England"))</f>
        <v>64</v>
      </c>
      <c r="L320" s="45" cm="1">
        <f t="array" aca="1" ref="L320" ca="1">SUMPRODUCT((Table1[SubscriptionStart] &lt;= $A320) * (Table1[EffectiveEndDate] &gt;= $A320) * (Table1[Region] = "Scotland"))</f>
        <v>54</v>
      </c>
      <c r="M320" s="45" cm="1">
        <f t="array" aca="1" ref="M320" ca="1">SUMPRODUCT((Table1[SubscriptionStart] &lt;= $A320) * (Table1[EffectiveEndDate] &gt;= $A320) * (Table1[Region] = "Wales"))</f>
        <v>62</v>
      </c>
      <c r="N320" s="45" cm="1">
        <f t="array" aca="1" ref="N320" ca="1">SUMPRODUCT((Table1[SubscriptionStart] &lt;= $A320) * (Table1[EffectiveEndDate] &gt;= $A320) * (Table1[Region] = "Northern Ireland"))</f>
        <v>77</v>
      </c>
      <c r="O320" s="45" cm="1">
        <f t="array" aca="1" ref="O320" ca="1">SUMPRODUCT((Table1[Gender]="Male")*(Table1[SubscriptionStart]&lt;=A320)*(Table1[EffectiveEndDate]&gt;=A320))</f>
        <v>144</v>
      </c>
      <c r="P320" s="45" cm="1">
        <f t="array" aca="1" ref="P320" ca="1">SUMPRODUCT((Table1[Gender]="Female")*(Table1[SubscriptionStart]&lt;=A320)*(Table1[EffectiveEndDate]&gt;=A320))</f>
        <v>113</v>
      </c>
    </row>
    <row r="321" spans="1:16">
      <c r="A321" s="48">
        <f t="shared" si="19"/>
        <v>44881</v>
      </c>
      <c r="B321" s="45" cm="1">
        <f t="array" aca="1" ref="B321" ca="1">SUMPRODUCT((Table1[SubscriptionStart]&lt;=A321)*(Table1[EffectiveEndDate]&gt;=A321))</f>
        <v>256</v>
      </c>
      <c r="C321" s="45">
        <f>COUNTIFS(Table1[SubscriptionStart], A321)</f>
        <v>0</v>
      </c>
      <c r="D321" s="45">
        <f>COUNTIFS(Table1[CancellationDate], A321)</f>
        <v>0</v>
      </c>
      <c r="E321" s="45">
        <f t="shared" si="16"/>
        <v>0</v>
      </c>
      <c r="F321" s="45">
        <f>SUM($C$2:C321)</f>
        <v>315</v>
      </c>
      <c r="G321" s="49" cm="1">
        <f t="array" aca="1" ref="G321" ca="1">IF(B321=0,"", SUMPRODUCT((Table1[SubscriptionStart]&lt;=A321)*(Table1[EffectiveEndDate]&gt;=A321)*Table1[Age]) / B321 )</f>
        <v>46.52734375</v>
      </c>
      <c r="H321" s="22">
        <f>SUMIF(Table1[SubscriptionStart],"&lt;="&amp;A321,Table1[TotalRevenue])</f>
        <v>69314.599999999962</v>
      </c>
      <c r="I321" s="50">
        <f t="shared" si="17"/>
        <v>44895</v>
      </c>
      <c r="J321" s="49">
        <f t="shared" ca="1" si="18"/>
        <v>256.2</v>
      </c>
      <c r="K321" s="45" cm="1">
        <f t="array" aca="1" ref="K321" ca="1">SUMPRODUCT((Table1[SubscriptionStart] &lt;= $A321) * (Table1[EffectiveEndDate] &gt;= $A321) * (Table1[Region] = "England"))</f>
        <v>64</v>
      </c>
      <c r="L321" s="45" cm="1">
        <f t="array" aca="1" ref="L321" ca="1">SUMPRODUCT((Table1[SubscriptionStart] &lt;= $A321) * (Table1[EffectiveEndDate] &gt;= $A321) * (Table1[Region] = "Scotland"))</f>
        <v>54</v>
      </c>
      <c r="M321" s="45" cm="1">
        <f t="array" aca="1" ref="M321" ca="1">SUMPRODUCT((Table1[SubscriptionStart] &lt;= $A321) * (Table1[EffectiveEndDate] &gt;= $A321) * (Table1[Region] = "Wales"))</f>
        <v>62</v>
      </c>
      <c r="N321" s="45" cm="1">
        <f t="array" aca="1" ref="N321" ca="1">SUMPRODUCT((Table1[SubscriptionStart] &lt;= $A321) * (Table1[EffectiveEndDate] &gt;= $A321) * (Table1[Region] = "Northern Ireland"))</f>
        <v>76</v>
      </c>
      <c r="O321" s="45" cm="1">
        <f t="array" aca="1" ref="O321" ca="1">SUMPRODUCT((Table1[Gender]="Male")*(Table1[SubscriptionStart]&lt;=A321)*(Table1[EffectiveEndDate]&gt;=A321))</f>
        <v>144</v>
      </c>
      <c r="P321" s="45" cm="1">
        <f t="array" aca="1" ref="P321" ca="1">SUMPRODUCT((Table1[Gender]="Female")*(Table1[SubscriptionStart]&lt;=A321)*(Table1[EffectiveEndDate]&gt;=A321))</f>
        <v>112</v>
      </c>
    </row>
    <row r="322" spans="1:16">
      <c r="A322" s="48">
        <f t="shared" si="19"/>
        <v>44882</v>
      </c>
      <c r="B322" s="45" cm="1">
        <f t="array" aca="1" ref="B322" ca="1">SUMPRODUCT((Table1[SubscriptionStart]&lt;=A322)*(Table1[EffectiveEndDate]&gt;=A322))</f>
        <v>257</v>
      </c>
      <c r="C322" s="45">
        <f>COUNTIFS(Table1[SubscriptionStart], A322)</f>
        <v>1</v>
      </c>
      <c r="D322" s="45">
        <f>COUNTIFS(Table1[CancellationDate], A322)</f>
        <v>0</v>
      </c>
      <c r="E322" s="45">
        <f t="shared" ref="E322:E385" si="20" xml:space="preserve"> C322 - D322</f>
        <v>1</v>
      </c>
      <c r="F322" s="45">
        <f>SUM($C$2:C322)</f>
        <v>316</v>
      </c>
      <c r="G322" s="49" cm="1">
        <f t="array" aca="1" ref="G322" ca="1">IF(B322=0,"", SUMPRODUCT((Table1[SubscriptionStart]&lt;=A322)*(Table1[EffectiveEndDate]&gt;=A322)*Table1[Age]) / B322 )</f>
        <v>46.610894941634243</v>
      </c>
      <c r="H322" s="22">
        <f>SUMIF(Table1[SubscriptionStart],"&lt;="&amp;A322,Table1[TotalRevenue])</f>
        <v>69444.199999999968</v>
      </c>
      <c r="I322" s="50">
        <f t="shared" ref="I322:I385" si="21">EOMONTH(A322,0)</f>
        <v>44895</v>
      </c>
      <c r="J322" s="49">
        <f t="shared" ref="J322:J385" ca="1" si="22">AVERAGEIFS(B:B, I:I, I322)</f>
        <v>256.2</v>
      </c>
      <c r="K322" s="45" cm="1">
        <f t="array" aca="1" ref="K322" ca="1">SUMPRODUCT((Table1[SubscriptionStart] &lt;= $A322) * (Table1[EffectiveEndDate] &gt;= $A322) * (Table1[Region] = "England"))</f>
        <v>64</v>
      </c>
      <c r="L322" s="45" cm="1">
        <f t="array" aca="1" ref="L322" ca="1">SUMPRODUCT((Table1[SubscriptionStart] &lt;= $A322) * (Table1[EffectiveEndDate] &gt;= $A322) * (Table1[Region] = "Scotland"))</f>
        <v>54</v>
      </c>
      <c r="M322" s="45" cm="1">
        <f t="array" aca="1" ref="M322" ca="1">SUMPRODUCT((Table1[SubscriptionStart] &lt;= $A322) * (Table1[EffectiveEndDate] &gt;= $A322) * (Table1[Region] = "Wales"))</f>
        <v>63</v>
      </c>
      <c r="N322" s="45" cm="1">
        <f t="array" aca="1" ref="N322" ca="1">SUMPRODUCT((Table1[SubscriptionStart] &lt;= $A322) * (Table1[EffectiveEndDate] &gt;= $A322) * (Table1[Region] = "Northern Ireland"))</f>
        <v>76</v>
      </c>
      <c r="O322" s="45" cm="1">
        <f t="array" aca="1" ref="O322" ca="1">SUMPRODUCT((Table1[Gender]="Male")*(Table1[SubscriptionStart]&lt;=A322)*(Table1[EffectiveEndDate]&gt;=A322))</f>
        <v>144</v>
      </c>
      <c r="P322" s="45" cm="1">
        <f t="array" aca="1" ref="P322" ca="1">SUMPRODUCT((Table1[Gender]="Female")*(Table1[SubscriptionStart]&lt;=A322)*(Table1[EffectiveEndDate]&gt;=A322))</f>
        <v>113</v>
      </c>
    </row>
    <row r="323" spans="1:16">
      <c r="A323" s="48">
        <f t="shared" si="19"/>
        <v>44883</v>
      </c>
      <c r="B323" s="45" cm="1">
        <f t="array" aca="1" ref="B323" ca="1">SUMPRODUCT((Table1[SubscriptionStart]&lt;=A323)*(Table1[EffectiveEndDate]&gt;=A323))</f>
        <v>258</v>
      </c>
      <c r="C323" s="45">
        <f>COUNTIFS(Table1[SubscriptionStart], A323)</f>
        <v>1</v>
      </c>
      <c r="D323" s="45">
        <f>COUNTIFS(Table1[CancellationDate], A323)</f>
        <v>1</v>
      </c>
      <c r="E323" s="45">
        <f t="shared" si="20"/>
        <v>0</v>
      </c>
      <c r="F323" s="45">
        <f>SUM($C$2:C323)</f>
        <v>317</v>
      </c>
      <c r="G323" s="49" cm="1">
        <f t="array" aca="1" ref="G323" ca="1">IF(B323=0,"", SUMPRODUCT((Table1[SubscriptionStart]&lt;=A323)*(Table1[EffectiveEndDate]&gt;=A323)*Table1[Age]) / B323 )</f>
        <v>46.616279069767444</v>
      </c>
      <c r="H323" s="22">
        <f>SUMIF(Table1[SubscriptionStart],"&lt;="&amp;A323,Table1[TotalRevenue])</f>
        <v>69756.199999999968</v>
      </c>
      <c r="I323" s="50">
        <f t="shared" si="21"/>
        <v>44895</v>
      </c>
      <c r="J323" s="49">
        <f t="shared" ca="1" si="22"/>
        <v>256.2</v>
      </c>
      <c r="K323" s="45" cm="1">
        <f t="array" aca="1" ref="K323" ca="1">SUMPRODUCT((Table1[SubscriptionStart] &lt;= $A323) * (Table1[EffectiveEndDate] &gt;= $A323) * (Table1[Region] = "England"))</f>
        <v>65</v>
      </c>
      <c r="L323" s="45" cm="1">
        <f t="array" aca="1" ref="L323" ca="1">SUMPRODUCT((Table1[SubscriptionStart] &lt;= $A323) * (Table1[EffectiveEndDate] &gt;= $A323) * (Table1[Region] = "Scotland"))</f>
        <v>54</v>
      </c>
      <c r="M323" s="45" cm="1">
        <f t="array" aca="1" ref="M323" ca="1">SUMPRODUCT((Table1[SubscriptionStart] &lt;= $A323) * (Table1[EffectiveEndDate] &gt;= $A323) * (Table1[Region] = "Wales"))</f>
        <v>63</v>
      </c>
      <c r="N323" s="45" cm="1">
        <f t="array" aca="1" ref="N323" ca="1">SUMPRODUCT((Table1[SubscriptionStart] &lt;= $A323) * (Table1[EffectiveEndDate] &gt;= $A323) * (Table1[Region] = "Northern Ireland"))</f>
        <v>76</v>
      </c>
      <c r="O323" s="45" cm="1">
        <f t="array" aca="1" ref="O323" ca="1">SUMPRODUCT((Table1[Gender]="Male")*(Table1[SubscriptionStart]&lt;=A323)*(Table1[EffectiveEndDate]&gt;=A323))</f>
        <v>145</v>
      </c>
      <c r="P323" s="45" cm="1">
        <f t="array" aca="1" ref="P323" ca="1">SUMPRODUCT((Table1[Gender]="Female")*(Table1[SubscriptionStart]&lt;=A323)*(Table1[EffectiveEndDate]&gt;=A323))</f>
        <v>113</v>
      </c>
    </row>
    <row r="324" spans="1:16">
      <c r="A324" s="48">
        <f t="shared" ref="A324:A387" si="23">A323+1</f>
        <v>44884</v>
      </c>
      <c r="B324" s="45" cm="1">
        <f t="array" aca="1" ref="B324" ca="1">SUMPRODUCT((Table1[SubscriptionStart]&lt;=A324)*(Table1[EffectiveEndDate]&gt;=A324))</f>
        <v>259</v>
      </c>
      <c r="C324" s="45">
        <f>COUNTIFS(Table1[SubscriptionStart], A324)</f>
        <v>2</v>
      </c>
      <c r="D324" s="45">
        <f>COUNTIFS(Table1[CancellationDate], A324)</f>
        <v>1</v>
      </c>
      <c r="E324" s="45">
        <f t="shared" si="20"/>
        <v>1</v>
      </c>
      <c r="F324" s="45">
        <f>SUM($C$2:C324)</f>
        <v>319</v>
      </c>
      <c r="G324" s="49" cm="1">
        <f t="array" aca="1" ref="G324" ca="1">IF(B324=0,"", SUMPRODUCT((Table1[SubscriptionStart]&lt;=A324)*(Table1[EffectiveEndDate]&gt;=A324)*Table1[Age]) / B324 )</f>
        <v>46.65250965250965</v>
      </c>
      <c r="H324" s="22">
        <f>SUMIF(Table1[SubscriptionStart],"&lt;="&amp;A324,Table1[TotalRevenue])</f>
        <v>70521.199999999968</v>
      </c>
      <c r="I324" s="50">
        <f t="shared" si="21"/>
        <v>44895</v>
      </c>
      <c r="J324" s="49">
        <f t="shared" ca="1" si="22"/>
        <v>256.2</v>
      </c>
      <c r="K324" s="45" cm="1">
        <f t="array" aca="1" ref="K324" ca="1">SUMPRODUCT((Table1[SubscriptionStart] &lt;= $A324) * (Table1[EffectiveEndDate] &gt;= $A324) * (Table1[Region] = "England"))</f>
        <v>66</v>
      </c>
      <c r="L324" s="45" cm="1">
        <f t="array" aca="1" ref="L324" ca="1">SUMPRODUCT((Table1[SubscriptionStart] &lt;= $A324) * (Table1[EffectiveEndDate] &gt;= $A324) * (Table1[Region] = "Scotland"))</f>
        <v>54</v>
      </c>
      <c r="M324" s="45" cm="1">
        <f t="array" aca="1" ref="M324" ca="1">SUMPRODUCT((Table1[SubscriptionStart] &lt;= $A324) * (Table1[EffectiveEndDate] &gt;= $A324) * (Table1[Region] = "Wales"))</f>
        <v>63</v>
      </c>
      <c r="N324" s="45" cm="1">
        <f t="array" aca="1" ref="N324" ca="1">SUMPRODUCT((Table1[SubscriptionStart] &lt;= $A324) * (Table1[EffectiveEndDate] &gt;= $A324) * (Table1[Region] = "Northern Ireland"))</f>
        <v>76</v>
      </c>
      <c r="O324" s="45" cm="1">
        <f t="array" aca="1" ref="O324" ca="1">SUMPRODUCT((Table1[Gender]="Male")*(Table1[SubscriptionStart]&lt;=A324)*(Table1[EffectiveEndDate]&gt;=A324))</f>
        <v>144</v>
      </c>
      <c r="P324" s="45" cm="1">
        <f t="array" aca="1" ref="P324" ca="1">SUMPRODUCT((Table1[Gender]="Female")*(Table1[SubscriptionStart]&lt;=A324)*(Table1[EffectiveEndDate]&gt;=A324))</f>
        <v>115</v>
      </c>
    </row>
    <row r="325" spans="1:16">
      <c r="A325" s="48">
        <f t="shared" si="23"/>
        <v>44885</v>
      </c>
      <c r="B325" s="45" cm="1">
        <f t="array" aca="1" ref="B325" ca="1">SUMPRODUCT((Table1[SubscriptionStart]&lt;=A325)*(Table1[EffectiveEndDate]&gt;=A325))</f>
        <v>259</v>
      </c>
      <c r="C325" s="45">
        <f>COUNTIFS(Table1[SubscriptionStart], A325)</f>
        <v>1</v>
      </c>
      <c r="D325" s="45">
        <f>COUNTIFS(Table1[CancellationDate], A325)</f>
        <v>2</v>
      </c>
      <c r="E325" s="45">
        <f t="shared" si="20"/>
        <v>-1</v>
      </c>
      <c r="F325" s="45">
        <f>SUM($C$2:C325)</f>
        <v>320</v>
      </c>
      <c r="G325" s="49" cm="1">
        <f t="array" aca="1" ref="G325" ca="1">IF(B325=0,"", SUMPRODUCT((Table1[SubscriptionStart]&lt;=A325)*(Table1[EffectiveEndDate]&gt;=A325)*Table1[Age]) / B325 )</f>
        <v>46.575289575289574</v>
      </c>
      <c r="H325" s="22">
        <f>SUMIF(Table1[SubscriptionStart],"&lt;="&amp;A325,Table1[TotalRevenue])</f>
        <v>71071.999999999971</v>
      </c>
      <c r="I325" s="50">
        <f t="shared" si="21"/>
        <v>44895</v>
      </c>
      <c r="J325" s="49">
        <f t="shared" ca="1" si="22"/>
        <v>256.2</v>
      </c>
      <c r="K325" s="45" cm="1">
        <f t="array" aca="1" ref="K325" ca="1">SUMPRODUCT((Table1[SubscriptionStart] &lt;= $A325) * (Table1[EffectiveEndDate] &gt;= $A325) * (Table1[Region] = "England"))</f>
        <v>66</v>
      </c>
      <c r="L325" s="45" cm="1">
        <f t="array" aca="1" ref="L325" ca="1">SUMPRODUCT((Table1[SubscriptionStart] &lt;= $A325) * (Table1[EffectiveEndDate] &gt;= $A325) * (Table1[Region] = "Scotland"))</f>
        <v>54</v>
      </c>
      <c r="M325" s="45" cm="1">
        <f t="array" aca="1" ref="M325" ca="1">SUMPRODUCT((Table1[SubscriptionStart] &lt;= $A325) * (Table1[EffectiveEndDate] &gt;= $A325) * (Table1[Region] = "Wales"))</f>
        <v>64</v>
      </c>
      <c r="N325" s="45" cm="1">
        <f t="array" aca="1" ref="N325" ca="1">SUMPRODUCT((Table1[SubscriptionStart] &lt;= $A325) * (Table1[EffectiveEndDate] &gt;= $A325) * (Table1[Region] = "Northern Ireland"))</f>
        <v>75</v>
      </c>
      <c r="O325" s="45" cm="1">
        <f t="array" aca="1" ref="O325" ca="1">SUMPRODUCT((Table1[Gender]="Male")*(Table1[SubscriptionStart]&lt;=A325)*(Table1[EffectiveEndDate]&gt;=A325))</f>
        <v>143</v>
      </c>
      <c r="P325" s="45" cm="1">
        <f t="array" aca="1" ref="P325" ca="1">SUMPRODUCT((Table1[Gender]="Female")*(Table1[SubscriptionStart]&lt;=A325)*(Table1[EffectiveEndDate]&gt;=A325))</f>
        <v>116</v>
      </c>
    </row>
    <row r="326" spans="1:16">
      <c r="A326" s="48">
        <f t="shared" si="23"/>
        <v>44886</v>
      </c>
      <c r="B326" s="45" cm="1">
        <f t="array" aca="1" ref="B326" ca="1">SUMPRODUCT((Table1[SubscriptionStart]&lt;=A326)*(Table1[EffectiveEndDate]&gt;=A326))</f>
        <v>261</v>
      </c>
      <c r="C326" s="45">
        <f>COUNTIFS(Table1[SubscriptionStart], A326)</f>
        <v>4</v>
      </c>
      <c r="D326" s="45">
        <f>COUNTIFS(Table1[CancellationDate], A326)</f>
        <v>1</v>
      </c>
      <c r="E326" s="45">
        <f t="shared" si="20"/>
        <v>3</v>
      </c>
      <c r="F326" s="45">
        <f>SUM($C$2:C326)</f>
        <v>324</v>
      </c>
      <c r="G326" s="49" cm="1">
        <f t="array" aca="1" ref="G326" ca="1">IF(B326=0,"", SUMPRODUCT((Table1[SubscriptionStart]&lt;=A326)*(Table1[EffectiveEndDate]&gt;=A326)*Table1[Age]) / B326 )</f>
        <v>46.574712643678161</v>
      </c>
      <c r="H326" s="22">
        <f>SUMIF(Table1[SubscriptionStart],"&lt;="&amp;A326,Table1[TotalRevenue])</f>
        <v>72268.499999999971</v>
      </c>
      <c r="I326" s="50">
        <f t="shared" si="21"/>
        <v>44895</v>
      </c>
      <c r="J326" s="49">
        <f t="shared" ca="1" si="22"/>
        <v>256.2</v>
      </c>
      <c r="K326" s="45" cm="1">
        <f t="array" aca="1" ref="K326" ca="1">SUMPRODUCT((Table1[SubscriptionStart] &lt;= $A326) * (Table1[EffectiveEndDate] &gt;= $A326) * (Table1[Region] = "England"))</f>
        <v>66</v>
      </c>
      <c r="L326" s="45" cm="1">
        <f t="array" aca="1" ref="L326" ca="1">SUMPRODUCT((Table1[SubscriptionStart] &lt;= $A326) * (Table1[EffectiveEndDate] &gt;= $A326) * (Table1[Region] = "Scotland"))</f>
        <v>54</v>
      </c>
      <c r="M326" s="45" cm="1">
        <f t="array" aca="1" ref="M326" ca="1">SUMPRODUCT((Table1[SubscriptionStart] &lt;= $A326) * (Table1[EffectiveEndDate] &gt;= $A326) * (Table1[Region] = "Wales"))</f>
        <v>66</v>
      </c>
      <c r="N326" s="45" cm="1">
        <f t="array" aca="1" ref="N326" ca="1">SUMPRODUCT((Table1[SubscriptionStart] &lt;= $A326) * (Table1[EffectiveEndDate] &gt;= $A326) * (Table1[Region] = "Northern Ireland"))</f>
        <v>75</v>
      </c>
      <c r="O326" s="45" cm="1">
        <f t="array" aca="1" ref="O326" ca="1">SUMPRODUCT((Table1[Gender]="Male")*(Table1[SubscriptionStart]&lt;=A326)*(Table1[EffectiveEndDate]&gt;=A326))</f>
        <v>144</v>
      </c>
      <c r="P326" s="45" cm="1">
        <f t="array" aca="1" ref="P326" ca="1">SUMPRODUCT((Table1[Gender]="Female")*(Table1[SubscriptionStart]&lt;=A326)*(Table1[EffectiveEndDate]&gt;=A326))</f>
        <v>117</v>
      </c>
    </row>
    <row r="327" spans="1:16">
      <c r="A327" s="48">
        <f t="shared" si="23"/>
        <v>44887</v>
      </c>
      <c r="B327" s="45" cm="1">
        <f t="array" aca="1" ref="B327" ca="1">SUMPRODUCT((Table1[SubscriptionStart]&lt;=A327)*(Table1[EffectiveEndDate]&gt;=A327))</f>
        <v>262</v>
      </c>
      <c r="C327" s="45">
        <f>COUNTIFS(Table1[SubscriptionStart], A327)</f>
        <v>2</v>
      </c>
      <c r="D327" s="45">
        <f>COUNTIFS(Table1[CancellationDate], A327)</f>
        <v>1</v>
      </c>
      <c r="E327" s="45">
        <f t="shared" si="20"/>
        <v>1</v>
      </c>
      <c r="F327" s="45">
        <f>SUM($C$2:C327)</f>
        <v>326</v>
      </c>
      <c r="G327" s="49" cm="1">
        <f t="array" aca="1" ref="G327" ca="1">IF(B327=0,"", SUMPRODUCT((Table1[SubscriptionStart]&lt;=A327)*(Table1[EffectiveEndDate]&gt;=A327)*Table1[Age]) / B327 )</f>
        <v>46.545801526717554</v>
      </c>
      <c r="H327" s="22">
        <f>SUMIF(Table1[SubscriptionStart],"&lt;="&amp;A327,Table1[TotalRevenue])</f>
        <v>72948.89999999998</v>
      </c>
      <c r="I327" s="50">
        <f t="shared" si="21"/>
        <v>44895</v>
      </c>
      <c r="J327" s="49">
        <f t="shared" ca="1" si="22"/>
        <v>256.2</v>
      </c>
      <c r="K327" s="45" cm="1">
        <f t="array" aca="1" ref="K327" ca="1">SUMPRODUCT((Table1[SubscriptionStart] &lt;= $A327) * (Table1[EffectiveEndDate] &gt;= $A327) * (Table1[Region] = "England"))</f>
        <v>66</v>
      </c>
      <c r="L327" s="45" cm="1">
        <f t="array" aca="1" ref="L327" ca="1">SUMPRODUCT((Table1[SubscriptionStart] &lt;= $A327) * (Table1[EffectiveEndDate] &gt;= $A327) * (Table1[Region] = "Scotland"))</f>
        <v>53</v>
      </c>
      <c r="M327" s="45" cm="1">
        <f t="array" aca="1" ref="M327" ca="1">SUMPRODUCT((Table1[SubscriptionStart] &lt;= $A327) * (Table1[EffectiveEndDate] &gt;= $A327) * (Table1[Region] = "Wales"))</f>
        <v>68</v>
      </c>
      <c r="N327" s="45" cm="1">
        <f t="array" aca="1" ref="N327" ca="1">SUMPRODUCT((Table1[SubscriptionStart] &lt;= $A327) * (Table1[EffectiveEndDate] &gt;= $A327) * (Table1[Region] = "Northern Ireland"))</f>
        <v>75</v>
      </c>
      <c r="O327" s="45" cm="1">
        <f t="array" aca="1" ref="O327" ca="1">SUMPRODUCT((Table1[Gender]="Male")*(Table1[SubscriptionStart]&lt;=A327)*(Table1[EffectiveEndDate]&gt;=A327))</f>
        <v>146</v>
      </c>
      <c r="P327" s="45" cm="1">
        <f t="array" aca="1" ref="P327" ca="1">SUMPRODUCT((Table1[Gender]="Female")*(Table1[SubscriptionStart]&lt;=A327)*(Table1[EffectiveEndDate]&gt;=A327))</f>
        <v>116</v>
      </c>
    </row>
    <row r="328" spans="1:16">
      <c r="A328" s="48">
        <f t="shared" si="23"/>
        <v>44888</v>
      </c>
      <c r="B328" s="45" cm="1">
        <f t="array" aca="1" ref="B328" ca="1">SUMPRODUCT((Table1[SubscriptionStart]&lt;=A328)*(Table1[EffectiveEndDate]&gt;=A328))</f>
        <v>262</v>
      </c>
      <c r="C328" s="45">
        <f>COUNTIFS(Table1[SubscriptionStart], A328)</f>
        <v>1</v>
      </c>
      <c r="D328" s="45">
        <f>COUNTIFS(Table1[CancellationDate], A328)</f>
        <v>0</v>
      </c>
      <c r="E328" s="45">
        <f t="shared" si="20"/>
        <v>1</v>
      </c>
      <c r="F328" s="45">
        <f>SUM($C$2:C328)</f>
        <v>327</v>
      </c>
      <c r="G328" s="49" cm="1">
        <f t="array" aca="1" ref="G328" ca="1">IF(B328=0,"", SUMPRODUCT((Table1[SubscriptionStart]&lt;=A328)*(Table1[EffectiveEndDate]&gt;=A328)*Table1[Age]) / B328 )</f>
        <v>46.404580152671755</v>
      </c>
      <c r="H328" s="22">
        <f>SUMIF(Table1[SubscriptionStart],"&lt;="&amp;A328,Table1[TotalRevenue])</f>
        <v>73021.799999999974</v>
      </c>
      <c r="I328" s="50">
        <f t="shared" si="21"/>
        <v>44895</v>
      </c>
      <c r="J328" s="49">
        <f t="shared" ca="1" si="22"/>
        <v>256.2</v>
      </c>
      <c r="K328" s="45" cm="1">
        <f t="array" aca="1" ref="K328" ca="1">SUMPRODUCT((Table1[SubscriptionStart] &lt;= $A328) * (Table1[EffectiveEndDate] &gt;= $A328) * (Table1[Region] = "England"))</f>
        <v>66</v>
      </c>
      <c r="L328" s="45" cm="1">
        <f t="array" aca="1" ref="L328" ca="1">SUMPRODUCT((Table1[SubscriptionStart] &lt;= $A328) * (Table1[EffectiveEndDate] &gt;= $A328) * (Table1[Region] = "Scotland"))</f>
        <v>53</v>
      </c>
      <c r="M328" s="45" cm="1">
        <f t="array" aca="1" ref="M328" ca="1">SUMPRODUCT((Table1[SubscriptionStart] &lt;= $A328) * (Table1[EffectiveEndDate] &gt;= $A328) * (Table1[Region] = "Wales"))</f>
        <v>68</v>
      </c>
      <c r="N328" s="45" cm="1">
        <f t="array" aca="1" ref="N328" ca="1">SUMPRODUCT((Table1[SubscriptionStart] &lt;= $A328) * (Table1[EffectiveEndDate] &gt;= $A328) * (Table1[Region] = "Northern Ireland"))</f>
        <v>75</v>
      </c>
      <c r="O328" s="45" cm="1">
        <f t="array" aca="1" ref="O328" ca="1">SUMPRODUCT((Table1[Gender]="Male")*(Table1[SubscriptionStart]&lt;=A328)*(Table1[EffectiveEndDate]&gt;=A328))</f>
        <v>146</v>
      </c>
      <c r="P328" s="45" cm="1">
        <f t="array" aca="1" ref="P328" ca="1">SUMPRODUCT((Table1[Gender]="Female")*(Table1[SubscriptionStart]&lt;=A328)*(Table1[EffectiveEndDate]&gt;=A328))</f>
        <v>116</v>
      </c>
    </row>
    <row r="329" spans="1:16">
      <c r="A329" s="48">
        <f t="shared" si="23"/>
        <v>44889</v>
      </c>
      <c r="B329" s="45" cm="1">
        <f t="array" aca="1" ref="B329" ca="1">SUMPRODUCT((Table1[SubscriptionStart]&lt;=A329)*(Table1[EffectiveEndDate]&gt;=A329))</f>
        <v>265</v>
      </c>
      <c r="C329" s="45">
        <f>COUNTIFS(Table1[SubscriptionStart], A329)</f>
        <v>3</v>
      </c>
      <c r="D329" s="45">
        <f>COUNTIFS(Table1[CancellationDate], A329)</f>
        <v>1</v>
      </c>
      <c r="E329" s="45">
        <f t="shared" si="20"/>
        <v>2</v>
      </c>
      <c r="F329" s="45">
        <f>SUM($C$2:C329)</f>
        <v>330</v>
      </c>
      <c r="G329" s="49" cm="1">
        <f t="array" aca="1" ref="G329" ca="1">IF(B329=0,"", SUMPRODUCT((Table1[SubscriptionStart]&lt;=A329)*(Table1[EffectiveEndDate]&gt;=A329)*Table1[Age]) / B329 )</f>
        <v>46.633962264150945</v>
      </c>
      <c r="H329" s="22">
        <f>SUMIF(Table1[SubscriptionStart],"&lt;="&amp;A329,Table1[TotalRevenue])</f>
        <v>73403.39999999998</v>
      </c>
      <c r="I329" s="50">
        <f t="shared" si="21"/>
        <v>44895</v>
      </c>
      <c r="J329" s="49">
        <f t="shared" ca="1" si="22"/>
        <v>256.2</v>
      </c>
      <c r="K329" s="45" cm="1">
        <f t="array" aca="1" ref="K329" ca="1">SUMPRODUCT((Table1[SubscriptionStart] &lt;= $A329) * (Table1[EffectiveEndDate] &gt;= $A329) * (Table1[Region] = "England"))</f>
        <v>68</v>
      </c>
      <c r="L329" s="45" cm="1">
        <f t="array" aca="1" ref="L329" ca="1">SUMPRODUCT((Table1[SubscriptionStart] &lt;= $A329) * (Table1[EffectiveEndDate] &gt;= $A329) * (Table1[Region] = "Scotland"))</f>
        <v>54</v>
      </c>
      <c r="M329" s="45" cm="1">
        <f t="array" aca="1" ref="M329" ca="1">SUMPRODUCT((Table1[SubscriptionStart] &lt;= $A329) * (Table1[EffectiveEndDate] &gt;= $A329) * (Table1[Region] = "Wales"))</f>
        <v>68</v>
      </c>
      <c r="N329" s="45" cm="1">
        <f t="array" aca="1" ref="N329" ca="1">SUMPRODUCT((Table1[SubscriptionStart] &lt;= $A329) * (Table1[EffectiveEndDate] &gt;= $A329) * (Table1[Region] = "Northern Ireland"))</f>
        <v>75</v>
      </c>
      <c r="O329" s="45" cm="1">
        <f t="array" aca="1" ref="O329" ca="1">SUMPRODUCT((Table1[Gender]="Male")*(Table1[SubscriptionStart]&lt;=A329)*(Table1[EffectiveEndDate]&gt;=A329))</f>
        <v>149</v>
      </c>
      <c r="P329" s="45" cm="1">
        <f t="array" aca="1" ref="P329" ca="1">SUMPRODUCT((Table1[Gender]="Female")*(Table1[SubscriptionStart]&lt;=A329)*(Table1[EffectiveEndDate]&gt;=A329))</f>
        <v>116</v>
      </c>
    </row>
    <row r="330" spans="1:16">
      <c r="A330" s="48">
        <f t="shared" si="23"/>
        <v>44890</v>
      </c>
      <c r="B330" s="45" cm="1">
        <f t="array" aca="1" ref="B330" ca="1">SUMPRODUCT((Table1[SubscriptionStart]&lt;=A330)*(Table1[EffectiveEndDate]&gt;=A330))</f>
        <v>267</v>
      </c>
      <c r="C330" s="45">
        <f>COUNTIFS(Table1[SubscriptionStart], A330)</f>
        <v>3</v>
      </c>
      <c r="D330" s="45">
        <f>COUNTIFS(Table1[CancellationDate], A330)</f>
        <v>0</v>
      </c>
      <c r="E330" s="45">
        <f t="shared" si="20"/>
        <v>3</v>
      </c>
      <c r="F330" s="45">
        <f>SUM($C$2:C330)</f>
        <v>333</v>
      </c>
      <c r="G330" s="49" cm="1">
        <f t="array" aca="1" ref="G330" ca="1">IF(B330=0,"", SUMPRODUCT((Table1[SubscriptionStart]&lt;=A330)*(Table1[EffectiveEndDate]&gt;=A330)*Table1[Age]) / B330 )</f>
        <v>46.68913857677903</v>
      </c>
      <c r="H330" s="22">
        <f>SUMIF(Table1[SubscriptionStart],"&lt;="&amp;A330,Table1[TotalRevenue])</f>
        <v>74363.39999999998</v>
      </c>
      <c r="I330" s="50">
        <f t="shared" si="21"/>
        <v>44895</v>
      </c>
      <c r="J330" s="49">
        <f t="shared" ca="1" si="22"/>
        <v>256.2</v>
      </c>
      <c r="K330" s="45" cm="1">
        <f t="array" aca="1" ref="K330" ca="1">SUMPRODUCT((Table1[SubscriptionStart] &lt;= $A330) * (Table1[EffectiveEndDate] &gt;= $A330) * (Table1[Region] = "England"))</f>
        <v>68</v>
      </c>
      <c r="L330" s="45" cm="1">
        <f t="array" aca="1" ref="L330" ca="1">SUMPRODUCT((Table1[SubscriptionStart] &lt;= $A330) * (Table1[EffectiveEndDate] &gt;= $A330) * (Table1[Region] = "Scotland"))</f>
        <v>55</v>
      </c>
      <c r="M330" s="45" cm="1">
        <f t="array" aca="1" ref="M330" ca="1">SUMPRODUCT((Table1[SubscriptionStart] &lt;= $A330) * (Table1[EffectiveEndDate] &gt;= $A330) * (Table1[Region] = "Wales"))</f>
        <v>69</v>
      </c>
      <c r="N330" s="45" cm="1">
        <f t="array" aca="1" ref="N330" ca="1">SUMPRODUCT((Table1[SubscriptionStart] &lt;= $A330) * (Table1[EffectiveEndDate] &gt;= $A330) * (Table1[Region] = "Northern Ireland"))</f>
        <v>75</v>
      </c>
      <c r="O330" s="45" cm="1">
        <f t="array" aca="1" ref="O330" ca="1">SUMPRODUCT((Table1[Gender]="Male")*(Table1[SubscriptionStart]&lt;=A330)*(Table1[EffectiveEndDate]&gt;=A330))</f>
        <v>151</v>
      </c>
      <c r="P330" s="45" cm="1">
        <f t="array" aca="1" ref="P330" ca="1">SUMPRODUCT((Table1[Gender]="Female")*(Table1[SubscriptionStart]&lt;=A330)*(Table1[EffectiveEndDate]&gt;=A330))</f>
        <v>116</v>
      </c>
    </row>
    <row r="331" spans="1:16">
      <c r="A331" s="48">
        <f t="shared" si="23"/>
        <v>44891</v>
      </c>
      <c r="B331" s="45" cm="1">
        <f t="array" aca="1" ref="B331" ca="1">SUMPRODUCT((Table1[SubscriptionStart]&lt;=A331)*(Table1[EffectiveEndDate]&gt;=A331))</f>
        <v>268</v>
      </c>
      <c r="C331" s="45">
        <f>COUNTIFS(Table1[SubscriptionStart], A331)</f>
        <v>1</v>
      </c>
      <c r="D331" s="45">
        <f>COUNTIFS(Table1[CancellationDate], A331)</f>
        <v>1</v>
      </c>
      <c r="E331" s="45">
        <f t="shared" si="20"/>
        <v>0</v>
      </c>
      <c r="F331" s="45">
        <f>SUM($C$2:C331)</f>
        <v>334</v>
      </c>
      <c r="G331" s="49" cm="1">
        <f t="array" aca="1" ref="G331" ca="1">IF(B331=0,"", SUMPRODUCT((Table1[SubscriptionStart]&lt;=A331)*(Table1[EffectiveEndDate]&gt;=A331)*Table1[Age]) / B331 )</f>
        <v>46.697761194029852</v>
      </c>
      <c r="H331" s="22">
        <f>SUMIF(Table1[SubscriptionStart],"&lt;="&amp;A331,Table1[TotalRevenue])</f>
        <v>74991.599999999977</v>
      </c>
      <c r="I331" s="50">
        <f t="shared" si="21"/>
        <v>44895</v>
      </c>
      <c r="J331" s="49">
        <f t="shared" ca="1" si="22"/>
        <v>256.2</v>
      </c>
      <c r="K331" s="45" cm="1">
        <f t="array" aca="1" ref="K331" ca="1">SUMPRODUCT((Table1[SubscriptionStart] &lt;= $A331) * (Table1[EffectiveEndDate] &gt;= $A331) * (Table1[Region] = "England"))</f>
        <v>68</v>
      </c>
      <c r="L331" s="45" cm="1">
        <f t="array" aca="1" ref="L331" ca="1">SUMPRODUCT((Table1[SubscriptionStart] &lt;= $A331) * (Table1[EffectiveEndDate] &gt;= $A331) * (Table1[Region] = "Scotland"))</f>
        <v>55</v>
      </c>
      <c r="M331" s="45" cm="1">
        <f t="array" aca="1" ref="M331" ca="1">SUMPRODUCT((Table1[SubscriptionStart] &lt;= $A331) * (Table1[EffectiveEndDate] &gt;= $A331) * (Table1[Region] = "Wales"))</f>
        <v>69</v>
      </c>
      <c r="N331" s="45" cm="1">
        <f t="array" aca="1" ref="N331" ca="1">SUMPRODUCT((Table1[SubscriptionStart] &lt;= $A331) * (Table1[EffectiveEndDate] &gt;= $A331) * (Table1[Region] = "Northern Ireland"))</f>
        <v>76</v>
      </c>
      <c r="O331" s="45" cm="1">
        <f t="array" aca="1" ref="O331" ca="1">SUMPRODUCT((Table1[Gender]="Male")*(Table1[SubscriptionStart]&lt;=A331)*(Table1[EffectiveEndDate]&gt;=A331))</f>
        <v>152</v>
      </c>
      <c r="P331" s="45" cm="1">
        <f t="array" aca="1" ref="P331" ca="1">SUMPRODUCT((Table1[Gender]="Female")*(Table1[SubscriptionStart]&lt;=A331)*(Table1[EffectiveEndDate]&gt;=A331))</f>
        <v>116</v>
      </c>
    </row>
    <row r="332" spans="1:16">
      <c r="A332" s="48">
        <f t="shared" si="23"/>
        <v>44892</v>
      </c>
      <c r="B332" s="45" cm="1">
        <f t="array" aca="1" ref="B332" ca="1">SUMPRODUCT((Table1[SubscriptionStart]&lt;=A332)*(Table1[EffectiveEndDate]&gt;=A332))</f>
        <v>268</v>
      </c>
      <c r="C332" s="45">
        <f>COUNTIFS(Table1[SubscriptionStart], A332)</f>
        <v>1</v>
      </c>
      <c r="D332" s="45">
        <f>COUNTIFS(Table1[CancellationDate], A332)</f>
        <v>0</v>
      </c>
      <c r="E332" s="45">
        <f t="shared" si="20"/>
        <v>1</v>
      </c>
      <c r="F332" s="45">
        <f>SUM($C$2:C332)</f>
        <v>335</v>
      </c>
      <c r="G332" s="49" cm="1">
        <f t="array" aca="1" ref="G332" ca="1">IF(B332=0,"", SUMPRODUCT((Table1[SubscriptionStart]&lt;=A332)*(Table1[EffectiveEndDate]&gt;=A332)*Table1[Age]) / B332 )</f>
        <v>46.522388059701491</v>
      </c>
      <c r="H332" s="22">
        <f>SUMIF(Table1[SubscriptionStart],"&lt;="&amp;A332,Table1[TotalRevenue])</f>
        <v>75121.199999999983</v>
      </c>
      <c r="I332" s="50">
        <f t="shared" si="21"/>
        <v>44895</v>
      </c>
      <c r="J332" s="49">
        <f t="shared" ca="1" si="22"/>
        <v>256.2</v>
      </c>
      <c r="K332" s="45" cm="1">
        <f t="array" aca="1" ref="K332" ca="1">SUMPRODUCT((Table1[SubscriptionStart] &lt;= $A332) * (Table1[EffectiveEndDate] &gt;= $A332) * (Table1[Region] = "England"))</f>
        <v>68</v>
      </c>
      <c r="L332" s="45" cm="1">
        <f t="array" aca="1" ref="L332" ca="1">SUMPRODUCT((Table1[SubscriptionStart] &lt;= $A332) * (Table1[EffectiveEndDate] &gt;= $A332) * (Table1[Region] = "Scotland"))</f>
        <v>56</v>
      </c>
      <c r="M332" s="45" cm="1">
        <f t="array" aca="1" ref="M332" ca="1">SUMPRODUCT((Table1[SubscriptionStart] &lt;= $A332) * (Table1[EffectiveEndDate] &gt;= $A332) * (Table1[Region] = "Wales"))</f>
        <v>69</v>
      </c>
      <c r="N332" s="45" cm="1">
        <f t="array" aca="1" ref="N332" ca="1">SUMPRODUCT((Table1[SubscriptionStart] &lt;= $A332) * (Table1[EffectiveEndDate] &gt;= $A332) * (Table1[Region] = "Northern Ireland"))</f>
        <v>75</v>
      </c>
      <c r="O332" s="45" cm="1">
        <f t="array" aca="1" ref="O332" ca="1">SUMPRODUCT((Table1[Gender]="Male")*(Table1[SubscriptionStart]&lt;=A332)*(Table1[EffectiveEndDate]&gt;=A332))</f>
        <v>152</v>
      </c>
      <c r="P332" s="45" cm="1">
        <f t="array" aca="1" ref="P332" ca="1">SUMPRODUCT((Table1[Gender]="Female")*(Table1[SubscriptionStart]&lt;=A332)*(Table1[EffectiveEndDate]&gt;=A332))</f>
        <v>116</v>
      </c>
    </row>
    <row r="333" spans="1:16">
      <c r="A333" s="48">
        <f t="shared" si="23"/>
        <v>44893</v>
      </c>
      <c r="B333" s="45" cm="1">
        <f t="array" aca="1" ref="B333" ca="1">SUMPRODUCT((Table1[SubscriptionStart]&lt;=A333)*(Table1[EffectiveEndDate]&gt;=A333))</f>
        <v>268</v>
      </c>
      <c r="C333" s="45">
        <f>COUNTIFS(Table1[SubscriptionStart], A333)</f>
        <v>0</v>
      </c>
      <c r="D333" s="45">
        <f>COUNTIFS(Table1[CancellationDate], A333)</f>
        <v>0</v>
      </c>
      <c r="E333" s="45">
        <f t="shared" si="20"/>
        <v>0</v>
      </c>
      <c r="F333" s="45">
        <f>SUM($C$2:C333)</f>
        <v>335</v>
      </c>
      <c r="G333" s="49" cm="1">
        <f t="array" aca="1" ref="G333" ca="1">IF(B333=0,"", SUMPRODUCT((Table1[SubscriptionStart]&lt;=A333)*(Table1[EffectiveEndDate]&gt;=A333)*Table1[Age]) / B333 )</f>
        <v>46.522388059701491</v>
      </c>
      <c r="H333" s="22">
        <f>SUMIF(Table1[SubscriptionStart],"&lt;="&amp;A333,Table1[TotalRevenue])</f>
        <v>75121.199999999983</v>
      </c>
      <c r="I333" s="50">
        <f t="shared" si="21"/>
        <v>44895</v>
      </c>
      <c r="J333" s="49">
        <f t="shared" ca="1" si="22"/>
        <v>256.2</v>
      </c>
      <c r="K333" s="45" cm="1">
        <f t="array" aca="1" ref="K333" ca="1">SUMPRODUCT((Table1[SubscriptionStart] &lt;= $A333) * (Table1[EffectiveEndDate] &gt;= $A333) * (Table1[Region] = "England"))</f>
        <v>68</v>
      </c>
      <c r="L333" s="45" cm="1">
        <f t="array" aca="1" ref="L333" ca="1">SUMPRODUCT((Table1[SubscriptionStart] &lt;= $A333) * (Table1[EffectiveEndDate] &gt;= $A333) * (Table1[Region] = "Scotland"))</f>
        <v>56</v>
      </c>
      <c r="M333" s="45" cm="1">
        <f t="array" aca="1" ref="M333" ca="1">SUMPRODUCT((Table1[SubscriptionStart] &lt;= $A333) * (Table1[EffectiveEndDate] &gt;= $A333) * (Table1[Region] = "Wales"))</f>
        <v>69</v>
      </c>
      <c r="N333" s="45" cm="1">
        <f t="array" aca="1" ref="N333" ca="1">SUMPRODUCT((Table1[SubscriptionStart] &lt;= $A333) * (Table1[EffectiveEndDate] &gt;= $A333) * (Table1[Region] = "Northern Ireland"))</f>
        <v>75</v>
      </c>
      <c r="O333" s="45" cm="1">
        <f t="array" aca="1" ref="O333" ca="1">SUMPRODUCT((Table1[Gender]="Male")*(Table1[SubscriptionStart]&lt;=A333)*(Table1[EffectiveEndDate]&gt;=A333))</f>
        <v>152</v>
      </c>
      <c r="P333" s="45" cm="1">
        <f t="array" aca="1" ref="P333" ca="1">SUMPRODUCT((Table1[Gender]="Female")*(Table1[SubscriptionStart]&lt;=A333)*(Table1[EffectiveEndDate]&gt;=A333))</f>
        <v>116</v>
      </c>
    </row>
    <row r="334" spans="1:16">
      <c r="A334" s="48">
        <f t="shared" si="23"/>
        <v>44894</v>
      </c>
      <c r="B334" s="45" cm="1">
        <f t="array" aca="1" ref="B334" ca="1">SUMPRODUCT((Table1[SubscriptionStart]&lt;=A334)*(Table1[EffectiveEndDate]&gt;=A334))</f>
        <v>269</v>
      </c>
      <c r="C334" s="45">
        <f>COUNTIFS(Table1[SubscriptionStart], A334)</f>
        <v>1</v>
      </c>
      <c r="D334" s="45">
        <f>COUNTIFS(Table1[CancellationDate], A334)</f>
        <v>0</v>
      </c>
      <c r="E334" s="45">
        <f t="shared" si="20"/>
        <v>1</v>
      </c>
      <c r="F334" s="45">
        <f>SUM($C$2:C334)</f>
        <v>336</v>
      </c>
      <c r="G334" s="49" cm="1">
        <f t="array" aca="1" ref="G334" ca="1">IF(B334=0,"", SUMPRODUCT((Table1[SubscriptionStart]&lt;=A334)*(Table1[EffectiveEndDate]&gt;=A334)*Table1[Age]) / B334 )</f>
        <v>46.498141263940518</v>
      </c>
      <c r="H334" s="22">
        <f>SUMIF(Table1[SubscriptionStart],"&lt;="&amp;A334,Table1[TotalRevenue])</f>
        <v>75193.199999999983</v>
      </c>
      <c r="I334" s="50">
        <f t="shared" si="21"/>
        <v>44895</v>
      </c>
      <c r="J334" s="49">
        <f t="shared" ca="1" si="22"/>
        <v>256.2</v>
      </c>
      <c r="K334" s="45" cm="1">
        <f t="array" aca="1" ref="K334" ca="1">SUMPRODUCT((Table1[SubscriptionStart] &lt;= $A334) * (Table1[EffectiveEndDate] &gt;= $A334) * (Table1[Region] = "England"))</f>
        <v>68</v>
      </c>
      <c r="L334" s="45" cm="1">
        <f t="array" aca="1" ref="L334" ca="1">SUMPRODUCT((Table1[SubscriptionStart] &lt;= $A334) * (Table1[EffectiveEndDate] &gt;= $A334) * (Table1[Region] = "Scotland"))</f>
        <v>56</v>
      </c>
      <c r="M334" s="45" cm="1">
        <f t="array" aca="1" ref="M334" ca="1">SUMPRODUCT((Table1[SubscriptionStart] &lt;= $A334) * (Table1[EffectiveEndDate] &gt;= $A334) * (Table1[Region] = "Wales"))</f>
        <v>69</v>
      </c>
      <c r="N334" s="45" cm="1">
        <f t="array" aca="1" ref="N334" ca="1">SUMPRODUCT((Table1[SubscriptionStart] &lt;= $A334) * (Table1[EffectiveEndDate] &gt;= $A334) * (Table1[Region] = "Northern Ireland"))</f>
        <v>76</v>
      </c>
      <c r="O334" s="45" cm="1">
        <f t="array" aca="1" ref="O334" ca="1">SUMPRODUCT((Table1[Gender]="Male")*(Table1[SubscriptionStart]&lt;=A334)*(Table1[EffectiveEndDate]&gt;=A334))</f>
        <v>153</v>
      </c>
      <c r="P334" s="45" cm="1">
        <f t="array" aca="1" ref="P334" ca="1">SUMPRODUCT((Table1[Gender]="Female")*(Table1[SubscriptionStart]&lt;=A334)*(Table1[EffectiveEndDate]&gt;=A334))</f>
        <v>116</v>
      </c>
    </row>
    <row r="335" spans="1:16">
      <c r="A335" s="48">
        <f t="shared" si="23"/>
        <v>44895</v>
      </c>
      <c r="B335" s="45" cm="1">
        <f t="array" aca="1" ref="B335" ca="1">SUMPRODUCT((Table1[SubscriptionStart]&lt;=A335)*(Table1[EffectiveEndDate]&gt;=A335))</f>
        <v>270</v>
      </c>
      <c r="C335" s="45">
        <f>COUNTIFS(Table1[SubscriptionStart], A335)</f>
        <v>1</v>
      </c>
      <c r="D335" s="45">
        <f>COUNTIFS(Table1[CancellationDate], A335)</f>
        <v>0</v>
      </c>
      <c r="E335" s="45">
        <f t="shared" si="20"/>
        <v>1</v>
      </c>
      <c r="F335" s="45">
        <f>SUM($C$2:C335)</f>
        <v>337</v>
      </c>
      <c r="G335" s="49" cm="1">
        <f t="array" aca="1" ref="G335" ca="1">IF(B335=0,"", SUMPRODUCT((Table1[SubscriptionStart]&lt;=A335)*(Table1[EffectiveEndDate]&gt;=A335)*Table1[Age]) / B335 )</f>
        <v>46.440740740740743</v>
      </c>
      <c r="H335" s="22">
        <f>SUMIF(Table1[SubscriptionStart],"&lt;="&amp;A335,Table1[TotalRevenue])</f>
        <v>75233.699999999983</v>
      </c>
      <c r="I335" s="50">
        <f t="shared" si="21"/>
        <v>44895</v>
      </c>
      <c r="J335" s="49">
        <f t="shared" ca="1" si="22"/>
        <v>256.2</v>
      </c>
      <c r="K335" s="45" cm="1">
        <f t="array" aca="1" ref="K335" ca="1">SUMPRODUCT((Table1[SubscriptionStart] &lt;= $A335) * (Table1[EffectiveEndDate] &gt;= $A335) * (Table1[Region] = "England"))</f>
        <v>68</v>
      </c>
      <c r="L335" s="45" cm="1">
        <f t="array" aca="1" ref="L335" ca="1">SUMPRODUCT((Table1[SubscriptionStart] &lt;= $A335) * (Table1[EffectiveEndDate] &gt;= $A335) * (Table1[Region] = "Scotland"))</f>
        <v>56</v>
      </c>
      <c r="M335" s="45" cm="1">
        <f t="array" aca="1" ref="M335" ca="1">SUMPRODUCT((Table1[SubscriptionStart] &lt;= $A335) * (Table1[EffectiveEndDate] &gt;= $A335) * (Table1[Region] = "Wales"))</f>
        <v>70</v>
      </c>
      <c r="N335" s="45" cm="1">
        <f t="array" aca="1" ref="N335" ca="1">SUMPRODUCT((Table1[SubscriptionStart] &lt;= $A335) * (Table1[EffectiveEndDate] &gt;= $A335) * (Table1[Region] = "Northern Ireland"))</f>
        <v>76</v>
      </c>
      <c r="O335" s="45" cm="1">
        <f t="array" aca="1" ref="O335" ca="1">SUMPRODUCT((Table1[Gender]="Male")*(Table1[SubscriptionStart]&lt;=A335)*(Table1[EffectiveEndDate]&gt;=A335))</f>
        <v>153</v>
      </c>
      <c r="P335" s="45" cm="1">
        <f t="array" aca="1" ref="P335" ca="1">SUMPRODUCT((Table1[Gender]="Female")*(Table1[SubscriptionStart]&lt;=A335)*(Table1[EffectiveEndDate]&gt;=A335))</f>
        <v>117</v>
      </c>
    </row>
    <row r="336" spans="1:16">
      <c r="A336" s="48">
        <f t="shared" si="23"/>
        <v>44896</v>
      </c>
      <c r="B336" s="45" cm="1">
        <f t="array" aca="1" ref="B336" ca="1">SUMPRODUCT((Table1[SubscriptionStart]&lt;=A336)*(Table1[EffectiveEndDate]&gt;=A336))</f>
        <v>270</v>
      </c>
      <c r="C336" s="45">
        <f>COUNTIFS(Table1[SubscriptionStart], A336)</f>
        <v>0</v>
      </c>
      <c r="D336" s="45">
        <f>COUNTIFS(Table1[CancellationDate], A336)</f>
        <v>0</v>
      </c>
      <c r="E336" s="45">
        <f t="shared" si="20"/>
        <v>0</v>
      </c>
      <c r="F336" s="45">
        <f>SUM($C$2:C336)</f>
        <v>337</v>
      </c>
      <c r="G336" s="49" cm="1">
        <f t="array" aca="1" ref="G336" ca="1">IF(B336=0,"", SUMPRODUCT((Table1[SubscriptionStart]&lt;=A336)*(Table1[EffectiveEndDate]&gt;=A336)*Table1[Age]) / B336 )</f>
        <v>46.440740740740743</v>
      </c>
      <c r="H336" s="22">
        <f>SUMIF(Table1[SubscriptionStart],"&lt;="&amp;A336,Table1[TotalRevenue])</f>
        <v>75233.699999999983</v>
      </c>
      <c r="I336" s="50">
        <f t="shared" si="21"/>
        <v>44926</v>
      </c>
      <c r="J336" s="49">
        <f t="shared" ca="1" si="22"/>
        <v>287.93548387096774</v>
      </c>
      <c r="K336" s="45" cm="1">
        <f t="array" aca="1" ref="K336" ca="1">SUMPRODUCT((Table1[SubscriptionStart] &lt;= $A336) * (Table1[EffectiveEndDate] &gt;= $A336) * (Table1[Region] = "England"))</f>
        <v>68</v>
      </c>
      <c r="L336" s="45" cm="1">
        <f t="array" aca="1" ref="L336" ca="1">SUMPRODUCT((Table1[SubscriptionStart] &lt;= $A336) * (Table1[EffectiveEndDate] &gt;= $A336) * (Table1[Region] = "Scotland"))</f>
        <v>56</v>
      </c>
      <c r="M336" s="45" cm="1">
        <f t="array" aca="1" ref="M336" ca="1">SUMPRODUCT((Table1[SubscriptionStart] &lt;= $A336) * (Table1[EffectiveEndDate] &gt;= $A336) * (Table1[Region] = "Wales"))</f>
        <v>70</v>
      </c>
      <c r="N336" s="45" cm="1">
        <f t="array" aca="1" ref="N336" ca="1">SUMPRODUCT((Table1[SubscriptionStart] &lt;= $A336) * (Table1[EffectiveEndDate] &gt;= $A336) * (Table1[Region] = "Northern Ireland"))</f>
        <v>76</v>
      </c>
      <c r="O336" s="45" cm="1">
        <f t="array" aca="1" ref="O336" ca="1">SUMPRODUCT((Table1[Gender]="Male")*(Table1[SubscriptionStart]&lt;=A336)*(Table1[EffectiveEndDate]&gt;=A336))</f>
        <v>153</v>
      </c>
      <c r="P336" s="45" cm="1">
        <f t="array" aca="1" ref="P336" ca="1">SUMPRODUCT((Table1[Gender]="Female")*(Table1[SubscriptionStart]&lt;=A336)*(Table1[EffectiveEndDate]&gt;=A336))</f>
        <v>117</v>
      </c>
    </row>
    <row r="337" spans="1:16">
      <c r="A337" s="48">
        <f t="shared" si="23"/>
        <v>44897</v>
      </c>
      <c r="B337" s="45" cm="1">
        <f t="array" aca="1" ref="B337" ca="1">SUMPRODUCT((Table1[SubscriptionStart]&lt;=A337)*(Table1[EffectiveEndDate]&gt;=A337))</f>
        <v>271</v>
      </c>
      <c r="C337" s="45">
        <f>COUNTIFS(Table1[SubscriptionStart], A337)</f>
        <v>1</v>
      </c>
      <c r="D337" s="45">
        <f>COUNTIFS(Table1[CancellationDate], A337)</f>
        <v>0</v>
      </c>
      <c r="E337" s="45">
        <f t="shared" si="20"/>
        <v>1</v>
      </c>
      <c r="F337" s="45">
        <f>SUM($C$2:C337)</f>
        <v>338</v>
      </c>
      <c r="G337" s="49" cm="1">
        <f t="array" aca="1" ref="G337" ca="1">IF(B337=0,"", SUMPRODUCT((Table1[SubscriptionStart]&lt;=A337)*(Table1[EffectiveEndDate]&gt;=A337)*Table1[Age]) / B337 )</f>
        <v>46.43911439114391</v>
      </c>
      <c r="H337" s="22">
        <f>SUMIF(Table1[SubscriptionStart],"&lt;="&amp;A337,Table1[TotalRevenue])</f>
        <v>75413.699999999983</v>
      </c>
      <c r="I337" s="50">
        <f t="shared" si="21"/>
        <v>44926</v>
      </c>
      <c r="J337" s="49">
        <f t="shared" ca="1" si="22"/>
        <v>287.93548387096774</v>
      </c>
      <c r="K337" s="45" cm="1">
        <f t="array" aca="1" ref="K337" ca="1">SUMPRODUCT((Table1[SubscriptionStart] &lt;= $A337) * (Table1[EffectiveEndDate] &gt;= $A337) * (Table1[Region] = "England"))</f>
        <v>68</v>
      </c>
      <c r="L337" s="45" cm="1">
        <f t="array" aca="1" ref="L337" ca="1">SUMPRODUCT((Table1[SubscriptionStart] &lt;= $A337) * (Table1[EffectiveEndDate] &gt;= $A337) * (Table1[Region] = "Scotland"))</f>
        <v>56</v>
      </c>
      <c r="M337" s="45" cm="1">
        <f t="array" aca="1" ref="M337" ca="1">SUMPRODUCT((Table1[SubscriptionStart] &lt;= $A337) * (Table1[EffectiveEndDate] &gt;= $A337) * (Table1[Region] = "Wales"))</f>
        <v>70</v>
      </c>
      <c r="N337" s="45" cm="1">
        <f t="array" aca="1" ref="N337" ca="1">SUMPRODUCT((Table1[SubscriptionStart] &lt;= $A337) * (Table1[EffectiveEndDate] &gt;= $A337) * (Table1[Region] = "Northern Ireland"))</f>
        <v>77</v>
      </c>
      <c r="O337" s="45" cm="1">
        <f t="array" aca="1" ref="O337" ca="1">SUMPRODUCT((Table1[Gender]="Male")*(Table1[SubscriptionStart]&lt;=A337)*(Table1[EffectiveEndDate]&gt;=A337))</f>
        <v>153</v>
      </c>
      <c r="P337" s="45" cm="1">
        <f t="array" aca="1" ref="P337" ca="1">SUMPRODUCT((Table1[Gender]="Female")*(Table1[SubscriptionStart]&lt;=A337)*(Table1[EffectiveEndDate]&gt;=A337))</f>
        <v>118</v>
      </c>
    </row>
    <row r="338" spans="1:16">
      <c r="A338" s="48">
        <f t="shared" si="23"/>
        <v>44898</v>
      </c>
      <c r="B338" s="45" cm="1">
        <f t="array" aca="1" ref="B338" ca="1">SUMPRODUCT((Table1[SubscriptionStart]&lt;=A338)*(Table1[EffectiveEndDate]&gt;=A338))</f>
        <v>272</v>
      </c>
      <c r="C338" s="45">
        <f>COUNTIFS(Table1[SubscriptionStart], A338)</f>
        <v>1</v>
      </c>
      <c r="D338" s="45">
        <f>COUNTIFS(Table1[CancellationDate], A338)</f>
        <v>2</v>
      </c>
      <c r="E338" s="45">
        <f t="shared" si="20"/>
        <v>-1</v>
      </c>
      <c r="F338" s="45">
        <f>SUM($C$2:C338)</f>
        <v>339</v>
      </c>
      <c r="G338" s="49" cm="1">
        <f t="array" aca="1" ref="G338" ca="1">IF(B338=0,"", SUMPRODUCT((Table1[SubscriptionStart]&lt;=A338)*(Table1[EffectiveEndDate]&gt;=A338)*Table1[Age]) / B338 )</f>
        <v>46.452205882352942</v>
      </c>
      <c r="H338" s="22">
        <f>SUMIF(Table1[SubscriptionStart],"&lt;="&amp;A338,Table1[TotalRevenue])</f>
        <v>75593.699999999983</v>
      </c>
      <c r="I338" s="50">
        <f t="shared" si="21"/>
        <v>44926</v>
      </c>
      <c r="J338" s="49">
        <f t="shared" ca="1" si="22"/>
        <v>287.93548387096774</v>
      </c>
      <c r="K338" s="45" cm="1">
        <f t="array" aca="1" ref="K338" ca="1">SUMPRODUCT((Table1[SubscriptionStart] &lt;= $A338) * (Table1[EffectiveEndDate] &gt;= $A338) * (Table1[Region] = "England"))</f>
        <v>68</v>
      </c>
      <c r="L338" s="45" cm="1">
        <f t="array" aca="1" ref="L338" ca="1">SUMPRODUCT((Table1[SubscriptionStart] &lt;= $A338) * (Table1[EffectiveEndDate] &gt;= $A338) * (Table1[Region] = "Scotland"))</f>
        <v>56</v>
      </c>
      <c r="M338" s="45" cm="1">
        <f t="array" aca="1" ref="M338" ca="1">SUMPRODUCT((Table1[SubscriptionStart] &lt;= $A338) * (Table1[EffectiveEndDate] &gt;= $A338) * (Table1[Region] = "Wales"))</f>
        <v>71</v>
      </c>
      <c r="N338" s="45" cm="1">
        <f t="array" aca="1" ref="N338" ca="1">SUMPRODUCT((Table1[SubscriptionStart] &lt;= $A338) * (Table1[EffectiveEndDate] &gt;= $A338) * (Table1[Region] = "Northern Ireland"))</f>
        <v>77</v>
      </c>
      <c r="O338" s="45" cm="1">
        <f t="array" aca="1" ref="O338" ca="1">SUMPRODUCT((Table1[Gender]="Male")*(Table1[SubscriptionStart]&lt;=A338)*(Table1[EffectiveEndDate]&gt;=A338))</f>
        <v>153</v>
      </c>
      <c r="P338" s="45" cm="1">
        <f t="array" aca="1" ref="P338" ca="1">SUMPRODUCT((Table1[Gender]="Female")*(Table1[SubscriptionStart]&lt;=A338)*(Table1[EffectiveEndDate]&gt;=A338))</f>
        <v>119</v>
      </c>
    </row>
    <row r="339" spans="1:16">
      <c r="A339" s="48">
        <f t="shared" si="23"/>
        <v>44899</v>
      </c>
      <c r="B339" s="45" cm="1">
        <f t="array" aca="1" ref="B339" ca="1">SUMPRODUCT((Table1[SubscriptionStart]&lt;=A339)*(Table1[EffectiveEndDate]&gt;=A339))</f>
        <v>271</v>
      </c>
      <c r="C339" s="45">
        <f>COUNTIFS(Table1[SubscriptionStart], A339)</f>
        <v>1</v>
      </c>
      <c r="D339" s="45">
        <f>COUNTIFS(Table1[CancellationDate], A339)</f>
        <v>0</v>
      </c>
      <c r="E339" s="45">
        <f t="shared" si="20"/>
        <v>1</v>
      </c>
      <c r="F339" s="45">
        <f>SUM($C$2:C339)</f>
        <v>340</v>
      </c>
      <c r="G339" s="49" cm="1">
        <f t="array" aca="1" ref="G339" ca="1">IF(B339=0,"", SUMPRODUCT((Table1[SubscriptionStart]&lt;=A339)*(Table1[EffectiveEndDate]&gt;=A339)*Table1[Age]) / B339 )</f>
        <v>46.501845018450183</v>
      </c>
      <c r="H339" s="22">
        <f>SUMIF(Table1[SubscriptionStart],"&lt;="&amp;A339,Table1[TotalRevenue])</f>
        <v>76221.89999999998</v>
      </c>
      <c r="I339" s="50">
        <f t="shared" si="21"/>
        <v>44926</v>
      </c>
      <c r="J339" s="49">
        <f t="shared" ca="1" si="22"/>
        <v>287.93548387096774</v>
      </c>
      <c r="K339" s="45" cm="1">
        <f t="array" aca="1" ref="K339" ca="1">SUMPRODUCT((Table1[SubscriptionStart] &lt;= $A339) * (Table1[EffectiveEndDate] &gt;= $A339) * (Table1[Region] = "England"))</f>
        <v>67</v>
      </c>
      <c r="L339" s="45" cm="1">
        <f t="array" aca="1" ref="L339" ca="1">SUMPRODUCT((Table1[SubscriptionStart] &lt;= $A339) * (Table1[EffectiveEndDate] &gt;= $A339) * (Table1[Region] = "Scotland"))</f>
        <v>57</v>
      </c>
      <c r="M339" s="45" cm="1">
        <f t="array" aca="1" ref="M339" ca="1">SUMPRODUCT((Table1[SubscriptionStart] &lt;= $A339) * (Table1[EffectiveEndDate] &gt;= $A339) * (Table1[Region] = "Wales"))</f>
        <v>70</v>
      </c>
      <c r="N339" s="45" cm="1">
        <f t="array" aca="1" ref="N339" ca="1">SUMPRODUCT((Table1[SubscriptionStart] &lt;= $A339) * (Table1[EffectiveEndDate] &gt;= $A339) * (Table1[Region] = "Northern Ireland"))</f>
        <v>77</v>
      </c>
      <c r="O339" s="45" cm="1">
        <f t="array" aca="1" ref="O339" ca="1">SUMPRODUCT((Table1[Gender]="Male")*(Table1[SubscriptionStart]&lt;=A339)*(Table1[EffectiveEndDate]&gt;=A339))</f>
        <v>152</v>
      </c>
      <c r="P339" s="45" cm="1">
        <f t="array" aca="1" ref="P339" ca="1">SUMPRODUCT((Table1[Gender]="Female")*(Table1[SubscriptionStart]&lt;=A339)*(Table1[EffectiveEndDate]&gt;=A339))</f>
        <v>119</v>
      </c>
    </row>
    <row r="340" spans="1:16">
      <c r="A340" s="48">
        <f t="shared" si="23"/>
        <v>44900</v>
      </c>
      <c r="B340" s="45" cm="1">
        <f t="array" aca="1" ref="B340" ca="1">SUMPRODUCT((Table1[SubscriptionStart]&lt;=A340)*(Table1[EffectiveEndDate]&gt;=A340))</f>
        <v>274</v>
      </c>
      <c r="C340" s="45">
        <f>COUNTIFS(Table1[SubscriptionStart], A340)</f>
        <v>3</v>
      </c>
      <c r="D340" s="45">
        <f>COUNTIFS(Table1[CancellationDate], A340)</f>
        <v>1</v>
      </c>
      <c r="E340" s="45">
        <f t="shared" si="20"/>
        <v>2</v>
      </c>
      <c r="F340" s="45">
        <f>SUM($C$2:C340)</f>
        <v>343</v>
      </c>
      <c r="G340" s="49" cm="1">
        <f t="array" aca="1" ref="G340" ca="1">IF(B340=0,"", SUMPRODUCT((Table1[SubscriptionStart]&lt;=A340)*(Table1[EffectiveEndDate]&gt;=A340)*Table1[Age]) / B340 )</f>
        <v>46.467153284671532</v>
      </c>
      <c r="H340" s="22">
        <f>SUMIF(Table1[SubscriptionStart],"&lt;="&amp;A340,Table1[TotalRevenue])</f>
        <v>76452.749999999985</v>
      </c>
      <c r="I340" s="50">
        <f t="shared" si="21"/>
        <v>44926</v>
      </c>
      <c r="J340" s="49">
        <f t="shared" ca="1" si="22"/>
        <v>287.93548387096774</v>
      </c>
      <c r="K340" s="45" cm="1">
        <f t="array" aca="1" ref="K340" ca="1">SUMPRODUCT((Table1[SubscriptionStart] &lt;= $A340) * (Table1[EffectiveEndDate] &gt;= $A340) * (Table1[Region] = "England"))</f>
        <v>69</v>
      </c>
      <c r="L340" s="45" cm="1">
        <f t="array" aca="1" ref="L340" ca="1">SUMPRODUCT((Table1[SubscriptionStart] &lt;= $A340) * (Table1[EffectiveEndDate] &gt;= $A340) * (Table1[Region] = "Scotland"))</f>
        <v>57</v>
      </c>
      <c r="M340" s="45" cm="1">
        <f t="array" aca="1" ref="M340" ca="1">SUMPRODUCT((Table1[SubscriptionStart] &lt;= $A340) * (Table1[EffectiveEndDate] &gt;= $A340) * (Table1[Region] = "Wales"))</f>
        <v>70</v>
      </c>
      <c r="N340" s="45" cm="1">
        <f t="array" aca="1" ref="N340" ca="1">SUMPRODUCT((Table1[SubscriptionStart] &lt;= $A340) * (Table1[EffectiveEndDate] &gt;= $A340) * (Table1[Region] = "Northern Ireland"))</f>
        <v>78</v>
      </c>
      <c r="O340" s="45" cm="1">
        <f t="array" aca="1" ref="O340" ca="1">SUMPRODUCT((Table1[Gender]="Male")*(Table1[SubscriptionStart]&lt;=A340)*(Table1[EffectiveEndDate]&gt;=A340))</f>
        <v>153</v>
      </c>
      <c r="P340" s="45" cm="1">
        <f t="array" aca="1" ref="P340" ca="1">SUMPRODUCT((Table1[Gender]="Female")*(Table1[SubscriptionStart]&lt;=A340)*(Table1[EffectiveEndDate]&gt;=A340))</f>
        <v>121</v>
      </c>
    </row>
    <row r="341" spans="1:16">
      <c r="A341" s="48">
        <f t="shared" si="23"/>
        <v>44901</v>
      </c>
      <c r="B341" s="45" cm="1">
        <f t="array" aca="1" ref="B341" ca="1">SUMPRODUCT((Table1[SubscriptionStart]&lt;=A341)*(Table1[EffectiveEndDate]&gt;=A341))</f>
        <v>274</v>
      </c>
      <c r="C341" s="45">
        <f>COUNTIFS(Table1[SubscriptionStart], A341)</f>
        <v>1</v>
      </c>
      <c r="D341" s="45">
        <f>COUNTIFS(Table1[CancellationDate], A341)</f>
        <v>0</v>
      </c>
      <c r="E341" s="45">
        <f t="shared" si="20"/>
        <v>1</v>
      </c>
      <c r="F341" s="45">
        <f>SUM($C$2:C341)</f>
        <v>344</v>
      </c>
      <c r="G341" s="49" cm="1">
        <f t="array" aca="1" ref="G341" ca="1">IF(B341=0,"", SUMPRODUCT((Table1[SubscriptionStart]&lt;=A341)*(Table1[EffectiveEndDate]&gt;=A341)*Table1[Age]) / B341 )</f>
        <v>46.43795620437956</v>
      </c>
      <c r="H341" s="22">
        <f>SUMIF(Table1[SubscriptionStart],"&lt;="&amp;A341,Table1[TotalRevenue])</f>
        <v>76493.249999999985</v>
      </c>
      <c r="I341" s="50">
        <f t="shared" si="21"/>
        <v>44926</v>
      </c>
      <c r="J341" s="49">
        <f t="shared" ca="1" si="22"/>
        <v>287.93548387096774</v>
      </c>
      <c r="K341" s="45" cm="1">
        <f t="array" aca="1" ref="K341" ca="1">SUMPRODUCT((Table1[SubscriptionStart] &lt;= $A341) * (Table1[EffectiveEndDate] &gt;= $A341) * (Table1[Region] = "England"))</f>
        <v>70</v>
      </c>
      <c r="L341" s="45" cm="1">
        <f t="array" aca="1" ref="L341" ca="1">SUMPRODUCT((Table1[SubscriptionStart] &lt;= $A341) * (Table1[EffectiveEndDate] &gt;= $A341) * (Table1[Region] = "Scotland"))</f>
        <v>57</v>
      </c>
      <c r="M341" s="45" cm="1">
        <f t="array" aca="1" ref="M341" ca="1">SUMPRODUCT((Table1[SubscriptionStart] &lt;= $A341) * (Table1[EffectiveEndDate] &gt;= $A341) * (Table1[Region] = "Wales"))</f>
        <v>70</v>
      </c>
      <c r="N341" s="45" cm="1">
        <f t="array" aca="1" ref="N341" ca="1">SUMPRODUCT((Table1[SubscriptionStart] &lt;= $A341) * (Table1[EffectiveEndDate] &gt;= $A341) * (Table1[Region] = "Northern Ireland"))</f>
        <v>77</v>
      </c>
      <c r="O341" s="45" cm="1">
        <f t="array" aca="1" ref="O341" ca="1">SUMPRODUCT((Table1[Gender]="Male")*(Table1[SubscriptionStart]&lt;=A341)*(Table1[EffectiveEndDate]&gt;=A341))</f>
        <v>154</v>
      </c>
      <c r="P341" s="45" cm="1">
        <f t="array" aca="1" ref="P341" ca="1">SUMPRODUCT((Table1[Gender]="Female")*(Table1[SubscriptionStart]&lt;=A341)*(Table1[EffectiveEndDate]&gt;=A341))</f>
        <v>120</v>
      </c>
    </row>
    <row r="342" spans="1:16">
      <c r="A342" s="48">
        <f t="shared" si="23"/>
        <v>44902</v>
      </c>
      <c r="B342" s="45" cm="1">
        <f t="array" aca="1" ref="B342" ca="1">SUMPRODUCT((Table1[SubscriptionStart]&lt;=A342)*(Table1[EffectiveEndDate]&gt;=A342))</f>
        <v>274</v>
      </c>
      <c r="C342" s="45">
        <f>COUNTIFS(Table1[SubscriptionStart], A342)</f>
        <v>0</v>
      </c>
      <c r="D342" s="45">
        <f>COUNTIFS(Table1[CancellationDate], A342)</f>
        <v>1</v>
      </c>
      <c r="E342" s="45">
        <f t="shared" si="20"/>
        <v>-1</v>
      </c>
      <c r="F342" s="45">
        <f>SUM($C$2:C342)</f>
        <v>344</v>
      </c>
      <c r="G342" s="49" cm="1">
        <f t="array" aca="1" ref="G342" ca="1">IF(B342=0,"", SUMPRODUCT((Table1[SubscriptionStart]&lt;=A342)*(Table1[EffectiveEndDate]&gt;=A342)*Table1[Age]) / B342 )</f>
        <v>46.43795620437956</v>
      </c>
      <c r="H342" s="22">
        <f>SUMIF(Table1[SubscriptionStart],"&lt;="&amp;A342,Table1[TotalRevenue])</f>
        <v>76493.249999999985</v>
      </c>
      <c r="I342" s="50">
        <f t="shared" si="21"/>
        <v>44926</v>
      </c>
      <c r="J342" s="49">
        <f t="shared" ca="1" si="22"/>
        <v>287.93548387096774</v>
      </c>
      <c r="K342" s="45" cm="1">
        <f t="array" aca="1" ref="K342" ca="1">SUMPRODUCT((Table1[SubscriptionStart] &lt;= $A342) * (Table1[EffectiveEndDate] &gt;= $A342) * (Table1[Region] = "England"))</f>
        <v>70</v>
      </c>
      <c r="L342" s="45" cm="1">
        <f t="array" aca="1" ref="L342" ca="1">SUMPRODUCT((Table1[SubscriptionStart] &lt;= $A342) * (Table1[EffectiveEndDate] &gt;= $A342) * (Table1[Region] = "Scotland"))</f>
        <v>57</v>
      </c>
      <c r="M342" s="45" cm="1">
        <f t="array" aca="1" ref="M342" ca="1">SUMPRODUCT((Table1[SubscriptionStart] &lt;= $A342) * (Table1[EffectiveEndDate] &gt;= $A342) * (Table1[Region] = "Wales"))</f>
        <v>70</v>
      </c>
      <c r="N342" s="45" cm="1">
        <f t="array" aca="1" ref="N342" ca="1">SUMPRODUCT((Table1[SubscriptionStart] &lt;= $A342) * (Table1[EffectiveEndDate] &gt;= $A342) * (Table1[Region] = "Northern Ireland"))</f>
        <v>77</v>
      </c>
      <c r="O342" s="45" cm="1">
        <f t="array" aca="1" ref="O342" ca="1">SUMPRODUCT((Table1[Gender]="Male")*(Table1[SubscriptionStart]&lt;=A342)*(Table1[EffectiveEndDate]&gt;=A342))</f>
        <v>154</v>
      </c>
      <c r="P342" s="45" cm="1">
        <f t="array" aca="1" ref="P342" ca="1">SUMPRODUCT((Table1[Gender]="Female")*(Table1[SubscriptionStart]&lt;=A342)*(Table1[EffectiveEndDate]&gt;=A342))</f>
        <v>120</v>
      </c>
    </row>
    <row r="343" spans="1:16">
      <c r="A343" s="48">
        <f t="shared" si="23"/>
        <v>44903</v>
      </c>
      <c r="B343" s="45" cm="1">
        <f t="array" aca="1" ref="B343" ca="1">SUMPRODUCT((Table1[SubscriptionStart]&lt;=A343)*(Table1[EffectiveEndDate]&gt;=A343))</f>
        <v>273</v>
      </c>
      <c r="C343" s="45">
        <f>COUNTIFS(Table1[SubscriptionStart], A343)</f>
        <v>0</v>
      </c>
      <c r="D343" s="45">
        <f>COUNTIFS(Table1[CancellationDate], A343)</f>
        <v>0</v>
      </c>
      <c r="E343" s="45">
        <f t="shared" si="20"/>
        <v>0</v>
      </c>
      <c r="F343" s="45">
        <f>SUM($C$2:C343)</f>
        <v>344</v>
      </c>
      <c r="G343" s="49" cm="1">
        <f t="array" aca="1" ref="G343" ca="1">IF(B343=0,"", SUMPRODUCT((Table1[SubscriptionStart]&lt;=A343)*(Table1[EffectiveEndDate]&gt;=A343)*Table1[Age]) / B343 )</f>
        <v>46.340659340659343</v>
      </c>
      <c r="H343" s="22">
        <f>SUMIF(Table1[SubscriptionStart],"&lt;="&amp;A343,Table1[TotalRevenue])</f>
        <v>76493.249999999985</v>
      </c>
      <c r="I343" s="50">
        <f t="shared" si="21"/>
        <v>44926</v>
      </c>
      <c r="J343" s="49">
        <f t="shared" ca="1" si="22"/>
        <v>287.93548387096774</v>
      </c>
      <c r="K343" s="45" cm="1">
        <f t="array" aca="1" ref="K343" ca="1">SUMPRODUCT((Table1[SubscriptionStart] &lt;= $A343) * (Table1[EffectiveEndDate] &gt;= $A343) * (Table1[Region] = "England"))</f>
        <v>70</v>
      </c>
      <c r="L343" s="45" cm="1">
        <f t="array" aca="1" ref="L343" ca="1">SUMPRODUCT((Table1[SubscriptionStart] &lt;= $A343) * (Table1[EffectiveEndDate] &gt;= $A343) * (Table1[Region] = "Scotland"))</f>
        <v>57</v>
      </c>
      <c r="M343" s="45" cm="1">
        <f t="array" aca="1" ref="M343" ca="1">SUMPRODUCT((Table1[SubscriptionStart] &lt;= $A343) * (Table1[EffectiveEndDate] &gt;= $A343) * (Table1[Region] = "Wales"))</f>
        <v>70</v>
      </c>
      <c r="N343" s="45" cm="1">
        <f t="array" aca="1" ref="N343" ca="1">SUMPRODUCT((Table1[SubscriptionStart] &lt;= $A343) * (Table1[EffectiveEndDate] &gt;= $A343) * (Table1[Region] = "Northern Ireland"))</f>
        <v>76</v>
      </c>
      <c r="O343" s="45" cm="1">
        <f t="array" aca="1" ref="O343" ca="1">SUMPRODUCT((Table1[Gender]="Male")*(Table1[SubscriptionStart]&lt;=A343)*(Table1[EffectiveEndDate]&gt;=A343))</f>
        <v>153</v>
      </c>
      <c r="P343" s="45" cm="1">
        <f t="array" aca="1" ref="P343" ca="1">SUMPRODUCT((Table1[Gender]="Female")*(Table1[SubscriptionStart]&lt;=A343)*(Table1[EffectiveEndDate]&gt;=A343))</f>
        <v>120</v>
      </c>
    </row>
    <row r="344" spans="1:16">
      <c r="A344" s="48">
        <f t="shared" si="23"/>
        <v>44904</v>
      </c>
      <c r="B344" s="45" cm="1">
        <f t="array" aca="1" ref="B344" ca="1">SUMPRODUCT((Table1[SubscriptionStart]&lt;=A344)*(Table1[EffectiveEndDate]&gt;=A344))</f>
        <v>273</v>
      </c>
      <c r="C344" s="45">
        <f>COUNTIFS(Table1[SubscriptionStart], A344)</f>
        <v>0</v>
      </c>
      <c r="D344" s="45">
        <f>COUNTIFS(Table1[CancellationDate], A344)</f>
        <v>0</v>
      </c>
      <c r="E344" s="45">
        <f t="shared" si="20"/>
        <v>0</v>
      </c>
      <c r="F344" s="45">
        <f>SUM($C$2:C344)</f>
        <v>344</v>
      </c>
      <c r="G344" s="49" cm="1">
        <f t="array" aca="1" ref="G344" ca="1">IF(B344=0,"", SUMPRODUCT((Table1[SubscriptionStart]&lt;=A344)*(Table1[EffectiveEndDate]&gt;=A344)*Table1[Age]) / B344 )</f>
        <v>46.340659340659343</v>
      </c>
      <c r="H344" s="22">
        <f>SUMIF(Table1[SubscriptionStart],"&lt;="&amp;A344,Table1[TotalRevenue])</f>
        <v>76493.249999999985</v>
      </c>
      <c r="I344" s="50">
        <f t="shared" si="21"/>
        <v>44926</v>
      </c>
      <c r="J344" s="49">
        <f t="shared" ca="1" si="22"/>
        <v>287.93548387096774</v>
      </c>
      <c r="K344" s="45" cm="1">
        <f t="array" aca="1" ref="K344" ca="1">SUMPRODUCT((Table1[SubscriptionStart] &lt;= $A344) * (Table1[EffectiveEndDate] &gt;= $A344) * (Table1[Region] = "England"))</f>
        <v>70</v>
      </c>
      <c r="L344" s="45" cm="1">
        <f t="array" aca="1" ref="L344" ca="1">SUMPRODUCT((Table1[SubscriptionStart] &lt;= $A344) * (Table1[EffectiveEndDate] &gt;= $A344) * (Table1[Region] = "Scotland"))</f>
        <v>57</v>
      </c>
      <c r="M344" s="45" cm="1">
        <f t="array" aca="1" ref="M344" ca="1">SUMPRODUCT((Table1[SubscriptionStart] &lt;= $A344) * (Table1[EffectiveEndDate] &gt;= $A344) * (Table1[Region] = "Wales"))</f>
        <v>70</v>
      </c>
      <c r="N344" s="45" cm="1">
        <f t="array" aca="1" ref="N344" ca="1">SUMPRODUCT((Table1[SubscriptionStart] &lt;= $A344) * (Table1[EffectiveEndDate] &gt;= $A344) * (Table1[Region] = "Northern Ireland"))</f>
        <v>76</v>
      </c>
      <c r="O344" s="45" cm="1">
        <f t="array" aca="1" ref="O344" ca="1">SUMPRODUCT((Table1[Gender]="Male")*(Table1[SubscriptionStart]&lt;=A344)*(Table1[EffectiveEndDate]&gt;=A344))</f>
        <v>153</v>
      </c>
      <c r="P344" s="45" cm="1">
        <f t="array" aca="1" ref="P344" ca="1">SUMPRODUCT((Table1[Gender]="Female")*(Table1[SubscriptionStart]&lt;=A344)*(Table1[EffectiveEndDate]&gt;=A344))</f>
        <v>120</v>
      </c>
    </row>
    <row r="345" spans="1:16">
      <c r="A345" s="48">
        <f t="shared" si="23"/>
        <v>44905</v>
      </c>
      <c r="B345" s="45" cm="1">
        <f t="array" aca="1" ref="B345" ca="1">SUMPRODUCT((Table1[SubscriptionStart]&lt;=A345)*(Table1[EffectiveEndDate]&gt;=A345))</f>
        <v>276</v>
      </c>
      <c r="C345" s="45">
        <f>COUNTIFS(Table1[SubscriptionStart], A345)</f>
        <v>3</v>
      </c>
      <c r="D345" s="45">
        <f>COUNTIFS(Table1[CancellationDate], A345)</f>
        <v>0</v>
      </c>
      <c r="E345" s="45">
        <f t="shared" si="20"/>
        <v>3</v>
      </c>
      <c r="F345" s="45">
        <f>SUM($C$2:C345)</f>
        <v>347</v>
      </c>
      <c r="G345" s="49" cm="1">
        <f t="array" aca="1" ref="G345" ca="1">IF(B345=0,"", SUMPRODUCT((Table1[SubscriptionStart]&lt;=A345)*(Table1[EffectiveEndDate]&gt;=A345)*Table1[Age]) / B345 )</f>
        <v>46.336956521739133</v>
      </c>
      <c r="H345" s="22">
        <f>SUMIF(Table1[SubscriptionStart],"&lt;="&amp;A345,Table1[TotalRevenue])</f>
        <v>76977.249999999985</v>
      </c>
      <c r="I345" s="50">
        <f t="shared" si="21"/>
        <v>44926</v>
      </c>
      <c r="J345" s="49">
        <f t="shared" ca="1" si="22"/>
        <v>287.93548387096774</v>
      </c>
      <c r="K345" s="45" cm="1">
        <f t="array" aca="1" ref="K345" ca="1">SUMPRODUCT((Table1[SubscriptionStart] &lt;= $A345) * (Table1[EffectiveEndDate] &gt;= $A345) * (Table1[Region] = "England"))</f>
        <v>70</v>
      </c>
      <c r="L345" s="45" cm="1">
        <f t="array" aca="1" ref="L345" ca="1">SUMPRODUCT((Table1[SubscriptionStart] &lt;= $A345) * (Table1[EffectiveEndDate] &gt;= $A345) * (Table1[Region] = "Scotland"))</f>
        <v>58</v>
      </c>
      <c r="M345" s="45" cm="1">
        <f t="array" aca="1" ref="M345" ca="1">SUMPRODUCT((Table1[SubscriptionStart] &lt;= $A345) * (Table1[EffectiveEndDate] &gt;= $A345) * (Table1[Region] = "Wales"))</f>
        <v>71</v>
      </c>
      <c r="N345" s="45" cm="1">
        <f t="array" aca="1" ref="N345" ca="1">SUMPRODUCT((Table1[SubscriptionStart] &lt;= $A345) * (Table1[EffectiveEndDate] &gt;= $A345) * (Table1[Region] = "Northern Ireland"))</f>
        <v>77</v>
      </c>
      <c r="O345" s="45" cm="1">
        <f t="array" aca="1" ref="O345" ca="1">SUMPRODUCT((Table1[Gender]="Male")*(Table1[SubscriptionStart]&lt;=A345)*(Table1[EffectiveEndDate]&gt;=A345))</f>
        <v>154</v>
      </c>
      <c r="P345" s="45" cm="1">
        <f t="array" aca="1" ref="P345" ca="1">SUMPRODUCT((Table1[Gender]="Female")*(Table1[SubscriptionStart]&lt;=A345)*(Table1[EffectiveEndDate]&gt;=A345))</f>
        <v>122</v>
      </c>
    </row>
    <row r="346" spans="1:16">
      <c r="A346" s="48">
        <f t="shared" si="23"/>
        <v>44906</v>
      </c>
      <c r="B346" s="45" cm="1">
        <f t="array" aca="1" ref="B346" ca="1">SUMPRODUCT((Table1[SubscriptionStart]&lt;=A346)*(Table1[EffectiveEndDate]&gt;=A346))</f>
        <v>278</v>
      </c>
      <c r="C346" s="45">
        <f>COUNTIFS(Table1[SubscriptionStart], A346)</f>
        <v>2</v>
      </c>
      <c r="D346" s="45">
        <f>COUNTIFS(Table1[CancellationDate], A346)</f>
        <v>0</v>
      </c>
      <c r="E346" s="45">
        <f t="shared" si="20"/>
        <v>2</v>
      </c>
      <c r="F346" s="45">
        <f>SUM($C$2:C346)</f>
        <v>349</v>
      </c>
      <c r="G346" s="49" cm="1">
        <f t="array" aca="1" ref="G346" ca="1">IF(B346=0,"", SUMPRODUCT((Table1[SubscriptionStart]&lt;=A346)*(Table1[EffectiveEndDate]&gt;=A346)*Table1[Age]) / B346 )</f>
        <v>46.47122302158273</v>
      </c>
      <c r="H346" s="22">
        <f>SUMIF(Table1[SubscriptionStart],"&lt;="&amp;A346,Table1[TotalRevenue])</f>
        <v>77627.049999999988</v>
      </c>
      <c r="I346" s="50">
        <f t="shared" si="21"/>
        <v>44926</v>
      </c>
      <c r="J346" s="49">
        <f t="shared" ca="1" si="22"/>
        <v>287.93548387096774</v>
      </c>
      <c r="K346" s="45" cm="1">
        <f t="array" aca="1" ref="K346" ca="1">SUMPRODUCT((Table1[SubscriptionStart] &lt;= $A346) * (Table1[EffectiveEndDate] &gt;= $A346) * (Table1[Region] = "England"))</f>
        <v>71</v>
      </c>
      <c r="L346" s="45" cm="1">
        <f t="array" aca="1" ref="L346" ca="1">SUMPRODUCT((Table1[SubscriptionStart] &lt;= $A346) * (Table1[EffectiveEndDate] &gt;= $A346) * (Table1[Region] = "Scotland"))</f>
        <v>58</v>
      </c>
      <c r="M346" s="45" cm="1">
        <f t="array" aca="1" ref="M346" ca="1">SUMPRODUCT((Table1[SubscriptionStart] &lt;= $A346) * (Table1[EffectiveEndDate] &gt;= $A346) * (Table1[Region] = "Wales"))</f>
        <v>72</v>
      </c>
      <c r="N346" s="45" cm="1">
        <f t="array" aca="1" ref="N346" ca="1">SUMPRODUCT((Table1[SubscriptionStart] &lt;= $A346) * (Table1[EffectiveEndDate] &gt;= $A346) * (Table1[Region] = "Northern Ireland"))</f>
        <v>77</v>
      </c>
      <c r="O346" s="45" cm="1">
        <f t="array" aca="1" ref="O346" ca="1">SUMPRODUCT((Table1[Gender]="Male")*(Table1[SubscriptionStart]&lt;=A346)*(Table1[EffectiveEndDate]&gt;=A346))</f>
        <v>156</v>
      </c>
      <c r="P346" s="45" cm="1">
        <f t="array" aca="1" ref="P346" ca="1">SUMPRODUCT((Table1[Gender]="Female")*(Table1[SubscriptionStart]&lt;=A346)*(Table1[EffectiveEndDate]&gt;=A346))</f>
        <v>122</v>
      </c>
    </row>
    <row r="347" spans="1:16">
      <c r="A347" s="48">
        <f t="shared" si="23"/>
        <v>44907</v>
      </c>
      <c r="B347" s="45" cm="1">
        <f t="array" aca="1" ref="B347" ca="1">SUMPRODUCT((Table1[SubscriptionStart]&lt;=A347)*(Table1[EffectiveEndDate]&gt;=A347))</f>
        <v>281</v>
      </c>
      <c r="C347" s="45">
        <f>COUNTIFS(Table1[SubscriptionStart], A347)</f>
        <v>3</v>
      </c>
      <c r="D347" s="45">
        <f>COUNTIFS(Table1[CancellationDate], A347)</f>
        <v>1</v>
      </c>
      <c r="E347" s="45">
        <f t="shared" si="20"/>
        <v>2</v>
      </c>
      <c r="F347" s="45">
        <f>SUM($C$2:C347)</f>
        <v>352</v>
      </c>
      <c r="G347" s="49" cm="1">
        <f t="array" aca="1" ref="G347" ca="1">IF(B347=0,"", SUMPRODUCT((Table1[SubscriptionStart]&lt;=A347)*(Table1[EffectiveEndDate]&gt;=A347)*Table1[Age]) / B347 )</f>
        <v>46.498220640569393</v>
      </c>
      <c r="H347" s="22">
        <f>SUMIF(Table1[SubscriptionStart],"&lt;="&amp;A347,Table1[TotalRevenue])</f>
        <v>78226.45</v>
      </c>
      <c r="I347" s="50">
        <f t="shared" si="21"/>
        <v>44926</v>
      </c>
      <c r="J347" s="49">
        <f t="shared" ca="1" si="22"/>
        <v>287.93548387096774</v>
      </c>
      <c r="K347" s="45" cm="1">
        <f t="array" aca="1" ref="K347" ca="1">SUMPRODUCT((Table1[SubscriptionStart] &lt;= $A347) * (Table1[EffectiveEndDate] &gt;= $A347) * (Table1[Region] = "England"))</f>
        <v>72</v>
      </c>
      <c r="L347" s="45" cm="1">
        <f t="array" aca="1" ref="L347" ca="1">SUMPRODUCT((Table1[SubscriptionStart] &lt;= $A347) * (Table1[EffectiveEndDate] &gt;= $A347) * (Table1[Region] = "Scotland"))</f>
        <v>59</v>
      </c>
      <c r="M347" s="45" cm="1">
        <f t="array" aca="1" ref="M347" ca="1">SUMPRODUCT((Table1[SubscriptionStart] &lt;= $A347) * (Table1[EffectiveEndDate] &gt;= $A347) * (Table1[Region] = "Wales"))</f>
        <v>72</v>
      </c>
      <c r="N347" s="45" cm="1">
        <f t="array" aca="1" ref="N347" ca="1">SUMPRODUCT((Table1[SubscriptionStart] &lt;= $A347) * (Table1[EffectiveEndDate] &gt;= $A347) * (Table1[Region] = "Northern Ireland"))</f>
        <v>78</v>
      </c>
      <c r="O347" s="45" cm="1">
        <f t="array" aca="1" ref="O347" ca="1">SUMPRODUCT((Table1[Gender]="Male")*(Table1[SubscriptionStart]&lt;=A347)*(Table1[EffectiveEndDate]&gt;=A347))</f>
        <v>158</v>
      </c>
      <c r="P347" s="45" cm="1">
        <f t="array" aca="1" ref="P347" ca="1">SUMPRODUCT((Table1[Gender]="Female")*(Table1[SubscriptionStart]&lt;=A347)*(Table1[EffectiveEndDate]&gt;=A347))</f>
        <v>123</v>
      </c>
    </row>
    <row r="348" spans="1:16">
      <c r="A348" s="48">
        <f t="shared" si="23"/>
        <v>44908</v>
      </c>
      <c r="B348" s="45" cm="1">
        <f t="array" aca="1" ref="B348" ca="1">SUMPRODUCT((Table1[SubscriptionStart]&lt;=A348)*(Table1[EffectiveEndDate]&gt;=A348))</f>
        <v>281</v>
      </c>
      <c r="C348" s="45">
        <f>COUNTIFS(Table1[SubscriptionStart], A348)</f>
        <v>1</v>
      </c>
      <c r="D348" s="45">
        <f>COUNTIFS(Table1[CancellationDate], A348)</f>
        <v>0</v>
      </c>
      <c r="E348" s="45">
        <f t="shared" si="20"/>
        <v>1</v>
      </c>
      <c r="F348" s="45">
        <f>SUM($C$2:C348)</f>
        <v>353</v>
      </c>
      <c r="G348" s="49" cm="1">
        <f t="array" aca="1" ref="G348" ca="1">IF(B348=0,"", SUMPRODUCT((Table1[SubscriptionStart]&lt;=A348)*(Table1[EffectiveEndDate]&gt;=A348)*Table1[Age]) / B348 )</f>
        <v>46.626334519572957</v>
      </c>
      <c r="H348" s="22">
        <f>SUMIF(Table1[SubscriptionStart],"&lt;="&amp;A348,Table1[TotalRevenue])</f>
        <v>78458.45</v>
      </c>
      <c r="I348" s="50">
        <f t="shared" si="21"/>
        <v>44926</v>
      </c>
      <c r="J348" s="49">
        <f t="shared" ca="1" si="22"/>
        <v>287.93548387096774</v>
      </c>
      <c r="K348" s="45" cm="1">
        <f t="array" aca="1" ref="K348" ca="1">SUMPRODUCT((Table1[SubscriptionStart] &lt;= $A348) * (Table1[EffectiveEndDate] &gt;= $A348) * (Table1[Region] = "England"))</f>
        <v>72</v>
      </c>
      <c r="L348" s="45" cm="1">
        <f t="array" aca="1" ref="L348" ca="1">SUMPRODUCT((Table1[SubscriptionStart] &lt;= $A348) * (Table1[EffectiveEndDate] &gt;= $A348) * (Table1[Region] = "Scotland"))</f>
        <v>59</v>
      </c>
      <c r="M348" s="45" cm="1">
        <f t="array" aca="1" ref="M348" ca="1">SUMPRODUCT((Table1[SubscriptionStart] &lt;= $A348) * (Table1[EffectiveEndDate] &gt;= $A348) * (Table1[Region] = "Wales"))</f>
        <v>71</v>
      </c>
      <c r="N348" s="45" cm="1">
        <f t="array" aca="1" ref="N348" ca="1">SUMPRODUCT((Table1[SubscriptionStart] &lt;= $A348) * (Table1[EffectiveEndDate] &gt;= $A348) * (Table1[Region] = "Northern Ireland"))</f>
        <v>79</v>
      </c>
      <c r="O348" s="45" cm="1">
        <f t="array" aca="1" ref="O348" ca="1">SUMPRODUCT((Table1[Gender]="Male")*(Table1[SubscriptionStart]&lt;=A348)*(Table1[EffectiveEndDate]&gt;=A348))</f>
        <v>159</v>
      </c>
      <c r="P348" s="45" cm="1">
        <f t="array" aca="1" ref="P348" ca="1">SUMPRODUCT((Table1[Gender]="Female")*(Table1[SubscriptionStart]&lt;=A348)*(Table1[EffectiveEndDate]&gt;=A348))</f>
        <v>122</v>
      </c>
    </row>
    <row r="349" spans="1:16">
      <c r="A349" s="48">
        <f t="shared" si="23"/>
        <v>44909</v>
      </c>
      <c r="B349" s="45" cm="1">
        <f t="array" aca="1" ref="B349" ca="1">SUMPRODUCT((Table1[SubscriptionStart]&lt;=A349)*(Table1[EffectiveEndDate]&gt;=A349))</f>
        <v>283</v>
      </c>
      <c r="C349" s="45">
        <f>COUNTIFS(Table1[SubscriptionStart], A349)</f>
        <v>2</v>
      </c>
      <c r="D349" s="45">
        <f>COUNTIFS(Table1[CancellationDate], A349)</f>
        <v>1</v>
      </c>
      <c r="E349" s="45">
        <f t="shared" si="20"/>
        <v>1</v>
      </c>
      <c r="F349" s="45">
        <f>SUM($C$2:C349)</f>
        <v>355</v>
      </c>
      <c r="G349" s="49" cm="1">
        <f t="array" aca="1" ref="G349" ca="1">IF(B349=0,"", SUMPRODUCT((Table1[SubscriptionStart]&lt;=A349)*(Table1[EffectiveEndDate]&gt;=A349)*Table1[Age]) / B349 )</f>
        <v>46.46289752650177</v>
      </c>
      <c r="H349" s="22">
        <f>SUMIF(Table1[SubscriptionStart],"&lt;="&amp;A349,Table1[TotalRevenue])</f>
        <v>78660.05</v>
      </c>
      <c r="I349" s="50">
        <f t="shared" si="21"/>
        <v>44926</v>
      </c>
      <c r="J349" s="49">
        <f t="shared" ca="1" si="22"/>
        <v>287.93548387096774</v>
      </c>
      <c r="K349" s="45" cm="1">
        <f t="array" aca="1" ref="K349" ca="1">SUMPRODUCT((Table1[SubscriptionStart] &lt;= $A349) * (Table1[EffectiveEndDate] &gt;= $A349) * (Table1[Region] = "England"))</f>
        <v>72</v>
      </c>
      <c r="L349" s="45" cm="1">
        <f t="array" aca="1" ref="L349" ca="1">SUMPRODUCT((Table1[SubscriptionStart] &lt;= $A349) * (Table1[EffectiveEndDate] &gt;= $A349) * (Table1[Region] = "Scotland"))</f>
        <v>60</v>
      </c>
      <c r="M349" s="45" cm="1">
        <f t="array" aca="1" ref="M349" ca="1">SUMPRODUCT((Table1[SubscriptionStart] &lt;= $A349) * (Table1[EffectiveEndDate] &gt;= $A349) * (Table1[Region] = "Wales"))</f>
        <v>72</v>
      </c>
      <c r="N349" s="45" cm="1">
        <f t="array" aca="1" ref="N349" ca="1">SUMPRODUCT((Table1[SubscriptionStart] &lt;= $A349) * (Table1[EffectiveEndDate] &gt;= $A349) * (Table1[Region] = "Northern Ireland"))</f>
        <v>79</v>
      </c>
      <c r="O349" s="45" cm="1">
        <f t="array" aca="1" ref="O349" ca="1">SUMPRODUCT((Table1[Gender]="Male")*(Table1[SubscriptionStart]&lt;=A349)*(Table1[EffectiveEndDate]&gt;=A349))</f>
        <v>160</v>
      </c>
      <c r="P349" s="45" cm="1">
        <f t="array" aca="1" ref="P349" ca="1">SUMPRODUCT((Table1[Gender]="Female")*(Table1[SubscriptionStart]&lt;=A349)*(Table1[EffectiveEndDate]&gt;=A349))</f>
        <v>123</v>
      </c>
    </row>
    <row r="350" spans="1:16">
      <c r="A350" s="48">
        <f t="shared" si="23"/>
        <v>44910</v>
      </c>
      <c r="B350" s="45" cm="1">
        <f t="array" aca="1" ref="B350" ca="1">SUMPRODUCT((Table1[SubscriptionStart]&lt;=A350)*(Table1[EffectiveEndDate]&gt;=A350))</f>
        <v>285</v>
      </c>
      <c r="C350" s="45">
        <f>COUNTIFS(Table1[SubscriptionStart], A350)</f>
        <v>3</v>
      </c>
      <c r="D350" s="45">
        <f>COUNTIFS(Table1[CancellationDate], A350)</f>
        <v>0</v>
      </c>
      <c r="E350" s="45">
        <f t="shared" si="20"/>
        <v>3</v>
      </c>
      <c r="F350" s="45">
        <f>SUM($C$2:C350)</f>
        <v>358</v>
      </c>
      <c r="G350" s="49" cm="1">
        <f t="array" aca="1" ref="G350" ca="1">IF(B350=0,"", SUMPRODUCT((Table1[SubscriptionStart]&lt;=A350)*(Table1[EffectiveEndDate]&gt;=A350)*Table1[Age]) / B350 )</f>
        <v>46.407017543859652</v>
      </c>
      <c r="H350" s="22">
        <f>SUMIF(Table1[SubscriptionStart],"&lt;="&amp;A350,Table1[TotalRevenue])</f>
        <v>78873.8</v>
      </c>
      <c r="I350" s="50">
        <f t="shared" si="21"/>
        <v>44926</v>
      </c>
      <c r="J350" s="49">
        <f t="shared" ca="1" si="22"/>
        <v>287.93548387096774</v>
      </c>
      <c r="K350" s="45" cm="1">
        <f t="array" aca="1" ref="K350" ca="1">SUMPRODUCT((Table1[SubscriptionStart] &lt;= $A350) * (Table1[EffectiveEndDate] &gt;= $A350) * (Table1[Region] = "England"))</f>
        <v>72</v>
      </c>
      <c r="L350" s="45" cm="1">
        <f t="array" aca="1" ref="L350" ca="1">SUMPRODUCT((Table1[SubscriptionStart] &lt;= $A350) * (Table1[EffectiveEndDate] &gt;= $A350) * (Table1[Region] = "Scotland"))</f>
        <v>62</v>
      </c>
      <c r="M350" s="45" cm="1">
        <f t="array" aca="1" ref="M350" ca="1">SUMPRODUCT((Table1[SubscriptionStart] &lt;= $A350) * (Table1[EffectiveEndDate] &gt;= $A350) * (Table1[Region] = "Wales"))</f>
        <v>72</v>
      </c>
      <c r="N350" s="45" cm="1">
        <f t="array" aca="1" ref="N350" ca="1">SUMPRODUCT((Table1[SubscriptionStart] &lt;= $A350) * (Table1[EffectiveEndDate] &gt;= $A350) * (Table1[Region] = "Northern Ireland"))</f>
        <v>79</v>
      </c>
      <c r="O350" s="45" cm="1">
        <f t="array" aca="1" ref="O350" ca="1">SUMPRODUCT((Table1[Gender]="Male")*(Table1[SubscriptionStart]&lt;=A350)*(Table1[EffectiveEndDate]&gt;=A350))</f>
        <v>160</v>
      </c>
      <c r="P350" s="45" cm="1">
        <f t="array" aca="1" ref="P350" ca="1">SUMPRODUCT((Table1[Gender]="Female")*(Table1[SubscriptionStart]&lt;=A350)*(Table1[EffectiveEndDate]&gt;=A350))</f>
        <v>125</v>
      </c>
    </row>
    <row r="351" spans="1:16">
      <c r="A351" s="48">
        <f t="shared" si="23"/>
        <v>44911</v>
      </c>
      <c r="B351" s="45" cm="1">
        <f t="array" aca="1" ref="B351" ca="1">SUMPRODUCT((Table1[SubscriptionStart]&lt;=A351)*(Table1[EffectiveEndDate]&gt;=A351))</f>
        <v>286</v>
      </c>
      <c r="C351" s="45">
        <f>COUNTIFS(Table1[SubscriptionStart], A351)</f>
        <v>1</v>
      </c>
      <c r="D351" s="45">
        <f>COUNTIFS(Table1[CancellationDate], A351)</f>
        <v>0</v>
      </c>
      <c r="E351" s="45">
        <f t="shared" si="20"/>
        <v>1</v>
      </c>
      <c r="F351" s="45">
        <f>SUM($C$2:C351)</f>
        <v>359</v>
      </c>
      <c r="G351" s="49" cm="1">
        <f t="array" aca="1" ref="G351" ca="1">IF(B351=0,"", SUMPRODUCT((Table1[SubscriptionStart]&lt;=A351)*(Table1[EffectiveEndDate]&gt;=A351)*Table1[Age]) / B351 )</f>
        <v>46.447552447552447</v>
      </c>
      <c r="H351" s="22">
        <f>SUMIF(Table1[SubscriptionStart],"&lt;="&amp;A351,Table1[TotalRevenue])</f>
        <v>78945.8</v>
      </c>
      <c r="I351" s="50">
        <f t="shared" si="21"/>
        <v>44926</v>
      </c>
      <c r="J351" s="49">
        <f t="shared" ca="1" si="22"/>
        <v>287.93548387096774</v>
      </c>
      <c r="K351" s="45" cm="1">
        <f t="array" aca="1" ref="K351" ca="1">SUMPRODUCT((Table1[SubscriptionStart] &lt;= $A351) * (Table1[EffectiveEndDate] &gt;= $A351) * (Table1[Region] = "England"))</f>
        <v>72</v>
      </c>
      <c r="L351" s="45" cm="1">
        <f t="array" aca="1" ref="L351" ca="1">SUMPRODUCT((Table1[SubscriptionStart] &lt;= $A351) * (Table1[EffectiveEndDate] &gt;= $A351) * (Table1[Region] = "Scotland"))</f>
        <v>63</v>
      </c>
      <c r="M351" s="45" cm="1">
        <f t="array" aca="1" ref="M351" ca="1">SUMPRODUCT((Table1[SubscriptionStart] &lt;= $A351) * (Table1[EffectiveEndDate] &gt;= $A351) * (Table1[Region] = "Wales"))</f>
        <v>72</v>
      </c>
      <c r="N351" s="45" cm="1">
        <f t="array" aca="1" ref="N351" ca="1">SUMPRODUCT((Table1[SubscriptionStart] &lt;= $A351) * (Table1[EffectiveEndDate] &gt;= $A351) * (Table1[Region] = "Northern Ireland"))</f>
        <v>79</v>
      </c>
      <c r="O351" s="45" cm="1">
        <f t="array" aca="1" ref="O351" ca="1">SUMPRODUCT((Table1[Gender]="Male")*(Table1[SubscriptionStart]&lt;=A351)*(Table1[EffectiveEndDate]&gt;=A351))</f>
        <v>161</v>
      </c>
      <c r="P351" s="45" cm="1">
        <f t="array" aca="1" ref="P351" ca="1">SUMPRODUCT((Table1[Gender]="Female")*(Table1[SubscriptionStart]&lt;=A351)*(Table1[EffectiveEndDate]&gt;=A351))</f>
        <v>125</v>
      </c>
    </row>
    <row r="352" spans="1:16">
      <c r="A352" s="48">
        <f t="shared" si="23"/>
        <v>44912</v>
      </c>
      <c r="B352" s="45" cm="1">
        <f t="array" aca="1" ref="B352" ca="1">SUMPRODUCT((Table1[SubscriptionStart]&lt;=A352)*(Table1[EffectiveEndDate]&gt;=A352))</f>
        <v>290</v>
      </c>
      <c r="C352" s="45">
        <f>COUNTIFS(Table1[SubscriptionStart], A352)</f>
        <v>4</v>
      </c>
      <c r="D352" s="45">
        <f>COUNTIFS(Table1[CancellationDate], A352)</f>
        <v>0</v>
      </c>
      <c r="E352" s="45">
        <f t="shared" si="20"/>
        <v>4</v>
      </c>
      <c r="F352" s="45">
        <f>SUM($C$2:C352)</f>
        <v>363</v>
      </c>
      <c r="G352" s="49" cm="1">
        <f t="array" aca="1" ref="G352" ca="1">IF(B352=0,"", SUMPRODUCT((Table1[SubscriptionStart]&lt;=A352)*(Table1[EffectiveEndDate]&gt;=A352)*Table1[Age]) / B352 )</f>
        <v>46.53793103448276</v>
      </c>
      <c r="H352" s="22">
        <f>SUMIF(Table1[SubscriptionStart],"&lt;="&amp;A352,Table1[TotalRevenue])</f>
        <v>80115.05</v>
      </c>
      <c r="I352" s="50">
        <f t="shared" si="21"/>
        <v>44926</v>
      </c>
      <c r="J352" s="49">
        <f t="shared" ca="1" si="22"/>
        <v>287.93548387096774</v>
      </c>
      <c r="K352" s="45" cm="1">
        <f t="array" aca="1" ref="K352" ca="1">SUMPRODUCT((Table1[SubscriptionStart] &lt;= $A352) * (Table1[EffectiveEndDate] &gt;= $A352) * (Table1[Region] = "England"))</f>
        <v>72</v>
      </c>
      <c r="L352" s="45" cm="1">
        <f t="array" aca="1" ref="L352" ca="1">SUMPRODUCT((Table1[SubscriptionStart] &lt;= $A352) * (Table1[EffectiveEndDate] &gt;= $A352) * (Table1[Region] = "Scotland"))</f>
        <v>64</v>
      </c>
      <c r="M352" s="45" cm="1">
        <f t="array" aca="1" ref="M352" ca="1">SUMPRODUCT((Table1[SubscriptionStart] &lt;= $A352) * (Table1[EffectiveEndDate] &gt;= $A352) * (Table1[Region] = "Wales"))</f>
        <v>74</v>
      </c>
      <c r="N352" s="45" cm="1">
        <f t="array" aca="1" ref="N352" ca="1">SUMPRODUCT((Table1[SubscriptionStart] &lt;= $A352) * (Table1[EffectiveEndDate] &gt;= $A352) * (Table1[Region] = "Northern Ireland"))</f>
        <v>80</v>
      </c>
      <c r="O352" s="45" cm="1">
        <f t="array" aca="1" ref="O352" ca="1">SUMPRODUCT((Table1[Gender]="Male")*(Table1[SubscriptionStart]&lt;=A352)*(Table1[EffectiveEndDate]&gt;=A352))</f>
        <v>163</v>
      </c>
      <c r="P352" s="45" cm="1">
        <f t="array" aca="1" ref="P352" ca="1">SUMPRODUCT((Table1[Gender]="Female")*(Table1[SubscriptionStart]&lt;=A352)*(Table1[EffectiveEndDate]&gt;=A352))</f>
        <v>127</v>
      </c>
    </row>
    <row r="353" spans="1:16">
      <c r="A353" s="48">
        <f t="shared" si="23"/>
        <v>44913</v>
      </c>
      <c r="B353" s="45" cm="1">
        <f t="array" aca="1" ref="B353" ca="1">SUMPRODUCT((Table1[SubscriptionStart]&lt;=A353)*(Table1[EffectiveEndDate]&gt;=A353))</f>
        <v>291</v>
      </c>
      <c r="C353" s="45">
        <f>COUNTIFS(Table1[SubscriptionStart], A353)</f>
        <v>1</v>
      </c>
      <c r="D353" s="45">
        <f>COUNTIFS(Table1[CancellationDate], A353)</f>
        <v>0</v>
      </c>
      <c r="E353" s="45">
        <f t="shared" si="20"/>
        <v>1</v>
      </c>
      <c r="F353" s="45">
        <f>SUM($C$2:C353)</f>
        <v>364</v>
      </c>
      <c r="G353" s="49" cm="1">
        <f t="array" aca="1" ref="G353" ca="1">IF(B353=0,"", SUMPRODUCT((Table1[SubscriptionStart]&lt;=A353)*(Table1[EffectiveEndDate]&gt;=A353)*Table1[Age]) / B353 )</f>
        <v>46.618556701030926</v>
      </c>
      <c r="H353" s="22">
        <f>SUMIF(Table1[SubscriptionStart],"&lt;="&amp;A353,Table1[TotalRevenue])</f>
        <v>80767.55</v>
      </c>
      <c r="I353" s="50">
        <f t="shared" si="21"/>
        <v>44926</v>
      </c>
      <c r="J353" s="49">
        <f t="shared" ca="1" si="22"/>
        <v>287.93548387096774</v>
      </c>
      <c r="K353" s="45" cm="1">
        <f t="array" aca="1" ref="K353" ca="1">SUMPRODUCT((Table1[SubscriptionStart] &lt;= $A353) * (Table1[EffectiveEndDate] &gt;= $A353) * (Table1[Region] = "England"))</f>
        <v>72</v>
      </c>
      <c r="L353" s="45" cm="1">
        <f t="array" aca="1" ref="L353" ca="1">SUMPRODUCT((Table1[SubscriptionStart] &lt;= $A353) * (Table1[EffectiveEndDate] &gt;= $A353) * (Table1[Region] = "Scotland"))</f>
        <v>64</v>
      </c>
      <c r="M353" s="45" cm="1">
        <f t="array" aca="1" ref="M353" ca="1">SUMPRODUCT((Table1[SubscriptionStart] &lt;= $A353) * (Table1[EffectiveEndDate] &gt;= $A353) * (Table1[Region] = "Wales"))</f>
        <v>75</v>
      </c>
      <c r="N353" s="45" cm="1">
        <f t="array" aca="1" ref="N353" ca="1">SUMPRODUCT((Table1[SubscriptionStart] &lt;= $A353) * (Table1[EffectiveEndDate] &gt;= $A353) * (Table1[Region] = "Northern Ireland"))</f>
        <v>80</v>
      </c>
      <c r="O353" s="45" cm="1">
        <f t="array" aca="1" ref="O353" ca="1">SUMPRODUCT((Table1[Gender]="Male")*(Table1[SubscriptionStart]&lt;=A353)*(Table1[EffectiveEndDate]&gt;=A353))</f>
        <v>163</v>
      </c>
      <c r="P353" s="45" cm="1">
        <f t="array" aca="1" ref="P353" ca="1">SUMPRODUCT((Table1[Gender]="Female")*(Table1[SubscriptionStart]&lt;=A353)*(Table1[EffectiveEndDate]&gt;=A353))</f>
        <v>128</v>
      </c>
    </row>
    <row r="354" spans="1:16">
      <c r="A354" s="48">
        <f t="shared" si="23"/>
        <v>44914</v>
      </c>
      <c r="B354" s="45" cm="1">
        <f t="array" aca="1" ref="B354" ca="1">SUMPRODUCT((Table1[SubscriptionStart]&lt;=A354)*(Table1[EffectiveEndDate]&gt;=A354))</f>
        <v>292</v>
      </c>
      <c r="C354" s="45">
        <f>COUNTIFS(Table1[SubscriptionStart], A354)</f>
        <v>1</v>
      </c>
      <c r="D354" s="45">
        <f>COUNTIFS(Table1[CancellationDate], A354)</f>
        <v>1</v>
      </c>
      <c r="E354" s="45">
        <f t="shared" si="20"/>
        <v>0</v>
      </c>
      <c r="F354" s="45">
        <f>SUM($C$2:C354)</f>
        <v>365</v>
      </c>
      <c r="G354" s="49" cm="1">
        <f t="array" aca="1" ref="G354" ca="1">IF(B354=0,"", SUMPRODUCT((Table1[SubscriptionStart]&lt;=A354)*(Table1[EffectiveEndDate]&gt;=A354)*Table1[Age]) / B354 )</f>
        <v>46.650684931506852</v>
      </c>
      <c r="H354" s="22">
        <f>SUMIF(Table1[SubscriptionStart],"&lt;="&amp;A354,Table1[TotalRevenue])</f>
        <v>80839.55</v>
      </c>
      <c r="I354" s="50">
        <f t="shared" si="21"/>
        <v>44926</v>
      </c>
      <c r="J354" s="49">
        <f t="shared" ca="1" si="22"/>
        <v>287.93548387096774</v>
      </c>
      <c r="K354" s="45" cm="1">
        <f t="array" aca="1" ref="K354" ca="1">SUMPRODUCT((Table1[SubscriptionStart] &lt;= $A354) * (Table1[EffectiveEndDate] &gt;= $A354) * (Table1[Region] = "England"))</f>
        <v>73</v>
      </c>
      <c r="L354" s="45" cm="1">
        <f t="array" aca="1" ref="L354" ca="1">SUMPRODUCT((Table1[SubscriptionStart] &lt;= $A354) * (Table1[EffectiveEndDate] &gt;= $A354) * (Table1[Region] = "Scotland"))</f>
        <v>64</v>
      </c>
      <c r="M354" s="45" cm="1">
        <f t="array" aca="1" ref="M354" ca="1">SUMPRODUCT((Table1[SubscriptionStart] &lt;= $A354) * (Table1[EffectiveEndDate] &gt;= $A354) * (Table1[Region] = "Wales"))</f>
        <v>75</v>
      </c>
      <c r="N354" s="45" cm="1">
        <f t="array" aca="1" ref="N354" ca="1">SUMPRODUCT((Table1[SubscriptionStart] &lt;= $A354) * (Table1[EffectiveEndDate] &gt;= $A354) * (Table1[Region] = "Northern Ireland"))</f>
        <v>80</v>
      </c>
      <c r="O354" s="45" cm="1">
        <f t="array" aca="1" ref="O354" ca="1">SUMPRODUCT((Table1[Gender]="Male")*(Table1[SubscriptionStart]&lt;=A354)*(Table1[EffectiveEndDate]&gt;=A354))</f>
        <v>164</v>
      </c>
      <c r="P354" s="45" cm="1">
        <f t="array" aca="1" ref="P354" ca="1">SUMPRODUCT((Table1[Gender]="Female")*(Table1[SubscriptionStart]&lt;=A354)*(Table1[EffectiveEndDate]&gt;=A354))</f>
        <v>128</v>
      </c>
    </row>
    <row r="355" spans="1:16">
      <c r="A355" s="48">
        <f t="shared" si="23"/>
        <v>44915</v>
      </c>
      <c r="B355" s="45" cm="1">
        <f t="array" aca="1" ref="B355" ca="1">SUMPRODUCT((Table1[SubscriptionStart]&lt;=A355)*(Table1[EffectiveEndDate]&gt;=A355))</f>
        <v>295</v>
      </c>
      <c r="C355" s="45">
        <f>COUNTIFS(Table1[SubscriptionStart], A355)</f>
        <v>4</v>
      </c>
      <c r="D355" s="45">
        <f>COUNTIFS(Table1[CancellationDate], A355)</f>
        <v>0</v>
      </c>
      <c r="E355" s="45">
        <f t="shared" si="20"/>
        <v>4</v>
      </c>
      <c r="F355" s="45">
        <f>SUM($C$2:C355)</f>
        <v>369</v>
      </c>
      <c r="G355" s="49" cm="1">
        <f t="array" aca="1" ref="G355" ca="1">IF(B355=0,"", SUMPRODUCT((Table1[SubscriptionStart]&lt;=A355)*(Table1[EffectiveEndDate]&gt;=A355)*Table1[Age]) / B355 )</f>
        <v>46.837288135593219</v>
      </c>
      <c r="H355" s="22">
        <f>SUMIF(Table1[SubscriptionStart],"&lt;="&amp;A355,Table1[TotalRevenue])</f>
        <v>81458.750000000015</v>
      </c>
      <c r="I355" s="50">
        <f t="shared" si="21"/>
        <v>44926</v>
      </c>
      <c r="J355" s="49">
        <f t="shared" ca="1" si="22"/>
        <v>287.93548387096774</v>
      </c>
      <c r="K355" s="45" cm="1">
        <f t="array" aca="1" ref="K355" ca="1">SUMPRODUCT((Table1[SubscriptionStart] &lt;= $A355) * (Table1[EffectiveEndDate] &gt;= $A355) * (Table1[Region] = "England"))</f>
        <v>73</v>
      </c>
      <c r="L355" s="45" cm="1">
        <f t="array" aca="1" ref="L355" ca="1">SUMPRODUCT((Table1[SubscriptionStart] &lt;= $A355) * (Table1[EffectiveEndDate] &gt;= $A355) * (Table1[Region] = "Scotland"))</f>
        <v>65</v>
      </c>
      <c r="M355" s="45" cm="1">
        <f t="array" aca="1" ref="M355" ca="1">SUMPRODUCT((Table1[SubscriptionStart] &lt;= $A355) * (Table1[EffectiveEndDate] &gt;= $A355) * (Table1[Region] = "Wales"))</f>
        <v>76</v>
      </c>
      <c r="N355" s="45" cm="1">
        <f t="array" aca="1" ref="N355" ca="1">SUMPRODUCT((Table1[SubscriptionStart] &lt;= $A355) * (Table1[EffectiveEndDate] &gt;= $A355) * (Table1[Region] = "Northern Ireland"))</f>
        <v>81</v>
      </c>
      <c r="O355" s="45" cm="1">
        <f t="array" aca="1" ref="O355" ca="1">SUMPRODUCT((Table1[Gender]="Male")*(Table1[SubscriptionStart]&lt;=A355)*(Table1[EffectiveEndDate]&gt;=A355))</f>
        <v>167</v>
      </c>
      <c r="P355" s="45" cm="1">
        <f t="array" aca="1" ref="P355" ca="1">SUMPRODUCT((Table1[Gender]="Female")*(Table1[SubscriptionStart]&lt;=A355)*(Table1[EffectiveEndDate]&gt;=A355))</f>
        <v>128</v>
      </c>
    </row>
    <row r="356" spans="1:16">
      <c r="A356" s="48">
        <f t="shared" si="23"/>
        <v>44916</v>
      </c>
      <c r="B356" s="45" cm="1">
        <f t="array" aca="1" ref="B356" ca="1">SUMPRODUCT((Table1[SubscriptionStart]&lt;=A356)*(Table1[EffectiveEndDate]&gt;=A356))</f>
        <v>296</v>
      </c>
      <c r="C356" s="45">
        <f>COUNTIFS(Table1[SubscriptionStart], A356)</f>
        <v>1</v>
      </c>
      <c r="D356" s="45">
        <f>COUNTIFS(Table1[CancellationDate], A356)</f>
        <v>0</v>
      </c>
      <c r="E356" s="45">
        <f t="shared" si="20"/>
        <v>1</v>
      </c>
      <c r="F356" s="45">
        <f>SUM($C$2:C356)</f>
        <v>370</v>
      </c>
      <c r="G356" s="49" cm="1">
        <f t="array" aca="1" ref="G356" ca="1">IF(B356=0,"", SUMPRODUCT((Table1[SubscriptionStart]&lt;=A356)*(Table1[EffectiveEndDate]&gt;=A356)*Table1[Age]) / B356 )</f>
        <v>46.895270270270274</v>
      </c>
      <c r="H356" s="22">
        <f>SUMIF(Table1[SubscriptionStart],"&lt;="&amp;A356,Table1[TotalRevenue])</f>
        <v>81638.750000000015</v>
      </c>
      <c r="I356" s="50">
        <f t="shared" si="21"/>
        <v>44926</v>
      </c>
      <c r="J356" s="49">
        <f t="shared" ca="1" si="22"/>
        <v>287.93548387096774</v>
      </c>
      <c r="K356" s="45" cm="1">
        <f t="array" aca="1" ref="K356" ca="1">SUMPRODUCT((Table1[SubscriptionStart] &lt;= $A356) * (Table1[EffectiveEndDate] &gt;= $A356) * (Table1[Region] = "England"))</f>
        <v>73</v>
      </c>
      <c r="L356" s="45" cm="1">
        <f t="array" aca="1" ref="L356" ca="1">SUMPRODUCT((Table1[SubscriptionStart] &lt;= $A356) * (Table1[EffectiveEndDate] &gt;= $A356) * (Table1[Region] = "Scotland"))</f>
        <v>65</v>
      </c>
      <c r="M356" s="45" cm="1">
        <f t="array" aca="1" ref="M356" ca="1">SUMPRODUCT((Table1[SubscriptionStart] &lt;= $A356) * (Table1[EffectiveEndDate] &gt;= $A356) * (Table1[Region] = "Wales"))</f>
        <v>77</v>
      </c>
      <c r="N356" s="45" cm="1">
        <f t="array" aca="1" ref="N356" ca="1">SUMPRODUCT((Table1[SubscriptionStart] &lt;= $A356) * (Table1[EffectiveEndDate] &gt;= $A356) * (Table1[Region] = "Northern Ireland"))</f>
        <v>81</v>
      </c>
      <c r="O356" s="45" cm="1">
        <f t="array" aca="1" ref="O356" ca="1">SUMPRODUCT((Table1[Gender]="Male")*(Table1[SubscriptionStart]&lt;=A356)*(Table1[EffectiveEndDate]&gt;=A356))</f>
        <v>168</v>
      </c>
      <c r="P356" s="45" cm="1">
        <f t="array" aca="1" ref="P356" ca="1">SUMPRODUCT((Table1[Gender]="Female")*(Table1[SubscriptionStart]&lt;=A356)*(Table1[EffectiveEndDate]&gt;=A356))</f>
        <v>128</v>
      </c>
    </row>
    <row r="357" spans="1:16">
      <c r="A357" s="48">
        <f t="shared" si="23"/>
        <v>44917</v>
      </c>
      <c r="B357" s="45" cm="1">
        <f t="array" aca="1" ref="B357" ca="1">SUMPRODUCT((Table1[SubscriptionStart]&lt;=A357)*(Table1[EffectiveEndDate]&gt;=A357))</f>
        <v>297</v>
      </c>
      <c r="C357" s="45">
        <f>COUNTIFS(Table1[SubscriptionStart], A357)</f>
        <v>1</v>
      </c>
      <c r="D357" s="45">
        <f>COUNTIFS(Table1[CancellationDate], A357)</f>
        <v>0</v>
      </c>
      <c r="E357" s="45">
        <f t="shared" si="20"/>
        <v>1</v>
      </c>
      <c r="F357" s="45">
        <f>SUM($C$2:C357)</f>
        <v>371</v>
      </c>
      <c r="G357" s="49" cm="1">
        <f t="array" aca="1" ref="G357" ca="1">IF(B357=0,"", SUMPRODUCT((Table1[SubscriptionStart]&lt;=A357)*(Table1[EffectiveEndDate]&gt;=A357)*Table1[Age]) / B357 )</f>
        <v>46.979797979797979</v>
      </c>
      <c r="H357" s="22">
        <f>SUMIF(Table1[SubscriptionStart],"&lt;="&amp;A357,Table1[TotalRevenue])</f>
        <v>81679.250000000015</v>
      </c>
      <c r="I357" s="50">
        <f t="shared" si="21"/>
        <v>44926</v>
      </c>
      <c r="J357" s="49">
        <f t="shared" ca="1" si="22"/>
        <v>287.93548387096774</v>
      </c>
      <c r="K357" s="45" cm="1">
        <f t="array" aca="1" ref="K357" ca="1">SUMPRODUCT((Table1[SubscriptionStart] &lt;= $A357) * (Table1[EffectiveEndDate] &gt;= $A357) * (Table1[Region] = "England"))</f>
        <v>73</v>
      </c>
      <c r="L357" s="45" cm="1">
        <f t="array" aca="1" ref="L357" ca="1">SUMPRODUCT((Table1[SubscriptionStart] &lt;= $A357) * (Table1[EffectiveEndDate] &gt;= $A357) * (Table1[Region] = "Scotland"))</f>
        <v>65</v>
      </c>
      <c r="M357" s="45" cm="1">
        <f t="array" aca="1" ref="M357" ca="1">SUMPRODUCT((Table1[SubscriptionStart] &lt;= $A357) * (Table1[EffectiveEndDate] &gt;= $A357) * (Table1[Region] = "Wales"))</f>
        <v>78</v>
      </c>
      <c r="N357" s="45" cm="1">
        <f t="array" aca="1" ref="N357" ca="1">SUMPRODUCT((Table1[SubscriptionStart] &lt;= $A357) * (Table1[EffectiveEndDate] &gt;= $A357) * (Table1[Region] = "Northern Ireland"))</f>
        <v>81</v>
      </c>
      <c r="O357" s="45" cm="1">
        <f t="array" aca="1" ref="O357" ca="1">SUMPRODUCT((Table1[Gender]="Male")*(Table1[SubscriptionStart]&lt;=A357)*(Table1[EffectiveEndDate]&gt;=A357))</f>
        <v>169</v>
      </c>
      <c r="P357" s="45" cm="1">
        <f t="array" aca="1" ref="P357" ca="1">SUMPRODUCT((Table1[Gender]="Female")*(Table1[SubscriptionStart]&lt;=A357)*(Table1[EffectiveEndDate]&gt;=A357))</f>
        <v>128</v>
      </c>
    </row>
    <row r="358" spans="1:16">
      <c r="A358" s="48">
        <f t="shared" si="23"/>
        <v>44918</v>
      </c>
      <c r="B358" s="45" cm="1">
        <f t="array" aca="1" ref="B358" ca="1">SUMPRODUCT((Table1[SubscriptionStart]&lt;=A358)*(Table1[EffectiveEndDate]&gt;=A358))</f>
        <v>298</v>
      </c>
      <c r="C358" s="45">
        <f>COUNTIFS(Table1[SubscriptionStart], A358)</f>
        <v>1</v>
      </c>
      <c r="D358" s="45">
        <f>COUNTIFS(Table1[CancellationDate], A358)</f>
        <v>0</v>
      </c>
      <c r="E358" s="45">
        <f t="shared" si="20"/>
        <v>1</v>
      </c>
      <c r="F358" s="45">
        <f>SUM($C$2:C358)</f>
        <v>372</v>
      </c>
      <c r="G358" s="49" cm="1">
        <f t="array" aca="1" ref="G358" ca="1">IF(B358=0,"", SUMPRODUCT((Table1[SubscriptionStart]&lt;=A358)*(Table1[EffectiveEndDate]&gt;=A358)*Table1[Age]) / B358 )</f>
        <v>46.899328859060404</v>
      </c>
      <c r="H358" s="22">
        <f>SUMIF(Table1[SubscriptionStart],"&lt;="&amp;A358,Table1[TotalRevenue])</f>
        <v>81808.85000000002</v>
      </c>
      <c r="I358" s="50">
        <f t="shared" si="21"/>
        <v>44926</v>
      </c>
      <c r="J358" s="49">
        <f t="shared" ca="1" si="22"/>
        <v>287.93548387096774</v>
      </c>
      <c r="K358" s="45" cm="1">
        <f t="array" aca="1" ref="K358" ca="1">SUMPRODUCT((Table1[SubscriptionStart] &lt;= $A358) * (Table1[EffectiveEndDate] &gt;= $A358) * (Table1[Region] = "England"))</f>
        <v>74</v>
      </c>
      <c r="L358" s="45" cm="1">
        <f t="array" aca="1" ref="L358" ca="1">SUMPRODUCT((Table1[SubscriptionStart] &lt;= $A358) * (Table1[EffectiveEndDate] &gt;= $A358) * (Table1[Region] = "Scotland"))</f>
        <v>65</v>
      </c>
      <c r="M358" s="45" cm="1">
        <f t="array" aca="1" ref="M358" ca="1">SUMPRODUCT((Table1[SubscriptionStart] &lt;= $A358) * (Table1[EffectiveEndDate] &gt;= $A358) * (Table1[Region] = "Wales"))</f>
        <v>78</v>
      </c>
      <c r="N358" s="45" cm="1">
        <f t="array" aca="1" ref="N358" ca="1">SUMPRODUCT((Table1[SubscriptionStart] &lt;= $A358) * (Table1[EffectiveEndDate] &gt;= $A358) * (Table1[Region] = "Northern Ireland"))</f>
        <v>81</v>
      </c>
      <c r="O358" s="45" cm="1">
        <f t="array" aca="1" ref="O358" ca="1">SUMPRODUCT((Table1[Gender]="Male")*(Table1[SubscriptionStart]&lt;=A358)*(Table1[EffectiveEndDate]&gt;=A358))</f>
        <v>169</v>
      </c>
      <c r="P358" s="45" cm="1">
        <f t="array" aca="1" ref="P358" ca="1">SUMPRODUCT((Table1[Gender]="Female")*(Table1[SubscriptionStart]&lt;=A358)*(Table1[EffectiveEndDate]&gt;=A358))</f>
        <v>129</v>
      </c>
    </row>
    <row r="359" spans="1:16">
      <c r="A359" s="48">
        <f t="shared" si="23"/>
        <v>44919</v>
      </c>
      <c r="B359" s="45" cm="1">
        <f t="array" aca="1" ref="B359" ca="1">SUMPRODUCT((Table1[SubscriptionStart]&lt;=A359)*(Table1[EffectiveEndDate]&gt;=A359))</f>
        <v>301</v>
      </c>
      <c r="C359" s="45">
        <f>COUNTIFS(Table1[SubscriptionStart], A359)</f>
        <v>3</v>
      </c>
      <c r="D359" s="45">
        <f>COUNTIFS(Table1[CancellationDate], A359)</f>
        <v>0</v>
      </c>
      <c r="E359" s="45">
        <f t="shared" si="20"/>
        <v>3</v>
      </c>
      <c r="F359" s="45">
        <f>SUM($C$2:C359)</f>
        <v>375</v>
      </c>
      <c r="G359" s="49" cm="1">
        <f t="array" aca="1" ref="G359" ca="1">IF(B359=0,"", SUMPRODUCT((Table1[SubscriptionStart]&lt;=A359)*(Table1[EffectiveEndDate]&gt;=A359)*Table1[Age]) / B359 )</f>
        <v>46.730897009966775</v>
      </c>
      <c r="H359" s="22">
        <f>SUMIF(Table1[SubscriptionStart],"&lt;="&amp;A359,Table1[TotalRevenue])</f>
        <v>82190.450000000026</v>
      </c>
      <c r="I359" s="50">
        <f t="shared" si="21"/>
        <v>44926</v>
      </c>
      <c r="J359" s="49">
        <f t="shared" ca="1" si="22"/>
        <v>287.93548387096774</v>
      </c>
      <c r="K359" s="45" cm="1">
        <f t="array" aca="1" ref="K359" ca="1">SUMPRODUCT((Table1[SubscriptionStart] &lt;= $A359) * (Table1[EffectiveEndDate] &gt;= $A359) * (Table1[Region] = "England"))</f>
        <v>75</v>
      </c>
      <c r="L359" s="45" cm="1">
        <f t="array" aca="1" ref="L359" ca="1">SUMPRODUCT((Table1[SubscriptionStart] &lt;= $A359) * (Table1[EffectiveEndDate] &gt;= $A359) * (Table1[Region] = "Scotland"))</f>
        <v>66</v>
      </c>
      <c r="M359" s="45" cm="1">
        <f t="array" aca="1" ref="M359" ca="1">SUMPRODUCT((Table1[SubscriptionStart] &lt;= $A359) * (Table1[EffectiveEndDate] &gt;= $A359) * (Table1[Region] = "Wales"))</f>
        <v>79</v>
      </c>
      <c r="N359" s="45" cm="1">
        <f t="array" aca="1" ref="N359" ca="1">SUMPRODUCT((Table1[SubscriptionStart] &lt;= $A359) * (Table1[EffectiveEndDate] &gt;= $A359) * (Table1[Region] = "Northern Ireland"))</f>
        <v>81</v>
      </c>
      <c r="O359" s="45" cm="1">
        <f t="array" aca="1" ref="O359" ca="1">SUMPRODUCT((Table1[Gender]="Male")*(Table1[SubscriptionStart]&lt;=A359)*(Table1[EffectiveEndDate]&gt;=A359))</f>
        <v>170</v>
      </c>
      <c r="P359" s="45" cm="1">
        <f t="array" aca="1" ref="P359" ca="1">SUMPRODUCT((Table1[Gender]="Female")*(Table1[SubscriptionStart]&lt;=A359)*(Table1[EffectiveEndDate]&gt;=A359))</f>
        <v>131</v>
      </c>
    </row>
    <row r="360" spans="1:16">
      <c r="A360" s="48">
        <f t="shared" si="23"/>
        <v>44920</v>
      </c>
      <c r="B360" s="45" cm="1">
        <f t="array" aca="1" ref="B360" ca="1">SUMPRODUCT((Table1[SubscriptionStart]&lt;=A360)*(Table1[EffectiveEndDate]&gt;=A360))</f>
        <v>304</v>
      </c>
      <c r="C360" s="45">
        <f>COUNTIFS(Table1[SubscriptionStart], A360)</f>
        <v>3</v>
      </c>
      <c r="D360" s="45">
        <f>COUNTIFS(Table1[CancellationDate], A360)</f>
        <v>1</v>
      </c>
      <c r="E360" s="45">
        <f t="shared" si="20"/>
        <v>2</v>
      </c>
      <c r="F360" s="45">
        <f>SUM($C$2:C360)</f>
        <v>378</v>
      </c>
      <c r="G360" s="49" cm="1">
        <f t="array" aca="1" ref="G360" ca="1">IF(B360=0,"", SUMPRODUCT((Table1[SubscriptionStart]&lt;=A360)*(Table1[EffectiveEndDate]&gt;=A360)*Table1[Age]) / B360 )</f>
        <v>46.70723684210526</v>
      </c>
      <c r="H360" s="22">
        <f>SUMIF(Table1[SubscriptionStart],"&lt;="&amp;A360,Table1[TotalRevenue])</f>
        <v>82721.450000000026</v>
      </c>
      <c r="I360" s="50">
        <f t="shared" si="21"/>
        <v>44926</v>
      </c>
      <c r="J360" s="49">
        <f t="shared" ca="1" si="22"/>
        <v>287.93548387096774</v>
      </c>
      <c r="K360" s="45" cm="1">
        <f t="array" aca="1" ref="K360" ca="1">SUMPRODUCT((Table1[SubscriptionStart] &lt;= $A360) * (Table1[EffectiveEndDate] &gt;= $A360) * (Table1[Region] = "England"))</f>
        <v>75</v>
      </c>
      <c r="L360" s="45" cm="1">
        <f t="array" aca="1" ref="L360" ca="1">SUMPRODUCT((Table1[SubscriptionStart] &lt;= $A360) * (Table1[EffectiveEndDate] &gt;= $A360) * (Table1[Region] = "Scotland"))</f>
        <v>68</v>
      </c>
      <c r="M360" s="45" cm="1">
        <f t="array" aca="1" ref="M360" ca="1">SUMPRODUCT((Table1[SubscriptionStart] &lt;= $A360) * (Table1[EffectiveEndDate] &gt;= $A360) * (Table1[Region] = "Wales"))</f>
        <v>79</v>
      </c>
      <c r="N360" s="45" cm="1">
        <f t="array" aca="1" ref="N360" ca="1">SUMPRODUCT((Table1[SubscriptionStart] &lt;= $A360) * (Table1[EffectiveEndDate] &gt;= $A360) * (Table1[Region] = "Northern Ireland"))</f>
        <v>82</v>
      </c>
      <c r="O360" s="45" cm="1">
        <f t="array" aca="1" ref="O360" ca="1">SUMPRODUCT((Table1[Gender]="Male")*(Table1[SubscriptionStart]&lt;=A360)*(Table1[EffectiveEndDate]&gt;=A360))</f>
        <v>170</v>
      </c>
      <c r="P360" s="45" cm="1">
        <f t="array" aca="1" ref="P360" ca="1">SUMPRODUCT((Table1[Gender]="Female")*(Table1[SubscriptionStart]&lt;=A360)*(Table1[EffectiveEndDate]&gt;=A360))</f>
        <v>134</v>
      </c>
    </row>
    <row r="361" spans="1:16">
      <c r="A361" s="48">
        <f t="shared" si="23"/>
        <v>44921</v>
      </c>
      <c r="B361" s="45" cm="1">
        <f t="array" aca="1" ref="B361" ca="1">SUMPRODUCT((Table1[SubscriptionStart]&lt;=A361)*(Table1[EffectiveEndDate]&gt;=A361))</f>
        <v>306</v>
      </c>
      <c r="C361" s="45">
        <f>COUNTIFS(Table1[SubscriptionStart], A361)</f>
        <v>3</v>
      </c>
      <c r="D361" s="45">
        <f>COUNTIFS(Table1[CancellationDate], A361)</f>
        <v>0</v>
      </c>
      <c r="E361" s="45">
        <f t="shared" si="20"/>
        <v>3</v>
      </c>
      <c r="F361" s="45">
        <f>SUM($C$2:C361)</f>
        <v>381</v>
      </c>
      <c r="G361" s="49" cm="1">
        <f t="array" aca="1" ref="G361" ca="1">IF(B361=0,"", SUMPRODUCT((Table1[SubscriptionStart]&lt;=A361)*(Table1[EffectiveEndDate]&gt;=A361)*Table1[Age]) / B361 )</f>
        <v>46.767973856209153</v>
      </c>
      <c r="H361" s="22">
        <f>SUMIF(Table1[SubscriptionStart],"&lt;="&amp;A361,Table1[TotalRevenue])</f>
        <v>83474.700000000026</v>
      </c>
      <c r="I361" s="50">
        <f t="shared" si="21"/>
        <v>44926</v>
      </c>
      <c r="J361" s="49">
        <f t="shared" ca="1" si="22"/>
        <v>287.93548387096774</v>
      </c>
      <c r="K361" s="45" cm="1">
        <f t="array" aca="1" ref="K361" ca="1">SUMPRODUCT((Table1[SubscriptionStart] &lt;= $A361) * (Table1[EffectiveEndDate] &gt;= $A361) * (Table1[Region] = "England"))</f>
        <v>75</v>
      </c>
      <c r="L361" s="45" cm="1">
        <f t="array" aca="1" ref="L361" ca="1">SUMPRODUCT((Table1[SubscriptionStart] &lt;= $A361) * (Table1[EffectiveEndDate] &gt;= $A361) * (Table1[Region] = "Scotland"))</f>
        <v>68</v>
      </c>
      <c r="M361" s="45" cm="1">
        <f t="array" aca="1" ref="M361" ca="1">SUMPRODUCT((Table1[SubscriptionStart] &lt;= $A361) * (Table1[EffectiveEndDate] &gt;= $A361) * (Table1[Region] = "Wales"))</f>
        <v>80</v>
      </c>
      <c r="N361" s="45" cm="1">
        <f t="array" aca="1" ref="N361" ca="1">SUMPRODUCT((Table1[SubscriptionStart] &lt;= $A361) * (Table1[EffectiveEndDate] &gt;= $A361) * (Table1[Region] = "Northern Ireland"))</f>
        <v>83</v>
      </c>
      <c r="O361" s="45" cm="1">
        <f t="array" aca="1" ref="O361" ca="1">SUMPRODUCT((Table1[Gender]="Male")*(Table1[SubscriptionStart]&lt;=A361)*(Table1[EffectiveEndDate]&gt;=A361))</f>
        <v>172</v>
      </c>
      <c r="P361" s="45" cm="1">
        <f t="array" aca="1" ref="P361" ca="1">SUMPRODUCT((Table1[Gender]="Female")*(Table1[SubscriptionStart]&lt;=A361)*(Table1[EffectiveEndDate]&gt;=A361))</f>
        <v>134</v>
      </c>
    </row>
    <row r="362" spans="1:16">
      <c r="A362" s="48">
        <f t="shared" si="23"/>
        <v>44922</v>
      </c>
      <c r="B362" s="45" cm="1">
        <f t="array" aca="1" ref="B362" ca="1">SUMPRODUCT((Table1[SubscriptionStart]&lt;=A362)*(Table1[EffectiveEndDate]&gt;=A362))</f>
        <v>306</v>
      </c>
      <c r="C362" s="45">
        <f>COUNTIFS(Table1[SubscriptionStart], A362)</f>
        <v>0</v>
      </c>
      <c r="D362" s="45">
        <f>COUNTIFS(Table1[CancellationDate], A362)</f>
        <v>1</v>
      </c>
      <c r="E362" s="45">
        <f t="shared" si="20"/>
        <v>-1</v>
      </c>
      <c r="F362" s="45">
        <f>SUM($C$2:C362)</f>
        <v>381</v>
      </c>
      <c r="G362" s="49" cm="1">
        <f t="array" aca="1" ref="G362" ca="1">IF(B362=0,"", SUMPRODUCT((Table1[SubscriptionStart]&lt;=A362)*(Table1[EffectiveEndDate]&gt;=A362)*Table1[Age]) / B362 )</f>
        <v>46.767973856209153</v>
      </c>
      <c r="H362" s="22">
        <f>SUMIF(Table1[SubscriptionStart],"&lt;="&amp;A362,Table1[TotalRevenue])</f>
        <v>83474.700000000026</v>
      </c>
      <c r="I362" s="50">
        <f t="shared" si="21"/>
        <v>44926</v>
      </c>
      <c r="J362" s="49">
        <f t="shared" ca="1" si="22"/>
        <v>287.93548387096774</v>
      </c>
      <c r="K362" s="45" cm="1">
        <f t="array" aca="1" ref="K362" ca="1">SUMPRODUCT((Table1[SubscriptionStart] &lt;= $A362) * (Table1[EffectiveEndDate] &gt;= $A362) * (Table1[Region] = "England"))</f>
        <v>75</v>
      </c>
      <c r="L362" s="45" cm="1">
        <f t="array" aca="1" ref="L362" ca="1">SUMPRODUCT((Table1[SubscriptionStart] &lt;= $A362) * (Table1[EffectiveEndDate] &gt;= $A362) * (Table1[Region] = "Scotland"))</f>
        <v>68</v>
      </c>
      <c r="M362" s="45" cm="1">
        <f t="array" aca="1" ref="M362" ca="1">SUMPRODUCT((Table1[SubscriptionStart] &lt;= $A362) * (Table1[EffectiveEndDate] &gt;= $A362) * (Table1[Region] = "Wales"))</f>
        <v>80</v>
      </c>
      <c r="N362" s="45" cm="1">
        <f t="array" aca="1" ref="N362" ca="1">SUMPRODUCT((Table1[SubscriptionStart] &lt;= $A362) * (Table1[EffectiveEndDate] &gt;= $A362) * (Table1[Region] = "Northern Ireland"))</f>
        <v>83</v>
      </c>
      <c r="O362" s="45" cm="1">
        <f t="array" aca="1" ref="O362" ca="1">SUMPRODUCT((Table1[Gender]="Male")*(Table1[SubscriptionStart]&lt;=A362)*(Table1[EffectiveEndDate]&gt;=A362))</f>
        <v>172</v>
      </c>
      <c r="P362" s="45" cm="1">
        <f t="array" aca="1" ref="P362" ca="1">SUMPRODUCT((Table1[Gender]="Female")*(Table1[SubscriptionStart]&lt;=A362)*(Table1[EffectiveEndDate]&gt;=A362))</f>
        <v>134</v>
      </c>
    </row>
    <row r="363" spans="1:16">
      <c r="A363" s="48">
        <f t="shared" si="23"/>
        <v>44923</v>
      </c>
      <c r="B363" s="45" cm="1">
        <f t="array" aca="1" ref="B363" ca="1">SUMPRODUCT((Table1[SubscriptionStart]&lt;=A363)*(Table1[EffectiveEndDate]&gt;=A363))</f>
        <v>306</v>
      </c>
      <c r="C363" s="45">
        <f>COUNTIFS(Table1[SubscriptionStart], A363)</f>
        <v>1</v>
      </c>
      <c r="D363" s="45">
        <f>COUNTIFS(Table1[CancellationDate], A363)</f>
        <v>1</v>
      </c>
      <c r="E363" s="45">
        <f t="shared" si="20"/>
        <v>0</v>
      </c>
      <c r="F363" s="45">
        <f>SUM($C$2:C363)</f>
        <v>382</v>
      </c>
      <c r="G363" s="49" cm="1">
        <f t="array" aca="1" ref="G363" ca="1">IF(B363=0,"", SUMPRODUCT((Table1[SubscriptionStart]&lt;=A363)*(Table1[EffectiveEndDate]&gt;=A363)*Table1[Age]) / B363 )</f>
        <v>46.908496732026144</v>
      </c>
      <c r="H363" s="22">
        <f>SUMIF(Table1[SubscriptionStart],"&lt;="&amp;A363,Table1[TotalRevenue])</f>
        <v>83604.300000000032</v>
      </c>
      <c r="I363" s="50">
        <f t="shared" si="21"/>
        <v>44926</v>
      </c>
      <c r="J363" s="49">
        <f t="shared" ca="1" si="22"/>
        <v>287.93548387096774</v>
      </c>
      <c r="K363" s="45" cm="1">
        <f t="array" aca="1" ref="K363" ca="1">SUMPRODUCT((Table1[SubscriptionStart] &lt;= $A363) * (Table1[EffectiveEndDate] &gt;= $A363) * (Table1[Region] = "England"))</f>
        <v>75</v>
      </c>
      <c r="L363" s="45" cm="1">
        <f t="array" aca="1" ref="L363" ca="1">SUMPRODUCT((Table1[SubscriptionStart] &lt;= $A363) * (Table1[EffectiveEndDate] &gt;= $A363) * (Table1[Region] = "Scotland"))</f>
        <v>68</v>
      </c>
      <c r="M363" s="45" cm="1">
        <f t="array" aca="1" ref="M363" ca="1">SUMPRODUCT((Table1[SubscriptionStart] &lt;= $A363) * (Table1[EffectiveEndDate] &gt;= $A363) * (Table1[Region] = "Wales"))</f>
        <v>80</v>
      </c>
      <c r="N363" s="45" cm="1">
        <f t="array" aca="1" ref="N363" ca="1">SUMPRODUCT((Table1[SubscriptionStart] &lt;= $A363) * (Table1[EffectiveEndDate] &gt;= $A363) * (Table1[Region] = "Northern Ireland"))</f>
        <v>83</v>
      </c>
      <c r="O363" s="45" cm="1">
        <f t="array" aca="1" ref="O363" ca="1">SUMPRODUCT((Table1[Gender]="Male")*(Table1[SubscriptionStart]&lt;=A363)*(Table1[EffectiveEndDate]&gt;=A363))</f>
        <v>172</v>
      </c>
      <c r="P363" s="45" cm="1">
        <f t="array" aca="1" ref="P363" ca="1">SUMPRODUCT((Table1[Gender]="Female")*(Table1[SubscriptionStart]&lt;=A363)*(Table1[EffectiveEndDate]&gt;=A363))</f>
        <v>134</v>
      </c>
    </row>
    <row r="364" spans="1:16">
      <c r="A364" s="48">
        <f t="shared" si="23"/>
        <v>44924</v>
      </c>
      <c r="B364" s="45" cm="1">
        <f t="array" aca="1" ref="B364" ca="1">SUMPRODUCT((Table1[SubscriptionStart]&lt;=A364)*(Table1[EffectiveEndDate]&gt;=A364))</f>
        <v>305</v>
      </c>
      <c r="C364" s="45">
        <f>COUNTIFS(Table1[SubscriptionStart], A364)</f>
        <v>0</v>
      </c>
      <c r="D364" s="45">
        <f>COUNTIFS(Table1[CancellationDate], A364)</f>
        <v>0</v>
      </c>
      <c r="E364" s="45">
        <f t="shared" si="20"/>
        <v>0</v>
      </c>
      <c r="F364" s="45">
        <f>SUM($C$2:C364)</f>
        <v>382</v>
      </c>
      <c r="G364" s="49" cm="1">
        <f t="array" aca="1" ref="G364" ca="1">IF(B364=0,"", SUMPRODUCT((Table1[SubscriptionStart]&lt;=A364)*(Table1[EffectiveEndDate]&gt;=A364)*Table1[Age]) / B364 )</f>
        <v>46.963934426229507</v>
      </c>
      <c r="H364" s="22">
        <f>SUMIF(Table1[SubscriptionStart],"&lt;="&amp;A364,Table1[TotalRevenue])</f>
        <v>83604.300000000032</v>
      </c>
      <c r="I364" s="50">
        <f t="shared" si="21"/>
        <v>44926</v>
      </c>
      <c r="J364" s="49">
        <f t="shared" ca="1" si="22"/>
        <v>287.93548387096774</v>
      </c>
      <c r="K364" s="45" cm="1">
        <f t="array" aca="1" ref="K364" ca="1">SUMPRODUCT((Table1[SubscriptionStart] &lt;= $A364) * (Table1[EffectiveEndDate] &gt;= $A364) * (Table1[Region] = "England"))</f>
        <v>75</v>
      </c>
      <c r="L364" s="45" cm="1">
        <f t="array" aca="1" ref="L364" ca="1">SUMPRODUCT((Table1[SubscriptionStart] &lt;= $A364) * (Table1[EffectiveEndDate] &gt;= $A364) * (Table1[Region] = "Scotland"))</f>
        <v>68</v>
      </c>
      <c r="M364" s="45" cm="1">
        <f t="array" aca="1" ref="M364" ca="1">SUMPRODUCT((Table1[SubscriptionStart] &lt;= $A364) * (Table1[EffectiveEndDate] &gt;= $A364) * (Table1[Region] = "Wales"))</f>
        <v>80</v>
      </c>
      <c r="N364" s="45" cm="1">
        <f t="array" aca="1" ref="N364" ca="1">SUMPRODUCT((Table1[SubscriptionStart] &lt;= $A364) * (Table1[EffectiveEndDate] &gt;= $A364) * (Table1[Region] = "Northern Ireland"))</f>
        <v>82</v>
      </c>
      <c r="O364" s="45" cm="1">
        <f t="array" aca="1" ref="O364" ca="1">SUMPRODUCT((Table1[Gender]="Male")*(Table1[SubscriptionStart]&lt;=A364)*(Table1[EffectiveEndDate]&gt;=A364))</f>
        <v>172</v>
      </c>
      <c r="P364" s="45" cm="1">
        <f t="array" aca="1" ref="P364" ca="1">SUMPRODUCT((Table1[Gender]="Female")*(Table1[SubscriptionStart]&lt;=A364)*(Table1[EffectiveEndDate]&gt;=A364))</f>
        <v>133</v>
      </c>
    </row>
    <row r="365" spans="1:16">
      <c r="A365" s="48">
        <f t="shared" si="23"/>
        <v>44925</v>
      </c>
      <c r="B365" s="45" cm="1">
        <f t="array" aca="1" ref="B365" ca="1">SUMPRODUCT((Table1[SubscriptionStart]&lt;=A365)*(Table1[EffectiveEndDate]&gt;=A365))</f>
        <v>307</v>
      </c>
      <c r="C365" s="45">
        <f>COUNTIFS(Table1[SubscriptionStart], A365)</f>
        <v>2</v>
      </c>
      <c r="D365" s="45">
        <f>COUNTIFS(Table1[CancellationDate], A365)</f>
        <v>0</v>
      </c>
      <c r="E365" s="45">
        <f t="shared" si="20"/>
        <v>2</v>
      </c>
      <c r="F365" s="45">
        <f>SUM($C$2:C365)</f>
        <v>384</v>
      </c>
      <c r="G365" s="49" cm="1">
        <f t="array" aca="1" ref="G365" ca="1">IF(B365=0,"", SUMPRODUCT((Table1[SubscriptionStart]&lt;=A365)*(Table1[EffectiveEndDate]&gt;=A365)*Table1[Age]) / B365 )</f>
        <v>46.970684039087949</v>
      </c>
      <c r="H365" s="22">
        <f>SUMIF(Table1[SubscriptionStart],"&lt;="&amp;A365,Table1[TotalRevenue])</f>
        <v>84286.500000000029</v>
      </c>
      <c r="I365" s="50">
        <f t="shared" si="21"/>
        <v>44926</v>
      </c>
      <c r="J365" s="49">
        <f t="shared" ca="1" si="22"/>
        <v>287.93548387096774</v>
      </c>
      <c r="K365" s="45" cm="1">
        <f t="array" aca="1" ref="K365" ca="1">SUMPRODUCT((Table1[SubscriptionStart] &lt;= $A365) * (Table1[EffectiveEndDate] &gt;= $A365) * (Table1[Region] = "England"))</f>
        <v>75</v>
      </c>
      <c r="L365" s="45" cm="1">
        <f t="array" aca="1" ref="L365" ca="1">SUMPRODUCT((Table1[SubscriptionStart] &lt;= $A365) * (Table1[EffectiveEndDate] &gt;= $A365) * (Table1[Region] = "Scotland"))</f>
        <v>68</v>
      </c>
      <c r="M365" s="45" cm="1">
        <f t="array" aca="1" ref="M365" ca="1">SUMPRODUCT((Table1[SubscriptionStart] &lt;= $A365) * (Table1[EffectiveEndDate] &gt;= $A365) * (Table1[Region] = "Wales"))</f>
        <v>80</v>
      </c>
      <c r="N365" s="45" cm="1">
        <f t="array" aca="1" ref="N365" ca="1">SUMPRODUCT((Table1[SubscriptionStart] &lt;= $A365) * (Table1[EffectiveEndDate] &gt;= $A365) * (Table1[Region] = "Northern Ireland"))</f>
        <v>84</v>
      </c>
      <c r="O365" s="45" cm="1">
        <f t="array" aca="1" ref="O365" ca="1">SUMPRODUCT((Table1[Gender]="Male")*(Table1[SubscriptionStart]&lt;=A365)*(Table1[EffectiveEndDate]&gt;=A365))</f>
        <v>174</v>
      </c>
      <c r="P365" s="45" cm="1">
        <f t="array" aca="1" ref="P365" ca="1">SUMPRODUCT((Table1[Gender]="Female")*(Table1[SubscriptionStart]&lt;=A365)*(Table1[EffectiveEndDate]&gt;=A365))</f>
        <v>133</v>
      </c>
    </row>
    <row r="366" spans="1:16">
      <c r="A366" s="48">
        <f t="shared" si="23"/>
        <v>44926</v>
      </c>
      <c r="B366" s="45" cm="1">
        <f t="array" aca="1" ref="B366" ca="1">SUMPRODUCT((Table1[SubscriptionStart]&lt;=A366)*(Table1[EffectiveEndDate]&gt;=A366))</f>
        <v>310</v>
      </c>
      <c r="C366" s="45">
        <f>COUNTIFS(Table1[SubscriptionStart], A366)</f>
        <v>3</v>
      </c>
      <c r="D366" s="45">
        <f>COUNTIFS(Table1[CancellationDate], A366)</f>
        <v>1</v>
      </c>
      <c r="E366" s="45">
        <f t="shared" si="20"/>
        <v>2</v>
      </c>
      <c r="F366" s="45">
        <f>SUM($C$2:C366)</f>
        <v>387</v>
      </c>
      <c r="G366" s="49" cm="1">
        <f t="array" aca="1" ref="G366" ca="1">IF(B366=0,"", SUMPRODUCT((Table1[SubscriptionStart]&lt;=A366)*(Table1[EffectiveEndDate]&gt;=A366)*Table1[Age]) / B366 )</f>
        <v>46.954838709677418</v>
      </c>
      <c r="H366" s="22">
        <f>SUMIF(Table1[SubscriptionStart],"&lt;="&amp;A366,Table1[TotalRevenue])</f>
        <v>85076.700000000026</v>
      </c>
      <c r="I366" s="50">
        <f t="shared" si="21"/>
        <v>44926</v>
      </c>
      <c r="J366" s="49">
        <f t="shared" ca="1" si="22"/>
        <v>287.93548387096774</v>
      </c>
      <c r="K366" s="45" cm="1">
        <f t="array" aca="1" ref="K366" ca="1">SUMPRODUCT((Table1[SubscriptionStart] &lt;= $A366) * (Table1[EffectiveEndDate] &gt;= $A366) * (Table1[Region] = "England"))</f>
        <v>75</v>
      </c>
      <c r="L366" s="45" cm="1">
        <f t="array" aca="1" ref="L366" ca="1">SUMPRODUCT((Table1[SubscriptionStart] &lt;= $A366) * (Table1[EffectiveEndDate] &gt;= $A366) * (Table1[Region] = "Scotland"))</f>
        <v>69</v>
      </c>
      <c r="M366" s="45" cm="1">
        <f t="array" aca="1" ref="M366" ca="1">SUMPRODUCT((Table1[SubscriptionStart] &lt;= $A366) * (Table1[EffectiveEndDate] &gt;= $A366) * (Table1[Region] = "Wales"))</f>
        <v>81</v>
      </c>
      <c r="N366" s="45" cm="1">
        <f t="array" aca="1" ref="N366" ca="1">SUMPRODUCT((Table1[SubscriptionStart] &lt;= $A366) * (Table1[EffectiveEndDate] &gt;= $A366) * (Table1[Region] = "Northern Ireland"))</f>
        <v>85</v>
      </c>
      <c r="O366" s="45" cm="1">
        <f t="array" aca="1" ref="O366" ca="1">SUMPRODUCT((Table1[Gender]="Male")*(Table1[SubscriptionStart]&lt;=A366)*(Table1[EffectiveEndDate]&gt;=A366))</f>
        <v>174</v>
      </c>
      <c r="P366" s="45" cm="1">
        <f t="array" aca="1" ref="P366" ca="1">SUMPRODUCT((Table1[Gender]="Female")*(Table1[SubscriptionStart]&lt;=A366)*(Table1[EffectiveEndDate]&gt;=A366))</f>
        <v>136</v>
      </c>
    </row>
    <row r="367" spans="1:16">
      <c r="A367" s="48">
        <f t="shared" si="23"/>
        <v>44927</v>
      </c>
      <c r="B367" s="45" cm="1">
        <f t="array" aca="1" ref="B367" ca="1">SUMPRODUCT((Table1[SubscriptionStart]&lt;=A367)*(Table1[EffectiveEndDate]&gt;=A367))</f>
        <v>309</v>
      </c>
      <c r="C367" s="45">
        <f>COUNTIFS(Table1[SubscriptionStart], A367)</f>
        <v>0</v>
      </c>
      <c r="D367" s="45">
        <f>COUNTIFS(Table1[CancellationDate], A367)</f>
        <v>1</v>
      </c>
      <c r="E367" s="45">
        <f t="shared" si="20"/>
        <v>-1</v>
      </c>
      <c r="F367" s="45">
        <f>SUM($C$2:C367)</f>
        <v>387</v>
      </c>
      <c r="G367" s="49" cm="1">
        <f t="array" aca="1" ref="G367" ca="1">IF(B367=0,"", SUMPRODUCT((Table1[SubscriptionStart]&lt;=A367)*(Table1[EffectiveEndDate]&gt;=A367)*Table1[Age]) / B367 )</f>
        <v>47.003236245954696</v>
      </c>
      <c r="H367" s="22">
        <f>SUMIF(Table1[SubscriptionStart],"&lt;="&amp;A367,Table1[TotalRevenue])</f>
        <v>85076.700000000026</v>
      </c>
      <c r="I367" s="50">
        <f t="shared" si="21"/>
        <v>44957</v>
      </c>
      <c r="J367" s="49">
        <f t="shared" ca="1" si="22"/>
        <v>313.51612903225805</v>
      </c>
      <c r="K367" s="45" cm="1">
        <f t="array" aca="1" ref="K367" ca="1">SUMPRODUCT((Table1[SubscriptionStart] &lt;= $A367) * (Table1[EffectiveEndDate] &gt;= $A367) * (Table1[Region] = "England"))</f>
        <v>74</v>
      </c>
      <c r="L367" s="45" cm="1">
        <f t="array" aca="1" ref="L367" ca="1">SUMPRODUCT((Table1[SubscriptionStart] &lt;= $A367) * (Table1[EffectiveEndDate] &gt;= $A367) * (Table1[Region] = "Scotland"))</f>
        <v>69</v>
      </c>
      <c r="M367" s="45" cm="1">
        <f t="array" aca="1" ref="M367" ca="1">SUMPRODUCT((Table1[SubscriptionStart] &lt;= $A367) * (Table1[EffectiveEndDate] &gt;= $A367) * (Table1[Region] = "Wales"))</f>
        <v>81</v>
      </c>
      <c r="N367" s="45" cm="1">
        <f t="array" aca="1" ref="N367" ca="1">SUMPRODUCT((Table1[SubscriptionStart] &lt;= $A367) * (Table1[EffectiveEndDate] &gt;= $A367) * (Table1[Region] = "Northern Ireland"))</f>
        <v>85</v>
      </c>
      <c r="O367" s="45" cm="1">
        <f t="array" aca="1" ref="O367" ca="1">SUMPRODUCT((Table1[Gender]="Male")*(Table1[SubscriptionStart]&lt;=A367)*(Table1[EffectiveEndDate]&gt;=A367))</f>
        <v>173</v>
      </c>
      <c r="P367" s="45" cm="1">
        <f t="array" aca="1" ref="P367" ca="1">SUMPRODUCT((Table1[Gender]="Female")*(Table1[SubscriptionStart]&lt;=A367)*(Table1[EffectiveEndDate]&gt;=A367))</f>
        <v>136</v>
      </c>
    </row>
    <row r="368" spans="1:16">
      <c r="A368" s="48">
        <f t="shared" si="23"/>
        <v>44928</v>
      </c>
      <c r="B368" s="45" cm="1">
        <f t="array" aca="1" ref="B368" ca="1">SUMPRODUCT((Table1[SubscriptionStart]&lt;=A368)*(Table1[EffectiveEndDate]&gt;=A368))</f>
        <v>308</v>
      </c>
      <c r="C368" s="45">
        <f>COUNTIFS(Table1[SubscriptionStart], A368)</f>
        <v>0</v>
      </c>
      <c r="D368" s="45">
        <f>COUNTIFS(Table1[CancellationDate], A368)</f>
        <v>1</v>
      </c>
      <c r="E368" s="45">
        <f t="shared" si="20"/>
        <v>-1</v>
      </c>
      <c r="F368" s="45">
        <f>SUM($C$2:C368)</f>
        <v>387</v>
      </c>
      <c r="G368" s="49" cm="1">
        <f t="array" aca="1" ref="G368" ca="1">IF(B368=0,"", SUMPRODUCT((Table1[SubscriptionStart]&lt;=A368)*(Table1[EffectiveEndDate]&gt;=A368)*Table1[Age]) / B368 )</f>
        <v>46.983766233766232</v>
      </c>
      <c r="H368" s="22">
        <f>SUMIF(Table1[SubscriptionStart],"&lt;="&amp;A368,Table1[TotalRevenue])</f>
        <v>85076.700000000026</v>
      </c>
      <c r="I368" s="50">
        <f t="shared" si="21"/>
        <v>44957</v>
      </c>
      <c r="J368" s="49">
        <f t="shared" ca="1" si="22"/>
        <v>313.51612903225805</v>
      </c>
      <c r="K368" s="45" cm="1">
        <f t="array" aca="1" ref="K368" ca="1">SUMPRODUCT((Table1[SubscriptionStart] &lt;= $A368) * (Table1[EffectiveEndDate] &gt;= $A368) * (Table1[Region] = "England"))</f>
        <v>74</v>
      </c>
      <c r="L368" s="45" cm="1">
        <f t="array" aca="1" ref="L368" ca="1">SUMPRODUCT((Table1[SubscriptionStart] &lt;= $A368) * (Table1[EffectiveEndDate] &gt;= $A368) * (Table1[Region] = "Scotland"))</f>
        <v>68</v>
      </c>
      <c r="M368" s="45" cm="1">
        <f t="array" aca="1" ref="M368" ca="1">SUMPRODUCT((Table1[SubscriptionStart] &lt;= $A368) * (Table1[EffectiveEndDate] &gt;= $A368) * (Table1[Region] = "Wales"))</f>
        <v>81</v>
      </c>
      <c r="N368" s="45" cm="1">
        <f t="array" aca="1" ref="N368" ca="1">SUMPRODUCT((Table1[SubscriptionStart] &lt;= $A368) * (Table1[EffectiveEndDate] &gt;= $A368) * (Table1[Region] = "Northern Ireland"))</f>
        <v>85</v>
      </c>
      <c r="O368" s="45" cm="1">
        <f t="array" aca="1" ref="O368" ca="1">SUMPRODUCT((Table1[Gender]="Male")*(Table1[SubscriptionStart]&lt;=A368)*(Table1[EffectiveEndDate]&gt;=A368))</f>
        <v>172</v>
      </c>
      <c r="P368" s="45" cm="1">
        <f t="array" aca="1" ref="P368" ca="1">SUMPRODUCT((Table1[Gender]="Female")*(Table1[SubscriptionStart]&lt;=A368)*(Table1[EffectiveEndDate]&gt;=A368))</f>
        <v>136</v>
      </c>
    </row>
    <row r="369" spans="1:16">
      <c r="A369" s="48">
        <f t="shared" si="23"/>
        <v>44929</v>
      </c>
      <c r="B369" s="45" cm="1">
        <f t="array" aca="1" ref="B369" ca="1">SUMPRODUCT((Table1[SubscriptionStart]&lt;=A369)*(Table1[EffectiveEndDate]&gt;=A369))</f>
        <v>308</v>
      </c>
      <c r="C369" s="45">
        <f>COUNTIFS(Table1[SubscriptionStart], A369)</f>
        <v>1</v>
      </c>
      <c r="D369" s="45">
        <f>COUNTIFS(Table1[CancellationDate], A369)</f>
        <v>1</v>
      </c>
      <c r="E369" s="45">
        <f t="shared" si="20"/>
        <v>0</v>
      </c>
      <c r="F369" s="45">
        <f>SUM($C$2:C369)</f>
        <v>388</v>
      </c>
      <c r="G369" s="49" cm="1">
        <f t="array" aca="1" ref="G369" ca="1">IF(B369=0,"", SUMPRODUCT((Table1[SubscriptionStart]&lt;=A369)*(Table1[EffectiveEndDate]&gt;=A369)*Table1[Age]) / B369 )</f>
        <v>46.990259740259738</v>
      </c>
      <c r="H369" s="22">
        <f>SUMIF(Table1[SubscriptionStart],"&lt;="&amp;A369,Table1[TotalRevenue])</f>
        <v>85076.700000000026</v>
      </c>
      <c r="I369" s="50">
        <f t="shared" si="21"/>
        <v>44957</v>
      </c>
      <c r="J369" s="49">
        <f t="shared" ca="1" si="22"/>
        <v>313.51612903225805</v>
      </c>
      <c r="K369" s="45" cm="1">
        <f t="array" aca="1" ref="K369" ca="1">SUMPRODUCT((Table1[SubscriptionStart] &lt;= $A369) * (Table1[EffectiveEndDate] &gt;= $A369) * (Table1[Region] = "England"))</f>
        <v>73</v>
      </c>
      <c r="L369" s="45" cm="1">
        <f t="array" aca="1" ref="L369" ca="1">SUMPRODUCT((Table1[SubscriptionStart] &lt;= $A369) * (Table1[EffectiveEndDate] &gt;= $A369) * (Table1[Region] = "Scotland"))</f>
        <v>68</v>
      </c>
      <c r="M369" s="45" cm="1">
        <f t="array" aca="1" ref="M369" ca="1">SUMPRODUCT((Table1[SubscriptionStart] &lt;= $A369) * (Table1[EffectiveEndDate] &gt;= $A369) * (Table1[Region] = "Wales"))</f>
        <v>81</v>
      </c>
      <c r="N369" s="45" cm="1">
        <f t="array" aca="1" ref="N369" ca="1">SUMPRODUCT((Table1[SubscriptionStart] &lt;= $A369) * (Table1[EffectiveEndDate] &gt;= $A369) * (Table1[Region] = "Northern Ireland"))</f>
        <v>86</v>
      </c>
      <c r="O369" s="45" cm="1">
        <f t="array" aca="1" ref="O369" ca="1">SUMPRODUCT((Table1[Gender]="Male")*(Table1[SubscriptionStart]&lt;=A369)*(Table1[EffectiveEndDate]&gt;=A369))</f>
        <v>172</v>
      </c>
      <c r="P369" s="45" cm="1">
        <f t="array" aca="1" ref="P369" ca="1">SUMPRODUCT((Table1[Gender]="Female")*(Table1[SubscriptionStart]&lt;=A369)*(Table1[EffectiveEndDate]&gt;=A369))</f>
        <v>136</v>
      </c>
    </row>
    <row r="370" spans="1:16">
      <c r="A370" s="48">
        <f t="shared" si="23"/>
        <v>44930</v>
      </c>
      <c r="B370" s="45" cm="1">
        <f t="array" aca="1" ref="B370" ca="1">SUMPRODUCT((Table1[SubscriptionStart]&lt;=A370)*(Table1[EffectiveEndDate]&gt;=A370))</f>
        <v>308</v>
      </c>
      <c r="C370" s="45">
        <f>COUNTIFS(Table1[SubscriptionStart], A370)</f>
        <v>1</v>
      </c>
      <c r="D370" s="45">
        <f>COUNTIFS(Table1[CancellationDate], A370)</f>
        <v>1</v>
      </c>
      <c r="E370" s="45">
        <f t="shared" si="20"/>
        <v>0</v>
      </c>
      <c r="F370" s="45">
        <f>SUM($C$2:C370)</f>
        <v>389</v>
      </c>
      <c r="G370" s="49" cm="1">
        <f t="array" aca="1" ref="G370" ca="1">IF(B370=0,"", SUMPRODUCT((Table1[SubscriptionStart]&lt;=A370)*(Table1[EffectiveEndDate]&gt;=A370)*Table1[Age]) / B370 )</f>
        <v>46.967532467532465</v>
      </c>
      <c r="H370" s="22">
        <f>SUMIF(Table1[SubscriptionStart],"&lt;="&amp;A370,Table1[TotalRevenue])</f>
        <v>85924.200000000026</v>
      </c>
      <c r="I370" s="50">
        <f t="shared" si="21"/>
        <v>44957</v>
      </c>
      <c r="J370" s="49">
        <f t="shared" ca="1" si="22"/>
        <v>313.51612903225805</v>
      </c>
      <c r="K370" s="45" cm="1">
        <f t="array" aca="1" ref="K370" ca="1">SUMPRODUCT((Table1[SubscriptionStart] &lt;= $A370) * (Table1[EffectiveEndDate] &gt;= $A370) * (Table1[Region] = "England"))</f>
        <v>72</v>
      </c>
      <c r="L370" s="45" cm="1">
        <f t="array" aca="1" ref="L370" ca="1">SUMPRODUCT((Table1[SubscriptionStart] &lt;= $A370) * (Table1[EffectiveEndDate] &gt;= $A370) * (Table1[Region] = "Scotland"))</f>
        <v>68</v>
      </c>
      <c r="M370" s="45" cm="1">
        <f t="array" aca="1" ref="M370" ca="1">SUMPRODUCT((Table1[SubscriptionStart] &lt;= $A370) * (Table1[EffectiveEndDate] &gt;= $A370) * (Table1[Region] = "Wales"))</f>
        <v>82</v>
      </c>
      <c r="N370" s="45" cm="1">
        <f t="array" aca="1" ref="N370" ca="1">SUMPRODUCT((Table1[SubscriptionStart] &lt;= $A370) * (Table1[EffectiveEndDate] &gt;= $A370) * (Table1[Region] = "Northern Ireland"))</f>
        <v>86</v>
      </c>
      <c r="O370" s="45" cm="1">
        <f t="array" aca="1" ref="O370" ca="1">SUMPRODUCT((Table1[Gender]="Male")*(Table1[SubscriptionStart]&lt;=A370)*(Table1[EffectiveEndDate]&gt;=A370))</f>
        <v>172</v>
      </c>
      <c r="P370" s="45" cm="1">
        <f t="array" aca="1" ref="P370" ca="1">SUMPRODUCT((Table1[Gender]="Female")*(Table1[SubscriptionStart]&lt;=A370)*(Table1[EffectiveEndDate]&gt;=A370))</f>
        <v>136</v>
      </c>
    </row>
    <row r="371" spans="1:16">
      <c r="A371" s="48">
        <f t="shared" si="23"/>
        <v>44931</v>
      </c>
      <c r="B371" s="45" cm="1">
        <f t="array" aca="1" ref="B371" ca="1">SUMPRODUCT((Table1[SubscriptionStart]&lt;=A371)*(Table1[EffectiveEndDate]&gt;=A371))</f>
        <v>309</v>
      </c>
      <c r="C371" s="45">
        <f>COUNTIFS(Table1[SubscriptionStart], A371)</f>
        <v>2</v>
      </c>
      <c r="D371" s="45">
        <f>COUNTIFS(Table1[CancellationDate], A371)</f>
        <v>0</v>
      </c>
      <c r="E371" s="45">
        <f t="shared" si="20"/>
        <v>2</v>
      </c>
      <c r="F371" s="45">
        <f>SUM($C$2:C371)</f>
        <v>391</v>
      </c>
      <c r="G371" s="49" cm="1">
        <f t="array" aca="1" ref="G371" ca="1">IF(B371=0,"", SUMPRODUCT((Table1[SubscriptionStart]&lt;=A371)*(Table1[EffectiveEndDate]&gt;=A371)*Table1[Age]) / B371 )</f>
        <v>47.055016181229774</v>
      </c>
      <c r="H371" s="22">
        <f>SUMIF(Table1[SubscriptionStart],"&lt;="&amp;A371,Table1[TotalRevenue])</f>
        <v>86065.950000000026</v>
      </c>
      <c r="I371" s="50">
        <f t="shared" si="21"/>
        <v>44957</v>
      </c>
      <c r="J371" s="49">
        <f t="shared" ca="1" si="22"/>
        <v>313.51612903225805</v>
      </c>
      <c r="K371" s="45" cm="1">
        <f t="array" aca="1" ref="K371" ca="1">SUMPRODUCT((Table1[SubscriptionStart] &lt;= $A371) * (Table1[EffectiveEndDate] &gt;= $A371) * (Table1[Region] = "England"))</f>
        <v>72</v>
      </c>
      <c r="L371" s="45" cm="1">
        <f t="array" aca="1" ref="L371" ca="1">SUMPRODUCT((Table1[SubscriptionStart] &lt;= $A371) * (Table1[EffectiveEndDate] &gt;= $A371) * (Table1[Region] = "Scotland"))</f>
        <v>68</v>
      </c>
      <c r="M371" s="45" cm="1">
        <f t="array" aca="1" ref="M371" ca="1">SUMPRODUCT((Table1[SubscriptionStart] &lt;= $A371) * (Table1[EffectiveEndDate] &gt;= $A371) * (Table1[Region] = "Wales"))</f>
        <v>83</v>
      </c>
      <c r="N371" s="45" cm="1">
        <f t="array" aca="1" ref="N371" ca="1">SUMPRODUCT((Table1[SubscriptionStart] &lt;= $A371) * (Table1[EffectiveEndDate] &gt;= $A371) * (Table1[Region] = "Northern Ireland"))</f>
        <v>86</v>
      </c>
      <c r="O371" s="45" cm="1">
        <f t="array" aca="1" ref="O371" ca="1">SUMPRODUCT((Table1[Gender]="Male")*(Table1[SubscriptionStart]&lt;=A371)*(Table1[EffectiveEndDate]&gt;=A371))</f>
        <v>173</v>
      </c>
      <c r="P371" s="45" cm="1">
        <f t="array" aca="1" ref="P371" ca="1">SUMPRODUCT((Table1[Gender]="Female")*(Table1[SubscriptionStart]&lt;=A371)*(Table1[EffectiveEndDate]&gt;=A371))</f>
        <v>136</v>
      </c>
    </row>
    <row r="372" spans="1:16">
      <c r="A372" s="48">
        <f t="shared" si="23"/>
        <v>44932</v>
      </c>
      <c r="B372" s="45" cm="1">
        <f t="array" aca="1" ref="B372" ca="1">SUMPRODUCT((Table1[SubscriptionStart]&lt;=A372)*(Table1[EffectiveEndDate]&gt;=A372))</f>
        <v>309</v>
      </c>
      <c r="C372" s="45">
        <f>COUNTIFS(Table1[SubscriptionStart], A372)</f>
        <v>0</v>
      </c>
      <c r="D372" s="45">
        <f>COUNTIFS(Table1[CancellationDate], A372)</f>
        <v>0</v>
      </c>
      <c r="E372" s="45">
        <f t="shared" si="20"/>
        <v>0</v>
      </c>
      <c r="F372" s="45">
        <f>SUM($C$2:C372)</f>
        <v>391</v>
      </c>
      <c r="G372" s="49" cm="1">
        <f t="array" aca="1" ref="G372" ca="1">IF(B372=0,"", SUMPRODUCT((Table1[SubscriptionStart]&lt;=A372)*(Table1[EffectiveEndDate]&gt;=A372)*Table1[Age]) / B372 )</f>
        <v>47.055016181229774</v>
      </c>
      <c r="H372" s="22">
        <f>SUMIF(Table1[SubscriptionStart],"&lt;="&amp;A372,Table1[TotalRevenue])</f>
        <v>86065.950000000026</v>
      </c>
      <c r="I372" s="50">
        <f t="shared" si="21"/>
        <v>44957</v>
      </c>
      <c r="J372" s="49">
        <f t="shared" ca="1" si="22"/>
        <v>313.51612903225805</v>
      </c>
      <c r="K372" s="45" cm="1">
        <f t="array" aca="1" ref="K372" ca="1">SUMPRODUCT((Table1[SubscriptionStart] &lt;= $A372) * (Table1[EffectiveEndDate] &gt;= $A372) * (Table1[Region] = "England"))</f>
        <v>72</v>
      </c>
      <c r="L372" s="45" cm="1">
        <f t="array" aca="1" ref="L372" ca="1">SUMPRODUCT((Table1[SubscriptionStart] &lt;= $A372) * (Table1[EffectiveEndDate] &gt;= $A372) * (Table1[Region] = "Scotland"))</f>
        <v>68</v>
      </c>
      <c r="M372" s="45" cm="1">
        <f t="array" aca="1" ref="M372" ca="1">SUMPRODUCT((Table1[SubscriptionStart] &lt;= $A372) * (Table1[EffectiveEndDate] &gt;= $A372) * (Table1[Region] = "Wales"))</f>
        <v>83</v>
      </c>
      <c r="N372" s="45" cm="1">
        <f t="array" aca="1" ref="N372" ca="1">SUMPRODUCT((Table1[SubscriptionStart] &lt;= $A372) * (Table1[EffectiveEndDate] &gt;= $A372) * (Table1[Region] = "Northern Ireland"))</f>
        <v>86</v>
      </c>
      <c r="O372" s="45" cm="1">
        <f t="array" aca="1" ref="O372" ca="1">SUMPRODUCT((Table1[Gender]="Male")*(Table1[SubscriptionStart]&lt;=A372)*(Table1[EffectiveEndDate]&gt;=A372))</f>
        <v>173</v>
      </c>
      <c r="P372" s="45" cm="1">
        <f t="array" aca="1" ref="P372" ca="1">SUMPRODUCT((Table1[Gender]="Female")*(Table1[SubscriptionStart]&lt;=A372)*(Table1[EffectiveEndDate]&gt;=A372))</f>
        <v>136</v>
      </c>
    </row>
    <row r="373" spans="1:16">
      <c r="A373" s="48">
        <f t="shared" si="23"/>
        <v>44933</v>
      </c>
      <c r="B373" s="45" cm="1">
        <f t="array" aca="1" ref="B373" ca="1">SUMPRODUCT((Table1[SubscriptionStart]&lt;=A373)*(Table1[EffectiveEndDate]&gt;=A373))</f>
        <v>312</v>
      </c>
      <c r="C373" s="45">
        <f>COUNTIFS(Table1[SubscriptionStart], A373)</f>
        <v>3</v>
      </c>
      <c r="D373" s="45">
        <f>COUNTIFS(Table1[CancellationDate], A373)</f>
        <v>1</v>
      </c>
      <c r="E373" s="45">
        <f t="shared" si="20"/>
        <v>2</v>
      </c>
      <c r="F373" s="45">
        <f>SUM($C$2:C373)</f>
        <v>394</v>
      </c>
      <c r="G373" s="49" cm="1">
        <f t="array" aca="1" ref="G373" ca="1">IF(B373=0,"", SUMPRODUCT((Table1[SubscriptionStart]&lt;=A373)*(Table1[EffectiveEndDate]&gt;=A373)*Table1[Age]) / B373 )</f>
        <v>47.07692307692308</v>
      </c>
      <c r="H373" s="22">
        <f>SUMIF(Table1[SubscriptionStart],"&lt;="&amp;A373,Table1[TotalRevenue])</f>
        <v>86497.950000000026</v>
      </c>
      <c r="I373" s="50">
        <f t="shared" si="21"/>
        <v>44957</v>
      </c>
      <c r="J373" s="49">
        <f t="shared" ca="1" si="22"/>
        <v>313.51612903225805</v>
      </c>
      <c r="K373" s="45" cm="1">
        <f t="array" aca="1" ref="K373" ca="1">SUMPRODUCT((Table1[SubscriptionStart] &lt;= $A373) * (Table1[EffectiveEndDate] &gt;= $A373) * (Table1[Region] = "England"))</f>
        <v>72</v>
      </c>
      <c r="L373" s="45" cm="1">
        <f t="array" aca="1" ref="L373" ca="1">SUMPRODUCT((Table1[SubscriptionStart] &lt;= $A373) * (Table1[EffectiveEndDate] &gt;= $A373) * (Table1[Region] = "Scotland"))</f>
        <v>69</v>
      </c>
      <c r="M373" s="45" cm="1">
        <f t="array" aca="1" ref="M373" ca="1">SUMPRODUCT((Table1[SubscriptionStart] &lt;= $A373) * (Table1[EffectiveEndDate] &gt;= $A373) * (Table1[Region] = "Wales"))</f>
        <v>84</v>
      </c>
      <c r="N373" s="45" cm="1">
        <f t="array" aca="1" ref="N373" ca="1">SUMPRODUCT((Table1[SubscriptionStart] &lt;= $A373) * (Table1[EffectiveEndDate] &gt;= $A373) * (Table1[Region] = "Northern Ireland"))</f>
        <v>87</v>
      </c>
      <c r="O373" s="45" cm="1">
        <f t="array" aca="1" ref="O373" ca="1">SUMPRODUCT((Table1[Gender]="Male")*(Table1[SubscriptionStart]&lt;=A373)*(Table1[EffectiveEndDate]&gt;=A373))</f>
        <v>173</v>
      </c>
      <c r="P373" s="45" cm="1">
        <f t="array" aca="1" ref="P373" ca="1">SUMPRODUCT((Table1[Gender]="Female")*(Table1[SubscriptionStart]&lt;=A373)*(Table1[EffectiveEndDate]&gt;=A373))</f>
        <v>139</v>
      </c>
    </row>
    <row r="374" spans="1:16">
      <c r="A374" s="48">
        <f t="shared" si="23"/>
        <v>44934</v>
      </c>
      <c r="B374" s="45" cm="1">
        <f t="array" aca="1" ref="B374" ca="1">SUMPRODUCT((Table1[SubscriptionStart]&lt;=A374)*(Table1[EffectiveEndDate]&gt;=A374))</f>
        <v>312</v>
      </c>
      <c r="C374" s="45">
        <f>COUNTIFS(Table1[SubscriptionStart], A374)</f>
        <v>1</v>
      </c>
      <c r="D374" s="45">
        <f>COUNTIFS(Table1[CancellationDate], A374)</f>
        <v>0</v>
      </c>
      <c r="E374" s="45">
        <f t="shared" si="20"/>
        <v>1</v>
      </c>
      <c r="F374" s="45">
        <f>SUM($C$2:C374)</f>
        <v>395</v>
      </c>
      <c r="G374" s="49" cm="1">
        <f t="array" aca="1" ref="G374" ca="1">IF(B374=0,"", SUMPRODUCT((Table1[SubscriptionStart]&lt;=A374)*(Table1[EffectiveEndDate]&gt;=A374)*Table1[Age]) / B374 )</f>
        <v>47.064102564102562</v>
      </c>
      <c r="H374" s="22">
        <f>SUMIF(Table1[SubscriptionStart],"&lt;="&amp;A374,Table1[TotalRevenue])</f>
        <v>86570.85000000002</v>
      </c>
      <c r="I374" s="50">
        <f t="shared" si="21"/>
        <v>44957</v>
      </c>
      <c r="J374" s="49">
        <f t="shared" ca="1" si="22"/>
        <v>313.51612903225805</v>
      </c>
      <c r="K374" s="45" cm="1">
        <f t="array" aca="1" ref="K374" ca="1">SUMPRODUCT((Table1[SubscriptionStart] &lt;= $A374) * (Table1[EffectiveEndDate] &gt;= $A374) * (Table1[Region] = "England"))</f>
        <v>73</v>
      </c>
      <c r="L374" s="45" cm="1">
        <f t="array" aca="1" ref="L374" ca="1">SUMPRODUCT((Table1[SubscriptionStart] &lt;= $A374) * (Table1[EffectiveEndDate] &gt;= $A374) * (Table1[Region] = "Scotland"))</f>
        <v>69</v>
      </c>
      <c r="M374" s="45" cm="1">
        <f t="array" aca="1" ref="M374" ca="1">SUMPRODUCT((Table1[SubscriptionStart] &lt;= $A374) * (Table1[EffectiveEndDate] &gt;= $A374) * (Table1[Region] = "Wales"))</f>
        <v>83</v>
      </c>
      <c r="N374" s="45" cm="1">
        <f t="array" aca="1" ref="N374" ca="1">SUMPRODUCT((Table1[SubscriptionStart] &lt;= $A374) * (Table1[EffectiveEndDate] &gt;= $A374) * (Table1[Region] = "Northern Ireland"))</f>
        <v>87</v>
      </c>
      <c r="O374" s="45" cm="1">
        <f t="array" aca="1" ref="O374" ca="1">SUMPRODUCT((Table1[Gender]="Male")*(Table1[SubscriptionStart]&lt;=A374)*(Table1[EffectiveEndDate]&gt;=A374))</f>
        <v>174</v>
      </c>
      <c r="P374" s="45" cm="1">
        <f t="array" aca="1" ref="P374" ca="1">SUMPRODUCT((Table1[Gender]="Female")*(Table1[SubscriptionStart]&lt;=A374)*(Table1[EffectiveEndDate]&gt;=A374))</f>
        <v>138</v>
      </c>
    </row>
    <row r="375" spans="1:16">
      <c r="A375" s="48">
        <f t="shared" si="23"/>
        <v>44935</v>
      </c>
      <c r="B375" s="45" cm="1">
        <f t="array" aca="1" ref="B375" ca="1">SUMPRODUCT((Table1[SubscriptionStart]&lt;=A375)*(Table1[EffectiveEndDate]&gt;=A375))</f>
        <v>312</v>
      </c>
      <c r="C375" s="45">
        <f>COUNTIFS(Table1[SubscriptionStart], A375)</f>
        <v>0</v>
      </c>
      <c r="D375" s="45">
        <f>COUNTIFS(Table1[CancellationDate], A375)</f>
        <v>0</v>
      </c>
      <c r="E375" s="45">
        <f t="shared" si="20"/>
        <v>0</v>
      </c>
      <c r="F375" s="45">
        <f>SUM($C$2:C375)</f>
        <v>395</v>
      </c>
      <c r="G375" s="49" cm="1">
        <f t="array" aca="1" ref="G375" ca="1">IF(B375=0,"", SUMPRODUCT((Table1[SubscriptionStart]&lt;=A375)*(Table1[EffectiveEndDate]&gt;=A375)*Table1[Age]) / B375 )</f>
        <v>47.064102564102562</v>
      </c>
      <c r="H375" s="22">
        <f>SUMIF(Table1[SubscriptionStart],"&lt;="&amp;A375,Table1[TotalRevenue])</f>
        <v>86570.85000000002</v>
      </c>
      <c r="I375" s="50">
        <f t="shared" si="21"/>
        <v>44957</v>
      </c>
      <c r="J375" s="49">
        <f t="shared" ca="1" si="22"/>
        <v>313.51612903225805</v>
      </c>
      <c r="K375" s="45" cm="1">
        <f t="array" aca="1" ref="K375" ca="1">SUMPRODUCT((Table1[SubscriptionStart] &lt;= $A375) * (Table1[EffectiveEndDate] &gt;= $A375) * (Table1[Region] = "England"))</f>
        <v>73</v>
      </c>
      <c r="L375" s="45" cm="1">
        <f t="array" aca="1" ref="L375" ca="1">SUMPRODUCT((Table1[SubscriptionStart] &lt;= $A375) * (Table1[EffectiveEndDate] &gt;= $A375) * (Table1[Region] = "Scotland"))</f>
        <v>69</v>
      </c>
      <c r="M375" s="45" cm="1">
        <f t="array" aca="1" ref="M375" ca="1">SUMPRODUCT((Table1[SubscriptionStart] &lt;= $A375) * (Table1[EffectiveEndDate] &gt;= $A375) * (Table1[Region] = "Wales"))</f>
        <v>83</v>
      </c>
      <c r="N375" s="45" cm="1">
        <f t="array" aca="1" ref="N375" ca="1">SUMPRODUCT((Table1[SubscriptionStart] &lt;= $A375) * (Table1[EffectiveEndDate] &gt;= $A375) * (Table1[Region] = "Northern Ireland"))</f>
        <v>87</v>
      </c>
      <c r="O375" s="45" cm="1">
        <f t="array" aca="1" ref="O375" ca="1">SUMPRODUCT((Table1[Gender]="Male")*(Table1[SubscriptionStart]&lt;=A375)*(Table1[EffectiveEndDate]&gt;=A375))</f>
        <v>174</v>
      </c>
      <c r="P375" s="45" cm="1">
        <f t="array" aca="1" ref="P375" ca="1">SUMPRODUCT((Table1[Gender]="Female")*(Table1[SubscriptionStart]&lt;=A375)*(Table1[EffectiveEndDate]&gt;=A375))</f>
        <v>138</v>
      </c>
    </row>
    <row r="376" spans="1:16">
      <c r="A376" s="48">
        <f t="shared" si="23"/>
        <v>44936</v>
      </c>
      <c r="B376" s="45" cm="1">
        <f t="array" aca="1" ref="B376" ca="1">SUMPRODUCT((Table1[SubscriptionStart]&lt;=A376)*(Table1[EffectiveEndDate]&gt;=A376))</f>
        <v>313</v>
      </c>
      <c r="C376" s="45">
        <f>COUNTIFS(Table1[SubscriptionStart], A376)</f>
        <v>1</v>
      </c>
      <c r="D376" s="45">
        <f>COUNTIFS(Table1[CancellationDate], A376)</f>
        <v>0</v>
      </c>
      <c r="E376" s="45">
        <f t="shared" si="20"/>
        <v>1</v>
      </c>
      <c r="F376" s="45">
        <f>SUM($C$2:C376)</f>
        <v>396</v>
      </c>
      <c r="G376" s="49" cm="1">
        <f t="array" aca="1" ref="G376" ca="1">IF(B376=0,"", SUMPRODUCT((Table1[SubscriptionStart]&lt;=A376)*(Table1[EffectiveEndDate]&gt;=A376)*Table1[Age]) / B376 )</f>
        <v>47.121405750798722</v>
      </c>
      <c r="H376" s="22">
        <f>SUMIF(Table1[SubscriptionStart],"&lt;="&amp;A376,Table1[TotalRevenue])</f>
        <v>86570.85000000002</v>
      </c>
      <c r="I376" s="50">
        <f t="shared" si="21"/>
        <v>44957</v>
      </c>
      <c r="J376" s="49">
        <f t="shared" ca="1" si="22"/>
        <v>313.51612903225805</v>
      </c>
      <c r="K376" s="45" cm="1">
        <f t="array" aca="1" ref="K376" ca="1">SUMPRODUCT((Table1[SubscriptionStart] &lt;= $A376) * (Table1[EffectiveEndDate] &gt;= $A376) * (Table1[Region] = "England"))</f>
        <v>73</v>
      </c>
      <c r="L376" s="45" cm="1">
        <f t="array" aca="1" ref="L376" ca="1">SUMPRODUCT((Table1[SubscriptionStart] &lt;= $A376) * (Table1[EffectiveEndDate] &gt;= $A376) * (Table1[Region] = "Scotland"))</f>
        <v>70</v>
      </c>
      <c r="M376" s="45" cm="1">
        <f t="array" aca="1" ref="M376" ca="1">SUMPRODUCT((Table1[SubscriptionStart] &lt;= $A376) * (Table1[EffectiveEndDate] &gt;= $A376) * (Table1[Region] = "Wales"))</f>
        <v>83</v>
      </c>
      <c r="N376" s="45" cm="1">
        <f t="array" aca="1" ref="N376" ca="1">SUMPRODUCT((Table1[SubscriptionStart] &lt;= $A376) * (Table1[EffectiveEndDate] &gt;= $A376) * (Table1[Region] = "Northern Ireland"))</f>
        <v>87</v>
      </c>
      <c r="O376" s="45" cm="1">
        <f t="array" aca="1" ref="O376" ca="1">SUMPRODUCT((Table1[Gender]="Male")*(Table1[SubscriptionStart]&lt;=A376)*(Table1[EffectiveEndDate]&gt;=A376))</f>
        <v>174</v>
      </c>
      <c r="P376" s="45" cm="1">
        <f t="array" aca="1" ref="P376" ca="1">SUMPRODUCT((Table1[Gender]="Female")*(Table1[SubscriptionStart]&lt;=A376)*(Table1[EffectiveEndDate]&gt;=A376))</f>
        <v>139</v>
      </c>
    </row>
    <row r="377" spans="1:16">
      <c r="A377" s="48">
        <f t="shared" si="23"/>
        <v>44937</v>
      </c>
      <c r="B377" s="45" cm="1">
        <f t="array" aca="1" ref="B377" ca="1">SUMPRODUCT((Table1[SubscriptionStart]&lt;=A377)*(Table1[EffectiveEndDate]&gt;=A377))</f>
        <v>314</v>
      </c>
      <c r="C377" s="45">
        <f>COUNTIFS(Table1[SubscriptionStart], A377)</f>
        <v>1</v>
      </c>
      <c r="D377" s="45">
        <f>COUNTIFS(Table1[CancellationDate], A377)</f>
        <v>2</v>
      </c>
      <c r="E377" s="45">
        <f t="shared" si="20"/>
        <v>-1</v>
      </c>
      <c r="F377" s="45">
        <f>SUM($C$2:C377)</f>
        <v>397</v>
      </c>
      <c r="G377" s="49" cm="1">
        <f t="array" aca="1" ref="G377" ca="1">IF(B377=0,"", SUMPRODUCT((Table1[SubscriptionStart]&lt;=A377)*(Table1[EffectiveEndDate]&gt;=A377)*Table1[Age]) / B377 )</f>
        <v>47.057324840764331</v>
      </c>
      <c r="H377" s="22">
        <f>SUMIF(Table1[SubscriptionStart],"&lt;="&amp;A377,Table1[TotalRevenue])</f>
        <v>86988.450000000026</v>
      </c>
      <c r="I377" s="50">
        <f t="shared" si="21"/>
        <v>44957</v>
      </c>
      <c r="J377" s="49">
        <f t="shared" ca="1" si="22"/>
        <v>313.51612903225805</v>
      </c>
      <c r="K377" s="45" cm="1">
        <f t="array" aca="1" ref="K377" ca="1">SUMPRODUCT((Table1[SubscriptionStart] &lt;= $A377) * (Table1[EffectiveEndDate] &gt;= $A377) * (Table1[Region] = "England"))</f>
        <v>73</v>
      </c>
      <c r="L377" s="45" cm="1">
        <f t="array" aca="1" ref="L377" ca="1">SUMPRODUCT((Table1[SubscriptionStart] &lt;= $A377) * (Table1[EffectiveEndDate] &gt;= $A377) * (Table1[Region] = "Scotland"))</f>
        <v>71</v>
      </c>
      <c r="M377" s="45" cm="1">
        <f t="array" aca="1" ref="M377" ca="1">SUMPRODUCT((Table1[SubscriptionStart] &lt;= $A377) * (Table1[EffectiveEndDate] &gt;= $A377) * (Table1[Region] = "Wales"))</f>
        <v>83</v>
      </c>
      <c r="N377" s="45" cm="1">
        <f t="array" aca="1" ref="N377" ca="1">SUMPRODUCT((Table1[SubscriptionStart] &lt;= $A377) * (Table1[EffectiveEndDate] &gt;= $A377) * (Table1[Region] = "Northern Ireland"))</f>
        <v>87</v>
      </c>
      <c r="O377" s="45" cm="1">
        <f t="array" aca="1" ref="O377" ca="1">SUMPRODUCT((Table1[Gender]="Male")*(Table1[SubscriptionStart]&lt;=A377)*(Table1[EffectiveEndDate]&gt;=A377))</f>
        <v>174</v>
      </c>
      <c r="P377" s="45" cm="1">
        <f t="array" aca="1" ref="P377" ca="1">SUMPRODUCT((Table1[Gender]="Female")*(Table1[SubscriptionStart]&lt;=A377)*(Table1[EffectiveEndDate]&gt;=A377))</f>
        <v>140</v>
      </c>
    </row>
    <row r="378" spans="1:16">
      <c r="A378" s="48">
        <f t="shared" si="23"/>
        <v>44938</v>
      </c>
      <c r="B378" s="45" cm="1">
        <f t="array" aca="1" ref="B378" ca="1">SUMPRODUCT((Table1[SubscriptionStart]&lt;=A378)*(Table1[EffectiveEndDate]&gt;=A378))</f>
        <v>312</v>
      </c>
      <c r="C378" s="45">
        <f>COUNTIFS(Table1[SubscriptionStart], A378)</f>
        <v>0</v>
      </c>
      <c r="D378" s="45">
        <f>COUNTIFS(Table1[CancellationDate], A378)</f>
        <v>0</v>
      </c>
      <c r="E378" s="45">
        <f t="shared" si="20"/>
        <v>0</v>
      </c>
      <c r="F378" s="45">
        <f>SUM($C$2:C378)</f>
        <v>397</v>
      </c>
      <c r="G378" s="49" cm="1">
        <f t="array" aca="1" ref="G378" ca="1">IF(B378=0,"", SUMPRODUCT((Table1[SubscriptionStart]&lt;=A378)*(Table1[EffectiveEndDate]&gt;=A378)*Table1[Age]) / B378 )</f>
        <v>47.012820512820511</v>
      </c>
      <c r="H378" s="22">
        <f>SUMIF(Table1[SubscriptionStart],"&lt;="&amp;A378,Table1[TotalRevenue])</f>
        <v>86988.450000000026</v>
      </c>
      <c r="I378" s="50">
        <f t="shared" si="21"/>
        <v>44957</v>
      </c>
      <c r="J378" s="49">
        <f t="shared" ca="1" si="22"/>
        <v>313.51612903225805</v>
      </c>
      <c r="K378" s="45" cm="1">
        <f t="array" aca="1" ref="K378" ca="1">SUMPRODUCT((Table1[SubscriptionStart] &lt;= $A378) * (Table1[EffectiveEndDate] &gt;= $A378) * (Table1[Region] = "England"))</f>
        <v>71</v>
      </c>
      <c r="L378" s="45" cm="1">
        <f t="array" aca="1" ref="L378" ca="1">SUMPRODUCT((Table1[SubscriptionStart] &lt;= $A378) * (Table1[EffectiveEndDate] &gt;= $A378) * (Table1[Region] = "Scotland"))</f>
        <v>71</v>
      </c>
      <c r="M378" s="45" cm="1">
        <f t="array" aca="1" ref="M378" ca="1">SUMPRODUCT((Table1[SubscriptionStart] &lt;= $A378) * (Table1[EffectiveEndDate] &gt;= $A378) * (Table1[Region] = "Wales"))</f>
        <v>83</v>
      </c>
      <c r="N378" s="45" cm="1">
        <f t="array" aca="1" ref="N378" ca="1">SUMPRODUCT((Table1[SubscriptionStart] &lt;= $A378) * (Table1[EffectiveEndDate] &gt;= $A378) * (Table1[Region] = "Northern Ireland"))</f>
        <v>87</v>
      </c>
      <c r="O378" s="45" cm="1">
        <f t="array" aca="1" ref="O378" ca="1">SUMPRODUCT((Table1[Gender]="Male")*(Table1[SubscriptionStart]&lt;=A378)*(Table1[EffectiveEndDate]&gt;=A378))</f>
        <v>173</v>
      </c>
      <c r="P378" s="45" cm="1">
        <f t="array" aca="1" ref="P378" ca="1">SUMPRODUCT((Table1[Gender]="Female")*(Table1[SubscriptionStart]&lt;=A378)*(Table1[EffectiveEndDate]&gt;=A378))</f>
        <v>139</v>
      </c>
    </row>
    <row r="379" spans="1:16">
      <c r="A379" s="48">
        <f t="shared" si="23"/>
        <v>44939</v>
      </c>
      <c r="B379" s="45" cm="1">
        <f t="array" aca="1" ref="B379" ca="1">SUMPRODUCT((Table1[SubscriptionStart]&lt;=A379)*(Table1[EffectiveEndDate]&gt;=A379))</f>
        <v>312</v>
      </c>
      <c r="C379" s="45">
        <f>COUNTIFS(Table1[SubscriptionStart], A379)</f>
        <v>0</v>
      </c>
      <c r="D379" s="45">
        <f>COUNTIFS(Table1[CancellationDate], A379)</f>
        <v>0</v>
      </c>
      <c r="E379" s="45">
        <f t="shared" si="20"/>
        <v>0</v>
      </c>
      <c r="F379" s="45">
        <f>SUM($C$2:C379)</f>
        <v>397</v>
      </c>
      <c r="G379" s="49" cm="1">
        <f t="array" aca="1" ref="G379" ca="1">IF(B379=0,"", SUMPRODUCT((Table1[SubscriptionStart]&lt;=A379)*(Table1[EffectiveEndDate]&gt;=A379)*Table1[Age]) / B379 )</f>
        <v>47.012820512820511</v>
      </c>
      <c r="H379" s="22">
        <f>SUMIF(Table1[SubscriptionStart],"&lt;="&amp;A379,Table1[TotalRevenue])</f>
        <v>86988.450000000026</v>
      </c>
      <c r="I379" s="50">
        <f t="shared" si="21"/>
        <v>44957</v>
      </c>
      <c r="J379" s="49">
        <f t="shared" ca="1" si="22"/>
        <v>313.51612903225805</v>
      </c>
      <c r="K379" s="45" cm="1">
        <f t="array" aca="1" ref="K379" ca="1">SUMPRODUCT((Table1[SubscriptionStart] &lt;= $A379) * (Table1[EffectiveEndDate] &gt;= $A379) * (Table1[Region] = "England"))</f>
        <v>71</v>
      </c>
      <c r="L379" s="45" cm="1">
        <f t="array" aca="1" ref="L379" ca="1">SUMPRODUCT((Table1[SubscriptionStart] &lt;= $A379) * (Table1[EffectiveEndDate] &gt;= $A379) * (Table1[Region] = "Scotland"))</f>
        <v>71</v>
      </c>
      <c r="M379" s="45" cm="1">
        <f t="array" aca="1" ref="M379" ca="1">SUMPRODUCT((Table1[SubscriptionStart] &lt;= $A379) * (Table1[EffectiveEndDate] &gt;= $A379) * (Table1[Region] = "Wales"))</f>
        <v>83</v>
      </c>
      <c r="N379" s="45" cm="1">
        <f t="array" aca="1" ref="N379" ca="1">SUMPRODUCT((Table1[SubscriptionStart] &lt;= $A379) * (Table1[EffectiveEndDate] &gt;= $A379) * (Table1[Region] = "Northern Ireland"))</f>
        <v>87</v>
      </c>
      <c r="O379" s="45" cm="1">
        <f t="array" aca="1" ref="O379" ca="1">SUMPRODUCT((Table1[Gender]="Male")*(Table1[SubscriptionStart]&lt;=A379)*(Table1[EffectiveEndDate]&gt;=A379))</f>
        <v>173</v>
      </c>
      <c r="P379" s="45" cm="1">
        <f t="array" aca="1" ref="P379" ca="1">SUMPRODUCT((Table1[Gender]="Female")*(Table1[SubscriptionStart]&lt;=A379)*(Table1[EffectiveEndDate]&gt;=A379))</f>
        <v>139</v>
      </c>
    </row>
    <row r="380" spans="1:16">
      <c r="A380" s="48">
        <f t="shared" si="23"/>
        <v>44940</v>
      </c>
      <c r="B380" s="45" cm="1">
        <f t="array" aca="1" ref="B380" ca="1">SUMPRODUCT((Table1[SubscriptionStart]&lt;=A380)*(Table1[EffectiveEndDate]&gt;=A380))</f>
        <v>313</v>
      </c>
      <c r="C380" s="45">
        <f>COUNTIFS(Table1[SubscriptionStart], A380)</f>
        <v>1</v>
      </c>
      <c r="D380" s="45">
        <f>COUNTIFS(Table1[CancellationDate], A380)</f>
        <v>1</v>
      </c>
      <c r="E380" s="45">
        <f t="shared" si="20"/>
        <v>0</v>
      </c>
      <c r="F380" s="45">
        <f>SUM($C$2:C380)</f>
        <v>398</v>
      </c>
      <c r="G380" s="49" cm="1">
        <f t="array" aca="1" ref="G380" ca="1">IF(B380=0,"", SUMPRODUCT((Table1[SubscriptionStart]&lt;=A380)*(Table1[EffectiveEndDate]&gt;=A380)*Table1[Age]) / B380 )</f>
        <v>47.022364217252395</v>
      </c>
      <c r="H380" s="22">
        <f>SUMIF(Table1[SubscriptionStart],"&lt;="&amp;A380,Table1[TotalRevenue])</f>
        <v>87317.450000000026</v>
      </c>
      <c r="I380" s="50">
        <f t="shared" si="21"/>
        <v>44957</v>
      </c>
      <c r="J380" s="49">
        <f t="shared" ca="1" si="22"/>
        <v>313.51612903225805</v>
      </c>
      <c r="K380" s="45" cm="1">
        <f t="array" aca="1" ref="K380" ca="1">SUMPRODUCT((Table1[SubscriptionStart] &lt;= $A380) * (Table1[EffectiveEndDate] &gt;= $A380) * (Table1[Region] = "England"))</f>
        <v>72</v>
      </c>
      <c r="L380" s="45" cm="1">
        <f t="array" aca="1" ref="L380" ca="1">SUMPRODUCT((Table1[SubscriptionStart] &lt;= $A380) * (Table1[EffectiveEndDate] &gt;= $A380) * (Table1[Region] = "Scotland"))</f>
        <v>71</v>
      </c>
      <c r="M380" s="45" cm="1">
        <f t="array" aca="1" ref="M380" ca="1">SUMPRODUCT((Table1[SubscriptionStart] &lt;= $A380) * (Table1[EffectiveEndDate] &gt;= $A380) * (Table1[Region] = "Wales"))</f>
        <v>83</v>
      </c>
      <c r="N380" s="45" cm="1">
        <f t="array" aca="1" ref="N380" ca="1">SUMPRODUCT((Table1[SubscriptionStart] &lt;= $A380) * (Table1[EffectiveEndDate] &gt;= $A380) * (Table1[Region] = "Northern Ireland"))</f>
        <v>87</v>
      </c>
      <c r="O380" s="45" cm="1">
        <f t="array" aca="1" ref="O380" ca="1">SUMPRODUCT((Table1[Gender]="Male")*(Table1[SubscriptionStart]&lt;=A380)*(Table1[EffectiveEndDate]&gt;=A380))</f>
        <v>173</v>
      </c>
      <c r="P380" s="45" cm="1">
        <f t="array" aca="1" ref="P380" ca="1">SUMPRODUCT((Table1[Gender]="Female")*(Table1[SubscriptionStart]&lt;=A380)*(Table1[EffectiveEndDate]&gt;=A380))</f>
        <v>140</v>
      </c>
    </row>
    <row r="381" spans="1:16">
      <c r="A381" s="48">
        <f t="shared" si="23"/>
        <v>44941</v>
      </c>
      <c r="B381" s="45" cm="1">
        <f t="array" aca="1" ref="B381" ca="1">SUMPRODUCT((Table1[SubscriptionStart]&lt;=A381)*(Table1[EffectiveEndDate]&gt;=A381))</f>
        <v>313</v>
      </c>
      <c r="C381" s="45">
        <f>COUNTIFS(Table1[SubscriptionStart], A381)</f>
        <v>1</v>
      </c>
      <c r="D381" s="45">
        <f>COUNTIFS(Table1[CancellationDate], A381)</f>
        <v>0</v>
      </c>
      <c r="E381" s="45">
        <f t="shared" si="20"/>
        <v>1</v>
      </c>
      <c r="F381" s="45">
        <f>SUM($C$2:C381)</f>
        <v>399</v>
      </c>
      <c r="G381" s="49" cm="1">
        <f t="array" aca="1" ref="G381" ca="1">IF(B381=0,"", SUMPRODUCT((Table1[SubscriptionStart]&lt;=A381)*(Table1[EffectiveEndDate]&gt;=A381)*Table1[Age]) / B381 )</f>
        <v>47.08306709265176</v>
      </c>
      <c r="H381" s="22">
        <f>SUMIF(Table1[SubscriptionStart],"&lt;="&amp;A381,Table1[TotalRevenue])</f>
        <v>87497.450000000026</v>
      </c>
      <c r="I381" s="50">
        <f t="shared" si="21"/>
        <v>44957</v>
      </c>
      <c r="J381" s="49">
        <f t="shared" ca="1" si="22"/>
        <v>313.51612903225805</v>
      </c>
      <c r="K381" s="45" cm="1">
        <f t="array" aca="1" ref="K381" ca="1">SUMPRODUCT((Table1[SubscriptionStart] &lt;= $A381) * (Table1[EffectiveEndDate] &gt;= $A381) * (Table1[Region] = "England"))</f>
        <v>71</v>
      </c>
      <c r="L381" s="45" cm="1">
        <f t="array" aca="1" ref="L381" ca="1">SUMPRODUCT((Table1[SubscriptionStart] &lt;= $A381) * (Table1[EffectiveEndDate] &gt;= $A381) * (Table1[Region] = "Scotland"))</f>
        <v>72</v>
      </c>
      <c r="M381" s="45" cm="1">
        <f t="array" aca="1" ref="M381" ca="1">SUMPRODUCT((Table1[SubscriptionStart] &lt;= $A381) * (Table1[EffectiveEndDate] &gt;= $A381) * (Table1[Region] = "Wales"))</f>
        <v>83</v>
      </c>
      <c r="N381" s="45" cm="1">
        <f t="array" aca="1" ref="N381" ca="1">SUMPRODUCT((Table1[SubscriptionStart] &lt;= $A381) * (Table1[EffectiveEndDate] &gt;= $A381) * (Table1[Region] = "Northern Ireland"))</f>
        <v>87</v>
      </c>
      <c r="O381" s="45" cm="1">
        <f t="array" aca="1" ref="O381" ca="1">SUMPRODUCT((Table1[Gender]="Male")*(Table1[SubscriptionStart]&lt;=A381)*(Table1[EffectiveEndDate]&gt;=A381))</f>
        <v>173</v>
      </c>
      <c r="P381" s="45" cm="1">
        <f t="array" aca="1" ref="P381" ca="1">SUMPRODUCT((Table1[Gender]="Female")*(Table1[SubscriptionStart]&lt;=A381)*(Table1[EffectiveEndDate]&gt;=A381))</f>
        <v>140</v>
      </c>
    </row>
    <row r="382" spans="1:16">
      <c r="A382" s="48">
        <f t="shared" si="23"/>
        <v>44942</v>
      </c>
      <c r="B382" s="45" cm="1">
        <f t="array" aca="1" ref="B382" ca="1">SUMPRODUCT((Table1[SubscriptionStart]&lt;=A382)*(Table1[EffectiveEndDate]&gt;=A382))</f>
        <v>313</v>
      </c>
      <c r="C382" s="45">
        <f>COUNTIFS(Table1[SubscriptionStart], A382)</f>
        <v>0</v>
      </c>
      <c r="D382" s="45">
        <f>COUNTIFS(Table1[CancellationDate], A382)</f>
        <v>1</v>
      </c>
      <c r="E382" s="45">
        <f t="shared" si="20"/>
        <v>-1</v>
      </c>
      <c r="F382" s="45">
        <f>SUM($C$2:C382)</f>
        <v>399</v>
      </c>
      <c r="G382" s="49" cm="1">
        <f t="array" aca="1" ref="G382" ca="1">IF(B382=0,"", SUMPRODUCT((Table1[SubscriptionStart]&lt;=A382)*(Table1[EffectiveEndDate]&gt;=A382)*Table1[Age]) / B382 )</f>
        <v>47.08306709265176</v>
      </c>
      <c r="H382" s="22">
        <f>SUMIF(Table1[SubscriptionStart],"&lt;="&amp;A382,Table1[TotalRevenue])</f>
        <v>87497.450000000026</v>
      </c>
      <c r="I382" s="50">
        <f t="shared" si="21"/>
        <v>44957</v>
      </c>
      <c r="J382" s="49">
        <f t="shared" ca="1" si="22"/>
        <v>313.51612903225805</v>
      </c>
      <c r="K382" s="45" cm="1">
        <f t="array" aca="1" ref="K382" ca="1">SUMPRODUCT((Table1[SubscriptionStart] &lt;= $A382) * (Table1[EffectiveEndDate] &gt;= $A382) * (Table1[Region] = "England"))</f>
        <v>71</v>
      </c>
      <c r="L382" s="45" cm="1">
        <f t="array" aca="1" ref="L382" ca="1">SUMPRODUCT((Table1[SubscriptionStart] &lt;= $A382) * (Table1[EffectiveEndDate] &gt;= $A382) * (Table1[Region] = "Scotland"))</f>
        <v>72</v>
      </c>
      <c r="M382" s="45" cm="1">
        <f t="array" aca="1" ref="M382" ca="1">SUMPRODUCT((Table1[SubscriptionStart] &lt;= $A382) * (Table1[EffectiveEndDate] &gt;= $A382) * (Table1[Region] = "Wales"))</f>
        <v>83</v>
      </c>
      <c r="N382" s="45" cm="1">
        <f t="array" aca="1" ref="N382" ca="1">SUMPRODUCT((Table1[SubscriptionStart] &lt;= $A382) * (Table1[EffectiveEndDate] &gt;= $A382) * (Table1[Region] = "Northern Ireland"))</f>
        <v>87</v>
      </c>
      <c r="O382" s="45" cm="1">
        <f t="array" aca="1" ref="O382" ca="1">SUMPRODUCT((Table1[Gender]="Male")*(Table1[SubscriptionStart]&lt;=A382)*(Table1[EffectiveEndDate]&gt;=A382))</f>
        <v>173</v>
      </c>
      <c r="P382" s="45" cm="1">
        <f t="array" aca="1" ref="P382" ca="1">SUMPRODUCT((Table1[Gender]="Female")*(Table1[SubscriptionStart]&lt;=A382)*(Table1[EffectiveEndDate]&gt;=A382))</f>
        <v>140</v>
      </c>
    </row>
    <row r="383" spans="1:16">
      <c r="A383" s="48">
        <f t="shared" si="23"/>
        <v>44943</v>
      </c>
      <c r="B383" s="45" cm="1">
        <f t="array" aca="1" ref="B383" ca="1">SUMPRODUCT((Table1[SubscriptionStart]&lt;=A383)*(Table1[EffectiveEndDate]&gt;=A383))</f>
        <v>314</v>
      </c>
      <c r="C383" s="45">
        <f>COUNTIFS(Table1[SubscriptionStart], A383)</f>
        <v>2</v>
      </c>
      <c r="D383" s="45">
        <f>COUNTIFS(Table1[CancellationDate], A383)</f>
        <v>2</v>
      </c>
      <c r="E383" s="45">
        <f t="shared" si="20"/>
        <v>0</v>
      </c>
      <c r="F383" s="45">
        <f>SUM($C$2:C383)</f>
        <v>401</v>
      </c>
      <c r="G383" s="49" cm="1">
        <f t="array" aca="1" ref="G383" ca="1">IF(B383=0,"", SUMPRODUCT((Table1[SubscriptionStart]&lt;=A383)*(Table1[EffectiveEndDate]&gt;=A383)*Table1[Age]) / B383 )</f>
        <v>47.095541401273884</v>
      </c>
      <c r="H383" s="22">
        <f>SUMIF(Table1[SubscriptionStart],"&lt;="&amp;A383,Table1[TotalRevenue])</f>
        <v>87756.650000000038</v>
      </c>
      <c r="I383" s="50">
        <f t="shared" si="21"/>
        <v>44957</v>
      </c>
      <c r="J383" s="49">
        <f t="shared" ca="1" si="22"/>
        <v>313.51612903225805</v>
      </c>
      <c r="K383" s="45" cm="1">
        <f t="array" aca="1" ref="K383" ca="1">SUMPRODUCT((Table1[SubscriptionStart] &lt;= $A383) * (Table1[EffectiveEndDate] &gt;= $A383) * (Table1[Region] = "England"))</f>
        <v>72</v>
      </c>
      <c r="L383" s="45" cm="1">
        <f t="array" aca="1" ref="L383" ca="1">SUMPRODUCT((Table1[SubscriptionStart] &lt;= $A383) * (Table1[EffectiveEndDate] &gt;= $A383) * (Table1[Region] = "Scotland"))</f>
        <v>72</v>
      </c>
      <c r="M383" s="45" cm="1">
        <f t="array" aca="1" ref="M383" ca="1">SUMPRODUCT((Table1[SubscriptionStart] &lt;= $A383) * (Table1[EffectiveEndDate] &gt;= $A383) * (Table1[Region] = "Wales"))</f>
        <v>83</v>
      </c>
      <c r="N383" s="45" cm="1">
        <f t="array" aca="1" ref="N383" ca="1">SUMPRODUCT((Table1[SubscriptionStart] &lt;= $A383) * (Table1[EffectiveEndDate] &gt;= $A383) * (Table1[Region] = "Northern Ireland"))</f>
        <v>87</v>
      </c>
      <c r="O383" s="45" cm="1">
        <f t="array" aca="1" ref="O383" ca="1">SUMPRODUCT((Table1[Gender]="Male")*(Table1[SubscriptionStart]&lt;=A383)*(Table1[EffectiveEndDate]&gt;=A383))</f>
        <v>173</v>
      </c>
      <c r="P383" s="45" cm="1">
        <f t="array" aca="1" ref="P383" ca="1">SUMPRODUCT((Table1[Gender]="Female")*(Table1[SubscriptionStart]&lt;=A383)*(Table1[EffectiveEndDate]&gt;=A383))</f>
        <v>141</v>
      </c>
    </row>
    <row r="384" spans="1:16">
      <c r="A384" s="48">
        <f t="shared" si="23"/>
        <v>44944</v>
      </c>
      <c r="B384" s="45" cm="1">
        <f t="array" aca="1" ref="B384" ca="1">SUMPRODUCT((Table1[SubscriptionStart]&lt;=A384)*(Table1[EffectiveEndDate]&gt;=A384))</f>
        <v>314</v>
      </c>
      <c r="C384" s="45">
        <f>COUNTIFS(Table1[SubscriptionStart], A384)</f>
        <v>2</v>
      </c>
      <c r="D384" s="45">
        <f>COUNTIFS(Table1[CancellationDate], A384)</f>
        <v>1</v>
      </c>
      <c r="E384" s="45">
        <f t="shared" si="20"/>
        <v>1</v>
      </c>
      <c r="F384" s="45">
        <f>SUM($C$2:C384)</f>
        <v>403</v>
      </c>
      <c r="G384" s="49" cm="1">
        <f t="array" aca="1" ref="G384" ca="1">IF(B384=0,"", SUMPRODUCT((Table1[SubscriptionStart]&lt;=A384)*(Table1[EffectiveEndDate]&gt;=A384)*Table1[Age]) / B384 )</f>
        <v>47.324840764331213</v>
      </c>
      <c r="H384" s="22">
        <f>SUMIF(Table1[SubscriptionStart],"&lt;="&amp;A384,Table1[TotalRevenue])</f>
        <v>87828.650000000038</v>
      </c>
      <c r="I384" s="50">
        <f t="shared" si="21"/>
        <v>44957</v>
      </c>
      <c r="J384" s="49">
        <f t="shared" ca="1" si="22"/>
        <v>313.51612903225805</v>
      </c>
      <c r="K384" s="45" cm="1">
        <f t="array" aca="1" ref="K384" ca="1">SUMPRODUCT((Table1[SubscriptionStart] &lt;= $A384) * (Table1[EffectiveEndDate] &gt;= $A384) * (Table1[Region] = "England"))</f>
        <v>72</v>
      </c>
      <c r="L384" s="45" cm="1">
        <f t="array" aca="1" ref="L384" ca="1">SUMPRODUCT((Table1[SubscriptionStart] &lt;= $A384) * (Table1[EffectiveEndDate] &gt;= $A384) * (Table1[Region] = "Scotland"))</f>
        <v>71</v>
      </c>
      <c r="M384" s="45" cm="1">
        <f t="array" aca="1" ref="M384" ca="1">SUMPRODUCT((Table1[SubscriptionStart] &lt;= $A384) * (Table1[EffectiveEndDate] &gt;= $A384) * (Table1[Region] = "Wales"))</f>
        <v>83</v>
      </c>
      <c r="N384" s="45" cm="1">
        <f t="array" aca="1" ref="N384" ca="1">SUMPRODUCT((Table1[SubscriptionStart] &lt;= $A384) * (Table1[EffectiveEndDate] &gt;= $A384) * (Table1[Region] = "Northern Ireland"))</f>
        <v>88</v>
      </c>
      <c r="O384" s="45" cm="1">
        <f t="array" aca="1" ref="O384" ca="1">SUMPRODUCT((Table1[Gender]="Male")*(Table1[SubscriptionStart]&lt;=A384)*(Table1[EffectiveEndDate]&gt;=A384))</f>
        <v>174</v>
      </c>
      <c r="P384" s="45" cm="1">
        <f t="array" aca="1" ref="P384" ca="1">SUMPRODUCT((Table1[Gender]="Female")*(Table1[SubscriptionStart]&lt;=A384)*(Table1[EffectiveEndDate]&gt;=A384))</f>
        <v>140</v>
      </c>
    </row>
    <row r="385" spans="1:16">
      <c r="A385" s="48">
        <f t="shared" si="23"/>
        <v>44945</v>
      </c>
      <c r="B385" s="45" cm="1">
        <f t="array" aca="1" ref="B385" ca="1">SUMPRODUCT((Table1[SubscriptionStart]&lt;=A385)*(Table1[EffectiveEndDate]&gt;=A385))</f>
        <v>314</v>
      </c>
      <c r="C385" s="45">
        <f>COUNTIFS(Table1[SubscriptionStart], A385)</f>
        <v>1</v>
      </c>
      <c r="D385" s="45">
        <f>COUNTIFS(Table1[CancellationDate], A385)</f>
        <v>1</v>
      </c>
      <c r="E385" s="45">
        <f t="shared" si="20"/>
        <v>0</v>
      </c>
      <c r="F385" s="45">
        <f>SUM($C$2:C385)</f>
        <v>404</v>
      </c>
      <c r="G385" s="49" cm="1">
        <f t="array" aca="1" ref="G385" ca="1">IF(B385=0,"", SUMPRODUCT((Table1[SubscriptionStart]&lt;=A385)*(Table1[EffectiveEndDate]&gt;=A385)*Table1[Age]) / B385 )</f>
        <v>47.254777070063696</v>
      </c>
      <c r="H385" s="22">
        <f>SUMIF(Table1[SubscriptionStart],"&lt;="&amp;A385,Table1[TotalRevenue])</f>
        <v>87869.150000000038</v>
      </c>
      <c r="I385" s="50">
        <f t="shared" si="21"/>
        <v>44957</v>
      </c>
      <c r="J385" s="49">
        <f t="shared" ca="1" si="22"/>
        <v>313.51612903225805</v>
      </c>
      <c r="K385" s="45" cm="1">
        <f t="array" aca="1" ref="K385" ca="1">SUMPRODUCT((Table1[SubscriptionStart] &lt;= $A385) * (Table1[EffectiveEndDate] &gt;= $A385) * (Table1[Region] = "England"))</f>
        <v>73</v>
      </c>
      <c r="L385" s="45" cm="1">
        <f t="array" aca="1" ref="L385" ca="1">SUMPRODUCT((Table1[SubscriptionStart] &lt;= $A385) * (Table1[EffectiveEndDate] &gt;= $A385) * (Table1[Region] = "Scotland"))</f>
        <v>71</v>
      </c>
      <c r="M385" s="45" cm="1">
        <f t="array" aca="1" ref="M385" ca="1">SUMPRODUCT((Table1[SubscriptionStart] &lt;= $A385) * (Table1[EffectiveEndDate] &gt;= $A385) * (Table1[Region] = "Wales"))</f>
        <v>82</v>
      </c>
      <c r="N385" s="45" cm="1">
        <f t="array" aca="1" ref="N385" ca="1">SUMPRODUCT((Table1[SubscriptionStart] &lt;= $A385) * (Table1[EffectiveEndDate] &gt;= $A385) * (Table1[Region] = "Northern Ireland"))</f>
        <v>88</v>
      </c>
      <c r="O385" s="45" cm="1">
        <f t="array" aca="1" ref="O385" ca="1">SUMPRODUCT((Table1[Gender]="Male")*(Table1[SubscriptionStart]&lt;=A385)*(Table1[EffectiveEndDate]&gt;=A385))</f>
        <v>173</v>
      </c>
      <c r="P385" s="45" cm="1">
        <f t="array" aca="1" ref="P385" ca="1">SUMPRODUCT((Table1[Gender]="Female")*(Table1[SubscriptionStart]&lt;=A385)*(Table1[EffectiveEndDate]&gt;=A385))</f>
        <v>141</v>
      </c>
    </row>
    <row r="386" spans="1:16">
      <c r="A386" s="48">
        <f t="shared" si="23"/>
        <v>44946</v>
      </c>
      <c r="B386" s="45" cm="1">
        <f t="array" aca="1" ref="B386" ca="1">SUMPRODUCT((Table1[SubscriptionStart]&lt;=A386)*(Table1[EffectiveEndDate]&gt;=A386))</f>
        <v>314</v>
      </c>
      <c r="C386" s="45">
        <f>COUNTIFS(Table1[SubscriptionStart], A386)</f>
        <v>1</v>
      </c>
      <c r="D386" s="45">
        <f>COUNTIFS(Table1[CancellationDate], A386)</f>
        <v>0</v>
      </c>
      <c r="E386" s="45">
        <f t="shared" ref="E386:E449" si="24" xml:space="preserve"> C386 - D386</f>
        <v>1</v>
      </c>
      <c r="F386" s="45">
        <f>SUM($C$2:C386)</f>
        <v>405</v>
      </c>
      <c r="G386" s="49" cm="1">
        <f t="array" aca="1" ref="G386" ca="1">IF(B386=0,"", SUMPRODUCT((Table1[SubscriptionStart]&lt;=A386)*(Table1[EffectiveEndDate]&gt;=A386)*Table1[Age]) / B386 )</f>
        <v>47.305732484076437</v>
      </c>
      <c r="H386" s="22">
        <f>SUMIF(Table1[SubscriptionStart],"&lt;="&amp;A386,Table1[TotalRevenue])</f>
        <v>87869.150000000038</v>
      </c>
      <c r="I386" s="50">
        <f t="shared" ref="I386:I449" si="25">EOMONTH(A386,0)</f>
        <v>44957</v>
      </c>
      <c r="J386" s="49">
        <f t="shared" ref="J386:J449" ca="1" si="26">AVERAGEIFS(B:B, I:I, I386)</f>
        <v>313.51612903225805</v>
      </c>
      <c r="K386" s="45" cm="1">
        <f t="array" aca="1" ref="K386" ca="1">SUMPRODUCT((Table1[SubscriptionStart] &lt;= $A386) * (Table1[EffectiveEndDate] &gt;= $A386) * (Table1[Region] = "England"))</f>
        <v>73</v>
      </c>
      <c r="L386" s="45" cm="1">
        <f t="array" aca="1" ref="L386" ca="1">SUMPRODUCT((Table1[SubscriptionStart] &lt;= $A386) * (Table1[EffectiveEndDate] &gt;= $A386) * (Table1[Region] = "Scotland"))</f>
        <v>71</v>
      </c>
      <c r="M386" s="45" cm="1">
        <f t="array" aca="1" ref="M386" ca="1">SUMPRODUCT((Table1[SubscriptionStart] &lt;= $A386) * (Table1[EffectiveEndDate] &gt;= $A386) * (Table1[Region] = "Wales"))</f>
        <v>82</v>
      </c>
      <c r="N386" s="45" cm="1">
        <f t="array" aca="1" ref="N386" ca="1">SUMPRODUCT((Table1[SubscriptionStart] &lt;= $A386) * (Table1[EffectiveEndDate] &gt;= $A386) * (Table1[Region] = "Northern Ireland"))</f>
        <v>88</v>
      </c>
      <c r="O386" s="45" cm="1">
        <f t="array" aca="1" ref="O386" ca="1">SUMPRODUCT((Table1[Gender]="Male")*(Table1[SubscriptionStart]&lt;=A386)*(Table1[EffectiveEndDate]&gt;=A386))</f>
        <v>173</v>
      </c>
      <c r="P386" s="45" cm="1">
        <f t="array" aca="1" ref="P386" ca="1">SUMPRODUCT((Table1[Gender]="Female")*(Table1[SubscriptionStart]&lt;=A386)*(Table1[EffectiveEndDate]&gt;=A386))</f>
        <v>141</v>
      </c>
    </row>
    <row r="387" spans="1:16">
      <c r="A387" s="48">
        <f t="shared" si="23"/>
        <v>44947</v>
      </c>
      <c r="B387" s="45" cm="1">
        <f t="array" aca="1" ref="B387" ca="1">SUMPRODUCT((Table1[SubscriptionStart]&lt;=A387)*(Table1[EffectiveEndDate]&gt;=A387))</f>
        <v>315</v>
      </c>
      <c r="C387" s="45">
        <f>COUNTIFS(Table1[SubscriptionStart], A387)</f>
        <v>1</v>
      </c>
      <c r="D387" s="45">
        <f>COUNTIFS(Table1[CancellationDate], A387)</f>
        <v>1</v>
      </c>
      <c r="E387" s="45">
        <f t="shared" si="24"/>
        <v>0</v>
      </c>
      <c r="F387" s="45">
        <f>SUM($C$2:C387)</f>
        <v>406</v>
      </c>
      <c r="G387" s="49" cm="1">
        <f t="array" aca="1" ref="G387" ca="1">IF(B387=0,"", SUMPRODUCT((Table1[SubscriptionStart]&lt;=A387)*(Table1[EffectiveEndDate]&gt;=A387)*Table1[Age]) / B387 )</f>
        <v>47.38095238095238</v>
      </c>
      <c r="H387" s="22">
        <f>SUMIF(Table1[SubscriptionStart],"&lt;="&amp;A387,Table1[TotalRevenue])</f>
        <v>88286.750000000044</v>
      </c>
      <c r="I387" s="50">
        <f t="shared" si="25"/>
        <v>44957</v>
      </c>
      <c r="J387" s="49">
        <f t="shared" ca="1" si="26"/>
        <v>313.51612903225805</v>
      </c>
      <c r="K387" s="45" cm="1">
        <f t="array" aca="1" ref="K387" ca="1">SUMPRODUCT((Table1[SubscriptionStart] &lt;= $A387) * (Table1[EffectiveEndDate] &gt;= $A387) * (Table1[Region] = "England"))</f>
        <v>73</v>
      </c>
      <c r="L387" s="45" cm="1">
        <f t="array" aca="1" ref="L387" ca="1">SUMPRODUCT((Table1[SubscriptionStart] &lt;= $A387) * (Table1[EffectiveEndDate] &gt;= $A387) * (Table1[Region] = "Scotland"))</f>
        <v>71</v>
      </c>
      <c r="M387" s="45" cm="1">
        <f t="array" aca="1" ref="M387" ca="1">SUMPRODUCT((Table1[SubscriptionStart] &lt;= $A387) * (Table1[EffectiveEndDate] &gt;= $A387) * (Table1[Region] = "Wales"))</f>
        <v>83</v>
      </c>
      <c r="N387" s="45" cm="1">
        <f t="array" aca="1" ref="N387" ca="1">SUMPRODUCT((Table1[SubscriptionStart] &lt;= $A387) * (Table1[EffectiveEndDate] &gt;= $A387) * (Table1[Region] = "Northern Ireland"))</f>
        <v>88</v>
      </c>
      <c r="O387" s="45" cm="1">
        <f t="array" aca="1" ref="O387" ca="1">SUMPRODUCT((Table1[Gender]="Male")*(Table1[SubscriptionStart]&lt;=A387)*(Table1[EffectiveEndDate]&gt;=A387))</f>
        <v>174</v>
      </c>
      <c r="P387" s="45" cm="1">
        <f t="array" aca="1" ref="P387" ca="1">SUMPRODUCT((Table1[Gender]="Female")*(Table1[SubscriptionStart]&lt;=A387)*(Table1[EffectiveEndDate]&gt;=A387))</f>
        <v>141</v>
      </c>
    </row>
    <row r="388" spans="1:16">
      <c r="A388" s="48">
        <f t="shared" ref="A388:A451" si="27">A387+1</f>
        <v>44948</v>
      </c>
      <c r="B388" s="45" cm="1">
        <f t="array" aca="1" ref="B388" ca="1">SUMPRODUCT((Table1[SubscriptionStart]&lt;=A388)*(Table1[EffectiveEndDate]&gt;=A388))</f>
        <v>315</v>
      </c>
      <c r="C388" s="45">
        <f>COUNTIFS(Table1[SubscriptionStart], A388)</f>
        <v>1</v>
      </c>
      <c r="D388" s="45">
        <f>COUNTIFS(Table1[CancellationDate], A388)</f>
        <v>0</v>
      </c>
      <c r="E388" s="45">
        <f t="shared" si="24"/>
        <v>1</v>
      </c>
      <c r="F388" s="45">
        <f>SUM($C$2:C388)</f>
        <v>407</v>
      </c>
      <c r="G388" s="49" cm="1">
        <f t="array" aca="1" ref="G388" ca="1">IF(B388=0,"", SUMPRODUCT((Table1[SubscriptionStart]&lt;=A388)*(Table1[EffectiveEndDate]&gt;=A388)*Table1[Age]) / B388 )</f>
        <v>47.263492063492066</v>
      </c>
      <c r="H388" s="22">
        <f>SUMIF(Table1[SubscriptionStart],"&lt;="&amp;A388,Table1[TotalRevenue])</f>
        <v>88286.750000000044</v>
      </c>
      <c r="I388" s="50">
        <f t="shared" si="25"/>
        <v>44957</v>
      </c>
      <c r="J388" s="49">
        <f t="shared" ca="1" si="26"/>
        <v>313.51612903225805</v>
      </c>
      <c r="K388" s="45" cm="1">
        <f t="array" aca="1" ref="K388" ca="1">SUMPRODUCT((Table1[SubscriptionStart] &lt;= $A388) * (Table1[EffectiveEndDate] &gt;= $A388) * (Table1[Region] = "England"))</f>
        <v>73</v>
      </c>
      <c r="L388" s="45" cm="1">
        <f t="array" aca="1" ref="L388" ca="1">SUMPRODUCT((Table1[SubscriptionStart] &lt;= $A388) * (Table1[EffectiveEndDate] &gt;= $A388) * (Table1[Region] = "Scotland"))</f>
        <v>70</v>
      </c>
      <c r="M388" s="45" cm="1">
        <f t="array" aca="1" ref="M388" ca="1">SUMPRODUCT((Table1[SubscriptionStart] &lt;= $A388) * (Table1[EffectiveEndDate] &gt;= $A388) * (Table1[Region] = "Wales"))</f>
        <v>83</v>
      </c>
      <c r="N388" s="45" cm="1">
        <f t="array" aca="1" ref="N388" ca="1">SUMPRODUCT((Table1[SubscriptionStart] &lt;= $A388) * (Table1[EffectiveEndDate] &gt;= $A388) * (Table1[Region] = "Northern Ireland"))</f>
        <v>89</v>
      </c>
      <c r="O388" s="45" cm="1">
        <f t="array" aca="1" ref="O388" ca="1">SUMPRODUCT((Table1[Gender]="Male")*(Table1[SubscriptionStart]&lt;=A388)*(Table1[EffectiveEndDate]&gt;=A388))</f>
        <v>175</v>
      </c>
      <c r="P388" s="45" cm="1">
        <f t="array" aca="1" ref="P388" ca="1">SUMPRODUCT((Table1[Gender]="Female")*(Table1[SubscriptionStart]&lt;=A388)*(Table1[EffectiveEndDate]&gt;=A388))</f>
        <v>140</v>
      </c>
    </row>
    <row r="389" spans="1:16">
      <c r="A389" s="48">
        <f t="shared" si="27"/>
        <v>44949</v>
      </c>
      <c r="B389" s="45" cm="1">
        <f t="array" aca="1" ref="B389" ca="1">SUMPRODUCT((Table1[SubscriptionStart]&lt;=A389)*(Table1[EffectiveEndDate]&gt;=A389))</f>
        <v>316</v>
      </c>
      <c r="C389" s="45">
        <f>COUNTIFS(Table1[SubscriptionStart], A389)</f>
        <v>1</v>
      </c>
      <c r="D389" s="45">
        <f>COUNTIFS(Table1[CancellationDate], A389)</f>
        <v>2</v>
      </c>
      <c r="E389" s="45">
        <f t="shared" si="24"/>
        <v>-1</v>
      </c>
      <c r="F389" s="45">
        <f>SUM($C$2:C389)</f>
        <v>408</v>
      </c>
      <c r="G389" s="49" cm="1">
        <f t="array" aca="1" ref="G389" ca="1">IF(B389=0,"", SUMPRODUCT((Table1[SubscriptionStart]&lt;=A389)*(Table1[EffectiveEndDate]&gt;=A389)*Table1[Age]) / B389 )</f>
        <v>47.341772151898731</v>
      </c>
      <c r="H389" s="22">
        <f>SUMIF(Table1[SubscriptionStart],"&lt;="&amp;A389,Table1[TotalRevenue])</f>
        <v>88939.250000000044</v>
      </c>
      <c r="I389" s="50">
        <f t="shared" si="25"/>
        <v>44957</v>
      </c>
      <c r="J389" s="49">
        <f t="shared" ca="1" si="26"/>
        <v>313.51612903225805</v>
      </c>
      <c r="K389" s="45" cm="1">
        <f t="array" aca="1" ref="K389" ca="1">SUMPRODUCT((Table1[SubscriptionStart] &lt;= $A389) * (Table1[EffectiveEndDate] &gt;= $A389) * (Table1[Region] = "England"))</f>
        <v>73</v>
      </c>
      <c r="L389" s="45" cm="1">
        <f t="array" aca="1" ref="L389" ca="1">SUMPRODUCT((Table1[SubscriptionStart] &lt;= $A389) * (Table1[EffectiveEndDate] &gt;= $A389) * (Table1[Region] = "Scotland"))</f>
        <v>70</v>
      </c>
      <c r="M389" s="45" cm="1">
        <f t="array" aca="1" ref="M389" ca="1">SUMPRODUCT((Table1[SubscriptionStart] &lt;= $A389) * (Table1[EffectiveEndDate] &gt;= $A389) * (Table1[Region] = "Wales"))</f>
        <v>83</v>
      </c>
      <c r="N389" s="45" cm="1">
        <f t="array" aca="1" ref="N389" ca="1">SUMPRODUCT((Table1[SubscriptionStart] &lt;= $A389) * (Table1[EffectiveEndDate] &gt;= $A389) * (Table1[Region] = "Northern Ireland"))</f>
        <v>90</v>
      </c>
      <c r="O389" s="45" cm="1">
        <f t="array" aca="1" ref="O389" ca="1">SUMPRODUCT((Table1[Gender]="Male")*(Table1[SubscriptionStart]&lt;=A389)*(Table1[EffectiveEndDate]&gt;=A389))</f>
        <v>175</v>
      </c>
      <c r="P389" s="45" cm="1">
        <f t="array" aca="1" ref="P389" ca="1">SUMPRODUCT((Table1[Gender]="Female")*(Table1[SubscriptionStart]&lt;=A389)*(Table1[EffectiveEndDate]&gt;=A389))</f>
        <v>141</v>
      </c>
    </row>
    <row r="390" spans="1:16">
      <c r="A390" s="48">
        <f t="shared" si="27"/>
        <v>44950</v>
      </c>
      <c r="B390" s="45" cm="1">
        <f t="array" aca="1" ref="B390" ca="1">SUMPRODUCT((Table1[SubscriptionStart]&lt;=A390)*(Table1[EffectiveEndDate]&gt;=A390))</f>
        <v>314</v>
      </c>
      <c r="C390" s="45">
        <f>COUNTIFS(Table1[SubscriptionStart], A390)</f>
        <v>0</v>
      </c>
      <c r="D390" s="45">
        <f>COUNTIFS(Table1[CancellationDate], A390)</f>
        <v>0</v>
      </c>
      <c r="E390" s="45">
        <f t="shared" si="24"/>
        <v>0</v>
      </c>
      <c r="F390" s="45">
        <f>SUM($C$2:C390)</f>
        <v>408</v>
      </c>
      <c r="G390" s="49" cm="1">
        <f t="array" aca="1" ref="G390" ca="1">IF(B390=0,"", SUMPRODUCT((Table1[SubscriptionStart]&lt;=A390)*(Table1[EffectiveEndDate]&gt;=A390)*Table1[Age]) / B390 )</f>
        <v>47.369426751592357</v>
      </c>
      <c r="H390" s="22">
        <f>SUMIF(Table1[SubscriptionStart],"&lt;="&amp;A390,Table1[TotalRevenue])</f>
        <v>88939.250000000044</v>
      </c>
      <c r="I390" s="50">
        <f t="shared" si="25"/>
        <v>44957</v>
      </c>
      <c r="J390" s="49">
        <f t="shared" ca="1" si="26"/>
        <v>313.51612903225805</v>
      </c>
      <c r="K390" s="45" cm="1">
        <f t="array" aca="1" ref="K390" ca="1">SUMPRODUCT((Table1[SubscriptionStart] &lt;= $A390) * (Table1[EffectiveEndDate] &gt;= $A390) * (Table1[Region] = "England"))</f>
        <v>72</v>
      </c>
      <c r="L390" s="45" cm="1">
        <f t="array" aca="1" ref="L390" ca="1">SUMPRODUCT((Table1[SubscriptionStart] &lt;= $A390) * (Table1[EffectiveEndDate] &gt;= $A390) * (Table1[Region] = "Scotland"))</f>
        <v>70</v>
      </c>
      <c r="M390" s="45" cm="1">
        <f t="array" aca="1" ref="M390" ca="1">SUMPRODUCT((Table1[SubscriptionStart] &lt;= $A390) * (Table1[EffectiveEndDate] &gt;= $A390) * (Table1[Region] = "Wales"))</f>
        <v>83</v>
      </c>
      <c r="N390" s="45" cm="1">
        <f t="array" aca="1" ref="N390" ca="1">SUMPRODUCT((Table1[SubscriptionStart] &lt;= $A390) * (Table1[EffectiveEndDate] &gt;= $A390) * (Table1[Region] = "Northern Ireland"))</f>
        <v>89</v>
      </c>
      <c r="O390" s="45" cm="1">
        <f t="array" aca="1" ref="O390" ca="1">SUMPRODUCT((Table1[Gender]="Male")*(Table1[SubscriptionStart]&lt;=A390)*(Table1[EffectiveEndDate]&gt;=A390))</f>
        <v>173</v>
      </c>
      <c r="P390" s="45" cm="1">
        <f t="array" aca="1" ref="P390" ca="1">SUMPRODUCT((Table1[Gender]="Female")*(Table1[SubscriptionStart]&lt;=A390)*(Table1[EffectiveEndDate]&gt;=A390))</f>
        <v>141</v>
      </c>
    </row>
    <row r="391" spans="1:16">
      <c r="A391" s="48">
        <f t="shared" si="27"/>
        <v>44951</v>
      </c>
      <c r="B391" s="45" cm="1">
        <f t="array" aca="1" ref="B391" ca="1">SUMPRODUCT((Table1[SubscriptionStart]&lt;=A391)*(Table1[EffectiveEndDate]&gt;=A391))</f>
        <v>315</v>
      </c>
      <c r="C391" s="45">
        <f>COUNTIFS(Table1[SubscriptionStart], A391)</f>
        <v>1</v>
      </c>
      <c r="D391" s="45">
        <f>COUNTIFS(Table1[CancellationDate], A391)</f>
        <v>0</v>
      </c>
      <c r="E391" s="45">
        <f t="shared" si="24"/>
        <v>1</v>
      </c>
      <c r="F391" s="45">
        <f>SUM($C$2:C391)</f>
        <v>409</v>
      </c>
      <c r="G391" s="49" cm="1">
        <f t="array" aca="1" ref="G391" ca="1">IF(B391=0,"", SUMPRODUCT((Table1[SubscriptionStart]&lt;=A391)*(Table1[EffectiveEndDate]&gt;=A391)*Table1[Age]) / B391 )</f>
        <v>47.352380952380955</v>
      </c>
      <c r="H391" s="22">
        <f>SUMIF(Table1[SubscriptionStart],"&lt;="&amp;A391,Table1[TotalRevenue])</f>
        <v>89068.850000000049</v>
      </c>
      <c r="I391" s="50">
        <f t="shared" si="25"/>
        <v>44957</v>
      </c>
      <c r="J391" s="49">
        <f t="shared" ca="1" si="26"/>
        <v>313.51612903225805</v>
      </c>
      <c r="K391" s="45" cm="1">
        <f t="array" aca="1" ref="K391" ca="1">SUMPRODUCT((Table1[SubscriptionStart] &lt;= $A391) * (Table1[EffectiveEndDate] &gt;= $A391) * (Table1[Region] = "England"))</f>
        <v>72</v>
      </c>
      <c r="L391" s="45" cm="1">
        <f t="array" aca="1" ref="L391" ca="1">SUMPRODUCT((Table1[SubscriptionStart] &lt;= $A391) * (Table1[EffectiveEndDate] &gt;= $A391) * (Table1[Region] = "Scotland"))</f>
        <v>70</v>
      </c>
      <c r="M391" s="45" cm="1">
        <f t="array" aca="1" ref="M391" ca="1">SUMPRODUCT((Table1[SubscriptionStart] &lt;= $A391) * (Table1[EffectiveEndDate] &gt;= $A391) * (Table1[Region] = "Wales"))</f>
        <v>84</v>
      </c>
      <c r="N391" s="45" cm="1">
        <f t="array" aca="1" ref="N391" ca="1">SUMPRODUCT((Table1[SubscriptionStart] &lt;= $A391) * (Table1[EffectiveEndDate] &gt;= $A391) * (Table1[Region] = "Northern Ireland"))</f>
        <v>89</v>
      </c>
      <c r="O391" s="45" cm="1">
        <f t="array" aca="1" ref="O391" ca="1">SUMPRODUCT((Table1[Gender]="Male")*(Table1[SubscriptionStart]&lt;=A391)*(Table1[EffectiveEndDate]&gt;=A391))</f>
        <v>173</v>
      </c>
      <c r="P391" s="45" cm="1">
        <f t="array" aca="1" ref="P391" ca="1">SUMPRODUCT((Table1[Gender]="Female")*(Table1[SubscriptionStart]&lt;=A391)*(Table1[EffectiveEndDate]&gt;=A391))</f>
        <v>142</v>
      </c>
    </row>
    <row r="392" spans="1:16">
      <c r="A392" s="48">
        <f t="shared" si="27"/>
        <v>44952</v>
      </c>
      <c r="B392" s="45" cm="1">
        <f t="array" aca="1" ref="B392" ca="1">SUMPRODUCT((Table1[SubscriptionStart]&lt;=A392)*(Table1[EffectiveEndDate]&gt;=A392))</f>
        <v>315</v>
      </c>
      <c r="C392" s="45">
        <f>COUNTIFS(Table1[SubscriptionStart], A392)</f>
        <v>0</v>
      </c>
      <c r="D392" s="45">
        <f>COUNTIFS(Table1[CancellationDate], A392)</f>
        <v>1</v>
      </c>
      <c r="E392" s="45">
        <f t="shared" si="24"/>
        <v>-1</v>
      </c>
      <c r="F392" s="45">
        <f>SUM($C$2:C392)</f>
        <v>409</v>
      </c>
      <c r="G392" s="49" cm="1">
        <f t="array" aca="1" ref="G392" ca="1">IF(B392=0,"", SUMPRODUCT((Table1[SubscriptionStart]&lt;=A392)*(Table1[EffectiveEndDate]&gt;=A392)*Table1[Age]) / B392 )</f>
        <v>47.352380952380955</v>
      </c>
      <c r="H392" s="22">
        <f>SUMIF(Table1[SubscriptionStart],"&lt;="&amp;A392,Table1[TotalRevenue])</f>
        <v>89068.850000000049</v>
      </c>
      <c r="I392" s="50">
        <f t="shared" si="25"/>
        <v>44957</v>
      </c>
      <c r="J392" s="49">
        <f t="shared" ca="1" si="26"/>
        <v>313.51612903225805</v>
      </c>
      <c r="K392" s="45" cm="1">
        <f t="array" aca="1" ref="K392" ca="1">SUMPRODUCT((Table1[SubscriptionStart] &lt;= $A392) * (Table1[EffectiveEndDate] &gt;= $A392) * (Table1[Region] = "England"))</f>
        <v>72</v>
      </c>
      <c r="L392" s="45" cm="1">
        <f t="array" aca="1" ref="L392" ca="1">SUMPRODUCT((Table1[SubscriptionStart] &lt;= $A392) * (Table1[EffectiveEndDate] &gt;= $A392) * (Table1[Region] = "Scotland"))</f>
        <v>70</v>
      </c>
      <c r="M392" s="45" cm="1">
        <f t="array" aca="1" ref="M392" ca="1">SUMPRODUCT((Table1[SubscriptionStart] &lt;= $A392) * (Table1[EffectiveEndDate] &gt;= $A392) * (Table1[Region] = "Wales"))</f>
        <v>84</v>
      </c>
      <c r="N392" s="45" cm="1">
        <f t="array" aca="1" ref="N392" ca="1">SUMPRODUCT((Table1[SubscriptionStart] &lt;= $A392) * (Table1[EffectiveEndDate] &gt;= $A392) * (Table1[Region] = "Northern Ireland"))</f>
        <v>89</v>
      </c>
      <c r="O392" s="45" cm="1">
        <f t="array" aca="1" ref="O392" ca="1">SUMPRODUCT((Table1[Gender]="Male")*(Table1[SubscriptionStart]&lt;=A392)*(Table1[EffectiveEndDate]&gt;=A392))</f>
        <v>173</v>
      </c>
      <c r="P392" s="45" cm="1">
        <f t="array" aca="1" ref="P392" ca="1">SUMPRODUCT((Table1[Gender]="Female")*(Table1[SubscriptionStart]&lt;=A392)*(Table1[EffectiveEndDate]&gt;=A392))</f>
        <v>142</v>
      </c>
    </row>
    <row r="393" spans="1:16">
      <c r="A393" s="48">
        <f t="shared" si="27"/>
        <v>44953</v>
      </c>
      <c r="B393" s="45" cm="1">
        <f t="array" aca="1" ref="B393" ca="1">SUMPRODUCT((Table1[SubscriptionStart]&lt;=A393)*(Table1[EffectiveEndDate]&gt;=A393))</f>
        <v>316</v>
      </c>
      <c r="C393" s="45">
        <f>COUNTIFS(Table1[SubscriptionStart], A393)</f>
        <v>2</v>
      </c>
      <c r="D393" s="45">
        <f>COUNTIFS(Table1[CancellationDate], A393)</f>
        <v>0</v>
      </c>
      <c r="E393" s="45">
        <f t="shared" si="24"/>
        <v>2</v>
      </c>
      <c r="F393" s="45">
        <f>SUM($C$2:C393)</f>
        <v>411</v>
      </c>
      <c r="G393" s="49" cm="1">
        <f t="array" aca="1" ref="G393" ca="1">IF(B393=0,"", SUMPRODUCT((Table1[SubscriptionStart]&lt;=A393)*(Table1[EffectiveEndDate]&gt;=A393)*Table1[Age]) / B393 )</f>
        <v>47.27215189873418</v>
      </c>
      <c r="H393" s="22">
        <f>SUMIF(Table1[SubscriptionStart],"&lt;="&amp;A393,Table1[TotalRevenue])</f>
        <v>89402.100000000049</v>
      </c>
      <c r="I393" s="50">
        <f t="shared" si="25"/>
        <v>44957</v>
      </c>
      <c r="J393" s="49">
        <f t="shared" ca="1" si="26"/>
        <v>313.51612903225805</v>
      </c>
      <c r="K393" s="45" cm="1">
        <f t="array" aca="1" ref="K393" ca="1">SUMPRODUCT((Table1[SubscriptionStart] &lt;= $A393) * (Table1[EffectiveEndDate] &gt;= $A393) * (Table1[Region] = "England"))</f>
        <v>72</v>
      </c>
      <c r="L393" s="45" cm="1">
        <f t="array" aca="1" ref="L393" ca="1">SUMPRODUCT((Table1[SubscriptionStart] &lt;= $A393) * (Table1[EffectiveEndDate] &gt;= $A393) * (Table1[Region] = "Scotland"))</f>
        <v>72</v>
      </c>
      <c r="M393" s="45" cm="1">
        <f t="array" aca="1" ref="M393" ca="1">SUMPRODUCT((Table1[SubscriptionStart] &lt;= $A393) * (Table1[EffectiveEndDate] &gt;= $A393) * (Table1[Region] = "Wales"))</f>
        <v>83</v>
      </c>
      <c r="N393" s="45" cm="1">
        <f t="array" aca="1" ref="N393" ca="1">SUMPRODUCT((Table1[SubscriptionStart] &lt;= $A393) * (Table1[EffectiveEndDate] &gt;= $A393) * (Table1[Region] = "Northern Ireland"))</f>
        <v>89</v>
      </c>
      <c r="O393" s="45" cm="1">
        <f t="array" aca="1" ref="O393" ca="1">SUMPRODUCT((Table1[Gender]="Male")*(Table1[SubscriptionStart]&lt;=A393)*(Table1[EffectiveEndDate]&gt;=A393))</f>
        <v>173</v>
      </c>
      <c r="P393" s="45" cm="1">
        <f t="array" aca="1" ref="P393" ca="1">SUMPRODUCT((Table1[Gender]="Female")*(Table1[SubscriptionStart]&lt;=A393)*(Table1[EffectiveEndDate]&gt;=A393))</f>
        <v>143</v>
      </c>
    </row>
    <row r="394" spans="1:16">
      <c r="A394" s="48">
        <f t="shared" si="27"/>
        <v>44954</v>
      </c>
      <c r="B394" s="45" cm="1">
        <f t="array" aca="1" ref="B394" ca="1">SUMPRODUCT((Table1[SubscriptionStart]&lt;=A394)*(Table1[EffectiveEndDate]&gt;=A394))</f>
        <v>317</v>
      </c>
      <c r="C394" s="45">
        <f>COUNTIFS(Table1[SubscriptionStart], A394)</f>
        <v>1</v>
      </c>
      <c r="D394" s="45">
        <f>COUNTIFS(Table1[CancellationDate], A394)</f>
        <v>0</v>
      </c>
      <c r="E394" s="45">
        <f t="shared" si="24"/>
        <v>1</v>
      </c>
      <c r="F394" s="45">
        <f>SUM($C$2:C394)</f>
        <v>412</v>
      </c>
      <c r="G394" s="49" cm="1">
        <f t="array" aca="1" ref="G394" ca="1">IF(B394=0,"", SUMPRODUCT((Table1[SubscriptionStart]&lt;=A394)*(Table1[EffectiveEndDate]&gt;=A394)*Table1[Age]) / B394 )</f>
        <v>47.283911671924287</v>
      </c>
      <c r="H394" s="22">
        <f>SUMIF(Table1[SubscriptionStart],"&lt;="&amp;A394,Table1[TotalRevenue])</f>
        <v>90224.600000000049</v>
      </c>
      <c r="I394" s="50">
        <f t="shared" si="25"/>
        <v>44957</v>
      </c>
      <c r="J394" s="49">
        <f t="shared" ca="1" si="26"/>
        <v>313.51612903225805</v>
      </c>
      <c r="K394" s="45" cm="1">
        <f t="array" aca="1" ref="K394" ca="1">SUMPRODUCT((Table1[SubscriptionStart] &lt;= $A394) * (Table1[EffectiveEndDate] &gt;= $A394) * (Table1[Region] = "England"))</f>
        <v>72</v>
      </c>
      <c r="L394" s="45" cm="1">
        <f t="array" aca="1" ref="L394" ca="1">SUMPRODUCT((Table1[SubscriptionStart] &lt;= $A394) * (Table1[EffectiveEndDate] &gt;= $A394) * (Table1[Region] = "Scotland"))</f>
        <v>72</v>
      </c>
      <c r="M394" s="45" cm="1">
        <f t="array" aca="1" ref="M394" ca="1">SUMPRODUCT((Table1[SubscriptionStart] &lt;= $A394) * (Table1[EffectiveEndDate] &gt;= $A394) * (Table1[Region] = "Wales"))</f>
        <v>84</v>
      </c>
      <c r="N394" s="45" cm="1">
        <f t="array" aca="1" ref="N394" ca="1">SUMPRODUCT((Table1[SubscriptionStart] &lt;= $A394) * (Table1[EffectiveEndDate] &gt;= $A394) * (Table1[Region] = "Northern Ireland"))</f>
        <v>89</v>
      </c>
      <c r="O394" s="45" cm="1">
        <f t="array" aca="1" ref="O394" ca="1">SUMPRODUCT((Table1[Gender]="Male")*(Table1[SubscriptionStart]&lt;=A394)*(Table1[EffectiveEndDate]&gt;=A394))</f>
        <v>174</v>
      </c>
      <c r="P394" s="45" cm="1">
        <f t="array" aca="1" ref="P394" ca="1">SUMPRODUCT((Table1[Gender]="Female")*(Table1[SubscriptionStart]&lt;=A394)*(Table1[EffectiveEndDate]&gt;=A394))</f>
        <v>143</v>
      </c>
    </row>
    <row r="395" spans="1:16">
      <c r="A395" s="48">
        <f t="shared" si="27"/>
        <v>44955</v>
      </c>
      <c r="B395" s="45" cm="1">
        <f t="array" aca="1" ref="B395" ca="1">SUMPRODUCT((Table1[SubscriptionStart]&lt;=A395)*(Table1[EffectiveEndDate]&gt;=A395))</f>
        <v>321</v>
      </c>
      <c r="C395" s="45">
        <f>COUNTIFS(Table1[SubscriptionStart], A395)</f>
        <v>4</v>
      </c>
      <c r="D395" s="45">
        <f>COUNTIFS(Table1[CancellationDate], A395)</f>
        <v>0</v>
      </c>
      <c r="E395" s="45">
        <f t="shared" si="24"/>
        <v>4</v>
      </c>
      <c r="F395" s="45">
        <f>SUM($C$2:C395)</f>
        <v>416</v>
      </c>
      <c r="G395" s="49" cm="1">
        <f t="array" aca="1" ref="G395" ca="1">IF(B395=0,"", SUMPRODUCT((Table1[SubscriptionStart]&lt;=A395)*(Table1[EffectiveEndDate]&gt;=A395)*Table1[Age]) / B395 )</f>
        <v>47.283489096573206</v>
      </c>
      <c r="H395" s="22">
        <f>SUMIF(Table1[SubscriptionStart],"&lt;="&amp;A395,Table1[TotalRevenue])</f>
        <v>90599.450000000055</v>
      </c>
      <c r="I395" s="50">
        <f t="shared" si="25"/>
        <v>44957</v>
      </c>
      <c r="J395" s="49">
        <f t="shared" ca="1" si="26"/>
        <v>313.51612903225805</v>
      </c>
      <c r="K395" s="45" cm="1">
        <f t="array" aca="1" ref="K395" ca="1">SUMPRODUCT((Table1[SubscriptionStart] &lt;= $A395) * (Table1[EffectiveEndDate] &gt;= $A395) * (Table1[Region] = "England"))</f>
        <v>73</v>
      </c>
      <c r="L395" s="45" cm="1">
        <f t="array" aca="1" ref="L395" ca="1">SUMPRODUCT((Table1[SubscriptionStart] &lt;= $A395) * (Table1[EffectiveEndDate] &gt;= $A395) * (Table1[Region] = "Scotland"))</f>
        <v>72</v>
      </c>
      <c r="M395" s="45" cm="1">
        <f t="array" aca="1" ref="M395" ca="1">SUMPRODUCT((Table1[SubscriptionStart] &lt;= $A395) * (Table1[EffectiveEndDate] &gt;= $A395) * (Table1[Region] = "Wales"))</f>
        <v>85</v>
      </c>
      <c r="N395" s="45" cm="1">
        <f t="array" aca="1" ref="N395" ca="1">SUMPRODUCT((Table1[SubscriptionStart] &lt;= $A395) * (Table1[EffectiveEndDate] &gt;= $A395) * (Table1[Region] = "Northern Ireland"))</f>
        <v>91</v>
      </c>
      <c r="O395" s="45" cm="1">
        <f t="array" aca="1" ref="O395" ca="1">SUMPRODUCT((Table1[Gender]="Male")*(Table1[SubscriptionStart]&lt;=A395)*(Table1[EffectiveEndDate]&gt;=A395))</f>
        <v>178</v>
      </c>
      <c r="P395" s="45" cm="1">
        <f t="array" aca="1" ref="P395" ca="1">SUMPRODUCT((Table1[Gender]="Female")*(Table1[SubscriptionStart]&lt;=A395)*(Table1[EffectiveEndDate]&gt;=A395))</f>
        <v>143</v>
      </c>
    </row>
    <row r="396" spans="1:16">
      <c r="A396" s="48">
        <f t="shared" si="27"/>
        <v>44956</v>
      </c>
      <c r="B396" s="45" cm="1">
        <f t="array" aca="1" ref="B396" ca="1">SUMPRODUCT((Table1[SubscriptionStart]&lt;=A396)*(Table1[EffectiveEndDate]&gt;=A396))</f>
        <v>322</v>
      </c>
      <c r="C396" s="45">
        <f>COUNTIFS(Table1[SubscriptionStart], A396)</f>
        <v>1</v>
      </c>
      <c r="D396" s="45">
        <f>COUNTIFS(Table1[CancellationDate], A396)</f>
        <v>2</v>
      </c>
      <c r="E396" s="45">
        <f t="shared" si="24"/>
        <v>-1</v>
      </c>
      <c r="F396" s="45">
        <f>SUM($C$2:C396)</f>
        <v>417</v>
      </c>
      <c r="G396" s="49" cm="1">
        <f t="array" aca="1" ref="G396" ca="1">IF(B396=0,"", SUMPRODUCT((Table1[SubscriptionStart]&lt;=A396)*(Table1[EffectiveEndDate]&gt;=A396)*Table1[Age]) / B396 )</f>
        <v>47.316770186335404</v>
      </c>
      <c r="H396" s="22">
        <f>SUMIF(Table1[SubscriptionStart],"&lt;="&amp;A396,Table1[TotalRevenue])</f>
        <v>90729.050000000061</v>
      </c>
      <c r="I396" s="50">
        <f t="shared" si="25"/>
        <v>44957</v>
      </c>
      <c r="J396" s="49">
        <f t="shared" ca="1" si="26"/>
        <v>313.51612903225805</v>
      </c>
      <c r="K396" s="45" cm="1">
        <f t="array" aca="1" ref="K396" ca="1">SUMPRODUCT((Table1[SubscriptionStart] &lt;= $A396) * (Table1[EffectiveEndDate] &gt;= $A396) * (Table1[Region] = "England"))</f>
        <v>73</v>
      </c>
      <c r="L396" s="45" cm="1">
        <f t="array" aca="1" ref="L396" ca="1">SUMPRODUCT((Table1[SubscriptionStart] &lt;= $A396) * (Table1[EffectiveEndDate] &gt;= $A396) * (Table1[Region] = "Scotland"))</f>
        <v>72</v>
      </c>
      <c r="M396" s="45" cm="1">
        <f t="array" aca="1" ref="M396" ca="1">SUMPRODUCT((Table1[SubscriptionStart] &lt;= $A396) * (Table1[EffectiveEndDate] &gt;= $A396) * (Table1[Region] = "Wales"))</f>
        <v>85</v>
      </c>
      <c r="N396" s="45" cm="1">
        <f t="array" aca="1" ref="N396" ca="1">SUMPRODUCT((Table1[SubscriptionStart] &lt;= $A396) * (Table1[EffectiveEndDate] &gt;= $A396) * (Table1[Region] = "Northern Ireland"))</f>
        <v>92</v>
      </c>
      <c r="O396" s="45" cm="1">
        <f t="array" aca="1" ref="O396" ca="1">SUMPRODUCT((Table1[Gender]="Male")*(Table1[SubscriptionStart]&lt;=A396)*(Table1[EffectiveEndDate]&gt;=A396))</f>
        <v>179</v>
      </c>
      <c r="P396" s="45" cm="1">
        <f t="array" aca="1" ref="P396" ca="1">SUMPRODUCT((Table1[Gender]="Female")*(Table1[SubscriptionStart]&lt;=A396)*(Table1[EffectiveEndDate]&gt;=A396))</f>
        <v>143</v>
      </c>
    </row>
    <row r="397" spans="1:16">
      <c r="A397" s="48">
        <f t="shared" si="27"/>
        <v>44957</v>
      </c>
      <c r="B397" s="45" cm="1">
        <f t="array" aca="1" ref="B397" ca="1">SUMPRODUCT((Table1[SubscriptionStart]&lt;=A397)*(Table1[EffectiveEndDate]&gt;=A397))</f>
        <v>320</v>
      </c>
      <c r="C397" s="45">
        <f>COUNTIFS(Table1[SubscriptionStart], A397)</f>
        <v>0</v>
      </c>
      <c r="D397" s="45">
        <f>COUNTIFS(Table1[CancellationDate], A397)</f>
        <v>1</v>
      </c>
      <c r="E397" s="45">
        <f t="shared" si="24"/>
        <v>-1</v>
      </c>
      <c r="F397" s="45">
        <f>SUM($C$2:C397)</f>
        <v>417</v>
      </c>
      <c r="G397" s="49" cm="1">
        <f t="array" aca="1" ref="G397" ca="1">IF(B397=0,"", SUMPRODUCT((Table1[SubscriptionStart]&lt;=A397)*(Table1[EffectiveEndDate]&gt;=A397)*Table1[Age]) / B397 )</f>
        <v>47.409374999999997</v>
      </c>
      <c r="H397" s="22">
        <f>SUMIF(Table1[SubscriptionStart],"&lt;="&amp;A397,Table1[TotalRevenue])</f>
        <v>90729.050000000061</v>
      </c>
      <c r="I397" s="50">
        <f t="shared" si="25"/>
        <v>44957</v>
      </c>
      <c r="J397" s="49">
        <f t="shared" ca="1" si="26"/>
        <v>313.51612903225805</v>
      </c>
      <c r="K397" s="45" cm="1">
        <f t="array" aca="1" ref="K397" ca="1">SUMPRODUCT((Table1[SubscriptionStart] &lt;= $A397) * (Table1[EffectiveEndDate] &gt;= $A397) * (Table1[Region] = "England"))</f>
        <v>72</v>
      </c>
      <c r="L397" s="45" cm="1">
        <f t="array" aca="1" ref="L397" ca="1">SUMPRODUCT((Table1[SubscriptionStart] &lt;= $A397) * (Table1[EffectiveEndDate] &gt;= $A397) * (Table1[Region] = "Scotland"))</f>
        <v>72</v>
      </c>
      <c r="M397" s="45" cm="1">
        <f t="array" aca="1" ref="M397" ca="1">SUMPRODUCT((Table1[SubscriptionStart] &lt;= $A397) * (Table1[EffectiveEndDate] &gt;= $A397) * (Table1[Region] = "Wales"))</f>
        <v>85</v>
      </c>
      <c r="N397" s="45" cm="1">
        <f t="array" aca="1" ref="N397" ca="1">SUMPRODUCT((Table1[SubscriptionStart] &lt;= $A397) * (Table1[EffectiveEndDate] &gt;= $A397) * (Table1[Region] = "Northern Ireland"))</f>
        <v>91</v>
      </c>
      <c r="O397" s="45" cm="1">
        <f t="array" aca="1" ref="O397" ca="1">SUMPRODUCT((Table1[Gender]="Male")*(Table1[SubscriptionStart]&lt;=A397)*(Table1[EffectiveEndDate]&gt;=A397))</f>
        <v>179</v>
      </c>
      <c r="P397" s="45" cm="1">
        <f t="array" aca="1" ref="P397" ca="1">SUMPRODUCT((Table1[Gender]="Female")*(Table1[SubscriptionStart]&lt;=A397)*(Table1[EffectiveEndDate]&gt;=A397))</f>
        <v>141</v>
      </c>
    </row>
    <row r="398" spans="1:16">
      <c r="A398" s="48">
        <f t="shared" si="27"/>
        <v>44958</v>
      </c>
      <c r="B398" s="45" cm="1">
        <f t="array" aca="1" ref="B398" ca="1">SUMPRODUCT((Table1[SubscriptionStart]&lt;=A398)*(Table1[EffectiveEndDate]&gt;=A398))</f>
        <v>319</v>
      </c>
      <c r="C398" s="45">
        <f>COUNTIFS(Table1[SubscriptionStart], A398)</f>
        <v>0</v>
      </c>
      <c r="D398" s="45">
        <f>COUNTIFS(Table1[CancellationDate], A398)</f>
        <v>1</v>
      </c>
      <c r="E398" s="45">
        <f t="shared" si="24"/>
        <v>-1</v>
      </c>
      <c r="F398" s="45">
        <f>SUM($C$2:C398)</f>
        <v>417</v>
      </c>
      <c r="G398" s="49" cm="1">
        <f t="array" aca="1" ref="G398" ca="1">IF(B398=0,"", SUMPRODUCT((Table1[SubscriptionStart]&lt;=A398)*(Table1[EffectiveEndDate]&gt;=A398)*Table1[Age]) / B398 )</f>
        <v>47.495297805642636</v>
      </c>
      <c r="H398" s="22">
        <f>SUMIF(Table1[SubscriptionStart],"&lt;="&amp;A398,Table1[TotalRevenue])</f>
        <v>90729.050000000061</v>
      </c>
      <c r="I398" s="50">
        <f t="shared" si="25"/>
        <v>44985</v>
      </c>
      <c r="J398" s="49">
        <f t="shared" ca="1" si="26"/>
        <v>325.14285714285717</v>
      </c>
      <c r="K398" s="45" cm="1">
        <f t="array" aca="1" ref="K398" ca="1">SUMPRODUCT((Table1[SubscriptionStart] &lt;= $A398) * (Table1[EffectiveEndDate] &gt;= $A398) * (Table1[Region] = "England"))</f>
        <v>72</v>
      </c>
      <c r="L398" s="45" cm="1">
        <f t="array" aca="1" ref="L398" ca="1">SUMPRODUCT((Table1[SubscriptionStart] &lt;= $A398) * (Table1[EffectiveEndDate] &gt;= $A398) * (Table1[Region] = "Scotland"))</f>
        <v>71</v>
      </c>
      <c r="M398" s="45" cm="1">
        <f t="array" aca="1" ref="M398" ca="1">SUMPRODUCT((Table1[SubscriptionStart] &lt;= $A398) * (Table1[EffectiveEndDate] &gt;= $A398) * (Table1[Region] = "Wales"))</f>
        <v>85</v>
      </c>
      <c r="N398" s="45" cm="1">
        <f t="array" aca="1" ref="N398" ca="1">SUMPRODUCT((Table1[SubscriptionStart] &lt;= $A398) * (Table1[EffectiveEndDate] &gt;= $A398) * (Table1[Region] = "Northern Ireland"))</f>
        <v>91</v>
      </c>
      <c r="O398" s="45" cm="1">
        <f t="array" aca="1" ref="O398" ca="1">SUMPRODUCT((Table1[Gender]="Male")*(Table1[SubscriptionStart]&lt;=A398)*(Table1[EffectiveEndDate]&gt;=A398))</f>
        <v>178</v>
      </c>
      <c r="P398" s="45" cm="1">
        <f t="array" aca="1" ref="P398" ca="1">SUMPRODUCT((Table1[Gender]="Female")*(Table1[SubscriptionStart]&lt;=A398)*(Table1[EffectiveEndDate]&gt;=A398))</f>
        <v>141</v>
      </c>
    </row>
    <row r="399" spans="1:16">
      <c r="A399" s="48">
        <f t="shared" si="27"/>
        <v>44959</v>
      </c>
      <c r="B399" s="45" cm="1">
        <f t="array" aca="1" ref="B399" ca="1">SUMPRODUCT((Table1[SubscriptionStart]&lt;=A399)*(Table1[EffectiveEndDate]&gt;=A399))</f>
        <v>318</v>
      </c>
      <c r="C399" s="45">
        <f>COUNTIFS(Table1[SubscriptionStart], A399)</f>
        <v>0</v>
      </c>
      <c r="D399" s="45">
        <f>COUNTIFS(Table1[CancellationDate], A399)</f>
        <v>3</v>
      </c>
      <c r="E399" s="45">
        <f t="shared" si="24"/>
        <v>-3</v>
      </c>
      <c r="F399" s="45">
        <f>SUM($C$2:C399)</f>
        <v>417</v>
      </c>
      <c r="G399" s="49" cm="1">
        <f t="array" aca="1" ref="G399" ca="1">IF(B399=0,"", SUMPRODUCT((Table1[SubscriptionStart]&lt;=A399)*(Table1[EffectiveEndDate]&gt;=A399)*Table1[Age]) / B399 )</f>
        <v>47.433962264150942</v>
      </c>
      <c r="H399" s="22">
        <f>SUMIF(Table1[SubscriptionStart],"&lt;="&amp;A399,Table1[TotalRevenue])</f>
        <v>90729.050000000061</v>
      </c>
      <c r="I399" s="50">
        <f t="shared" si="25"/>
        <v>44985</v>
      </c>
      <c r="J399" s="49">
        <f t="shared" ca="1" si="26"/>
        <v>325.14285714285717</v>
      </c>
      <c r="K399" s="45" cm="1">
        <f t="array" aca="1" ref="K399" ca="1">SUMPRODUCT((Table1[SubscriptionStart] &lt;= $A399) * (Table1[EffectiveEndDate] &gt;= $A399) * (Table1[Region] = "England"))</f>
        <v>72</v>
      </c>
      <c r="L399" s="45" cm="1">
        <f t="array" aca="1" ref="L399" ca="1">SUMPRODUCT((Table1[SubscriptionStart] &lt;= $A399) * (Table1[EffectiveEndDate] &gt;= $A399) * (Table1[Region] = "Scotland"))</f>
        <v>71</v>
      </c>
      <c r="M399" s="45" cm="1">
        <f t="array" aca="1" ref="M399" ca="1">SUMPRODUCT((Table1[SubscriptionStart] &lt;= $A399) * (Table1[EffectiveEndDate] &gt;= $A399) * (Table1[Region] = "Wales"))</f>
        <v>85</v>
      </c>
      <c r="N399" s="45" cm="1">
        <f t="array" aca="1" ref="N399" ca="1">SUMPRODUCT((Table1[SubscriptionStart] &lt;= $A399) * (Table1[EffectiveEndDate] &gt;= $A399) * (Table1[Region] = "Northern Ireland"))</f>
        <v>90</v>
      </c>
      <c r="O399" s="45" cm="1">
        <f t="array" aca="1" ref="O399" ca="1">SUMPRODUCT((Table1[Gender]="Male")*(Table1[SubscriptionStart]&lt;=A399)*(Table1[EffectiveEndDate]&gt;=A399))</f>
        <v>177</v>
      </c>
      <c r="P399" s="45" cm="1">
        <f t="array" aca="1" ref="P399" ca="1">SUMPRODUCT((Table1[Gender]="Female")*(Table1[SubscriptionStart]&lt;=A399)*(Table1[EffectiveEndDate]&gt;=A399))</f>
        <v>141</v>
      </c>
    </row>
    <row r="400" spans="1:16">
      <c r="A400" s="48">
        <f t="shared" si="27"/>
        <v>44960</v>
      </c>
      <c r="B400" s="45" cm="1">
        <f t="array" aca="1" ref="B400" ca="1">SUMPRODUCT((Table1[SubscriptionStart]&lt;=A400)*(Table1[EffectiveEndDate]&gt;=A400))</f>
        <v>316</v>
      </c>
      <c r="C400" s="45">
        <f>COUNTIFS(Table1[SubscriptionStart], A400)</f>
        <v>1</v>
      </c>
      <c r="D400" s="45">
        <f>COUNTIFS(Table1[CancellationDate], A400)</f>
        <v>0</v>
      </c>
      <c r="E400" s="45">
        <f t="shared" si="24"/>
        <v>1</v>
      </c>
      <c r="F400" s="45">
        <f>SUM($C$2:C400)</f>
        <v>418</v>
      </c>
      <c r="G400" s="49" cm="1">
        <f t="array" aca="1" ref="G400" ca="1">IF(B400=0,"", SUMPRODUCT((Table1[SubscriptionStart]&lt;=A400)*(Table1[EffectiveEndDate]&gt;=A400)*Table1[Age]) / B400 )</f>
        <v>47.598101265822784</v>
      </c>
      <c r="H400" s="22">
        <f>SUMIF(Table1[SubscriptionStart],"&lt;="&amp;A400,Table1[TotalRevenue])</f>
        <v>90801.050000000061</v>
      </c>
      <c r="I400" s="50">
        <f t="shared" si="25"/>
        <v>44985</v>
      </c>
      <c r="J400" s="49">
        <f t="shared" ca="1" si="26"/>
        <v>325.14285714285717</v>
      </c>
      <c r="K400" s="45" cm="1">
        <f t="array" aca="1" ref="K400" ca="1">SUMPRODUCT((Table1[SubscriptionStart] &lt;= $A400) * (Table1[EffectiveEndDate] &gt;= $A400) * (Table1[Region] = "England"))</f>
        <v>72</v>
      </c>
      <c r="L400" s="45" cm="1">
        <f t="array" aca="1" ref="L400" ca="1">SUMPRODUCT((Table1[SubscriptionStart] &lt;= $A400) * (Table1[EffectiveEndDate] &gt;= $A400) * (Table1[Region] = "Scotland"))</f>
        <v>71</v>
      </c>
      <c r="M400" s="45" cm="1">
        <f t="array" aca="1" ref="M400" ca="1">SUMPRODUCT((Table1[SubscriptionStart] &lt;= $A400) * (Table1[EffectiveEndDate] &gt;= $A400) * (Table1[Region] = "Wales"))</f>
        <v>85</v>
      </c>
      <c r="N400" s="45" cm="1">
        <f t="array" aca="1" ref="N400" ca="1">SUMPRODUCT((Table1[SubscriptionStart] &lt;= $A400) * (Table1[EffectiveEndDate] &gt;= $A400) * (Table1[Region] = "Northern Ireland"))</f>
        <v>88</v>
      </c>
      <c r="O400" s="45" cm="1">
        <f t="array" aca="1" ref="O400" ca="1">SUMPRODUCT((Table1[Gender]="Male")*(Table1[SubscriptionStart]&lt;=A400)*(Table1[EffectiveEndDate]&gt;=A400))</f>
        <v>176</v>
      </c>
      <c r="P400" s="45" cm="1">
        <f t="array" aca="1" ref="P400" ca="1">SUMPRODUCT((Table1[Gender]="Female")*(Table1[SubscriptionStart]&lt;=A400)*(Table1[EffectiveEndDate]&gt;=A400))</f>
        <v>140</v>
      </c>
    </row>
    <row r="401" spans="1:16">
      <c r="A401" s="48">
        <f t="shared" si="27"/>
        <v>44961</v>
      </c>
      <c r="B401" s="45" cm="1">
        <f t="array" aca="1" ref="B401" ca="1">SUMPRODUCT((Table1[SubscriptionStart]&lt;=A401)*(Table1[EffectiveEndDate]&gt;=A401))</f>
        <v>318</v>
      </c>
      <c r="C401" s="45">
        <f>COUNTIFS(Table1[SubscriptionStart], A401)</f>
        <v>2</v>
      </c>
      <c r="D401" s="45">
        <f>COUNTIFS(Table1[CancellationDate], A401)</f>
        <v>0</v>
      </c>
      <c r="E401" s="45">
        <f t="shared" si="24"/>
        <v>2</v>
      </c>
      <c r="F401" s="45">
        <f>SUM($C$2:C401)</f>
        <v>420</v>
      </c>
      <c r="G401" s="49" cm="1">
        <f t="array" aca="1" ref="G401" ca="1">IF(B401=0,"", SUMPRODUCT((Table1[SubscriptionStart]&lt;=A401)*(Table1[EffectiveEndDate]&gt;=A401)*Table1[Age]) / B401 )</f>
        <v>47.600628930817614</v>
      </c>
      <c r="H401" s="22">
        <f>SUMIF(Table1[SubscriptionStart],"&lt;="&amp;A401,Table1[TotalRevenue])</f>
        <v>91053.050000000061</v>
      </c>
      <c r="I401" s="50">
        <f t="shared" si="25"/>
        <v>44985</v>
      </c>
      <c r="J401" s="49">
        <f t="shared" ca="1" si="26"/>
        <v>325.14285714285717</v>
      </c>
      <c r="K401" s="45" cm="1">
        <f t="array" aca="1" ref="K401" ca="1">SUMPRODUCT((Table1[SubscriptionStart] &lt;= $A401) * (Table1[EffectiveEndDate] &gt;= $A401) * (Table1[Region] = "England"))</f>
        <v>72</v>
      </c>
      <c r="L401" s="45" cm="1">
        <f t="array" aca="1" ref="L401" ca="1">SUMPRODUCT((Table1[SubscriptionStart] &lt;= $A401) * (Table1[EffectiveEndDate] &gt;= $A401) * (Table1[Region] = "Scotland"))</f>
        <v>71</v>
      </c>
      <c r="M401" s="45" cm="1">
        <f t="array" aca="1" ref="M401" ca="1">SUMPRODUCT((Table1[SubscriptionStart] &lt;= $A401) * (Table1[EffectiveEndDate] &gt;= $A401) * (Table1[Region] = "Wales"))</f>
        <v>85</v>
      </c>
      <c r="N401" s="45" cm="1">
        <f t="array" aca="1" ref="N401" ca="1">SUMPRODUCT((Table1[SubscriptionStart] &lt;= $A401) * (Table1[EffectiveEndDate] &gt;= $A401) * (Table1[Region] = "Northern Ireland"))</f>
        <v>90</v>
      </c>
      <c r="O401" s="45" cm="1">
        <f t="array" aca="1" ref="O401" ca="1">SUMPRODUCT((Table1[Gender]="Male")*(Table1[SubscriptionStart]&lt;=A401)*(Table1[EffectiveEndDate]&gt;=A401))</f>
        <v>177</v>
      </c>
      <c r="P401" s="45" cm="1">
        <f t="array" aca="1" ref="P401" ca="1">SUMPRODUCT((Table1[Gender]="Female")*(Table1[SubscriptionStart]&lt;=A401)*(Table1[EffectiveEndDate]&gt;=A401))</f>
        <v>141</v>
      </c>
    </row>
    <row r="402" spans="1:16">
      <c r="A402" s="48">
        <f t="shared" si="27"/>
        <v>44962</v>
      </c>
      <c r="B402" s="45" cm="1">
        <f t="array" aca="1" ref="B402" ca="1">SUMPRODUCT((Table1[SubscriptionStart]&lt;=A402)*(Table1[EffectiveEndDate]&gt;=A402))</f>
        <v>319</v>
      </c>
      <c r="C402" s="45">
        <f>COUNTIFS(Table1[SubscriptionStart], A402)</f>
        <v>1</v>
      </c>
      <c r="D402" s="45">
        <f>COUNTIFS(Table1[CancellationDate], A402)</f>
        <v>0</v>
      </c>
      <c r="E402" s="45">
        <f t="shared" si="24"/>
        <v>1</v>
      </c>
      <c r="F402" s="45">
        <f>SUM($C$2:C402)</f>
        <v>421</v>
      </c>
      <c r="G402" s="49" cm="1">
        <f t="array" aca="1" ref="G402" ca="1">IF(B402=0,"", SUMPRODUCT((Table1[SubscriptionStart]&lt;=A402)*(Table1[EffectiveEndDate]&gt;=A402)*Table1[Age]) / B402 )</f>
        <v>47.686520376175551</v>
      </c>
      <c r="H402" s="22">
        <f>SUMIF(Table1[SubscriptionStart],"&lt;="&amp;A402,Table1[TotalRevenue])</f>
        <v>91627.250000000058</v>
      </c>
      <c r="I402" s="50">
        <f t="shared" si="25"/>
        <v>44985</v>
      </c>
      <c r="J402" s="49">
        <f t="shared" ca="1" si="26"/>
        <v>325.14285714285717</v>
      </c>
      <c r="K402" s="45" cm="1">
        <f t="array" aca="1" ref="K402" ca="1">SUMPRODUCT((Table1[SubscriptionStart] &lt;= $A402) * (Table1[EffectiveEndDate] &gt;= $A402) * (Table1[Region] = "England"))</f>
        <v>73</v>
      </c>
      <c r="L402" s="45" cm="1">
        <f t="array" aca="1" ref="L402" ca="1">SUMPRODUCT((Table1[SubscriptionStart] &lt;= $A402) * (Table1[EffectiveEndDate] &gt;= $A402) * (Table1[Region] = "Scotland"))</f>
        <v>71</v>
      </c>
      <c r="M402" s="45" cm="1">
        <f t="array" aca="1" ref="M402" ca="1">SUMPRODUCT((Table1[SubscriptionStart] &lt;= $A402) * (Table1[EffectiveEndDate] &gt;= $A402) * (Table1[Region] = "Wales"))</f>
        <v>85</v>
      </c>
      <c r="N402" s="45" cm="1">
        <f t="array" aca="1" ref="N402" ca="1">SUMPRODUCT((Table1[SubscriptionStart] &lt;= $A402) * (Table1[EffectiveEndDate] &gt;= $A402) * (Table1[Region] = "Northern Ireland"))</f>
        <v>90</v>
      </c>
      <c r="O402" s="45" cm="1">
        <f t="array" aca="1" ref="O402" ca="1">SUMPRODUCT((Table1[Gender]="Male")*(Table1[SubscriptionStart]&lt;=A402)*(Table1[EffectiveEndDate]&gt;=A402))</f>
        <v>178</v>
      </c>
      <c r="P402" s="45" cm="1">
        <f t="array" aca="1" ref="P402" ca="1">SUMPRODUCT((Table1[Gender]="Female")*(Table1[SubscriptionStart]&lt;=A402)*(Table1[EffectiveEndDate]&gt;=A402))</f>
        <v>141</v>
      </c>
    </row>
    <row r="403" spans="1:16">
      <c r="A403" s="48">
        <f t="shared" si="27"/>
        <v>44963</v>
      </c>
      <c r="B403" s="45" cm="1">
        <f t="array" aca="1" ref="B403" ca="1">SUMPRODUCT((Table1[SubscriptionStart]&lt;=A403)*(Table1[EffectiveEndDate]&gt;=A403))</f>
        <v>321</v>
      </c>
      <c r="C403" s="45">
        <f>COUNTIFS(Table1[SubscriptionStart], A403)</f>
        <v>2</v>
      </c>
      <c r="D403" s="45">
        <f>COUNTIFS(Table1[CancellationDate], A403)</f>
        <v>1</v>
      </c>
      <c r="E403" s="45">
        <f t="shared" si="24"/>
        <v>1</v>
      </c>
      <c r="F403" s="45">
        <f>SUM($C$2:C403)</f>
        <v>423</v>
      </c>
      <c r="G403" s="49" cm="1">
        <f t="array" aca="1" ref="G403" ca="1">IF(B403=0,"", SUMPRODUCT((Table1[SubscriptionStart]&lt;=A403)*(Table1[EffectiveEndDate]&gt;=A403)*Table1[Age]) / B403 )</f>
        <v>47.588785046728972</v>
      </c>
      <c r="H403" s="22">
        <f>SUMIF(Table1[SubscriptionStart],"&lt;="&amp;A403,Table1[TotalRevenue])</f>
        <v>91858.100000000064</v>
      </c>
      <c r="I403" s="50">
        <f t="shared" si="25"/>
        <v>44985</v>
      </c>
      <c r="J403" s="49">
        <f t="shared" ca="1" si="26"/>
        <v>325.14285714285717</v>
      </c>
      <c r="K403" s="45" cm="1">
        <f t="array" aca="1" ref="K403" ca="1">SUMPRODUCT((Table1[SubscriptionStart] &lt;= $A403) * (Table1[EffectiveEndDate] &gt;= $A403) * (Table1[Region] = "England"))</f>
        <v>74</v>
      </c>
      <c r="L403" s="45" cm="1">
        <f t="array" aca="1" ref="L403" ca="1">SUMPRODUCT((Table1[SubscriptionStart] &lt;= $A403) * (Table1[EffectiveEndDate] &gt;= $A403) * (Table1[Region] = "Scotland"))</f>
        <v>71</v>
      </c>
      <c r="M403" s="45" cm="1">
        <f t="array" aca="1" ref="M403" ca="1">SUMPRODUCT((Table1[SubscriptionStart] &lt;= $A403) * (Table1[EffectiveEndDate] &gt;= $A403) * (Table1[Region] = "Wales"))</f>
        <v>86</v>
      </c>
      <c r="N403" s="45" cm="1">
        <f t="array" aca="1" ref="N403" ca="1">SUMPRODUCT((Table1[SubscriptionStart] &lt;= $A403) * (Table1[EffectiveEndDate] &gt;= $A403) * (Table1[Region] = "Northern Ireland"))</f>
        <v>90</v>
      </c>
      <c r="O403" s="45" cm="1">
        <f t="array" aca="1" ref="O403" ca="1">SUMPRODUCT((Table1[Gender]="Male")*(Table1[SubscriptionStart]&lt;=A403)*(Table1[EffectiveEndDate]&gt;=A403))</f>
        <v>178</v>
      </c>
      <c r="P403" s="45" cm="1">
        <f t="array" aca="1" ref="P403" ca="1">SUMPRODUCT((Table1[Gender]="Female")*(Table1[SubscriptionStart]&lt;=A403)*(Table1[EffectiveEndDate]&gt;=A403))</f>
        <v>143</v>
      </c>
    </row>
    <row r="404" spans="1:16">
      <c r="A404" s="48">
        <f t="shared" si="27"/>
        <v>44964</v>
      </c>
      <c r="B404" s="45" cm="1">
        <f t="array" aca="1" ref="B404" ca="1">SUMPRODUCT((Table1[SubscriptionStart]&lt;=A404)*(Table1[EffectiveEndDate]&gt;=A404))</f>
        <v>322</v>
      </c>
      <c r="C404" s="45">
        <f>COUNTIFS(Table1[SubscriptionStart], A404)</f>
        <v>2</v>
      </c>
      <c r="D404" s="45">
        <f>COUNTIFS(Table1[CancellationDate], A404)</f>
        <v>0</v>
      </c>
      <c r="E404" s="45">
        <f t="shared" si="24"/>
        <v>2</v>
      </c>
      <c r="F404" s="45">
        <f>SUM($C$2:C404)</f>
        <v>425</v>
      </c>
      <c r="G404" s="49" cm="1">
        <f t="array" aca="1" ref="G404" ca="1">IF(B404=0,"", SUMPRODUCT((Table1[SubscriptionStart]&lt;=A404)*(Table1[EffectiveEndDate]&gt;=A404)*Table1[Age]) / B404 )</f>
        <v>47.555900621118013</v>
      </c>
      <c r="H404" s="22">
        <f>SUMIF(Table1[SubscriptionStart],"&lt;="&amp;A404,Table1[TotalRevenue])</f>
        <v>92038.100000000064</v>
      </c>
      <c r="I404" s="50">
        <f t="shared" si="25"/>
        <v>44985</v>
      </c>
      <c r="J404" s="49">
        <f t="shared" ca="1" si="26"/>
        <v>325.14285714285717</v>
      </c>
      <c r="K404" s="45" cm="1">
        <f t="array" aca="1" ref="K404" ca="1">SUMPRODUCT((Table1[SubscriptionStart] &lt;= $A404) * (Table1[EffectiveEndDate] &gt;= $A404) * (Table1[Region] = "England"))</f>
        <v>75</v>
      </c>
      <c r="L404" s="45" cm="1">
        <f t="array" aca="1" ref="L404" ca="1">SUMPRODUCT((Table1[SubscriptionStart] &lt;= $A404) * (Table1[EffectiveEndDate] &gt;= $A404) * (Table1[Region] = "Scotland"))</f>
        <v>70</v>
      </c>
      <c r="M404" s="45" cm="1">
        <f t="array" aca="1" ref="M404" ca="1">SUMPRODUCT((Table1[SubscriptionStart] &lt;= $A404) * (Table1[EffectiveEndDate] &gt;= $A404) * (Table1[Region] = "Wales"))</f>
        <v>86</v>
      </c>
      <c r="N404" s="45" cm="1">
        <f t="array" aca="1" ref="N404" ca="1">SUMPRODUCT((Table1[SubscriptionStart] &lt;= $A404) * (Table1[EffectiveEndDate] &gt;= $A404) * (Table1[Region] = "Northern Ireland"))</f>
        <v>91</v>
      </c>
      <c r="O404" s="45" cm="1">
        <f t="array" aca="1" ref="O404" ca="1">SUMPRODUCT((Table1[Gender]="Male")*(Table1[SubscriptionStart]&lt;=A404)*(Table1[EffectiveEndDate]&gt;=A404))</f>
        <v>178</v>
      </c>
      <c r="P404" s="45" cm="1">
        <f t="array" aca="1" ref="P404" ca="1">SUMPRODUCT((Table1[Gender]="Female")*(Table1[SubscriptionStart]&lt;=A404)*(Table1[EffectiveEndDate]&gt;=A404))</f>
        <v>144</v>
      </c>
    </row>
    <row r="405" spans="1:16">
      <c r="A405" s="48">
        <f t="shared" si="27"/>
        <v>44965</v>
      </c>
      <c r="B405" s="45" cm="1">
        <f t="array" aca="1" ref="B405" ca="1">SUMPRODUCT((Table1[SubscriptionStart]&lt;=A405)*(Table1[EffectiveEndDate]&gt;=A405))</f>
        <v>323</v>
      </c>
      <c r="C405" s="45">
        <f>COUNTIFS(Table1[SubscriptionStart], A405)</f>
        <v>1</v>
      </c>
      <c r="D405" s="45">
        <f>COUNTIFS(Table1[CancellationDate], A405)</f>
        <v>0</v>
      </c>
      <c r="E405" s="45">
        <f t="shared" si="24"/>
        <v>1</v>
      </c>
      <c r="F405" s="45">
        <f>SUM($C$2:C405)</f>
        <v>426</v>
      </c>
      <c r="G405" s="49" cm="1">
        <f t="array" aca="1" ref="G405" ca="1">IF(B405=0,"", SUMPRODUCT((Table1[SubscriptionStart]&lt;=A405)*(Table1[EffectiveEndDate]&gt;=A405)*Table1[Age]) / B405 )</f>
        <v>47.479876160990713</v>
      </c>
      <c r="H405" s="22">
        <f>SUMIF(Table1[SubscriptionStart],"&lt;="&amp;A405,Table1[TotalRevenue])</f>
        <v>92139.350000000064</v>
      </c>
      <c r="I405" s="50">
        <f t="shared" si="25"/>
        <v>44985</v>
      </c>
      <c r="J405" s="49">
        <f t="shared" ca="1" si="26"/>
        <v>325.14285714285717</v>
      </c>
      <c r="K405" s="45" cm="1">
        <f t="array" aca="1" ref="K405" ca="1">SUMPRODUCT((Table1[SubscriptionStart] &lt;= $A405) * (Table1[EffectiveEndDate] &gt;= $A405) * (Table1[Region] = "England"))</f>
        <v>76</v>
      </c>
      <c r="L405" s="45" cm="1">
        <f t="array" aca="1" ref="L405" ca="1">SUMPRODUCT((Table1[SubscriptionStart] &lt;= $A405) * (Table1[EffectiveEndDate] &gt;= $A405) * (Table1[Region] = "Scotland"))</f>
        <v>70</v>
      </c>
      <c r="M405" s="45" cm="1">
        <f t="array" aca="1" ref="M405" ca="1">SUMPRODUCT((Table1[SubscriptionStart] &lt;= $A405) * (Table1[EffectiveEndDate] &gt;= $A405) * (Table1[Region] = "Wales"))</f>
        <v>86</v>
      </c>
      <c r="N405" s="45" cm="1">
        <f t="array" aca="1" ref="N405" ca="1">SUMPRODUCT((Table1[SubscriptionStart] &lt;= $A405) * (Table1[EffectiveEndDate] &gt;= $A405) * (Table1[Region] = "Northern Ireland"))</f>
        <v>91</v>
      </c>
      <c r="O405" s="45" cm="1">
        <f t="array" aca="1" ref="O405" ca="1">SUMPRODUCT((Table1[Gender]="Male")*(Table1[SubscriptionStart]&lt;=A405)*(Table1[EffectiveEndDate]&gt;=A405))</f>
        <v>179</v>
      </c>
      <c r="P405" s="45" cm="1">
        <f t="array" aca="1" ref="P405" ca="1">SUMPRODUCT((Table1[Gender]="Female")*(Table1[SubscriptionStart]&lt;=A405)*(Table1[EffectiveEndDate]&gt;=A405))</f>
        <v>144</v>
      </c>
    </row>
    <row r="406" spans="1:16">
      <c r="A406" s="48">
        <f t="shared" si="27"/>
        <v>44966</v>
      </c>
      <c r="B406" s="45" cm="1">
        <f t="array" aca="1" ref="B406" ca="1">SUMPRODUCT((Table1[SubscriptionStart]&lt;=A406)*(Table1[EffectiveEndDate]&gt;=A406))</f>
        <v>325</v>
      </c>
      <c r="C406" s="45">
        <f>COUNTIFS(Table1[SubscriptionStart], A406)</f>
        <v>2</v>
      </c>
      <c r="D406" s="45">
        <f>COUNTIFS(Table1[CancellationDate], A406)</f>
        <v>2</v>
      </c>
      <c r="E406" s="45">
        <f t="shared" si="24"/>
        <v>0</v>
      </c>
      <c r="F406" s="45">
        <f>SUM($C$2:C406)</f>
        <v>428</v>
      </c>
      <c r="G406" s="49" cm="1">
        <f t="array" aca="1" ref="G406" ca="1">IF(B406=0,"", SUMPRODUCT((Table1[SubscriptionStart]&lt;=A406)*(Table1[EffectiveEndDate]&gt;=A406)*Table1[Age]) / B406 )</f>
        <v>47.464615384615385</v>
      </c>
      <c r="H406" s="22">
        <f>SUMIF(Table1[SubscriptionStart],"&lt;="&amp;A406,Table1[TotalRevenue])</f>
        <v>92777.350000000064</v>
      </c>
      <c r="I406" s="50">
        <f t="shared" si="25"/>
        <v>44985</v>
      </c>
      <c r="J406" s="49">
        <f t="shared" ca="1" si="26"/>
        <v>325.14285714285717</v>
      </c>
      <c r="K406" s="45" cm="1">
        <f t="array" aca="1" ref="K406" ca="1">SUMPRODUCT((Table1[SubscriptionStart] &lt;= $A406) * (Table1[EffectiveEndDate] &gt;= $A406) * (Table1[Region] = "England"))</f>
        <v>76</v>
      </c>
      <c r="L406" s="45" cm="1">
        <f t="array" aca="1" ref="L406" ca="1">SUMPRODUCT((Table1[SubscriptionStart] &lt;= $A406) * (Table1[EffectiveEndDate] &gt;= $A406) * (Table1[Region] = "Scotland"))</f>
        <v>71</v>
      </c>
      <c r="M406" s="45" cm="1">
        <f t="array" aca="1" ref="M406" ca="1">SUMPRODUCT((Table1[SubscriptionStart] &lt;= $A406) * (Table1[EffectiveEndDate] &gt;= $A406) * (Table1[Region] = "Wales"))</f>
        <v>87</v>
      </c>
      <c r="N406" s="45" cm="1">
        <f t="array" aca="1" ref="N406" ca="1">SUMPRODUCT((Table1[SubscriptionStart] &lt;= $A406) * (Table1[EffectiveEndDate] &gt;= $A406) * (Table1[Region] = "Northern Ireland"))</f>
        <v>91</v>
      </c>
      <c r="O406" s="45" cm="1">
        <f t="array" aca="1" ref="O406" ca="1">SUMPRODUCT((Table1[Gender]="Male")*(Table1[SubscriptionStart]&lt;=A406)*(Table1[EffectiveEndDate]&gt;=A406))</f>
        <v>180</v>
      </c>
      <c r="P406" s="45" cm="1">
        <f t="array" aca="1" ref="P406" ca="1">SUMPRODUCT((Table1[Gender]="Female")*(Table1[SubscriptionStart]&lt;=A406)*(Table1[EffectiveEndDate]&gt;=A406))</f>
        <v>145</v>
      </c>
    </row>
    <row r="407" spans="1:16">
      <c r="A407" s="48">
        <f t="shared" si="27"/>
        <v>44967</v>
      </c>
      <c r="B407" s="45" cm="1">
        <f t="array" aca="1" ref="B407" ca="1">SUMPRODUCT((Table1[SubscriptionStart]&lt;=A407)*(Table1[EffectiveEndDate]&gt;=A407))</f>
        <v>325</v>
      </c>
      <c r="C407" s="45">
        <f>COUNTIFS(Table1[SubscriptionStart], A407)</f>
        <v>2</v>
      </c>
      <c r="D407" s="45">
        <f>COUNTIFS(Table1[CancellationDate], A407)</f>
        <v>0</v>
      </c>
      <c r="E407" s="45">
        <f t="shared" si="24"/>
        <v>2</v>
      </c>
      <c r="F407" s="45">
        <f>SUM($C$2:C407)</f>
        <v>430</v>
      </c>
      <c r="G407" s="49" cm="1">
        <f t="array" aca="1" ref="G407" ca="1">IF(B407=0,"", SUMPRODUCT((Table1[SubscriptionStart]&lt;=A407)*(Table1[EffectiveEndDate]&gt;=A407)*Table1[Age]) / B407 )</f>
        <v>47.298461538461538</v>
      </c>
      <c r="H407" s="22">
        <f>SUMIF(Table1[SubscriptionStart],"&lt;="&amp;A407,Table1[TotalRevenue])</f>
        <v>92997.850000000064</v>
      </c>
      <c r="I407" s="50">
        <f t="shared" si="25"/>
        <v>44985</v>
      </c>
      <c r="J407" s="49">
        <f t="shared" ca="1" si="26"/>
        <v>325.14285714285717</v>
      </c>
      <c r="K407" s="45" cm="1">
        <f t="array" aca="1" ref="K407" ca="1">SUMPRODUCT((Table1[SubscriptionStart] &lt;= $A407) * (Table1[EffectiveEndDate] &gt;= $A407) * (Table1[Region] = "England"))</f>
        <v>75</v>
      </c>
      <c r="L407" s="45" cm="1">
        <f t="array" aca="1" ref="L407" ca="1">SUMPRODUCT((Table1[SubscriptionStart] &lt;= $A407) * (Table1[EffectiveEndDate] &gt;= $A407) * (Table1[Region] = "Scotland"))</f>
        <v>71</v>
      </c>
      <c r="M407" s="45" cm="1">
        <f t="array" aca="1" ref="M407" ca="1">SUMPRODUCT((Table1[SubscriptionStart] &lt;= $A407) * (Table1[EffectiveEndDate] &gt;= $A407) * (Table1[Region] = "Wales"))</f>
        <v>88</v>
      </c>
      <c r="N407" s="45" cm="1">
        <f t="array" aca="1" ref="N407" ca="1">SUMPRODUCT((Table1[SubscriptionStart] &lt;= $A407) * (Table1[EffectiveEndDate] &gt;= $A407) * (Table1[Region] = "Northern Ireland"))</f>
        <v>91</v>
      </c>
      <c r="O407" s="45" cm="1">
        <f t="array" aca="1" ref="O407" ca="1">SUMPRODUCT((Table1[Gender]="Male")*(Table1[SubscriptionStart]&lt;=A407)*(Table1[EffectiveEndDate]&gt;=A407))</f>
        <v>180</v>
      </c>
      <c r="P407" s="45" cm="1">
        <f t="array" aca="1" ref="P407" ca="1">SUMPRODUCT((Table1[Gender]="Female")*(Table1[SubscriptionStart]&lt;=A407)*(Table1[EffectiveEndDate]&gt;=A407))</f>
        <v>145</v>
      </c>
    </row>
    <row r="408" spans="1:16">
      <c r="A408" s="48">
        <f t="shared" si="27"/>
        <v>44968</v>
      </c>
      <c r="B408" s="45" cm="1">
        <f t="array" aca="1" ref="B408" ca="1">SUMPRODUCT((Table1[SubscriptionStart]&lt;=A408)*(Table1[EffectiveEndDate]&gt;=A408))</f>
        <v>326</v>
      </c>
      <c r="C408" s="45">
        <f>COUNTIFS(Table1[SubscriptionStart], A408)</f>
        <v>1</v>
      </c>
      <c r="D408" s="45">
        <f>COUNTIFS(Table1[CancellationDate], A408)</f>
        <v>0</v>
      </c>
      <c r="E408" s="45">
        <f t="shared" si="24"/>
        <v>1</v>
      </c>
      <c r="F408" s="45">
        <f>SUM($C$2:C408)</f>
        <v>431</v>
      </c>
      <c r="G408" s="49" cm="1">
        <f t="array" aca="1" ref="G408" ca="1">IF(B408=0,"", SUMPRODUCT((Table1[SubscriptionStart]&lt;=A408)*(Table1[EffectiveEndDate]&gt;=A408)*Table1[Age]) / B408 )</f>
        <v>47.325153374233132</v>
      </c>
      <c r="H408" s="22">
        <f>SUMIF(Table1[SubscriptionStart],"&lt;="&amp;A408,Table1[TotalRevenue])</f>
        <v>92997.850000000064</v>
      </c>
      <c r="I408" s="50">
        <f t="shared" si="25"/>
        <v>44985</v>
      </c>
      <c r="J408" s="49">
        <f t="shared" ca="1" si="26"/>
        <v>325.14285714285717</v>
      </c>
      <c r="K408" s="45" cm="1">
        <f t="array" aca="1" ref="K408" ca="1">SUMPRODUCT((Table1[SubscriptionStart] &lt;= $A408) * (Table1[EffectiveEndDate] &gt;= $A408) * (Table1[Region] = "England"))</f>
        <v>75</v>
      </c>
      <c r="L408" s="45" cm="1">
        <f t="array" aca="1" ref="L408" ca="1">SUMPRODUCT((Table1[SubscriptionStart] &lt;= $A408) * (Table1[EffectiveEndDate] &gt;= $A408) * (Table1[Region] = "Scotland"))</f>
        <v>71</v>
      </c>
      <c r="M408" s="45" cm="1">
        <f t="array" aca="1" ref="M408" ca="1">SUMPRODUCT((Table1[SubscriptionStart] &lt;= $A408) * (Table1[EffectiveEndDate] &gt;= $A408) * (Table1[Region] = "Wales"))</f>
        <v>88</v>
      </c>
      <c r="N408" s="45" cm="1">
        <f t="array" aca="1" ref="N408" ca="1">SUMPRODUCT((Table1[SubscriptionStart] &lt;= $A408) * (Table1[EffectiveEndDate] &gt;= $A408) * (Table1[Region] = "Northern Ireland"))</f>
        <v>92</v>
      </c>
      <c r="O408" s="45" cm="1">
        <f t="array" aca="1" ref="O408" ca="1">SUMPRODUCT((Table1[Gender]="Male")*(Table1[SubscriptionStart]&lt;=A408)*(Table1[EffectiveEndDate]&gt;=A408))</f>
        <v>181</v>
      </c>
      <c r="P408" s="45" cm="1">
        <f t="array" aca="1" ref="P408" ca="1">SUMPRODUCT((Table1[Gender]="Female")*(Table1[SubscriptionStart]&lt;=A408)*(Table1[EffectiveEndDate]&gt;=A408))</f>
        <v>145</v>
      </c>
    </row>
    <row r="409" spans="1:16">
      <c r="A409" s="48">
        <f t="shared" si="27"/>
        <v>44969</v>
      </c>
      <c r="B409" s="45" cm="1">
        <f t="array" aca="1" ref="B409" ca="1">SUMPRODUCT((Table1[SubscriptionStart]&lt;=A409)*(Table1[EffectiveEndDate]&gt;=A409))</f>
        <v>326</v>
      </c>
      <c r="C409" s="45">
        <f>COUNTIFS(Table1[SubscriptionStart], A409)</f>
        <v>0</v>
      </c>
      <c r="D409" s="45">
        <f>COUNTIFS(Table1[CancellationDate], A409)</f>
        <v>0</v>
      </c>
      <c r="E409" s="45">
        <f t="shared" si="24"/>
        <v>0</v>
      </c>
      <c r="F409" s="45">
        <f>SUM($C$2:C409)</f>
        <v>431</v>
      </c>
      <c r="G409" s="49" cm="1">
        <f t="array" aca="1" ref="G409" ca="1">IF(B409=0,"", SUMPRODUCT((Table1[SubscriptionStart]&lt;=A409)*(Table1[EffectiveEndDate]&gt;=A409)*Table1[Age]) / B409 )</f>
        <v>47.325153374233132</v>
      </c>
      <c r="H409" s="22">
        <f>SUMIF(Table1[SubscriptionStart],"&lt;="&amp;A409,Table1[TotalRevenue])</f>
        <v>92997.850000000064</v>
      </c>
      <c r="I409" s="50">
        <f t="shared" si="25"/>
        <v>44985</v>
      </c>
      <c r="J409" s="49">
        <f t="shared" ca="1" si="26"/>
        <v>325.14285714285717</v>
      </c>
      <c r="K409" s="45" cm="1">
        <f t="array" aca="1" ref="K409" ca="1">SUMPRODUCT((Table1[SubscriptionStart] &lt;= $A409) * (Table1[EffectiveEndDate] &gt;= $A409) * (Table1[Region] = "England"))</f>
        <v>75</v>
      </c>
      <c r="L409" s="45" cm="1">
        <f t="array" aca="1" ref="L409" ca="1">SUMPRODUCT((Table1[SubscriptionStart] &lt;= $A409) * (Table1[EffectiveEndDate] &gt;= $A409) * (Table1[Region] = "Scotland"))</f>
        <v>71</v>
      </c>
      <c r="M409" s="45" cm="1">
        <f t="array" aca="1" ref="M409" ca="1">SUMPRODUCT((Table1[SubscriptionStart] &lt;= $A409) * (Table1[EffectiveEndDate] &gt;= $A409) * (Table1[Region] = "Wales"))</f>
        <v>88</v>
      </c>
      <c r="N409" s="45" cm="1">
        <f t="array" aca="1" ref="N409" ca="1">SUMPRODUCT((Table1[SubscriptionStart] &lt;= $A409) * (Table1[EffectiveEndDate] &gt;= $A409) * (Table1[Region] = "Northern Ireland"))</f>
        <v>92</v>
      </c>
      <c r="O409" s="45" cm="1">
        <f t="array" aca="1" ref="O409" ca="1">SUMPRODUCT((Table1[Gender]="Male")*(Table1[SubscriptionStart]&lt;=A409)*(Table1[EffectiveEndDate]&gt;=A409))</f>
        <v>181</v>
      </c>
      <c r="P409" s="45" cm="1">
        <f t="array" aca="1" ref="P409" ca="1">SUMPRODUCT((Table1[Gender]="Female")*(Table1[SubscriptionStart]&lt;=A409)*(Table1[EffectiveEndDate]&gt;=A409))</f>
        <v>145</v>
      </c>
    </row>
    <row r="410" spans="1:16">
      <c r="A410" s="48">
        <f t="shared" si="27"/>
        <v>44970</v>
      </c>
      <c r="B410" s="45" cm="1">
        <f t="array" aca="1" ref="B410" ca="1">SUMPRODUCT((Table1[SubscriptionStart]&lt;=A410)*(Table1[EffectiveEndDate]&gt;=A410))</f>
        <v>328</v>
      </c>
      <c r="C410" s="45">
        <f>COUNTIFS(Table1[SubscriptionStart], A410)</f>
        <v>2</v>
      </c>
      <c r="D410" s="45">
        <f>COUNTIFS(Table1[CancellationDate], A410)</f>
        <v>0</v>
      </c>
      <c r="E410" s="45">
        <f t="shared" si="24"/>
        <v>2</v>
      </c>
      <c r="F410" s="45">
        <f>SUM($C$2:C410)</f>
        <v>433</v>
      </c>
      <c r="G410" s="49" cm="1">
        <f t="array" aca="1" ref="G410" ca="1">IF(B410=0,"", SUMPRODUCT((Table1[SubscriptionStart]&lt;=A410)*(Table1[EffectiveEndDate]&gt;=A410)*Table1[Age]) / B410 )</f>
        <v>47.274390243902438</v>
      </c>
      <c r="H410" s="22">
        <f>SUMIF(Table1[SubscriptionStart],"&lt;="&amp;A410,Table1[TotalRevenue])</f>
        <v>93127.45000000007</v>
      </c>
      <c r="I410" s="50">
        <f t="shared" si="25"/>
        <v>44985</v>
      </c>
      <c r="J410" s="49">
        <f t="shared" ca="1" si="26"/>
        <v>325.14285714285717</v>
      </c>
      <c r="K410" s="45" cm="1">
        <f t="array" aca="1" ref="K410" ca="1">SUMPRODUCT((Table1[SubscriptionStart] &lt;= $A410) * (Table1[EffectiveEndDate] &gt;= $A410) * (Table1[Region] = "England"))</f>
        <v>75</v>
      </c>
      <c r="L410" s="45" cm="1">
        <f t="array" aca="1" ref="L410" ca="1">SUMPRODUCT((Table1[SubscriptionStart] &lt;= $A410) * (Table1[EffectiveEndDate] &gt;= $A410) * (Table1[Region] = "Scotland"))</f>
        <v>71</v>
      </c>
      <c r="M410" s="45" cm="1">
        <f t="array" aca="1" ref="M410" ca="1">SUMPRODUCT((Table1[SubscriptionStart] &lt;= $A410) * (Table1[EffectiveEndDate] &gt;= $A410) * (Table1[Region] = "Wales"))</f>
        <v>90</v>
      </c>
      <c r="N410" s="45" cm="1">
        <f t="array" aca="1" ref="N410" ca="1">SUMPRODUCT((Table1[SubscriptionStart] &lt;= $A410) * (Table1[EffectiveEndDate] &gt;= $A410) * (Table1[Region] = "Northern Ireland"))</f>
        <v>92</v>
      </c>
      <c r="O410" s="45" cm="1">
        <f t="array" aca="1" ref="O410" ca="1">SUMPRODUCT((Table1[Gender]="Male")*(Table1[SubscriptionStart]&lt;=A410)*(Table1[EffectiveEndDate]&gt;=A410))</f>
        <v>182</v>
      </c>
      <c r="P410" s="45" cm="1">
        <f t="array" aca="1" ref="P410" ca="1">SUMPRODUCT((Table1[Gender]="Female")*(Table1[SubscriptionStart]&lt;=A410)*(Table1[EffectiveEndDate]&gt;=A410))</f>
        <v>146</v>
      </c>
    </row>
    <row r="411" spans="1:16">
      <c r="A411" s="48">
        <f t="shared" si="27"/>
        <v>44971</v>
      </c>
      <c r="B411" s="45" cm="1">
        <f t="array" aca="1" ref="B411" ca="1">SUMPRODUCT((Table1[SubscriptionStart]&lt;=A411)*(Table1[EffectiveEndDate]&gt;=A411))</f>
        <v>331</v>
      </c>
      <c r="C411" s="45">
        <f>COUNTIFS(Table1[SubscriptionStart], A411)</f>
        <v>3</v>
      </c>
      <c r="D411" s="45">
        <f>COUNTIFS(Table1[CancellationDate], A411)</f>
        <v>0</v>
      </c>
      <c r="E411" s="45">
        <f t="shared" si="24"/>
        <v>3</v>
      </c>
      <c r="F411" s="45">
        <f>SUM($C$2:C411)</f>
        <v>436</v>
      </c>
      <c r="G411" s="49" cm="1">
        <f t="array" aca="1" ref="G411" ca="1">IF(B411=0,"", SUMPRODUCT((Table1[SubscriptionStart]&lt;=A411)*(Table1[EffectiveEndDate]&gt;=A411)*Table1[Age]) / B411 )</f>
        <v>47.238670694864048</v>
      </c>
      <c r="H411" s="22">
        <f>SUMIF(Table1[SubscriptionStart],"&lt;="&amp;A411,Table1[TotalRevenue])</f>
        <v>93561.050000000076</v>
      </c>
      <c r="I411" s="50">
        <f t="shared" si="25"/>
        <v>44985</v>
      </c>
      <c r="J411" s="49">
        <f t="shared" ca="1" si="26"/>
        <v>325.14285714285717</v>
      </c>
      <c r="K411" s="45" cm="1">
        <f t="array" aca="1" ref="K411" ca="1">SUMPRODUCT((Table1[SubscriptionStart] &lt;= $A411) * (Table1[EffectiveEndDate] &gt;= $A411) * (Table1[Region] = "England"))</f>
        <v>78</v>
      </c>
      <c r="L411" s="45" cm="1">
        <f t="array" aca="1" ref="L411" ca="1">SUMPRODUCT((Table1[SubscriptionStart] &lt;= $A411) * (Table1[EffectiveEndDate] &gt;= $A411) * (Table1[Region] = "Scotland"))</f>
        <v>71</v>
      </c>
      <c r="M411" s="45" cm="1">
        <f t="array" aca="1" ref="M411" ca="1">SUMPRODUCT((Table1[SubscriptionStart] &lt;= $A411) * (Table1[EffectiveEndDate] &gt;= $A411) * (Table1[Region] = "Wales"))</f>
        <v>90</v>
      </c>
      <c r="N411" s="45" cm="1">
        <f t="array" aca="1" ref="N411" ca="1">SUMPRODUCT((Table1[SubscriptionStart] &lt;= $A411) * (Table1[EffectiveEndDate] &gt;= $A411) * (Table1[Region] = "Northern Ireland"))</f>
        <v>92</v>
      </c>
      <c r="O411" s="45" cm="1">
        <f t="array" aca="1" ref="O411" ca="1">SUMPRODUCT((Table1[Gender]="Male")*(Table1[SubscriptionStart]&lt;=A411)*(Table1[EffectiveEndDate]&gt;=A411))</f>
        <v>183</v>
      </c>
      <c r="P411" s="45" cm="1">
        <f t="array" aca="1" ref="P411" ca="1">SUMPRODUCT((Table1[Gender]="Female")*(Table1[SubscriptionStart]&lt;=A411)*(Table1[EffectiveEndDate]&gt;=A411))</f>
        <v>148</v>
      </c>
    </row>
    <row r="412" spans="1:16">
      <c r="A412" s="48">
        <f t="shared" si="27"/>
        <v>44972</v>
      </c>
      <c r="B412" s="45" cm="1">
        <f t="array" aca="1" ref="B412" ca="1">SUMPRODUCT((Table1[SubscriptionStart]&lt;=A412)*(Table1[EffectiveEndDate]&gt;=A412))</f>
        <v>332</v>
      </c>
      <c r="C412" s="45">
        <f>COUNTIFS(Table1[SubscriptionStart], A412)</f>
        <v>1</v>
      </c>
      <c r="D412" s="45">
        <f>COUNTIFS(Table1[CancellationDate], A412)</f>
        <v>1</v>
      </c>
      <c r="E412" s="45">
        <f t="shared" si="24"/>
        <v>0</v>
      </c>
      <c r="F412" s="45">
        <f>SUM($C$2:C412)</f>
        <v>437</v>
      </c>
      <c r="G412" s="49" cm="1">
        <f t="array" aca="1" ref="G412" ca="1">IF(B412=0,"", SUMPRODUCT((Table1[SubscriptionStart]&lt;=A412)*(Table1[EffectiveEndDate]&gt;=A412)*Table1[Age]) / B412 )</f>
        <v>47.165662650602407</v>
      </c>
      <c r="H412" s="22">
        <f>SUMIF(Table1[SubscriptionStart],"&lt;="&amp;A412,Table1[TotalRevenue])</f>
        <v>93741.050000000076</v>
      </c>
      <c r="I412" s="50">
        <f t="shared" si="25"/>
        <v>44985</v>
      </c>
      <c r="J412" s="49">
        <f t="shared" ca="1" si="26"/>
        <v>325.14285714285717</v>
      </c>
      <c r="K412" s="45" cm="1">
        <f t="array" aca="1" ref="K412" ca="1">SUMPRODUCT((Table1[SubscriptionStart] &lt;= $A412) * (Table1[EffectiveEndDate] &gt;= $A412) * (Table1[Region] = "England"))</f>
        <v>79</v>
      </c>
      <c r="L412" s="45" cm="1">
        <f t="array" aca="1" ref="L412" ca="1">SUMPRODUCT((Table1[SubscriptionStart] &lt;= $A412) * (Table1[EffectiveEndDate] &gt;= $A412) * (Table1[Region] = "Scotland"))</f>
        <v>71</v>
      </c>
      <c r="M412" s="45" cm="1">
        <f t="array" aca="1" ref="M412" ca="1">SUMPRODUCT((Table1[SubscriptionStart] &lt;= $A412) * (Table1[EffectiveEndDate] &gt;= $A412) * (Table1[Region] = "Wales"))</f>
        <v>90</v>
      </c>
      <c r="N412" s="45" cm="1">
        <f t="array" aca="1" ref="N412" ca="1">SUMPRODUCT((Table1[SubscriptionStart] &lt;= $A412) * (Table1[EffectiveEndDate] &gt;= $A412) * (Table1[Region] = "Northern Ireland"))</f>
        <v>92</v>
      </c>
      <c r="O412" s="45" cm="1">
        <f t="array" aca="1" ref="O412" ca="1">SUMPRODUCT((Table1[Gender]="Male")*(Table1[SubscriptionStart]&lt;=A412)*(Table1[EffectiveEndDate]&gt;=A412))</f>
        <v>184</v>
      </c>
      <c r="P412" s="45" cm="1">
        <f t="array" aca="1" ref="P412" ca="1">SUMPRODUCT((Table1[Gender]="Female")*(Table1[SubscriptionStart]&lt;=A412)*(Table1[EffectiveEndDate]&gt;=A412))</f>
        <v>148</v>
      </c>
    </row>
    <row r="413" spans="1:16">
      <c r="A413" s="48">
        <f t="shared" si="27"/>
        <v>44973</v>
      </c>
      <c r="B413" s="45" cm="1">
        <f t="array" aca="1" ref="B413" ca="1">SUMPRODUCT((Table1[SubscriptionStart]&lt;=A413)*(Table1[EffectiveEndDate]&gt;=A413))</f>
        <v>331</v>
      </c>
      <c r="C413" s="45">
        <f>COUNTIFS(Table1[SubscriptionStart], A413)</f>
        <v>0</v>
      </c>
      <c r="D413" s="45">
        <f>COUNTIFS(Table1[CancellationDate], A413)</f>
        <v>0</v>
      </c>
      <c r="E413" s="45">
        <f t="shared" si="24"/>
        <v>0</v>
      </c>
      <c r="F413" s="45">
        <f>SUM($C$2:C413)</f>
        <v>437</v>
      </c>
      <c r="G413" s="49" cm="1">
        <f t="array" aca="1" ref="G413" ca="1">IF(B413=0,"", SUMPRODUCT((Table1[SubscriptionStart]&lt;=A413)*(Table1[EffectiveEndDate]&gt;=A413)*Table1[Age]) / B413 )</f>
        <v>47.111782477341393</v>
      </c>
      <c r="H413" s="22">
        <f>SUMIF(Table1[SubscriptionStart],"&lt;="&amp;A413,Table1[TotalRevenue])</f>
        <v>93741.050000000076</v>
      </c>
      <c r="I413" s="50">
        <f t="shared" si="25"/>
        <v>44985</v>
      </c>
      <c r="J413" s="49">
        <f t="shared" ca="1" si="26"/>
        <v>325.14285714285717</v>
      </c>
      <c r="K413" s="45" cm="1">
        <f t="array" aca="1" ref="K413" ca="1">SUMPRODUCT((Table1[SubscriptionStart] &lt;= $A413) * (Table1[EffectiveEndDate] &gt;= $A413) * (Table1[Region] = "England"))</f>
        <v>79</v>
      </c>
      <c r="L413" s="45" cm="1">
        <f t="array" aca="1" ref="L413" ca="1">SUMPRODUCT((Table1[SubscriptionStart] &lt;= $A413) * (Table1[EffectiveEndDate] &gt;= $A413) * (Table1[Region] = "Scotland"))</f>
        <v>71</v>
      </c>
      <c r="M413" s="45" cm="1">
        <f t="array" aca="1" ref="M413" ca="1">SUMPRODUCT((Table1[SubscriptionStart] &lt;= $A413) * (Table1[EffectiveEndDate] &gt;= $A413) * (Table1[Region] = "Wales"))</f>
        <v>89</v>
      </c>
      <c r="N413" s="45" cm="1">
        <f t="array" aca="1" ref="N413" ca="1">SUMPRODUCT((Table1[SubscriptionStart] &lt;= $A413) * (Table1[EffectiveEndDate] &gt;= $A413) * (Table1[Region] = "Northern Ireland"))</f>
        <v>92</v>
      </c>
      <c r="O413" s="45" cm="1">
        <f t="array" aca="1" ref="O413" ca="1">SUMPRODUCT((Table1[Gender]="Male")*(Table1[SubscriptionStart]&lt;=A413)*(Table1[EffectiveEndDate]&gt;=A413))</f>
        <v>184</v>
      </c>
      <c r="P413" s="45" cm="1">
        <f t="array" aca="1" ref="P413" ca="1">SUMPRODUCT((Table1[Gender]="Female")*(Table1[SubscriptionStart]&lt;=A413)*(Table1[EffectiveEndDate]&gt;=A413))</f>
        <v>147</v>
      </c>
    </row>
    <row r="414" spans="1:16">
      <c r="A414" s="48">
        <f t="shared" si="27"/>
        <v>44974</v>
      </c>
      <c r="B414" s="45" cm="1">
        <f t="array" aca="1" ref="B414" ca="1">SUMPRODUCT((Table1[SubscriptionStart]&lt;=A414)*(Table1[EffectiveEndDate]&gt;=A414))</f>
        <v>331</v>
      </c>
      <c r="C414" s="45">
        <f>COUNTIFS(Table1[SubscriptionStart], A414)</f>
        <v>0</v>
      </c>
      <c r="D414" s="45">
        <f>COUNTIFS(Table1[CancellationDate], A414)</f>
        <v>1</v>
      </c>
      <c r="E414" s="45">
        <f t="shared" si="24"/>
        <v>-1</v>
      </c>
      <c r="F414" s="45">
        <f>SUM($C$2:C414)</f>
        <v>437</v>
      </c>
      <c r="G414" s="49" cm="1">
        <f t="array" aca="1" ref="G414" ca="1">IF(B414=0,"", SUMPRODUCT((Table1[SubscriptionStart]&lt;=A414)*(Table1[EffectiveEndDate]&gt;=A414)*Table1[Age]) / B414 )</f>
        <v>47.111782477341393</v>
      </c>
      <c r="H414" s="22">
        <f>SUMIF(Table1[SubscriptionStart],"&lt;="&amp;A414,Table1[TotalRevenue])</f>
        <v>93741.050000000076</v>
      </c>
      <c r="I414" s="50">
        <f t="shared" si="25"/>
        <v>44985</v>
      </c>
      <c r="J414" s="49">
        <f t="shared" ca="1" si="26"/>
        <v>325.14285714285717</v>
      </c>
      <c r="K414" s="45" cm="1">
        <f t="array" aca="1" ref="K414" ca="1">SUMPRODUCT((Table1[SubscriptionStart] &lt;= $A414) * (Table1[EffectiveEndDate] &gt;= $A414) * (Table1[Region] = "England"))</f>
        <v>79</v>
      </c>
      <c r="L414" s="45" cm="1">
        <f t="array" aca="1" ref="L414" ca="1">SUMPRODUCT((Table1[SubscriptionStart] &lt;= $A414) * (Table1[EffectiveEndDate] &gt;= $A414) * (Table1[Region] = "Scotland"))</f>
        <v>71</v>
      </c>
      <c r="M414" s="45" cm="1">
        <f t="array" aca="1" ref="M414" ca="1">SUMPRODUCT((Table1[SubscriptionStart] &lt;= $A414) * (Table1[EffectiveEndDate] &gt;= $A414) * (Table1[Region] = "Wales"))</f>
        <v>89</v>
      </c>
      <c r="N414" s="45" cm="1">
        <f t="array" aca="1" ref="N414" ca="1">SUMPRODUCT((Table1[SubscriptionStart] &lt;= $A414) * (Table1[EffectiveEndDate] &gt;= $A414) * (Table1[Region] = "Northern Ireland"))</f>
        <v>92</v>
      </c>
      <c r="O414" s="45" cm="1">
        <f t="array" aca="1" ref="O414" ca="1">SUMPRODUCT((Table1[Gender]="Male")*(Table1[SubscriptionStart]&lt;=A414)*(Table1[EffectiveEndDate]&gt;=A414))</f>
        <v>184</v>
      </c>
      <c r="P414" s="45" cm="1">
        <f t="array" aca="1" ref="P414" ca="1">SUMPRODUCT((Table1[Gender]="Female")*(Table1[SubscriptionStart]&lt;=A414)*(Table1[EffectiveEndDate]&gt;=A414))</f>
        <v>147</v>
      </c>
    </row>
    <row r="415" spans="1:16">
      <c r="A415" s="48">
        <f t="shared" si="27"/>
        <v>44975</v>
      </c>
      <c r="B415" s="45" cm="1">
        <f t="array" aca="1" ref="B415" ca="1">SUMPRODUCT((Table1[SubscriptionStart]&lt;=A415)*(Table1[EffectiveEndDate]&gt;=A415))</f>
        <v>330</v>
      </c>
      <c r="C415" s="45">
        <f>COUNTIFS(Table1[SubscriptionStart], A415)</f>
        <v>0</v>
      </c>
      <c r="D415" s="45">
        <f>COUNTIFS(Table1[CancellationDate], A415)</f>
        <v>2</v>
      </c>
      <c r="E415" s="45">
        <f t="shared" si="24"/>
        <v>-2</v>
      </c>
      <c r="F415" s="45">
        <f>SUM($C$2:C415)</f>
        <v>437</v>
      </c>
      <c r="G415" s="49" cm="1">
        <f t="array" aca="1" ref="G415" ca="1">IF(B415=0,"", SUMPRODUCT((Table1[SubscriptionStart]&lt;=A415)*(Table1[EffectiveEndDate]&gt;=A415)*Table1[Age]) / B415 )</f>
        <v>47.030303030303031</v>
      </c>
      <c r="H415" s="22">
        <f>SUMIF(Table1[SubscriptionStart],"&lt;="&amp;A415,Table1[TotalRevenue])</f>
        <v>93741.050000000076</v>
      </c>
      <c r="I415" s="50">
        <f t="shared" si="25"/>
        <v>44985</v>
      </c>
      <c r="J415" s="49">
        <f t="shared" ca="1" si="26"/>
        <v>325.14285714285717</v>
      </c>
      <c r="K415" s="45" cm="1">
        <f t="array" aca="1" ref="K415" ca="1">SUMPRODUCT((Table1[SubscriptionStart] &lt;= $A415) * (Table1[EffectiveEndDate] &gt;= $A415) * (Table1[Region] = "England"))</f>
        <v>79</v>
      </c>
      <c r="L415" s="45" cm="1">
        <f t="array" aca="1" ref="L415" ca="1">SUMPRODUCT((Table1[SubscriptionStart] &lt;= $A415) * (Table1[EffectiveEndDate] &gt;= $A415) * (Table1[Region] = "Scotland"))</f>
        <v>71</v>
      </c>
      <c r="M415" s="45" cm="1">
        <f t="array" aca="1" ref="M415" ca="1">SUMPRODUCT((Table1[SubscriptionStart] &lt;= $A415) * (Table1[EffectiveEndDate] &gt;= $A415) * (Table1[Region] = "Wales"))</f>
        <v>89</v>
      </c>
      <c r="N415" s="45" cm="1">
        <f t="array" aca="1" ref="N415" ca="1">SUMPRODUCT((Table1[SubscriptionStart] &lt;= $A415) * (Table1[EffectiveEndDate] &gt;= $A415) * (Table1[Region] = "Northern Ireland"))</f>
        <v>91</v>
      </c>
      <c r="O415" s="45" cm="1">
        <f t="array" aca="1" ref="O415" ca="1">SUMPRODUCT((Table1[Gender]="Male")*(Table1[SubscriptionStart]&lt;=A415)*(Table1[EffectiveEndDate]&gt;=A415))</f>
        <v>183</v>
      </c>
      <c r="P415" s="45" cm="1">
        <f t="array" aca="1" ref="P415" ca="1">SUMPRODUCT((Table1[Gender]="Female")*(Table1[SubscriptionStart]&lt;=A415)*(Table1[EffectiveEndDate]&gt;=A415))</f>
        <v>147</v>
      </c>
    </row>
    <row r="416" spans="1:16">
      <c r="A416" s="48">
        <f t="shared" si="27"/>
        <v>44976</v>
      </c>
      <c r="B416" s="45" cm="1">
        <f t="array" aca="1" ref="B416" ca="1">SUMPRODUCT((Table1[SubscriptionStart]&lt;=A416)*(Table1[EffectiveEndDate]&gt;=A416))</f>
        <v>328</v>
      </c>
      <c r="C416" s="45">
        <f>COUNTIFS(Table1[SubscriptionStart], A416)</f>
        <v>0</v>
      </c>
      <c r="D416" s="45">
        <f>COUNTIFS(Table1[CancellationDate], A416)</f>
        <v>3</v>
      </c>
      <c r="E416" s="45">
        <f t="shared" si="24"/>
        <v>-3</v>
      </c>
      <c r="F416" s="45">
        <f>SUM($C$2:C416)</f>
        <v>437</v>
      </c>
      <c r="G416" s="49" cm="1">
        <f t="array" aca="1" ref="G416" ca="1">IF(B416=0,"", SUMPRODUCT((Table1[SubscriptionStart]&lt;=A416)*(Table1[EffectiveEndDate]&gt;=A416)*Table1[Age]) / B416 )</f>
        <v>47</v>
      </c>
      <c r="H416" s="22">
        <f>SUMIF(Table1[SubscriptionStart],"&lt;="&amp;A416,Table1[TotalRevenue])</f>
        <v>93741.050000000076</v>
      </c>
      <c r="I416" s="50">
        <f t="shared" si="25"/>
        <v>44985</v>
      </c>
      <c r="J416" s="49">
        <f t="shared" ca="1" si="26"/>
        <v>325.14285714285717</v>
      </c>
      <c r="K416" s="45" cm="1">
        <f t="array" aca="1" ref="K416" ca="1">SUMPRODUCT((Table1[SubscriptionStart] &lt;= $A416) * (Table1[EffectiveEndDate] &gt;= $A416) * (Table1[Region] = "England"))</f>
        <v>77</v>
      </c>
      <c r="L416" s="45" cm="1">
        <f t="array" aca="1" ref="L416" ca="1">SUMPRODUCT((Table1[SubscriptionStart] &lt;= $A416) * (Table1[EffectiveEndDate] &gt;= $A416) * (Table1[Region] = "Scotland"))</f>
        <v>71</v>
      </c>
      <c r="M416" s="45" cm="1">
        <f t="array" aca="1" ref="M416" ca="1">SUMPRODUCT((Table1[SubscriptionStart] &lt;= $A416) * (Table1[EffectiveEndDate] &gt;= $A416) * (Table1[Region] = "Wales"))</f>
        <v>89</v>
      </c>
      <c r="N416" s="45" cm="1">
        <f t="array" aca="1" ref="N416" ca="1">SUMPRODUCT((Table1[SubscriptionStart] &lt;= $A416) * (Table1[EffectiveEndDate] &gt;= $A416) * (Table1[Region] = "Northern Ireland"))</f>
        <v>91</v>
      </c>
      <c r="O416" s="45" cm="1">
        <f t="array" aca="1" ref="O416" ca="1">SUMPRODUCT((Table1[Gender]="Male")*(Table1[SubscriptionStart]&lt;=A416)*(Table1[EffectiveEndDate]&gt;=A416))</f>
        <v>181</v>
      </c>
      <c r="P416" s="45" cm="1">
        <f t="array" aca="1" ref="P416" ca="1">SUMPRODUCT((Table1[Gender]="Female")*(Table1[SubscriptionStart]&lt;=A416)*(Table1[EffectiveEndDate]&gt;=A416))</f>
        <v>147</v>
      </c>
    </row>
    <row r="417" spans="1:16">
      <c r="A417" s="48">
        <f t="shared" si="27"/>
        <v>44977</v>
      </c>
      <c r="B417" s="45" cm="1">
        <f t="array" aca="1" ref="B417" ca="1">SUMPRODUCT((Table1[SubscriptionStart]&lt;=A417)*(Table1[EffectiveEndDate]&gt;=A417))</f>
        <v>327</v>
      </c>
      <c r="C417" s="45">
        <f>COUNTIFS(Table1[SubscriptionStart], A417)</f>
        <v>2</v>
      </c>
      <c r="D417" s="45">
        <f>COUNTIFS(Table1[CancellationDate], A417)</f>
        <v>2</v>
      </c>
      <c r="E417" s="45">
        <f t="shared" si="24"/>
        <v>0</v>
      </c>
      <c r="F417" s="45">
        <f>SUM($C$2:C417)</f>
        <v>439</v>
      </c>
      <c r="G417" s="49" cm="1">
        <f t="array" aca="1" ref="G417" ca="1">IF(B417=0,"", SUMPRODUCT((Table1[SubscriptionStart]&lt;=A417)*(Table1[EffectiveEndDate]&gt;=A417)*Table1[Age]) / B417 )</f>
        <v>46.932721712538225</v>
      </c>
      <c r="H417" s="22">
        <f>SUMIF(Table1[SubscriptionStart],"&lt;="&amp;A417,Table1[TotalRevenue])</f>
        <v>94668.150000000081</v>
      </c>
      <c r="I417" s="50">
        <f t="shared" si="25"/>
        <v>44985</v>
      </c>
      <c r="J417" s="49">
        <f t="shared" ca="1" si="26"/>
        <v>325.14285714285717</v>
      </c>
      <c r="K417" s="45" cm="1">
        <f t="array" aca="1" ref="K417" ca="1">SUMPRODUCT((Table1[SubscriptionStart] &lt;= $A417) * (Table1[EffectiveEndDate] &gt;= $A417) * (Table1[Region] = "England"))</f>
        <v>77</v>
      </c>
      <c r="L417" s="45" cm="1">
        <f t="array" aca="1" ref="L417" ca="1">SUMPRODUCT((Table1[SubscriptionStart] &lt;= $A417) * (Table1[EffectiveEndDate] &gt;= $A417) * (Table1[Region] = "Scotland"))</f>
        <v>70</v>
      </c>
      <c r="M417" s="45" cm="1">
        <f t="array" aca="1" ref="M417" ca="1">SUMPRODUCT((Table1[SubscriptionStart] &lt;= $A417) * (Table1[EffectiveEndDate] &gt;= $A417) * (Table1[Region] = "Wales"))</f>
        <v>88</v>
      </c>
      <c r="N417" s="45" cm="1">
        <f t="array" aca="1" ref="N417" ca="1">SUMPRODUCT((Table1[SubscriptionStart] &lt;= $A417) * (Table1[EffectiveEndDate] &gt;= $A417) * (Table1[Region] = "Northern Ireland"))</f>
        <v>92</v>
      </c>
      <c r="O417" s="45" cm="1">
        <f t="array" aca="1" ref="O417" ca="1">SUMPRODUCT((Table1[Gender]="Male")*(Table1[SubscriptionStart]&lt;=A417)*(Table1[EffectiveEndDate]&gt;=A417))</f>
        <v>179</v>
      </c>
      <c r="P417" s="45" cm="1">
        <f t="array" aca="1" ref="P417" ca="1">SUMPRODUCT((Table1[Gender]="Female")*(Table1[SubscriptionStart]&lt;=A417)*(Table1[EffectiveEndDate]&gt;=A417))</f>
        <v>148</v>
      </c>
    </row>
    <row r="418" spans="1:16">
      <c r="A418" s="48">
        <f t="shared" si="27"/>
        <v>44978</v>
      </c>
      <c r="B418" s="45" cm="1">
        <f t="array" aca="1" ref="B418" ca="1">SUMPRODUCT((Table1[SubscriptionStart]&lt;=A418)*(Table1[EffectiveEndDate]&gt;=A418))</f>
        <v>326</v>
      </c>
      <c r="C418" s="45">
        <f>COUNTIFS(Table1[SubscriptionStart], A418)</f>
        <v>1</v>
      </c>
      <c r="D418" s="45">
        <f>COUNTIFS(Table1[CancellationDate], A418)</f>
        <v>2</v>
      </c>
      <c r="E418" s="45">
        <f t="shared" si="24"/>
        <v>-1</v>
      </c>
      <c r="F418" s="45">
        <f>SUM($C$2:C418)</f>
        <v>440</v>
      </c>
      <c r="G418" s="49" cm="1">
        <f t="array" aca="1" ref="G418" ca="1">IF(B418=0,"", SUMPRODUCT((Table1[SubscriptionStart]&lt;=A418)*(Table1[EffectiveEndDate]&gt;=A418)*Table1[Age]) / B418 )</f>
        <v>46.972392638036808</v>
      </c>
      <c r="H418" s="22">
        <f>SUMIF(Table1[SubscriptionStart],"&lt;="&amp;A418,Table1[TotalRevenue])</f>
        <v>94769.400000000081</v>
      </c>
      <c r="I418" s="50">
        <f t="shared" si="25"/>
        <v>44985</v>
      </c>
      <c r="J418" s="49">
        <f t="shared" ca="1" si="26"/>
        <v>325.14285714285717</v>
      </c>
      <c r="K418" s="45" cm="1">
        <f t="array" aca="1" ref="K418" ca="1">SUMPRODUCT((Table1[SubscriptionStart] &lt;= $A418) * (Table1[EffectiveEndDate] &gt;= $A418) * (Table1[Region] = "England"))</f>
        <v>76</v>
      </c>
      <c r="L418" s="45" cm="1">
        <f t="array" aca="1" ref="L418" ca="1">SUMPRODUCT((Table1[SubscriptionStart] &lt;= $A418) * (Table1[EffectiveEndDate] &gt;= $A418) * (Table1[Region] = "Scotland"))</f>
        <v>70</v>
      </c>
      <c r="M418" s="45" cm="1">
        <f t="array" aca="1" ref="M418" ca="1">SUMPRODUCT((Table1[SubscriptionStart] &lt;= $A418) * (Table1[EffectiveEndDate] &gt;= $A418) * (Table1[Region] = "Wales"))</f>
        <v>89</v>
      </c>
      <c r="N418" s="45" cm="1">
        <f t="array" aca="1" ref="N418" ca="1">SUMPRODUCT((Table1[SubscriptionStart] &lt;= $A418) * (Table1[EffectiveEndDate] &gt;= $A418) * (Table1[Region] = "Northern Ireland"))</f>
        <v>91</v>
      </c>
      <c r="O418" s="45" cm="1">
        <f t="array" aca="1" ref="O418" ca="1">SUMPRODUCT((Table1[Gender]="Male")*(Table1[SubscriptionStart]&lt;=A418)*(Table1[EffectiveEndDate]&gt;=A418))</f>
        <v>177</v>
      </c>
      <c r="P418" s="45" cm="1">
        <f t="array" aca="1" ref="P418" ca="1">SUMPRODUCT((Table1[Gender]="Female")*(Table1[SubscriptionStart]&lt;=A418)*(Table1[EffectiveEndDate]&gt;=A418))</f>
        <v>149</v>
      </c>
    </row>
    <row r="419" spans="1:16">
      <c r="A419" s="48">
        <f t="shared" si="27"/>
        <v>44979</v>
      </c>
      <c r="B419" s="45" cm="1">
        <f t="array" aca="1" ref="B419" ca="1">SUMPRODUCT((Table1[SubscriptionStart]&lt;=A419)*(Table1[EffectiveEndDate]&gt;=A419))</f>
        <v>325</v>
      </c>
      <c r="C419" s="45">
        <f>COUNTIFS(Table1[SubscriptionStart], A419)</f>
        <v>1</v>
      </c>
      <c r="D419" s="45">
        <f>COUNTIFS(Table1[CancellationDate], A419)</f>
        <v>0</v>
      </c>
      <c r="E419" s="45">
        <f t="shared" si="24"/>
        <v>1</v>
      </c>
      <c r="F419" s="45">
        <f>SUM($C$2:C419)</f>
        <v>441</v>
      </c>
      <c r="G419" s="49" cm="1">
        <f t="array" aca="1" ref="G419" ca="1">IF(B419=0,"", SUMPRODUCT((Table1[SubscriptionStart]&lt;=A419)*(Table1[EffectiveEndDate]&gt;=A419)*Table1[Age]) / B419 )</f>
        <v>46.947692307692307</v>
      </c>
      <c r="H419" s="22">
        <f>SUMIF(Table1[SubscriptionStart],"&lt;="&amp;A419,Table1[TotalRevenue])</f>
        <v>94769.400000000081</v>
      </c>
      <c r="I419" s="50">
        <f t="shared" si="25"/>
        <v>44985</v>
      </c>
      <c r="J419" s="49">
        <f t="shared" ca="1" si="26"/>
        <v>325.14285714285717</v>
      </c>
      <c r="K419" s="45" cm="1">
        <f t="array" aca="1" ref="K419" ca="1">SUMPRODUCT((Table1[SubscriptionStart] &lt;= $A419) * (Table1[EffectiveEndDate] &gt;= $A419) * (Table1[Region] = "England"))</f>
        <v>76</v>
      </c>
      <c r="L419" s="45" cm="1">
        <f t="array" aca="1" ref="L419" ca="1">SUMPRODUCT((Table1[SubscriptionStart] &lt;= $A419) * (Table1[EffectiveEndDate] &gt;= $A419) * (Table1[Region] = "Scotland"))</f>
        <v>70</v>
      </c>
      <c r="M419" s="45" cm="1">
        <f t="array" aca="1" ref="M419" ca="1">SUMPRODUCT((Table1[SubscriptionStart] &lt;= $A419) * (Table1[EffectiveEndDate] &gt;= $A419) * (Table1[Region] = "Wales"))</f>
        <v>89</v>
      </c>
      <c r="N419" s="45" cm="1">
        <f t="array" aca="1" ref="N419" ca="1">SUMPRODUCT((Table1[SubscriptionStart] &lt;= $A419) * (Table1[EffectiveEndDate] &gt;= $A419) * (Table1[Region] = "Northern Ireland"))</f>
        <v>90</v>
      </c>
      <c r="O419" s="45" cm="1">
        <f t="array" aca="1" ref="O419" ca="1">SUMPRODUCT((Table1[Gender]="Male")*(Table1[SubscriptionStart]&lt;=A419)*(Table1[EffectiveEndDate]&gt;=A419))</f>
        <v>176</v>
      </c>
      <c r="P419" s="45" cm="1">
        <f t="array" aca="1" ref="P419" ca="1">SUMPRODUCT((Table1[Gender]="Female")*(Table1[SubscriptionStart]&lt;=A419)*(Table1[EffectiveEndDate]&gt;=A419))</f>
        <v>149</v>
      </c>
    </row>
    <row r="420" spans="1:16">
      <c r="A420" s="48">
        <f t="shared" si="27"/>
        <v>44980</v>
      </c>
      <c r="B420" s="45" cm="1">
        <f t="array" aca="1" ref="B420" ca="1">SUMPRODUCT((Table1[SubscriptionStart]&lt;=A420)*(Table1[EffectiveEndDate]&gt;=A420))</f>
        <v>325</v>
      </c>
      <c r="C420" s="45">
        <f>COUNTIFS(Table1[SubscriptionStart], A420)</f>
        <v>0</v>
      </c>
      <c r="D420" s="45">
        <f>COUNTIFS(Table1[CancellationDate], A420)</f>
        <v>0</v>
      </c>
      <c r="E420" s="45">
        <f t="shared" si="24"/>
        <v>0</v>
      </c>
      <c r="F420" s="45">
        <f>SUM($C$2:C420)</f>
        <v>441</v>
      </c>
      <c r="G420" s="49" cm="1">
        <f t="array" aca="1" ref="G420" ca="1">IF(B420=0,"", SUMPRODUCT((Table1[SubscriptionStart]&lt;=A420)*(Table1[EffectiveEndDate]&gt;=A420)*Table1[Age]) / B420 )</f>
        <v>46.947692307692307</v>
      </c>
      <c r="H420" s="22">
        <f>SUMIF(Table1[SubscriptionStart],"&lt;="&amp;A420,Table1[TotalRevenue])</f>
        <v>94769.400000000081</v>
      </c>
      <c r="I420" s="50">
        <f t="shared" si="25"/>
        <v>44985</v>
      </c>
      <c r="J420" s="49">
        <f t="shared" ca="1" si="26"/>
        <v>325.14285714285717</v>
      </c>
      <c r="K420" s="45" cm="1">
        <f t="array" aca="1" ref="K420" ca="1">SUMPRODUCT((Table1[SubscriptionStart] &lt;= $A420) * (Table1[EffectiveEndDate] &gt;= $A420) * (Table1[Region] = "England"))</f>
        <v>76</v>
      </c>
      <c r="L420" s="45" cm="1">
        <f t="array" aca="1" ref="L420" ca="1">SUMPRODUCT((Table1[SubscriptionStart] &lt;= $A420) * (Table1[EffectiveEndDate] &gt;= $A420) * (Table1[Region] = "Scotland"))</f>
        <v>70</v>
      </c>
      <c r="M420" s="45" cm="1">
        <f t="array" aca="1" ref="M420" ca="1">SUMPRODUCT((Table1[SubscriptionStart] &lt;= $A420) * (Table1[EffectiveEndDate] &gt;= $A420) * (Table1[Region] = "Wales"))</f>
        <v>89</v>
      </c>
      <c r="N420" s="45" cm="1">
        <f t="array" aca="1" ref="N420" ca="1">SUMPRODUCT((Table1[SubscriptionStart] &lt;= $A420) * (Table1[EffectiveEndDate] &gt;= $A420) * (Table1[Region] = "Northern Ireland"))</f>
        <v>90</v>
      </c>
      <c r="O420" s="45" cm="1">
        <f t="array" aca="1" ref="O420" ca="1">SUMPRODUCT((Table1[Gender]="Male")*(Table1[SubscriptionStart]&lt;=A420)*(Table1[EffectiveEndDate]&gt;=A420))</f>
        <v>176</v>
      </c>
      <c r="P420" s="45" cm="1">
        <f t="array" aca="1" ref="P420" ca="1">SUMPRODUCT((Table1[Gender]="Female")*(Table1[SubscriptionStart]&lt;=A420)*(Table1[EffectiveEndDate]&gt;=A420))</f>
        <v>149</v>
      </c>
    </row>
    <row r="421" spans="1:16">
      <c r="A421" s="48">
        <f t="shared" si="27"/>
        <v>44981</v>
      </c>
      <c r="B421" s="45" cm="1">
        <f t="array" aca="1" ref="B421" ca="1">SUMPRODUCT((Table1[SubscriptionStart]&lt;=A421)*(Table1[EffectiveEndDate]&gt;=A421))</f>
        <v>325</v>
      </c>
      <c r="C421" s="45">
        <f>COUNTIFS(Table1[SubscriptionStart], A421)</f>
        <v>0</v>
      </c>
      <c r="D421" s="45">
        <f>COUNTIFS(Table1[CancellationDate], A421)</f>
        <v>0</v>
      </c>
      <c r="E421" s="45">
        <f t="shared" si="24"/>
        <v>0</v>
      </c>
      <c r="F421" s="45">
        <f>SUM($C$2:C421)</f>
        <v>441</v>
      </c>
      <c r="G421" s="49" cm="1">
        <f t="array" aca="1" ref="G421" ca="1">IF(B421=0,"", SUMPRODUCT((Table1[SubscriptionStart]&lt;=A421)*(Table1[EffectiveEndDate]&gt;=A421)*Table1[Age]) / B421 )</f>
        <v>46.947692307692307</v>
      </c>
      <c r="H421" s="22">
        <f>SUMIF(Table1[SubscriptionStart],"&lt;="&amp;A421,Table1[TotalRevenue])</f>
        <v>94769.400000000081</v>
      </c>
      <c r="I421" s="50">
        <f t="shared" si="25"/>
        <v>44985</v>
      </c>
      <c r="J421" s="49">
        <f t="shared" ca="1" si="26"/>
        <v>325.14285714285717</v>
      </c>
      <c r="K421" s="45" cm="1">
        <f t="array" aca="1" ref="K421" ca="1">SUMPRODUCT((Table1[SubscriptionStart] &lt;= $A421) * (Table1[EffectiveEndDate] &gt;= $A421) * (Table1[Region] = "England"))</f>
        <v>76</v>
      </c>
      <c r="L421" s="45" cm="1">
        <f t="array" aca="1" ref="L421" ca="1">SUMPRODUCT((Table1[SubscriptionStart] &lt;= $A421) * (Table1[EffectiveEndDate] &gt;= $A421) * (Table1[Region] = "Scotland"))</f>
        <v>70</v>
      </c>
      <c r="M421" s="45" cm="1">
        <f t="array" aca="1" ref="M421" ca="1">SUMPRODUCT((Table1[SubscriptionStart] &lt;= $A421) * (Table1[EffectiveEndDate] &gt;= $A421) * (Table1[Region] = "Wales"))</f>
        <v>89</v>
      </c>
      <c r="N421" s="45" cm="1">
        <f t="array" aca="1" ref="N421" ca="1">SUMPRODUCT((Table1[SubscriptionStart] &lt;= $A421) * (Table1[EffectiveEndDate] &gt;= $A421) * (Table1[Region] = "Northern Ireland"))</f>
        <v>90</v>
      </c>
      <c r="O421" s="45" cm="1">
        <f t="array" aca="1" ref="O421" ca="1">SUMPRODUCT((Table1[Gender]="Male")*(Table1[SubscriptionStart]&lt;=A421)*(Table1[EffectiveEndDate]&gt;=A421))</f>
        <v>176</v>
      </c>
      <c r="P421" s="45" cm="1">
        <f t="array" aca="1" ref="P421" ca="1">SUMPRODUCT((Table1[Gender]="Female")*(Table1[SubscriptionStart]&lt;=A421)*(Table1[EffectiveEndDate]&gt;=A421))</f>
        <v>149</v>
      </c>
    </row>
    <row r="422" spans="1:16">
      <c r="A422" s="48">
        <f t="shared" si="27"/>
        <v>44982</v>
      </c>
      <c r="B422" s="45" cm="1">
        <f t="array" aca="1" ref="B422" ca="1">SUMPRODUCT((Table1[SubscriptionStart]&lt;=A422)*(Table1[EffectiveEndDate]&gt;=A422))</f>
        <v>325</v>
      </c>
      <c r="C422" s="45">
        <f>COUNTIFS(Table1[SubscriptionStart], A422)</f>
        <v>0</v>
      </c>
      <c r="D422" s="45">
        <f>COUNTIFS(Table1[CancellationDate], A422)</f>
        <v>0</v>
      </c>
      <c r="E422" s="45">
        <f t="shared" si="24"/>
        <v>0</v>
      </c>
      <c r="F422" s="45">
        <f>SUM($C$2:C422)</f>
        <v>441</v>
      </c>
      <c r="G422" s="49" cm="1">
        <f t="array" aca="1" ref="G422" ca="1">IF(B422=0,"", SUMPRODUCT((Table1[SubscriptionStart]&lt;=A422)*(Table1[EffectiveEndDate]&gt;=A422)*Table1[Age]) / B422 )</f>
        <v>46.947692307692307</v>
      </c>
      <c r="H422" s="22">
        <f>SUMIF(Table1[SubscriptionStart],"&lt;="&amp;A422,Table1[TotalRevenue])</f>
        <v>94769.400000000081</v>
      </c>
      <c r="I422" s="50">
        <f t="shared" si="25"/>
        <v>44985</v>
      </c>
      <c r="J422" s="49">
        <f t="shared" ca="1" si="26"/>
        <v>325.14285714285717</v>
      </c>
      <c r="K422" s="45" cm="1">
        <f t="array" aca="1" ref="K422" ca="1">SUMPRODUCT((Table1[SubscriptionStart] &lt;= $A422) * (Table1[EffectiveEndDate] &gt;= $A422) * (Table1[Region] = "England"))</f>
        <v>76</v>
      </c>
      <c r="L422" s="45" cm="1">
        <f t="array" aca="1" ref="L422" ca="1">SUMPRODUCT((Table1[SubscriptionStart] &lt;= $A422) * (Table1[EffectiveEndDate] &gt;= $A422) * (Table1[Region] = "Scotland"))</f>
        <v>70</v>
      </c>
      <c r="M422" s="45" cm="1">
        <f t="array" aca="1" ref="M422" ca="1">SUMPRODUCT((Table1[SubscriptionStart] &lt;= $A422) * (Table1[EffectiveEndDate] &gt;= $A422) * (Table1[Region] = "Wales"))</f>
        <v>89</v>
      </c>
      <c r="N422" s="45" cm="1">
        <f t="array" aca="1" ref="N422" ca="1">SUMPRODUCT((Table1[SubscriptionStart] &lt;= $A422) * (Table1[EffectiveEndDate] &gt;= $A422) * (Table1[Region] = "Northern Ireland"))</f>
        <v>90</v>
      </c>
      <c r="O422" s="45" cm="1">
        <f t="array" aca="1" ref="O422" ca="1">SUMPRODUCT((Table1[Gender]="Male")*(Table1[SubscriptionStart]&lt;=A422)*(Table1[EffectiveEndDate]&gt;=A422))</f>
        <v>176</v>
      </c>
      <c r="P422" s="45" cm="1">
        <f t="array" aca="1" ref="P422" ca="1">SUMPRODUCT((Table1[Gender]="Female")*(Table1[SubscriptionStart]&lt;=A422)*(Table1[EffectiveEndDate]&gt;=A422))</f>
        <v>149</v>
      </c>
    </row>
    <row r="423" spans="1:16">
      <c r="A423" s="48">
        <f t="shared" si="27"/>
        <v>44983</v>
      </c>
      <c r="B423" s="45" cm="1">
        <f t="array" aca="1" ref="B423" ca="1">SUMPRODUCT((Table1[SubscriptionStart]&lt;=A423)*(Table1[EffectiveEndDate]&gt;=A423))</f>
        <v>326</v>
      </c>
      <c r="C423" s="45">
        <f>COUNTIFS(Table1[SubscriptionStart], A423)</f>
        <v>1</v>
      </c>
      <c r="D423" s="45">
        <f>COUNTIFS(Table1[CancellationDate], A423)</f>
        <v>0</v>
      </c>
      <c r="E423" s="45">
        <f t="shared" si="24"/>
        <v>1</v>
      </c>
      <c r="F423" s="45">
        <f>SUM($C$2:C423)</f>
        <v>442</v>
      </c>
      <c r="G423" s="49" cm="1">
        <f t="array" aca="1" ref="G423" ca="1">IF(B423=0,"", SUMPRODUCT((Table1[SubscriptionStart]&lt;=A423)*(Table1[EffectiveEndDate]&gt;=A423)*Table1[Age]) / B423 )</f>
        <v>46.883435582822088</v>
      </c>
      <c r="H423" s="22">
        <f>SUMIF(Table1[SubscriptionStart],"&lt;="&amp;A423,Table1[TotalRevenue])</f>
        <v>94949.400000000081</v>
      </c>
      <c r="I423" s="50">
        <f t="shared" si="25"/>
        <v>44985</v>
      </c>
      <c r="J423" s="49">
        <f t="shared" ca="1" si="26"/>
        <v>325.14285714285717</v>
      </c>
      <c r="K423" s="45" cm="1">
        <f t="array" aca="1" ref="K423" ca="1">SUMPRODUCT((Table1[SubscriptionStart] &lt;= $A423) * (Table1[EffectiveEndDate] &gt;= $A423) * (Table1[Region] = "England"))</f>
        <v>77</v>
      </c>
      <c r="L423" s="45" cm="1">
        <f t="array" aca="1" ref="L423" ca="1">SUMPRODUCT((Table1[SubscriptionStart] &lt;= $A423) * (Table1[EffectiveEndDate] &gt;= $A423) * (Table1[Region] = "Scotland"))</f>
        <v>70</v>
      </c>
      <c r="M423" s="45" cm="1">
        <f t="array" aca="1" ref="M423" ca="1">SUMPRODUCT((Table1[SubscriptionStart] &lt;= $A423) * (Table1[EffectiveEndDate] &gt;= $A423) * (Table1[Region] = "Wales"))</f>
        <v>89</v>
      </c>
      <c r="N423" s="45" cm="1">
        <f t="array" aca="1" ref="N423" ca="1">SUMPRODUCT((Table1[SubscriptionStart] &lt;= $A423) * (Table1[EffectiveEndDate] &gt;= $A423) * (Table1[Region] = "Northern Ireland"))</f>
        <v>90</v>
      </c>
      <c r="O423" s="45" cm="1">
        <f t="array" aca="1" ref="O423" ca="1">SUMPRODUCT((Table1[Gender]="Male")*(Table1[SubscriptionStart]&lt;=A423)*(Table1[EffectiveEndDate]&gt;=A423))</f>
        <v>177</v>
      </c>
      <c r="P423" s="45" cm="1">
        <f t="array" aca="1" ref="P423" ca="1">SUMPRODUCT((Table1[Gender]="Female")*(Table1[SubscriptionStart]&lt;=A423)*(Table1[EffectiveEndDate]&gt;=A423))</f>
        <v>149</v>
      </c>
    </row>
    <row r="424" spans="1:16">
      <c r="A424" s="48">
        <f t="shared" si="27"/>
        <v>44984</v>
      </c>
      <c r="B424" s="45" cm="1">
        <f t="array" aca="1" ref="B424" ca="1">SUMPRODUCT((Table1[SubscriptionStart]&lt;=A424)*(Table1[EffectiveEndDate]&gt;=A424))</f>
        <v>327</v>
      </c>
      <c r="C424" s="45">
        <f>COUNTIFS(Table1[SubscriptionStart], A424)</f>
        <v>1</v>
      </c>
      <c r="D424" s="45">
        <f>COUNTIFS(Table1[CancellationDate], A424)</f>
        <v>1</v>
      </c>
      <c r="E424" s="45">
        <f t="shared" si="24"/>
        <v>0</v>
      </c>
      <c r="F424" s="45">
        <f>SUM($C$2:C424)</f>
        <v>443</v>
      </c>
      <c r="G424" s="49" cm="1">
        <f t="array" aca="1" ref="G424" ca="1">IF(B424=0,"", SUMPRODUCT((Table1[SubscriptionStart]&lt;=A424)*(Table1[EffectiveEndDate]&gt;=A424)*Table1[Age]) / B424 )</f>
        <v>46.798165137614681</v>
      </c>
      <c r="H424" s="22">
        <f>SUMIF(Table1[SubscriptionStart],"&lt;="&amp;A424,Table1[TotalRevenue])</f>
        <v>95523.600000000079</v>
      </c>
      <c r="I424" s="50">
        <f t="shared" si="25"/>
        <v>44985</v>
      </c>
      <c r="J424" s="49">
        <f t="shared" ca="1" si="26"/>
        <v>325.14285714285717</v>
      </c>
      <c r="K424" s="45" cm="1">
        <f t="array" aca="1" ref="K424" ca="1">SUMPRODUCT((Table1[SubscriptionStart] &lt;= $A424) * (Table1[EffectiveEndDate] &gt;= $A424) * (Table1[Region] = "England"))</f>
        <v>77</v>
      </c>
      <c r="L424" s="45" cm="1">
        <f t="array" aca="1" ref="L424" ca="1">SUMPRODUCT((Table1[SubscriptionStart] &lt;= $A424) * (Table1[EffectiveEndDate] &gt;= $A424) * (Table1[Region] = "Scotland"))</f>
        <v>71</v>
      </c>
      <c r="M424" s="45" cm="1">
        <f t="array" aca="1" ref="M424" ca="1">SUMPRODUCT((Table1[SubscriptionStart] &lt;= $A424) * (Table1[EffectiveEndDate] &gt;= $A424) * (Table1[Region] = "Wales"))</f>
        <v>89</v>
      </c>
      <c r="N424" s="45" cm="1">
        <f t="array" aca="1" ref="N424" ca="1">SUMPRODUCT((Table1[SubscriptionStart] &lt;= $A424) * (Table1[EffectiveEndDate] &gt;= $A424) * (Table1[Region] = "Northern Ireland"))</f>
        <v>90</v>
      </c>
      <c r="O424" s="45" cm="1">
        <f t="array" aca="1" ref="O424" ca="1">SUMPRODUCT((Table1[Gender]="Male")*(Table1[SubscriptionStart]&lt;=A424)*(Table1[EffectiveEndDate]&gt;=A424))</f>
        <v>178</v>
      </c>
      <c r="P424" s="45" cm="1">
        <f t="array" aca="1" ref="P424" ca="1">SUMPRODUCT((Table1[Gender]="Female")*(Table1[SubscriptionStart]&lt;=A424)*(Table1[EffectiveEndDate]&gt;=A424))</f>
        <v>149</v>
      </c>
    </row>
    <row r="425" spans="1:16">
      <c r="A425" s="48">
        <f t="shared" si="27"/>
        <v>44985</v>
      </c>
      <c r="B425" s="45" cm="1">
        <f t="array" aca="1" ref="B425" ca="1">SUMPRODUCT((Table1[SubscriptionStart]&lt;=A425)*(Table1[EffectiveEndDate]&gt;=A425))</f>
        <v>329</v>
      </c>
      <c r="C425" s="45">
        <f>COUNTIFS(Table1[SubscriptionStart], A425)</f>
        <v>3</v>
      </c>
      <c r="D425" s="45">
        <f>COUNTIFS(Table1[CancellationDate], A425)</f>
        <v>0</v>
      </c>
      <c r="E425" s="45">
        <f t="shared" si="24"/>
        <v>3</v>
      </c>
      <c r="F425" s="45">
        <f>SUM($C$2:C425)</f>
        <v>446</v>
      </c>
      <c r="G425" s="49" cm="1">
        <f t="array" aca="1" ref="G425" ca="1">IF(B425=0,"", SUMPRODUCT((Table1[SubscriptionStart]&lt;=A425)*(Table1[EffectiveEndDate]&gt;=A425)*Table1[Age]) / B425 )</f>
        <v>46.881458966565347</v>
      </c>
      <c r="H425" s="22">
        <f>SUMIF(Table1[SubscriptionStart],"&lt;="&amp;A425,Table1[TotalRevenue])</f>
        <v>96036.600000000079</v>
      </c>
      <c r="I425" s="50">
        <f t="shared" si="25"/>
        <v>44985</v>
      </c>
      <c r="J425" s="49">
        <f t="shared" ca="1" si="26"/>
        <v>325.14285714285717</v>
      </c>
      <c r="K425" s="45" cm="1">
        <f t="array" aca="1" ref="K425" ca="1">SUMPRODUCT((Table1[SubscriptionStart] &lt;= $A425) * (Table1[EffectiveEndDate] &gt;= $A425) * (Table1[Region] = "England"))</f>
        <v>78</v>
      </c>
      <c r="L425" s="45" cm="1">
        <f t="array" aca="1" ref="L425" ca="1">SUMPRODUCT((Table1[SubscriptionStart] &lt;= $A425) * (Table1[EffectiveEndDate] &gt;= $A425) * (Table1[Region] = "Scotland"))</f>
        <v>71</v>
      </c>
      <c r="M425" s="45" cm="1">
        <f t="array" aca="1" ref="M425" ca="1">SUMPRODUCT((Table1[SubscriptionStart] &lt;= $A425) * (Table1[EffectiveEndDate] &gt;= $A425) * (Table1[Region] = "Wales"))</f>
        <v>89</v>
      </c>
      <c r="N425" s="45" cm="1">
        <f t="array" aca="1" ref="N425" ca="1">SUMPRODUCT((Table1[SubscriptionStart] &lt;= $A425) * (Table1[EffectiveEndDate] &gt;= $A425) * (Table1[Region] = "Northern Ireland"))</f>
        <v>91</v>
      </c>
      <c r="O425" s="45" cm="1">
        <f t="array" aca="1" ref="O425" ca="1">SUMPRODUCT((Table1[Gender]="Male")*(Table1[SubscriptionStart]&lt;=A425)*(Table1[EffectiveEndDate]&gt;=A425))</f>
        <v>180</v>
      </c>
      <c r="P425" s="45" cm="1">
        <f t="array" aca="1" ref="P425" ca="1">SUMPRODUCT((Table1[Gender]="Female")*(Table1[SubscriptionStart]&lt;=A425)*(Table1[EffectiveEndDate]&gt;=A425))</f>
        <v>149</v>
      </c>
    </row>
    <row r="426" spans="1:16">
      <c r="A426" s="48">
        <f t="shared" si="27"/>
        <v>44986</v>
      </c>
      <c r="B426" s="45" cm="1">
        <f t="array" aca="1" ref="B426" ca="1">SUMPRODUCT((Table1[SubscriptionStart]&lt;=A426)*(Table1[EffectiveEndDate]&gt;=A426))</f>
        <v>329</v>
      </c>
      <c r="C426" s="45">
        <f>COUNTIFS(Table1[SubscriptionStart], A426)</f>
        <v>0</v>
      </c>
      <c r="D426" s="45">
        <f>COUNTIFS(Table1[CancellationDate], A426)</f>
        <v>0</v>
      </c>
      <c r="E426" s="45">
        <f t="shared" si="24"/>
        <v>0</v>
      </c>
      <c r="F426" s="45">
        <f>SUM($C$2:C426)</f>
        <v>446</v>
      </c>
      <c r="G426" s="49" cm="1">
        <f t="array" aca="1" ref="G426" ca="1">IF(B426=0,"", SUMPRODUCT((Table1[SubscriptionStart]&lt;=A426)*(Table1[EffectiveEndDate]&gt;=A426)*Table1[Age]) / B426 )</f>
        <v>46.881458966565347</v>
      </c>
      <c r="H426" s="22">
        <f>SUMIF(Table1[SubscriptionStart],"&lt;="&amp;A426,Table1[TotalRevenue])</f>
        <v>96036.600000000079</v>
      </c>
      <c r="I426" s="50">
        <f t="shared" si="25"/>
        <v>45016</v>
      </c>
      <c r="J426" s="49">
        <f t="shared" ca="1" si="26"/>
        <v>341.83870967741933</v>
      </c>
      <c r="K426" s="45" cm="1">
        <f t="array" aca="1" ref="K426" ca="1">SUMPRODUCT((Table1[SubscriptionStart] &lt;= $A426) * (Table1[EffectiveEndDate] &gt;= $A426) * (Table1[Region] = "England"))</f>
        <v>78</v>
      </c>
      <c r="L426" s="45" cm="1">
        <f t="array" aca="1" ref="L426" ca="1">SUMPRODUCT((Table1[SubscriptionStart] &lt;= $A426) * (Table1[EffectiveEndDate] &gt;= $A426) * (Table1[Region] = "Scotland"))</f>
        <v>71</v>
      </c>
      <c r="M426" s="45" cm="1">
        <f t="array" aca="1" ref="M426" ca="1">SUMPRODUCT((Table1[SubscriptionStart] &lt;= $A426) * (Table1[EffectiveEndDate] &gt;= $A426) * (Table1[Region] = "Wales"))</f>
        <v>89</v>
      </c>
      <c r="N426" s="45" cm="1">
        <f t="array" aca="1" ref="N426" ca="1">SUMPRODUCT((Table1[SubscriptionStart] &lt;= $A426) * (Table1[EffectiveEndDate] &gt;= $A426) * (Table1[Region] = "Northern Ireland"))</f>
        <v>91</v>
      </c>
      <c r="O426" s="45" cm="1">
        <f t="array" aca="1" ref="O426" ca="1">SUMPRODUCT((Table1[Gender]="Male")*(Table1[SubscriptionStart]&lt;=A426)*(Table1[EffectiveEndDate]&gt;=A426))</f>
        <v>180</v>
      </c>
      <c r="P426" s="45" cm="1">
        <f t="array" aca="1" ref="P426" ca="1">SUMPRODUCT((Table1[Gender]="Female")*(Table1[SubscriptionStart]&lt;=A426)*(Table1[EffectiveEndDate]&gt;=A426))</f>
        <v>149</v>
      </c>
    </row>
    <row r="427" spans="1:16">
      <c r="A427" s="48">
        <f t="shared" si="27"/>
        <v>44987</v>
      </c>
      <c r="B427" s="45" cm="1">
        <f t="array" aca="1" ref="B427" ca="1">SUMPRODUCT((Table1[SubscriptionStart]&lt;=A427)*(Table1[EffectiveEndDate]&gt;=A427))</f>
        <v>330</v>
      </c>
      <c r="C427" s="45">
        <f>COUNTIFS(Table1[SubscriptionStart], A427)</f>
        <v>1</v>
      </c>
      <c r="D427" s="45">
        <f>COUNTIFS(Table1[CancellationDate], A427)</f>
        <v>0</v>
      </c>
      <c r="E427" s="45">
        <f t="shared" si="24"/>
        <v>1</v>
      </c>
      <c r="F427" s="45">
        <f>SUM($C$2:C427)</f>
        <v>447</v>
      </c>
      <c r="G427" s="49" cm="1">
        <f t="array" aca="1" ref="G427" ca="1">IF(B427=0,"", SUMPRODUCT((Table1[SubscriptionStart]&lt;=A427)*(Table1[EffectiveEndDate]&gt;=A427)*Table1[Age]) / B427 )</f>
        <v>46.942424242424245</v>
      </c>
      <c r="H427" s="22">
        <f>SUMIF(Table1[SubscriptionStart],"&lt;="&amp;A427,Table1[TotalRevenue])</f>
        <v>96166.200000000084</v>
      </c>
      <c r="I427" s="50">
        <f t="shared" si="25"/>
        <v>45016</v>
      </c>
      <c r="J427" s="49">
        <f t="shared" ca="1" si="26"/>
        <v>341.83870967741933</v>
      </c>
      <c r="K427" s="45" cm="1">
        <f t="array" aca="1" ref="K427" ca="1">SUMPRODUCT((Table1[SubscriptionStart] &lt;= $A427) * (Table1[EffectiveEndDate] &gt;= $A427) * (Table1[Region] = "England"))</f>
        <v>78</v>
      </c>
      <c r="L427" s="45" cm="1">
        <f t="array" aca="1" ref="L427" ca="1">SUMPRODUCT((Table1[SubscriptionStart] &lt;= $A427) * (Table1[EffectiveEndDate] &gt;= $A427) * (Table1[Region] = "Scotland"))</f>
        <v>71</v>
      </c>
      <c r="M427" s="45" cm="1">
        <f t="array" aca="1" ref="M427" ca="1">SUMPRODUCT((Table1[SubscriptionStart] &lt;= $A427) * (Table1[EffectiveEndDate] &gt;= $A427) * (Table1[Region] = "Wales"))</f>
        <v>89</v>
      </c>
      <c r="N427" s="45" cm="1">
        <f t="array" aca="1" ref="N427" ca="1">SUMPRODUCT((Table1[SubscriptionStart] &lt;= $A427) * (Table1[EffectiveEndDate] &gt;= $A427) * (Table1[Region] = "Northern Ireland"))</f>
        <v>92</v>
      </c>
      <c r="O427" s="45" cm="1">
        <f t="array" aca="1" ref="O427" ca="1">SUMPRODUCT((Table1[Gender]="Male")*(Table1[SubscriptionStart]&lt;=A427)*(Table1[EffectiveEndDate]&gt;=A427))</f>
        <v>181</v>
      </c>
      <c r="P427" s="45" cm="1">
        <f t="array" aca="1" ref="P427" ca="1">SUMPRODUCT((Table1[Gender]="Female")*(Table1[SubscriptionStart]&lt;=A427)*(Table1[EffectiveEndDate]&gt;=A427))</f>
        <v>149</v>
      </c>
    </row>
    <row r="428" spans="1:16">
      <c r="A428" s="48">
        <f t="shared" si="27"/>
        <v>44988</v>
      </c>
      <c r="B428" s="45" cm="1">
        <f t="array" aca="1" ref="B428" ca="1">SUMPRODUCT((Table1[SubscriptionStart]&lt;=A428)*(Table1[EffectiveEndDate]&gt;=A428))</f>
        <v>332</v>
      </c>
      <c r="C428" s="45">
        <f>COUNTIFS(Table1[SubscriptionStart], A428)</f>
        <v>2</v>
      </c>
      <c r="D428" s="45">
        <f>COUNTIFS(Table1[CancellationDate], A428)</f>
        <v>1</v>
      </c>
      <c r="E428" s="45">
        <f t="shared" si="24"/>
        <v>1</v>
      </c>
      <c r="F428" s="45">
        <f>SUM($C$2:C428)</f>
        <v>449</v>
      </c>
      <c r="G428" s="49" cm="1">
        <f t="array" aca="1" ref="G428" ca="1">IF(B428=0,"", SUMPRODUCT((Table1[SubscriptionStart]&lt;=A428)*(Table1[EffectiveEndDate]&gt;=A428)*Table1[Age]) / B428 )</f>
        <v>46.843373493975903</v>
      </c>
      <c r="H428" s="22">
        <f>SUMIF(Table1[SubscriptionStart],"&lt;="&amp;A428,Table1[TotalRevenue])</f>
        <v>96166.200000000084</v>
      </c>
      <c r="I428" s="50">
        <f t="shared" si="25"/>
        <v>45016</v>
      </c>
      <c r="J428" s="49">
        <f t="shared" ca="1" si="26"/>
        <v>341.83870967741933</v>
      </c>
      <c r="K428" s="45" cm="1">
        <f t="array" aca="1" ref="K428" ca="1">SUMPRODUCT((Table1[SubscriptionStart] &lt;= $A428) * (Table1[EffectiveEndDate] &gt;= $A428) * (Table1[Region] = "England"))</f>
        <v>78</v>
      </c>
      <c r="L428" s="45" cm="1">
        <f t="array" aca="1" ref="L428" ca="1">SUMPRODUCT((Table1[SubscriptionStart] &lt;= $A428) * (Table1[EffectiveEndDate] &gt;= $A428) * (Table1[Region] = "Scotland"))</f>
        <v>71</v>
      </c>
      <c r="M428" s="45" cm="1">
        <f t="array" aca="1" ref="M428" ca="1">SUMPRODUCT((Table1[SubscriptionStart] &lt;= $A428) * (Table1[EffectiveEndDate] &gt;= $A428) * (Table1[Region] = "Wales"))</f>
        <v>90</v>
      </c>
      <c r="N428" s="45" cm="1">
        <f t="array" aca="1" ref="N428" ca="1">SUMPRODUCT((Table1[SubscriptionStart] &lt;= $A428) * (Table1[EffectiveEndDate] &gt;= $A428) * (Table1[Region] = "Northern Ireland"))</f>
        <v>93</v>
      </c>
      <c r="O428" s="45" cm="1">
        <f t="array" aca="1" ref="O428" ca="1">SUMPRODUCT((Table1[Gender]="Male")*(Table1[SubscriptionStart]&lt;=A428)*(Table1[EffectiveEndDate]&gt;=A428))</f>
        <v>182</v>
      </c>
      <c r="P428" s="45" cm="1">
        <f t="array" aca="1" ref="P428" ca="1">SUMPRODUCT((Table1[Gender]="Female")*(Table1[SubscriptionStart]&lt;=A428)*(Table1[EffectiveEndDate]&gt;=A428))</f>
        <v>150</v>
      </c>
    </row>
    <row r="429" spans="1:16">
      <c r="A429" s="48">
        <f t="shared" si="27"/>
        <v>44989</v>
      </c>
      <c r="B429" s="45" cm="1">
        <f t="array" aca="1" ref="B429" ca="1">SUMPRODUCT((Table1[SubscriptionStart]&lt;=A429)*(Table1[EffectiveEndDate]&gt;=A429))</f>
        <v>333</v>
      </c>
      <c r="C429" s="45">
        <f>COUNTIFS(Table1[SubscriptionStart], A429)</f>
        <v>2</v>
      </c>
      <c r="D429" s="45">
        <f>COUNTIFS(Table1[CancellationDate], A429)</f>
        <v>0</v>
      </c>
      <c r="E429" s="45">
        <f t="shared" si="24"/>
        <v>2</v>
      </c>
      <c r="F429" s="45">
        <f>SUM($C$2:C429)</f>
        <v>451</v>
      </c>
      <c r="G429" s="49" cm="1">
        <f t="array" aca="1" ref="G429" ca="1">IF(B429=0,"", SUMPRODUCT((Table1[SubscriptionStart]&lt;=A429)*(Table1[EffectiveEndDate]&gt;=A429)*Table1[Age]) / B429 )</f>
        <v>46.780780780780781</v>
      </c>
      <c r="H429" s="22">
        <f>SUMIF(Table1[SubscriptionStart],"&lt;="&amp;A429,Table1[TotalRevenue])</f>
        <v>96557.200000000084</v>
      </c>
      <c r="I429" s="50">
        <f t="shared" si="25"/>
        <v>45016</v>
      </c>
      <c r="J429" s="49">
        <f t="shared" ca="1" si="26"/>
        <v>341.83870967741933</v>
      </c>
      <c r="K429" s="45" cm="1">
        <f t="array" aca="1" ref="K429" ca="1">SUMPRODUCT((Table1[SubscriptionStart] &lt;= $A429) * (Table1[EffectiveEndDate] &gt;= $A429) * (Table1[Region] = "England"))</f>
        <v>78</v>
      </c>
      <c r="L429" s="45" cm="1">
        <f t="array" aca="1" ref="L429" ca="1">SUMPRODUCT((Table1[SubscriptionStart] &lt;= $A429) * (Table1[EffectiveEndDate] &gt;= $A429) * (Table1[Region] = "Scotland"))</f>
        <v>71</v>
      </c>
      <c r="M429" s="45" cm="1">
        <f t="array" aca="1" ref="M429" ca="1">SUMPRODUCT((Table1[SubscriptionStart] &lt;= $A429) * (Table1[EffectiveEndDate] &gt;= $A429) * (Table1[Region] = "Wales"))</f>
        <v>90</v>
      </c>
      <c r="N429" s="45" cm="1">
        <f t="array" aca="1" ref="N429" ca="1">SUMPRODUCT((Table1[SubscriptionStart] &lt;= $A429) * (Table1[EffectiveEndDate] &gt;= $A429) * (Table1[Region] = "Northern Ireland"))</f>
        <v>94</v>
      </c>
      <c r="O429" s="45" cm="1">
        <f t="array" aca="1" ref="O429" ca="1">SUMPRODUCT((Table1[Gender]="Male")*(Table1[SubscriptionStart]&lt;=A429)*(Table1[EffectiveEndDate]&gt;=A429))</f>
        <v>182</v>
      </c>
      <c r="P429" s="45" cm="1">
        <f t="array" aca="1" ref="P429" ca="1">SUMPRODUCT((Table1[Gender]="Female")*(Table1[SubscriptionStart]&lt;=A429)*(Table1[EffectiveEndDate]&gt;=A429))</f>
        <v>151</v>
      </c>
    </row>
    <row r="430" spans="1:16">
      <c r="A430" s="48">
        <f t="shared" si="27"/>
        <v>44990</v>
      </c>
      <c r="B430" s="45" cm="1">
        <f t="array" aca="1" ref="B430" ca="1">SUMPRODUCT((Table1[SubscriptionStart]&lt;=A430)*(Table1[EffectiveEndDate]&gt;=A430))</f>
        <v>334</v>
      </c>
      <c r="C430" s="45">
        <f>COUNTIFS(Table1[SubscriptionStart], A430)</f>
        <v>1</v>
      </c>
      <c r="D430" s="45">
        <f>COUNTIFS(Table1[CancellationDate], A430)</f>
        <v>0</v>
      </c>
      <c r="E430" s="45">
        <f t="shared" si="24"/>
        <v>1</v>
      </c>
      <c r="F430" s="45">
        <f>SUM($C$2:C430)</f>
        <v>452</v>
      </c>
      <c r="G430" s="49" cm="1">
        <f t="array" aca="1" ref="G430" ca="1">IF(B430=0,"", SUMPRODUCT((Table1[SubscriptionStart]&lt;=A430)*(Table1[EffectiveEndDate]&gt;=A430)*Table1[Age]) / B430 )</f>
        <v>46.799401197604787</v>
      </c>
      <c r="H430" s="22">
        <f>SUMIF(Table1[SubscriptionStart],"&lt;="&amp;A430,Table1[TotalRevenue])</f>
        <v>96557.200000000084</v>
      </c>
      <c r="I430" s="50">
        <f t="shared" si="25"/>
        <v>45016</v>
      </c>
      <c r="J430" s="49">
        <f t="shared" ca="1" si="26"/>
        <v>341.83870967741933</v>
      </c>
      <c r="K430" s="45" cm="1">
        <f t="array" aca="1" ref="K430" ca="1">SUMPRODUCT((Table1[SubscriptionStart] &lt;= $A430) * (Table1[EffectiveEndDate] &gt;= $A430) * (Table1[Region] = "England"))</f>
        <v>78</v>
      </c>
      <c r="L430" s="45" cm="1">
        <f t="array" aca="1" ref="L430" ca="1">SUMPRODUCT((Table1[SubscriptionStart] &lt;= $A430) * (Table1[EffectiveEndDate] &gt;= $A430) * (Table1[Region] = "Scotland"))</f>
        <v>71</v>
      </c>
      <c r="M430" s="45" cm="1">
        <f t="array" aca="1" ref="M430" ca="1">SUMPRODUCT((Table1[SubscriptionStart] &lt;= $A430) * (Table1[EffectiveEndDate] &gt;= $A430) * (Table1[Region] = "Wales"))</f>
        <v>91</v>
      </c>
      <c r="N430" s="45" cm="1">
        <f t="array" aca="1" ref="N430" ca="1">SUMPRODUCT((Table1[SubscriptionStart] &lt;= $A430) * (Table1[EffectiveEndDate] &gt;= $A430) * (Table1[Region] = "Northern Ireland"))</f>
        <v>94</v>
      </c>
      <c r="O430" s="45" cm="1">
        <f t="array" aca="1" ref="O430" ca="1">SUMPRODUCT((Table1[Gender]="Male")*(Table1[SubscriptionStart]&lt;=A430)*(Table1[EffectiveEndDate]&gt;=A430))</f>
        <v>182</v>
      </c>
      <c r="P430" s="45" cm="1">
        <f t="array" aca="1" ref="P430" ca="1">SUMPRODUCT((Table1[Gender]="Female")*(Table1[SubscriptionStart]&lt;=A430)*(Table1[EffectiveEndDate]&gt;=A430))</f>
        <v>152</v>
      </c>
    </row>
    <row r="431" spans="1:16">
      <c r="A431" s="48">
        <f t="shared" si="27"/>
        <v>44991</v>
      </c>
      <c r="B431" s="45" cm="1">
        <f t="array" aca="1" ref="B431" ca="1">SUMPRODUCT((Table1[SubscriptionStart]&lt;=A431)*(Table1[EffectiveEndDate]&gt;=A431))</f>
        <v>336</v>
      </c>
      <c r="C431" s="45">
        <f>COUNTIFS(Table1[SubscriptionStart], A431)</f>
        <v>2</v>
      </c>
      <c r="D431" s="45">
        <f>COUNTIFS(Table1[CancellationDate], A431)</f>
        <v>1</v>
      </c>
      <c r="E431" s="45">
        <f t="shared" si="24"/>
        <v>1</v>
      </c>
      <c r="F431" s="45">
        <f>SUM($C$2:C431)</f>
        <v>454</v>
      </c>
      <c r="G431" s="49" cm="1">
        <f t="array" aca="1" ref="G431" ca="1">IF(B431=0,"", SUMPRODUCT((Table1[SubscriptionStart]&lt;=A431)*(Table1[EffectiveEndDate]&gt;=A431)*Table1[Age]) / B431 )</f>
        <v>46.797619047619051</v>
      </c>
      <c r="H431" s="22">
        <f>SUMIF(Table1[SubscriptionStart],"&lt;="&amp;A431,Table1[TotalRevenue])</f>
        <v>96737.200000000084</v>
      </c>
      <c r="I431" s="50">
        <f t="shared" si="25"/>
        <v>45016</v>
      </c>
      <c r="J431" s="49">
        <f t="shared" ca="1" si="26"/>
        <v>341.83870967741933</v>
      </c>
      <c r="K431" s="45" cm="1">
        <f t="array" aca="1" ref="K431" ca="1">SUMPRODUCT((Table1[SubscriptionStart] &lt;= $A431) * (Table1[EffectiveEndDate] &gt;= $A431) * (Table1[Region] = "England"))</f>
        <v>79</v>
      </c>
      <c r="L431" s="45" cm="1">
        <f t="array" aca="1" ref="L431" ca="1">SUMPRODUCT((Table1[SubscriptionStart] &lt;= $A431) * (Table1[EffectiveEndDate] &gt;= $A431) * (Table1[Region] = "Scotland"))</f>
        <v>71</v>
      </c>
      <c r="M431" s="45" cm="1">
        <f t="array" aca="1" ref="M431" ca="1">SUMPRODUCT((Table1[SubscriptionStart] &lt;= $A431) * (Table1[EffectiveEndDate] &gt;= $A431) * (Table1[Region] = "Wales"))</f>
        <v>91</v>
      </c>
      <c r="N431" s="45" cm="1">
        <f t="array" aca="1" ref="N431" ca="1">SUMPRODUCT((Table1[SubscriptionStart] &lt;= $A431) * (Table1[EffectiveEndDate] &gt;= $A431) * (Table1[Region] = "Northern Ireland"))</f>
        <v>95</v>
      </c>
      <c r="O431" s="45" cm="1">
        <f t="array" aca="1" ref="O431" ca="1">SUMPRODUCT((Table1[Gender]="Male")*(Table1[SubscriptionStart]&lt;=A431)*(Table1[EffectiveEndDate]&gt;=A431))</f>
        <v>184</v>
      </c>
      <c r="P431" s="45" cm="1">
        <f t="array" aca="1" ref="P431" ca="1">SUMPRODUCT((Table1[Gender]="Female")*(Table1[SubscriptionStart]&lt;=A431)*(Table1[EffectiveEndDate]&gt;=A431))</f>
        <v>152</v>
      </c>
    </row>
    <row r="432" spans="1:16">
      <c r="A432" s="48">
        <f t="shared" si="27"/>
        <v>44992</v>
      </c>
      <c r="B432" s="45" cm="1">
        <f t="array" aca="1" ref="B432" ca="1">SUMPRODUCT((Table1[SubscriptionStart]&lt;=A432)*(Table1[EffectiveEndDate]&gt;=A432))</f>
        <v>336</v>
      </c>
      <c r="C432" s="45">
        <f>COUNTIFS(Table1[SubscriptionStart], A432)</f>
        <v>1</v>
      </c>
      <c r="D432" s="45">
        <f>COUNTIFS(Table1[CancellationDate], A432)</f>
        <v>1</v>
      </c>
      <c r="E432" s="45">
        <f t="shared" si="24"/>
        <v>0</v>
      </c>
      <c r="F432" s="45">
        <f>SUM($C$2:C432)</f>
        <v>455</v>
      </c>
      <c r="G432" s="49" cm="1">
        <f t="array" aca="1" ref="G432" ca="1">IF(B432=0,"", SUMPRODUCT((Table1[SubscriptionStart]&lt;=A432)*(Table1[EffectiveEndDate]&gt;=A432)*Table1[Age]) / B432 )</f>
        <v>46.81845238095238</v>
      </c>
      <c r="H432" s="22">
        <f>SUMIF(Table1[SubscriptionStart],"&lt;="&amp;A432,Table1[TotalRevenue])</f>
        <v>96809.200000000084</v>
      </c>
      <c r="I432" s="50">
        <f t="shared" si="25"/>
        <v>45016</v>
      </c>
      <c r="J432" s="49">
        <f t="shared" ca="1" si="26"/>
        <v>341.83870967741933</v>
      </c>
      <c r="K432" s="45" cm="1">
        <f t="array" aca="1" ref="K432" ca="1">SUMPRODUCT((Table1[SubscriptionStart] &lt;= $A432) * (Table1[EffectiveEndDate] &gt;= $A432) * (Table1[Region] = "England"))</f>
        <v>79</v>
      </c>
      <c r="L432" s="45" cm="1">
        <f t="array" aca="1" ref="L432" ca="1">SUMPRODUCT((Table1[SubscriptionStart] &lt;= $A432) * (Table1[EffectiveEndDate] &gt;= $A432) * (Table1[Region] = "Scotland"))</f>
        <v>71</v>
      </c>
      <c r="M432" s="45" cm="1">
        <f t="array" aca="1" ref="M432" ca="1">SUMPRODUCT((Table1[SubscriptionStart] &lt;= $A432) * (Table1[EffectiveEndDate] &gt;= $A432) * (Table1[Region] = "Wales"))</f>
        <v>91</v>
      </c>
      <c r="N432" s="45" cm="1">
        <f t="array" aca="1" ref="N432" ca="1">SUMPRODUCT((Table1[SubscriptionStart] &lt;= $A432) * (Table1[EffectiveEndDate] &gt;= $A432) * (Table1[Region] = "Northern Ireland"))</f>
        <v>95</v>
      </c>
      <c r="O432" s="45" cm="1">
        <f t="array" aca="1" ref="O432" ca="1">SUMPRODUCT((Table1[Gender]="Male")*(Table1[SubscriptionStart]&lt;=A432)*(Table1[EffectiveEndDate]&gt;=A432))</f>
        <v>184</v>
      </c>
      <c r="P432" s="45" cm="1">
        <f t="array" aca="1" ref="P432" ca="1">SUMPRODUCT((Table1[Gender]="Female")*(Table1[SubscriptionStart]&lt;=A432)*(Table1[EffectiveEndDate]&gt;=A432))</f>
        <v>152</v>
      </c>
    </row>
    <row r="433" spans="1:16">
      <c r="A433" s="48">
        <f t="shared" si="27"/>
        <v>44993</v>
      </c>
      <c r="B433" s="45" cm="1">
        <f t="array" aca="1" ref="B433" ca="1">SUMPRODUCT((Table1[SubscriptionStart]&lt;=A433)*(Table1[EffectiveEndDate]&gt;=A433))</f>
        <v>336</v>
      </c>
      <c r="C433" s="45">
        <f>COUNTIFS(Table1[SubscriptionStart], A433)</f>
        <v>1</v>
      </c>
      <c r="D433" s="45">
        <f>COUNTIFS(Table1[CancellationDate], A433)</f>
        <v>1</v>
      </c>
      <c r="E433" s="45">
        <f t="shared" si="24"/>
        <v>0</v>
      </c>
      <c r="F433" s="45">
        <f>SUM($C$2:C433)</f>
        <v>456</v>
      </c>
      <c r="G433" s="49" cm="1">
        <f t="array" aca="1" ref="G433" ca="1">IF(B433=0,"", SUMPRODUCT((Table1[SubscriptionStart]&lt;=A433)*(Table1[EffectiveEndDate]&gt;=A433)*Table1[Age]) / B433 )</f>
        <v>46.758928571428569</v>
      </c>
      <c r="H433" s="22">
        <f>SUMIF(Table1[SubscriptionStart],"&lt;="&amp;A433,Table1[TotalRevenue])</f>
        <v>96882.100000000079</v>
      </c>
      <c r="I433" s="50">
        <f t="shared" si="25"/>
        <v>45016</v>
      </c>
      <c r="J433" s="49">
        <f t="shared" ca="1" si="26"/>
        <v>341.83870967741933</v>
      </c>
      <c r="K433" s="45" cm="1">
        <f t="array" aca="1" ref="K433" ca="1">SUMPRODUCT((Table1[SubscriptionStart] &lt;= $A433) * (Table1[EffectiveEndDate] &gt;= $A433) * (Table1[Region] = "England"))</f>
        <v>80</v>
      </c>
      <c r="L433" s="45" cm="1">
        <f t="array" aca="1" ref="L433" ca="1">SUMPRODUCT((Table1[SubscriptionStart] &lt;= $A433) * (Table1[EffectiveEndDate] &gt;= $A433) * (Table1[Region] = "Scotland"))</f>
        <v>70</v>
      </c>
      <c r="M433" s="45" cm="1">
        <f t="array" aca="1" ref="M433" ca="1">SUMPRODUCT((Table1[SubscriptionStart] &lt;= $A433) * (Table1[EffectiveEndDate] &gt;= $A433) * (Table1[Region] = "Wales"))</f>
        <v>91</v>
      </c>
      <c r="N433" s="45" cm="1">
        <f t="array" aca="1" ref="N433" ca="1">SUMPRODUCT((Table1[SubscriptionStart] &lt;= $A433) * (Table1[EffectiveEndDate] &gt;= $A433) * (Table1[Region] = "Northern Ireland"))</f>
        <v>95</v>
      </c>
      <c r="O433" s="45" cm="1">
        <f t="array" aca="1" ref="O433" ca="1">SUMPRODUCT((Table1[Gender]="Male")*(Table1[SubscriptionStart]&lt;=A433)*(Table1[EffectiveEndDate]&gt;=A433))</f>
        <v>184</v>
      </c>
      <c r="P433" s="45" cm="1">
        <f t="array" aca="1" ref="P433" ca="1">SUMPRODUCT((Table1[Gender]="Female")*(Table1[SubscriptionStart]&lt;=A433)*(Table1[EffectiveEndDate]&gt;=A433))</f>
        <v>152</v>
      </c>
    </row>
    <row r="434" spans="1:16">
      <c r="A434" s="48">
        <f t="shared" si="27"/>
        <v>44994</v>
      </c>
      <c r="B434" s="45" cm="1">
        <f t="array" aca="1" ref="B434" ca="1">SUMPRODUCT((Table1[SubscriptionStart]&lt;=A434)*(Table1[EffectiveEndDate]&gt;=A434))</f>
        <v>337</v>
      </c>
      <c r="C434" s="45">
        <f>COUNTIFS(Table1[SubscriptionStart], A434)</f>
        <v>2</v>
      </c>
      <c r="D434" s="45">
        <f>COUNTIFS(Table1[CancellationDate], A434)</f>
        <v>1</v>
      </c>
      <c r="E434" s="45">
        <f t="shared" si="24"/>
        <v>1</v>
      </c>
      <c r="F434" s="45">
        <f>SUM($C$2:C434)</f>
        <v>458</v>
      </c>
      <c r="G434" s="49" cm="1">
        <f t="array" aca="1" ref="G434" ca="1">IF(B434=0,"", SUMPRODUCT((Table1[SubscriptionStart]&lt;=A434)*(Table1[EffectiveEndDate]&gt;=A434)*Table1[Age]) / B434 )</f>
        <v>46.804154302670625</v>
      </c>
      <c r="H434" s="22">
        <f>SUMIF(Table1[SubscriptionStart],"&lt;="&amp;A434,Table1[TotalRevenue])</f>
        <v>97299.700000000084</v>
      </c>
      <c r="I434" s="50">
        <f t="shared" si="25"/>
        <v>45016</v>
      </c>
      <c r="J434" s="49">
        <f t="shared" ca="1" si="26"/>
        <v>341.83870967741933</v>
      </c>
      <c r="K434" s="45" cm="1">
        <f t="array" aca="1" ref="K434" ca="1">SUMPRODUCT((Table1[SubscriptionStart] &lt;= $A434) * (Table1[EffectiveEndDate] &gt;= $A434) * (Table1[Region] = "England"))</f>
        <v>81</v>
      </c>
      <c r="L434" s="45" cm="1">
        <f t="array" aca="1" ref="L434" ca="1">SUMPRODUCT((Table1[SubscriptionStart] &lt;= $A434) * (Table1[EffectiveEndDate] &gt;= $A434) * (Table1[Region] = "Scotland"))</f>
        <v>69</v>
      </c>
      <c r="M434" s="45" cm="1">
        <f t="array" aca="1" ref="M434" ca="1">SUMPRODUCT((Table1[SubscriptionStart] &lt;= $A434) * (Table1[EffectiveEndDate] &gt;= $A434) * (Table1[Region] = "Wales"))</f>
        <v>92</v>
      </c>
      <c r="N434" s="45" cm="1">
        <f t="array" aca="1" ref="N434" ca="1">SUMPRODUCT((Table1[SubscriptionStart] &lt;= $A434) * (Table1[EffectiveEndDate] &gt;= $A434) * (Table1[Region] = "Northern Ireland"))</f>
        <v>95</v>
      </c>
      <c r="O434" s="45" cm="1">
        <f t="array" aca="1" ref="O434" ca="1">SUMPRODUCT((Table1[Gender]="Male")*(Table1[SubscriptionStart]&lt;=A434)*(Table1[EffectiveEndDate]&gt;=A434))</f>
        <v>185</v>
      </c>
      <c r="P434" s="45" cm="1">
        <f t="array" aca="1" ref="P434" ca="1">SUMPRODUCT((Table1[Gender]="Female")*(Table1[SubscriptionStart]&lt;=A434)*(Table1[EffectiveEndDate]&gt;=A434))</f>
        <v>152</v>
      </c>
    </row>
    <row r="435" spans="1:16">
      <c r="A435" s="48">
        <f t="shared" si="27"/>
        <v>44995</v>
      </c>
      <c r="B435" s="45" cm="1">
        <f t="array" aca="1" ref="B435" ca="1">SUMPRODUCT((Table1[SubscriptionStart]&lt;=A435)*(Table1[EffectiveEndDate]&gt;=A435))</f>
        <v>337</v>
      </c>
      <c r="C435" s="45">
        <f>COUNTIFS(Table1[SubscriptionStart], A435)</f>
        <v>1</v>
      </c>
      <c r="D435" s="45">
        <f>COUNTIFS(Table1[CancellationDate], A435)</f>
        <v>1</v>
      </c>
      <c r="E435" s="45">
        <f t="shared" si="24"/>
        <v>0</v>
      </c>
      <c r="F435" s="45">
        <f>SUM($C$2:C435)</f>
        <v>459</v>
      </c>
      <c r="G435" s="49" cm="1">
        <f t="array" aca="1" ref="G435" ca="1">IF(B435=0,"", SUMPRODUCT((Table1[SubscriptionStart]&lt;=A435)*(Table1[EffectiveEndDate]&gt;=A435)*Table1[Age]) / B435 )</f>
        <v>46.801186943620181</v>
      </c>
      <c r="H435" s="22">
        <f>SUMIF(Table1[SubscriptionStart],"&lt;="&amp;A435,Table1[TotalRevenue])</f>
        <v>97299.700000000084</v>
      </c>
      <c r="I435" s="50">
        <f t="shared" si="25"/>
        <v>45016</v>
      </c>
      <c r="J435" s="49">
        <f t="shared" ca="1" si="26"/>
        <v>341.83870967741933</v>
      </c>
      <c r="K435" s="45" cm="1">
        <f t="array" aca="1" ref="K435" ca="1">SUMPRODUCT((Table1[SubscriptionStart] &lt;= $A435) * (Table1[EffectiveEndDate] &gt;= $A435) * (Table1[Region] = "England"))</f>
        <v>81</v>
      </c>
      <c r="L435" s="45" cm="1">
        <f t="array" aca="1" ref="L435" ca="1">SUMPRODUCT((Table1[SubscriptionStart] &lt;= $A435) * (Table1[EffectiveEndDate] &gt;= $A435) * (Table1[Region] = "Scotland"))</f>
        <v>69</v>
      </c>
      <c r="M435" s="45" cm="1">
        <f t="array" aca="1" ref="M435" ca="1">SUMPRODUCT((Table1[SubscriptionStart] &lt;= $A435) * (Table1[EffectiveEndDate] &gt;= $A435) * (Table1[Region] = "Wales"))</f>
        <v>92</v>
      </c>
      <c r="N435" s="45" cm="1">
        <f t="array" aca="1" ref="N435" ca="1">SUMPRODUCT((Table1[SubscriptionStart] &lt;= $A435) * (Table1[EffectiveEndDate] &gt;= $A435) * (Table1[Region] = "Northern Ireland"))</f>
        <v>95</v>
      </c>
      <c r="O435" s="45" cm="1">
        <f t="array" aca="1" ref="O435" ca="1">SUMPRODUCT((Table1[Gender]="Male")*(Table1[SubscriptionStart]&lt;=A435)*(Table1[EffectiveEndDate]&gt;=A435))</f>
        <v>186</v>
      </c>
      <c r="P435" s="45" cm="1">
        <f t="array" aca="1" ref="P435" ca="1">SUMPRODUCT((Table1[Gender]="Female")*(Table1[SubscriptionStart]&lt;=A435)*(Table1[EffectiveEndDate]&gt;=A435))</f>
        <v>151</v>
      </c>
    </row>
    <row r="436" spans="1:16">
      <c r="A436" s="48">
        <f t="shared" si="27"/>
        <v>44996</v>
      </c>
      <c r="B436" s="45" cm="1">
        <f t="array" aca="1" ref="B436" ca="1">SUMPRODUCT((Table1[SubscriptionStart]&lt;=A436)*(Table1[EffectiveEndDate]&gt;=A436))</f>
        <v>339</v>
      </c>
      <c r="C436" s="45">
        <f>COUNTIFS(Table1[SubscriptionStart], A436)</f>
        <v>3</v>
      </c>
      <c r="D436" s="45">
        <f>COUNTIFS(Table1[CancellationDate], A436)</f>
        <v>0</v>
      </c>
      <c r="E436" s="45">
        <f t="shared" si="24"/>
        <v>3</v>
      </c>
      <c r="F436" s="45">
        <f>SUM($C$2:C436)</f>
        <v>462</v>
      </c>
      <c r="G436" s="49" cm="1">
        <f t="array" aca="1" ref="G436" ca="1">IF(B436=0,"", SUMPRODUCT((Table1[SubscriptionStart]&lt;=A436)*(Table1[EffectiveEndDate]&gt;=A436)*Table1[Age]) / B436 )</f>
        <v>46.769911504424776</v>
      </c>
      <c r="H436" s="22">
        <f>SUMIF(Table1[SubscriptionStart],"&lt;="&amp;A436,Table1[TotalRevenue])</f>
        <v>97649.80000000009</v>
      </c>
      <c r="I436" s="50">
        <f t="shared" si="25"/>
        <v>45016</v>
      </c>
      <c r="J436" s="49">
        <f t="shared" ca="1" si="26"/>
        <v>341.83870967741933</v>
      </c>
      <c r="K436" s="45" cm="1">
        <f t="array" aca="1" ref="K436" ca="1">SUMPRODUCT((Table1[SubscriptionStart] &lt;= $A436) * (Table1[EffectiveEndDate] &gt;= $A436) * (Table1[Region] = "England"))</f>
        <v>83</v>
      </c>
      <c r="L436" s="45" cm="1">
        <f t="array" aca="1" ref="L436" ca="1">SUMPRODUCT((Table1[SubscriptionStart] &lt;= $A436) * (Table1[EffectiveEndDate] &gt;= $A436) * (Table1[Region] = "Scotland"))</f>
        <v>69</v>
      </c>
      <c r="M436" s="45" cm="1">
        <f t="array" aca="1" ref="M436" ca="1">SUMPRODUCT((Table1[SubscriptionStart] &lt;= $A436) * (Table1[EffectiveEndDate] &gt;= $A436) * (Table1[Region] = "Wales"))</f>
        <v>92</v>
      </c>
      <c r="N436" s="45" cm="1">
        <f t="array" aca="1" ref="N436" ca="1">SUMPRODUCT((Table1[SubscriptionStart] &lt;= $A436) * (Table1[EffectiveEndDate] &gt;= $A436) * (Table1[Region] = "Northern Ireland"))</f>
        <v>95</v>
      </c>
      <c r="O436" s="45" cm="1">
        <f t="array" aca="1" ref="O436" ca="1">SUMPRODUCT((Table1[Gender]="Male")*(Table1[SubscriptionStart]&lt;=A436)*(Table1[EffectiveEndDate]&gt;=A436))</f>
        <v>187</v>
      </c>
      <c r="P436" s="45" cm="1">
        <f t="array" aca="1" ref="P436" ca="1">SUMPRODUCT((Table1[Gender]="Female")*(Table1[SubscriptionStart]&lt;=A436)*(Table1[EffectiveEndDate]&gt;=A436))</f>
        <v>152</v>
      </c>
    </row>
    <row r="437" spans="1:16">
      <c r="A437" s="48">
        <f t="shared" si="27"/>
        <v>44997</v>
      </c>
      <c r="B437" s="45" cm="1">
        <f t="array" aca="1" ref="B437" ca="1">SUMPRODUCT((Table1[SubscriptionStart]&lt;=A437)*(Table1[EffectiveEndDate]&gt;=A437))</f>
        <v>342</v>
      </c>
      <c r="C437" s="45">
        <f>COUNTIFS(Table1[SubscriptionStart], A437)</f>
        <v>3</v>
      </c>
      <c r="D437" s="45">
        <f>COUNTIFS(Table1[CancellationDate], A437)</f>
        <v>0</v>
      </c>
      <c r="E437" s="45">
        <f t="shared" si="24"/>
        <v>3</v>
      </c>
      <c r="F437" s="45">
        <f>SUM($C$2:C437)</f>
        <v>465</v>
      </c>
      <c r="G437" s="49" cm="1">
        <f t="array" aca="1" ref="G437" ca="1">IF(B437=0,"", SUMPRODUCT((Table1[SubscriptionStart]&lt;=A437)*(Table1[EffectiveEndDate]&gt;=A437)*Table1[Age]) / B437 )</f>
        <v>46.815789473684212</v>
      </c>
      <c r="H437" s="22">
        <f>SUMIF(Table1[SubscriptionStart],"&lt;="&amp;A437,Table1[TotalRevenue])</f>
        <v>98591.400000000096</v>
      </c>
      <c r="I437" s="50">
        <f t="shared" si="25"/>
        <v>45016</v>
      </c>
      <c r="J437" s="49">
        <f t="shared" ca="1" si="26"/>
        <v>341.83870967741933</v>
      </c>
      <c r="K437" s="45" cm="1">
        <f t="array" aca="1" ref="K437" ca="1">SUMPRODUCT((Table1[SubscriptionStart] &lt;= $A437) * (Table1[EffectiveEndDate] &gt;= $A437) * (Table1[Region] = "England"))</f>
        <v>83</v>
      </c>
      <c r="L437" s="45" cm="1">
        <f t="array" aca="1" ref="L437" ca="1">SUMPRODUCT((Table1[SubscriptionStart] &lt;= $A437) * (Table1[EffectiveEndDate] &gt;= $A437) * (Table1[Region] = "Scotland"))</f>
        <v>69</v>
      </c>
      <c r="M437" s="45" cm="1">
        <f t="array" aca="1" ref="M437" ca="1">SUMPRODUCT((Table1[SubscriptionStart] &lt;= $A437) * (Table1[EffectiveEndDate] &gt;= $A437) * (Table1[Region] = "Wales"))</f>
        <v>93</v>
      </c>
      <c r="N437" s="45" cm="1">
        <f t="array" aca="1" ref="N437" ca="1">SUMPRODUCT((Table1[SubscriptionStart] &lt;= $A437) * (Table1[EffectiveEndDate] &gt;= $A437) * (Table1[Region] = "Northern Ireland"))</f>
        <v>97</v>
      </c>
      <c r="O437" s="45" cm="1">
        <f t="array" aca="1" ref="O437" ca="1">SUMPRODUCT((Table1[Gender]="Male")*(Table1[SubscriptionStart]&lt;=A437)*(Table1[EffectiveEndDate]&gt;=A437))</f>
        <v>189</v>
      </c>
      <c r="P437" s="45" cm="1">
        <f t="array" aca="1" ref="P437" ca="1">SUMPRODUCT((Table1[Gender]="Female")*(Table1[SubscriptionStart]&lt;=A437)*(Table1[EffectiveEndDate]&gt;=A437))</f>
        <v>153</v>
      </c>
    </row>
    <row r="438" spans="1:16">
      <c r="A438" s="48">
        <f t="shared" si="27"/>
        <v>44998</v>
      </c>
      <c r="B438" s="45" cm="1">
        <f t="array" aca="1" ref="B438" ca="1">SUMPRODUCT((Table1[SubscriptionStart]&lt;=A438)*(Table1[EffectiveEndDate]&gt;=A438))</f>
        <v>343</v>
      </c>
      <c r="C438" s="45">
        <f>COUNTIFS(Table1[SubscriptionStart], A438)</f>
        <v>1</v>
      </c>
      <c r="D438" s="45">
        <f>COUNTIFS(Table1[CancellationDate], A438)</f>
        <v>2</v>
      </c>
      <c r="E438" s="45">
        <f t="shared" si="24"/>
        <v>-1</v>
      </c>
      <c r="F438" s="45">
        <f>SUM($C$2:C438)</f>
        <v>466</v>
      </c>
      <c r="G438" s="49" cm="1">
        <f t="array" aca="1" ref="G438" ca="1">IF(B438=0,"", SUMPRODUCT((Table1[SubscriptionStart]&lt;=A438)*(Table1[EffectiveEndDate]&gt;=A438)*Table1[Age]) / B438 )</f>
        <v>46.827988338192419</v>
      </c>
      <c r="H438" s="22">
        <f>SUMIF(Table1[SubscriptionStart],"&lt;="&amp;A438,Table1[TotalRevenue])</f>
        <v>98663.400000000096</v>
      </c>
      <c r="I438" s="50">
        <f t="shared" si="25"/>
        <v>45016</v>
      </c>
      <c r="J438" s="49">
        <f t="shared" ca="1" si="26"/>
        <v>341.83870967741933</v>
      </c>
      <c r="K438" s="45" cm="1">
        <f t="array" aca="1" ref="K438" ca="1">SUMPRODUCT((Table1[SubscriptionStart] &lt;= $A438) * (Table1[EffectiveEndDate] &gt;= $A438) * (Table1[Region] = "England"))</f>
        <v>83</v>
      </c>
      <c r="L438" s="45" cm="1">
        <f t="array" aca="1" ref="L438" ca="1">SUMPRODUCT((Table1[SubscriptionStart] &lt;= $A438) * (Table1[EffectiveEndDate] &gt;= $A438) * (Table1[Region] = "Scotland"))</f>
        <v>69</v>
      </c>
      <c r="M438" s="45" cm="1">
        <f t="array" aca="1" ref="M438" ca="1">SUMPRODUCT((Table1[SubscriptionStart] &lt;= $A438) * (Table1[EffectiveEndDate] &gt;= $A438) * (Table1[Region] = "Wales"))</f>
        <v>94</v>
      </c>
      <c r="N438" s="45" cm="1">
        <f t="array" aca="1" ref="N438" ca="1">SUMPRODUCT((Table1[SubscriptionStart] &lt;= $A438) * (Table1[EffectiveEndDate] &gt;= $A438) * (Table1[Region] = "Northern Ireland"))</f>
        <v>97</v>
      </c>
      <c r="O438" s="45" cm="1">
        <f t="array" aca="1" ref="O438" ca="1">SUMPRODUCT((Table1[Gender]="Male")*(Table1[SubscriptionStart]&lt;=A438)*(Table1[EffectiveEndDate]&gt;=A438))</f>
        <v>189</v>
      </c>
      <c r="P438" s="45" cm="1">
        <f t="array" aca="1" ref="P438" ca="1">SUMPRODUCT((Table1[Gender]="Female")*(Table1[SubscriptionStart]&lt;=A438)*(Table1[EffectiveEndDate]&gt;=A438))</f>
        <v>154</v>
      </c>
    </row>
    <row r="439" spans="1:16">
      <c r="A439" s="48">
        <f t="shared" si="27"/>
        <v>44999</v>
      </c>
      <c r="B439" s="45" cm="1">
        <f t="array" aca="1" ref="B439" ca="1">SUMPRODUCT((Table1[SubscriptionStart]&lt;=A439)*(Table1[EffectiveEndDate]&gt;=A439))</f>
        <v>342</v>
      </c>
      <c r="C439" s="45">
        <f>COUNTIFS(Table1[SubscriptionStart], A439)</f>
        <v>1</v>
      </c>
      <c r="D439" s="45">
        <f>COUNTIFS(Table1[CancellationDate], A439)</f>
        <v>0</v>
      </c>
      <c r="E439" s="45">
        <f t="shared" si="24"/>
        <v>1</v>
      </c>
      <c r="F439" s="45">
        <f>SUM($C$2:C439)</f>
        <v>467</v>
      </c>
      <c r="G439" s="49" cm="1">
        <f t="array" aca="1" ref="G439" ca="1">IF(B439=0,"", SUMPRODUCT((Table1[SubscriptionStart]&lt;=A439)*(Table1[EffectiveEndDate]&gt;=A439)*Table1[Age]) / B439 )</f>
        <v>46.888888888888886</v>
      </c>
      <c r="H439" s="22">
        <f>SUMIF(Table1[SubscriptionStart],"&lt;="&amp;A439,Table1[TotalRevenue])</f>
        <v>98663.400000000096</v>
      </c>
      <c r="I439" s="50">
        <f t="shared" si="25"/>
        <v>45016</v>
      </c>
      <c r="J439" s="49">
        <f t="shared" ca="1" si="26"/>
        <v>341.83870967741933</v>
      </c>
      <c r="K439" s="45" cm="1">
        <f t="array" aca="1" ref="K439" ca="1">SUMPRODUCT((Table1[SubscriptionStart] &lt;= $A439) * (Table1[EffectiveEndDate] &gt;= $A439) * (Table1[Region] = "England"))</f>
        <v>83</v>
      </c>
      <c r="L439" s="45" cm="1">
        <f t="array" aca="1" ref="L439" ca="1">SUMPRODUCT((Table1[SubscriptionStart] &lt;= $A439) * (Table1[EffectiveEndDate] &gt;= $A439) * (Table1[Region] = "Scotland"))</f>
        <v>69</v>
      </c>
      <c r="M439" s="45" cm="1">
        <f t="array" aca="1" ref="M439" ca="1">SUMPRODUCT((Table1[SubscriptionStart] &lt;= $A439) * (Table1[EffectiveEndDate] &gt;= $A439) * (Table1[Region] = "Wales"))</f>
        <v>94</v>
      </c>
      <c r="N439" s="45" cm="1">
        <f t="array" aca="1" ref="N439" ca="1">SUMPRODUCT((Table1[SubscriptionStart] &lt;= $A439) * (Table1[EffectiveEndDate] &gt;= $A439) * (Table1[Region] = "Northern Ireland"))</f>
        <v>96</v>
      </c>
      <c r="O439" s="45" cm="1">
        <f t="array" aca="1" ref="O439" ca="1">SUMPRODUCT((Table1[Gender]="Male")*(Table1[SubscriptionStart]&lt;=A439)*(Table1[EffectiveEndDate]&gt;=A439))</f>
        <v>187</v>
      </c>
      <c r="P439" s="45" cm="1">
        <f t="array" aca="1" ref="P439" ca="1">SUMPRODUCT((Table1[Gender]="Female")*(Table1[SubscriptionStart]&lt;=A439)*(Table1[EffectiveEndDate]&gt;=A439))</f>
        <v>155</v>
      </c>
    </row>
    <row r="440" spans="1:16">
      <c r="A440" s="48">
        <f t="shared" si="27"/>
        <v>45000</v>
      </c>
      <c r="B440" s="45" cm="1">
        <f t="array" aca="1" ref="B440" ca="1">SUMPRODUCT((Table1[SubscriptionStart]&lt;=A440)*(Table1[EffectiveEndDate]&gt;=A440))</f>
        <v>344</v>
      </c>
      <c r="C440" s="45">
        <f>COUNTIFS(Table1[SubscriptionStart], A440)</f>
        <v>2</v>
      </c>
      <c r="D440" s="45">
        <f>COUNTIFS(Table1[CancellationDate], A440)</f>
        <v>1</v>
      </c>
      <c r="E440" s="45">
        <f t="shared" si="24"/>
        <v>1</v>
      </c>
      <c r="F440" s="45">
        <f>SUM($C$2:C440)</f>
        <v>469</v>
      </c>
      <c r="G440" s="49" cm="1">
        <f t="array" aca="1" ref="G440" ca="1">IF(B440=0,"", SUMPRODUCT((Table1[SubscriptionStart]&lt;=A440)*(Table1[EffectiveEndDate]&gt;=A440)*Table1[Age]) / B440 )</f>
        <v>46.747093023255815</v>
      </c>
      <c r="H440" s="22">
        <f>SUMIF(Table1[SubscriptionStart],"&lt;="&amp;A440,Table1[TotalRevenue])</f>
        <v>98973.000000000102</v>
      </c>
      <c r="I440" s="50">
        <f t="shared" si="25"/>
        <v>45016</v>
      </c>
      <c r="J440" s="49">
        <f t="shared" ca="1" si="26"/>
        <v>341.83870967741933</v>
      </c>
      <c r="K440" s="45" cm="1">
        <f t="array" aca="1" ref="K440" ca="1">SUMPRODUCT((Table1[SubscriptionStart] &lt;= $A440) * (Table1[EffectiveEndDate] &gt;= $A440) * (Table1[Region] = "England"))</f>
        <v>84</v>
      </c>
      <c r="L440" s="45" cm="1">
        <f t="array" aca="1" ref="L440" ca="1">SUMPRODUCT((Table1[SubscriptionStart] &lt;= $A440) * (Table1[EffectiveEndDate] &gt;= $A440) * (Table1[Region] = "Scotland"))</f>
        <v>69</v>
      </c>
      <c r="M440" s="45" cm="1">
        <f t="array" aca="1" ref="M440" ca="1">SUMPRODUCT((Table1[SubscriptionStart] &lt;= $A440) * (Table1[EffectiveEndDate] &gt;= $A440) * (Table1[Region] = "Wales"))</f>
        <v>95</v>
      </c>
      <c r="N440" s="45" cm="1">
        <f t="array" aca="1" ref="N440" ca="1">SUMPRODUCT((Table1[SubscriptionStart] &lt;= $A440) * (Table1[EffectiveEndDate] &gt;= $A440) * (Table1[Region] = "Northern Ireland"))</f>
        <v>96</v>
      </c>
      <c r="O440" s="45" cm="1">
        <f t="array" aca="1" ref="O440" ca="1">SUMPRODUCT((Table1[Gender]="Male")*(Table1[SubscriptionStart]&lt;=A440)*(Table1[EffectiveEndDate]&gt;=A440))</f>
        <v>188</v>
      </c>
      <c r="P440" s="45" cm="1">
        <f t="array" aca="1" ref="P440" ca="1">SUMPRODUCT((Table1[Gender]="Female")*(Table1[SubscriptionStart]&lt;=A440)*(Table1[EffectiveEndDate]&gt;=A440))</f>
        <v>156</v>
      </c>
    </row>
    <row r="441" spans="1:16">
      <c r="A441" s="48">
        <f t="shared" si="27"/>
        <v>45001</v>
      </c>
      <c r="B441" s="45" cm="1">
        <f t="array" aca="1" ref="B441" ca="1">SUMPRODUCT((Table1[SubscriptionStart]&lt;=A441)*(Table1[EffectiveEndDate]&gt;=A441))</f>
        <v>344</v>
      </c>
      <c r="C441" s="45">
        <f>COUNTIFS(Table1[SubscriptionStart], A441)</f>
        <v>1</v>
      </c>
      <c r="D441" s="45">
        <f>COUNTIFS(Table1[CancellationDate], A441)</f>
        <v>0</v>
      </c>
      <c r="E441" s="45">
        <f t="shared" si="24"/>
        <v>1</v>
      </c>
      <c r="F441" s="45">
        <f>SUM($C$2:C441)</f>
        <v>470</v>
      </c>
      <c r="G441" s="49" cm="1">
        <f t="array" aca="1" ref="G441" ca="1">IF(B441=0,"", SUMPRODUCT((Table1[SubscriptionStart]&lt;=A441)*(Table1[EffectiveEndDate]&gt;=A441)*Table1[Age]) / B441 )</f>
        <v>46.72674418604651</v>
      </c>
      <c r="H441" s="22">
        <f>SUMIF(Table1[SubscriptionStart],"&lt;="&amp;A441,Table1[TotalRevenue])</f>
        <v>99013.500000000102</v>
      </c>
      <c r="I441" s="50">
        <f t="shared" si="25"/>
        <v>45016</v>
      </c>
      <c r="J441" s="49">
        <f t="shared" ca="1" si="26"/>
        <v>341.83870967741933</v>
      </c>
      <c r="K441" s="45" cm="1">
        <f t="array" aca="1" ref="K441" ca="1">SUMPRODUCT((Table1[SubscriptionStart] &lt;= $A441) * (Table1[EffectiveEndDate] &gt;= $A441) * (Table1[Region] = "England"))</f>
        <v>85</v>
      </c>
      <c r="L441" s="45" cm="1">
        <f t="array" aca="1" ref="L441" ca="1">SUMPRODUCT((Table1[SubscriptionStart] &lt;= $A441) * (Table1[EffectiveEndDate] &gt;= $A441) * (Table1[Region] = "Scotland"))</f>
        <v>69</v>
      </c>
      <c r="M441" s="45" cm="1">
        <f t="array" aca="1" ref="M441" ca="1">SUMPRODUCT((Table1[SubscriptionStart] &lt;= $A441) * (Table1[EffectiveEndDate] &gt;= $A441) * (Table1[Region] = "Wales"))</f>
        <v>94</v>
      </c>
      <c r="N441" s="45" cm="1">
        <f t="array" aca="1" ref="N441" ca="1">SUMPRODUCT((Table1[SubscriptionStart] &lt;= $A441) * (Table1[EffectiveEndDate] &gt;= $A441) * (Table1[Region] = "Northern Ireland"))</f>
        <v>96</v>
      </c>
      <c r="O441" s="45" cm="1">
        <f t="array" aca="1" ref="O441" ca="1">SUMPRODUCT((Table1[Gender]="Male")*(Table1[SubscriptionStart]&lt;=A441)*(Table1[EffectiveEndDate]&gt;=A441))</f>
        <v>188</v>
      </c>
      <c r="P441" s="45" cm="1">
        <f t="array" aca="1" ref="P441" ca="1">SUMPRODUCT((Table1[Gender]="Female")*(Table1[SubscriptionStart]&lt;=A441)*(Table1[EffectiveEndDate]&gt;=A441))</f>
        <v>156</v>
      </c>
    </row>
    <row r="442" spans="1:16">
      <c r="A442" s="48">
        <f t="shared" si="27"/>
        <v>45002</v>
      </c>
      <c r="B442" s="45" cm="1">
        <f t="array" aca="1" ref="B442" ca="1">SUMPRODUCT((Table1[SubscriptionStart]&lt;=A442)*(Table1[EffectiveEndDate]&gt;=A442))</f>
        <v>344</v>
      </c>
      <c r="C442" s="45">
        <f>COUNTIFS(Table1[SubscriptionStart], A442)</f>
        <v>0</v>
      </c>
      <c r="D442" s="45">
        <f>COUNTIFS(Table1[CancellationDate], A442)</f>
        <v>1</v>
      </c>
      <c r="E442" s="45">
        <f t="shared" si="24"/>
        <v>-1</v>
      </c>
      <c r="F442" s="45">
        <f>SUM($C$2:C442)</f>
        <v>470</v>
      </c>
      <c r="G442" s="49" cm="1">
        <f t="array" aca="1" ref="G442" ca="1">IF(B442=0,"", SUMPRODUCT((Table1[SubscriptionStart]&lt;=A442)*(Table1[EffectiveEndDate]&gt;=A442)*Table1[Age]) / B442 )</f>
        <v>46.72674418604651</v>
      </c>
      <c r="H442" s="22">
        <f>SUMIF(Table1[SubscriptionStart],"&lt;="&amp;A442,Table1[TotalRevenue])</f>
        <v>99013.500000000102</v>
      </c>
      <c r="I442" s="50">
        <f t="shared" si="25"/>
        <v>45016</v>
      </c>
      <c r="J442" s="49">
        <f t="shared" ca="1" si="26"/>
        <v>341.83870967741933</v>
      </c>
      <c r="K442" s="45" cm="1">
        <f t="array" aca="1" ref="K442" ca="1">SUMPRODUCT((Table1[SubscriptionStart] &lt;= $A442) * (Table1[EffectiveEndDate] &gt;= $A442) * (Table1[Region] = "England"))</f>
        <v>85</v>
      </c>
      <c r="L442" s="45" cm="1">
        <f t="array" aca="1" ref="L442" ca="1">SUMPRODUCT((Table1[SubscriptionStart] &lt;= $A442) * (Table1[EffectiveEndDate] &gt;= $A442) * (Table1[Region] = "Scotland"))</f>
        <v>69</v>
      </c>
      <c r="M442" s="45" cm="1">
        <f t="array" aca="1" ref="M442" ca="1">SUMPRODUCT((Table1[SubscriptionStart] &lt;= $A442) * (Table1[EffectiveEndDate] &gt;= $A442) * (Table1[Region] = "Wales"))</f>
        <v>94</v>
      </c>
      <c r="N442" s="45" cm="1">
        <f t="array" aca="1" ref="N442" ca="1">SUMPRODUCT((Table1[SubscriptionStart] &lt;= $A442) * (Table1[EffectiveEndDate] &gt;= $A442) * (Table1[Region] = "Northern Ireland"))</f>
        <v>96</v>
      </c>
      <c r="O442" s="45" cm="1">
        <f t="array" aca="1" ref="O442" ca="1">SUMPRODUCT((Table1[Gender]="Male")*(Table1[SubscriptionStart]&lt;=A442)*(Table1[EffectiveEndDate]&gt;=A442))</f>
        <v>188</v>
      </c>
      <c r="P442" s="45" cm="1">
        <f t="array" aca="1" ref="P442" ca="1">SUMPRODUCT((Table1[Gender]="Female")*(Table1[SubscriptionStart]&lt;=A442)*(Table1[EffectiveEndDate]&gt;=A442))</f>
        <v>156</v>
      </c>
    </row>
    <row r="443" spans="1:16">
      <c r="A443" s="48">
        <f t="shared" si="27"/>
        <v>45003</v>
      </c>
      <c r="B443" s="45" cm="1">
        <f t="array" aca="1" ref="B443" ca="1">SUMPRODUCT((Table1[SubscriptionStart]&lt;=A443)*(Table1[EffectiveEndDate]&gt;=A443))</f>
        <v>343</v>
      </c>
      <c r="C443" s="45">
        <f>COUNTIFS(Table1[SubscriptionStart], A443)</f>
        <v>0</v>
      </c>
      <c r="D443" s="45">
        <f>COUNTIFS(Table1[CancellationDate], A443)</f>
        <v>0</v>
      </c>
      <c r="E443" s="45">
        <f t="shared" si="24"/>
        <v>0</v>
      </c>
      <c r="F443" s="45">
        <f>SUM($C$2:C443)</f>
        <v>470</v>
      </c>
      <c r="G443" s="49" cm="1">
        <f t="array" aca="1" ref="G443" ca="1">IF(B443=0,"", SUMPRODUCT((Table1[SubscriptionStart]&lt;=A443)*(Table1[EffectiveEndDate]&gt;=A443)*Table1[Age]) / B443 )</f>
        <v>46.746355685131192</v>
      </c>
      <c r="H443" s="22">
        <f>SUMIF(Table1[SubscriptionStart],"&lt;="&amp;A443,Table1[TotalRevenue])</f>
        <v>99013.500000000102</v>
      </c>
      <c r="I443" s="50">
        <f t="shared" si="25"/>
        <v>45016</v>
      </c>
      <c r="J443" s="49">
        <f t="shared" ca="1" si="26"/>
        <v>341.83870967741933</v>
      </c>
      <c r="K443" s="45" cm="1">
        <f t="array" aca="1" ref="K443" ca="1">SUMPRODUCT((Table1[SubscriptionStart] &lt;= $A443) * (Table1[EffectiveEndDate] &gt;= $A443) * (Table1[Region] = "England"))</f>
        <v>85</v>
      </c>
      <c r="L443" s="45" cm="1">
        <f t="array" aca="1" ref="L443" ca="1">SUMPRODUCT((Table1[SubscriptionStart] &lt;= $A443) * (Table1[EffectiveEndDate] &gt;= $A443) * (Table1[Region] = "Scotland"))</f>
        <v>69</v>
      </c>
      <c r="M443" s="45" cm="1">
        <f t="array" aca="1" ref="M443" ca="1">SUMPRODUCT((Table1[SubscriptionStart] &lt;= $A443) * (Table1[EffectiveEndDate] &gt;= $A443) * (Table1[Region] = "Wales"))</f>
        <v>93</v>
      </c>
      <c r="N443" s="45" cm="1">
        <f t="array" aca="1" ref="N443" ca="1">SUMPRODUCT((Table1[SubscriptionStart] &lt;= $A443) * (Table1[EffectiveEndDate] &gt;= $A443) * (Table1[Region] = "Northern Ireland"))</f>
        <v>96</v>
      </c>
      <c r="O443" s="45" cm="1">
        <f t="array" aca="1" ref="O443" ca="1">SUMPRODUCT((Table1[Gender]="Male")*(Table1[SubscriptionStart]&lt;=A443)*(Table1[EffectiveEndDate]&gt;=A443))</f>
        <v>188</v>
      </c>
      <c r="P443" s="45" cm="1">
        <f t="array" aca="1" ref="P443" ca="1">SUMPRODUCT((Table1[Gender]="Female")*(Table1[SubscriptionStart]&lt;=A443)*(Table1[EffectiveEndDate]&gt;=A443))</f>
        <v>155</v>
      </c>
    </row>
    <row r="444" spans="1:16">
      <c r="A444" s="48">
        <f t="shared" si="27"/>
        <v>45004</v>
      </c>
      <c r="B444" s="45" cm="1">
        <f t="array" aca="1" ref="B444" ca="1">SUMPRODUCT((Table1[SubscriptionStart]&lt;=A444)*(Table1[EffectiveEndDate]&gt;=A444))</f>
        <v>343</v>
      </c>
      <c r="C444" s="45">
        <f>COUNTIFS(Table1[SubscriptionStart], A444)</f>
        <v>0</v>
      </c>
      <c r="D444" s="45">
        <f>COUNTIFS(Table1[CancellationDate], A444)</f>
        <v>1</v>
      </c>
      <c r="E444" s="45">
        <f t="shared" si="24"/>
        <v>-1</v>
      </c>
      <c r="F444" s="45">
        <f>SUM($C$2:C444)</f>
        <v>470</v>
      </c>
      <c r="G444" s="49" cm="1">
        <f t="array" aca="1" ref="G444" ca="1">IF(B444=0,"", SUMPRODUCT((Table1[SubscriptionStart]&lt;=A444)*(Table1[EffectiveEndDate]&gt;=A444)*Table1[Age]) / B444 )</f>
        <v>46.746355685131192</v>
      </c>
      <c r="H444" s="22">
        <f>SUMIF(Table1[SubscriptionStart],"&lt;="&amp;A444,Table1[TotalRevenue])</f>
        <v>99013.500000000102</v>
      </c>
      <c r="I444" s="50">
        <f t="shared" si="25"/>
        <v>45016</v>
      </c>
      <c r="J444" s="49">
        <f t="shared" ca="1" si="26"/>
        <v>341.83870967741933</v>
      </c>
      <c r="K444" s="45" cm="1">
        <f t="array" aca="1" ref="K444" ca="1">SUMPRODUCT((Table1[SubscriptionStart] &lt;= $A444) * (Table1[EffectiveEndDate] &gt;= $A444) * (Table1[Region] = "England"))</f>
        <v>85</v>
      </c>
      <c r="L444" s="45" cm="1">
        <f t="array" aca="1" ref="L444" ca="1">SUMPRODUCT((Table1[SubscriptionStart] &lt;= $A444) * (Table1[EffectiveEndDate] &gt;= $A444) * (Table1[Region] = "Scotland"))</f>
        <v>69</v>
      </c>
      <c r="M444" s="45" cm="1">
        <f t="array" aca="1" ref="M444" ca="1">SUMPRODUCT((Table1[SubscriptionStart] &lt;= $A444) * (Table1[EffectiveEndDate] &gt;= $A444) * (Table1[Region] = "Wales"))</f>
        <v>93</v>
      </c>
      <c r="N444" s="45" cm="1">
        <f t="array" aca="1" ref="N444" ca="1">SUMPRODUCT((Table1[SubscriptionStart] &lt;= $A444) * (Table1[EffectiveEndDate] &gt;= $A444) * (Table1[Region] = "Northern Ireland"))</f>
        <v>96</v>
      </c>
      <c r="O444" s="45" cm="1">
        <f t="array" aca="1" ref="O444" ca="1">SUMPRODUCT((Table1[Gender]="Male")*(Table1[SubscriptionStart]&lt;=A444)*(Table1[EffectiveEndDate]&gt;=A444))</f>
        <v>188</v>
      </c>
      <c r="P444" s="45" cm="1">
        <f t="array" aca="1" ref="P444" ca="1">SUMPRODUCT((Table1[Gender]="Female")*(Table1[SubscriptionStart]&lt;=A444)*(Table1[EffectiveEndDate]&gt;=A444))</f>
        <v>155</v>
      </c>
    </row>
    <row r="445" spans="1:16">
      <c r="A445" s="48">
        <f t="shared" si="27"/>
        <v>45005</v>
      </c>
      <c r="B445" s="45" cm="1">
        <f t="array" aca="1" ref="B445" ca="1">SUMPRODUCT((Table1[SubscriptionStart]&lt;=A445)*(Table1[EffectiveEndDate]&gt;=A445))</f>
        <v>346</v>
      </c>
      <c r="C445" s="45">
        <f>COUNTIFS(Table1[SubscriptionStart], A445)</f>
        <v>4</v>
      </c>
      <c r="D445" s="45">
        <f>COUNTIFS(Table1[CancellationDate], A445)</f>
        <v>0</v>
      </c>
      <c r="E445" s="45">
        <f t="shared" si="24"/>
        <v>4</v>
      </c>
      <c r="F445" s="45">
        <f>SUM($C$2:C445)</f>
        <v>474</v>
      </c>
      <c r="G445" s="49" cm="1">
        <f t="array" aca="1" ref="G445" ca="1">IF(B445=0,"", SUMPRODUCT((Table1[SubscriptionStart]&lt;=A445)*(Table1[EffectiveEndDate]&gt;=A445)*Table1[Age]) / B445 )</f>
        <v>46.835260115606935</v>
      </c>
      <c r="H445" s="22">
        <f>SUMIF(Table1[SubscriptionStart],"&lt;="&amp;A445,Table1[TotalRevenue])</f>
        <v>99330.750000000102</v>
      </c>
      <c r="I445" s="50">
        <f t="shared" si="25"/>
        <v>45016</v>
      </c>
      <c r="J445" s="49">
        <f t="shared" ca="1" si="26"/>
        <v>341.83870967741933</v>
      </c>
      <c r="K445" s="45" cm="1">
        <f t="array" aca="1" ref="K445" ca="1">SUMPRODUCT((Table1[SubscriptionStart] &lt;= $A445) * (Table1[EffectiveEndDate] &gt;= $A445) * (Table1[Region] = "England"))</f>
        <v>86</v>
      </c>
      <c r="L445" s="45" cm="1">
        <f t="array" aca="1" ref="L445" ca="1">SUMPRODUCT((Table1[SubscriptionStart] &lt;= $A445) * (Table1[EffectiveEndDate] &gt;= $A445) * (Table1[Region] = "Scotland"))</f>
        <v>71</v>
      </c>
      <c r="M445" s="45" cm="1">
        <f t="array" aca="1" ref="M445" ca="1">SUMPRODUCT((Table1[SubscriptionStart] &lt;= $A445) * (Table1[EffectiveEndDate] &gt;= $A445) * (Table1[Region] = "Wales"))</f>
        <v>94</v>
      </c>
      <c r="N445" s="45" cm="1">
        <f t="array" aca="1" ref="N445" ca="1">SUMPRODUCT((Table1[SubscriptionStart] &lt;= $A445) * (Table1[EffectiveEndDate] &gt;= $A445) * (Table1[Region] = "Northern Ireland"))</f>
        <v>95</v>
      </c>
      <c r="O445" s="45" cm="1">
        <f t="array" aca="1" ref="O445" ca="1">SUMPRODUCT((Table1[Gender]="Male")*(Table1[SubscriptionStart]&lt;=A445)*(Table1[EffectiveEndDate]&gt;=A445))</f>
        <v>188</v>
      </c>
      <c r="P445" s="45" cm="1">
        <f t="array" aca="1" ref="P445" ca="1">SUMPRODUCT((Table1[Gender]="Female")*(Table1[SubscriptionStart]&lt;=A445)*(Table1[EffectiveEndDate]&gt;=A445))</f>
        <v>158</v>
      </c>
    </row>
    <row r="446" spans="1:16">
      <c r="A446" s="48">
        <f t="shared" si="27"/>
        <v>45006</v>
      </c>
      <c r="B446" s="45" cm="1">
        <f t="array" aca="1" ref="B446" ca="1">SUMPRODUCT((Table1[SubscriptionStart]&lt;=A446)*(Table1[EffectiveEndDate]&gt;=A446))</f>
        <v>347</v>
      </c>
      <c r="C446" s="45">
        <f>COUNTIFS(Table1[SubscriptionStart], A446)</f>
        <v>1</v>
      </c>
      <c r="D446" s="45">
        <f>COUNTIFS(Table1[CancellationDate], A446)</f>
        <v>2</v>
      </c>
      <c r="E446" s="45">
        <f t="shared" si="24"/>
        <v>-1</v>
      </c>
      <c r="F446" s="45">
        <f>SUM($C$2:C446)</f>
        <v>475</v>
      </c>
      <c r="G446" s="49" cm="1">
        <f t="array" aca="1" ref="G446" ca="1">IF(B446=0,"", SUMPRODUCT((Table1[SubscriptionStart]&lt;=A446)*(Table1[EffectiveEndDate]&gt;=A446)*Table1[Age]) / B446 )</f>
        <v>46.876080691642649</v>
      </c>
      <c r="H446" s="22">
        <f>SUMIF(Table1[SubscriptionStart],"&lt;="&amp;A446,Table1[TotalRevenue])</f>
        <v>99983.250000000102</v>
      </c>
      <c r="I446" s="50">
        <f t="shared" si="25"/>
        <v>45016</v>
      </c>
      <c r="J446" s="49">
        <f t="shared" ca="1" si="26"/>
        <v>341.83870967741933</v>
      </c>
      <c r="K446" s="45" cm="1">
        <f t="array" aca="1" ref="K446" ca="1">SUMPRODUCT((Table1[SubscriptionStart] &lt;= $A446) * (Table1[EffectiveEndDate] &gt;= $A446) * (Table1[Region] = "England"))</f>
        <v>87</v>
      </c>
      <c r="L446" s="45" cm="1">
        <f t="array" aca="1" ref="L446" ca="1">SUMPRODUCT((Table1[SubscriptionStart] &lt;= $A446) * (Table1[EffectiveEndDate] &gt;= $A446) * (Table1[Region] = "Scotland"))</f>
        <v>71</v>
      </c>
      <c r="M446" s="45" cm="1">
        <f t="array" aca="1" ref="M446" ca="1">SUMPRODUCT((Table1[SubscriptionStart] &lt;= $A446) * (Table1[EffectiveEndDate] &gt;= $A446) * (Table1[Region] = "Wales"))</f>
        <v>94</v>
      </c>
      <c r="N446" s="45" cm="1">
        <f t="array" aca="1" ref="N446" ca="1">SUMPRODUCT((Table1[SubscriptionStart] &lt;= $A446) * (Table1[EffectiveEndDate] &gt;= $A446) * (Table1[Region] = "Northern Ireland"))</f>
        <v>95</v>
      </c>
      <c r="O446" s="45" cm="1">
        <f t="array" aca="1" ref="O446" ca="1">SUMPRODUCT((Table1[Gender]="Male")*(Table1[SubscriptionStart]&lt;=A446)*(Table1[EffectiveEndDate]&gt;=A446))</f>
        <v>188</v>
      </c>
      <c r="P446" s="45" cm="1">
        <f t="array" aca="1" ref="P446" ca="1">SUMPRODUCT((Table1[Gender]="Female")*(Table1[SubscriptionStart]&lt;=A446)*(Table1[EffectiveEndDate]&gt;=A446))</f>
        <v>159</v>
      </c>
    </row>
    <row r="447" spans="1:16">
      <c r="A447" s="48">
        <f t="shared" si="27"/>
        <v>45007</v>
      </c>
      <c r="B447" s="45" cm="1">
        <f t="array" aca="1" ref="B447" ca="1">SUMPRODUCT((Table1[SubscriptionStart]&lt;=A447)*(Table1[EffectiveEndDate]&gt;=A447))</f>
        <v>345</v>
      </c>
      <c r="C447" s="45">
        <f>COUNTIFS(Table1[SubscriptionStart], A447)</f>
        <v>0</v>
      </c>
      <c r="D447" s="45">
        <f>COUNTIFS(Table1[CancellationDate], A447)</f>
        <v>0</v>
      </c>
      <c r="E447" s="45">
        <f t="shared" si="24"/>
        <v>0</v>
      </c>
      <c r="F447" s="45">
        <f>SUM($C$2:C447)</f>
        <v>475</v>
      </c>
      <c r="G447" s="49" cm="1">
        <f t="array" aca="1" ref="G447" ca="1">IF(B447=0,"", SUMPRODUCT((Table1[SubscriptionStart]&lt;=A447)*(Table1[EffectiveEndDate]&gt;=A447)*Table1[Age]) / B447 )</f>
        <v>46.843478260869567</v>
      </c>
      <c r="H447" s="22">
        <f>SUMIF(Table1[SubscriptionStart],"&lt;="&amp;A447,Table1[TotalRevenue])</f>
        <v>99983.250000000102</v>
      </c>
      <c r="I447" s="50">
        <f t="shared" si="25"/>
        <v>45016</v>
      </c>
      <c r="J447" s="49">
        <f t="shared" ca="1" si="26"/>
        <v>341.83870967741933</v>
      </c>
      <c r="K447" s="45" cm="1">
        <f t="array" aca="1" ref="K447" ca="1">SUMPRODUCT((Table1[SubscriptionStart] &lt;= $A447) * (Table1[EffectiveEndDate] &gt;= $A447) * (Table1[Region] = "England"))</f>
        <v>87</v>
      </c>
      <c r="L447" s="45" cm="1">
        <f t="array" aca="1" ref="L447" ca="1">SUMPRODUCT((Table1[SubscriptionStart] &lt;= $A447) * (Table1[EffectiveEndDate] &gt;= $A447) * (Table1[Region] = "Scotland"))</f>
        <v>71</v>
      </c>
      <c r="M447" s="45" cm="1">
        <f t="array" aca="1" ref="M447" ca="1">SUMPRODUCT((Table1[SubscriptionStart] &lt;= $A447) * (Table1[EffectiveEndDate] &gt;= $A447) * (Table1[Region] = "Wales"))</f>
        <v>94</v>
      </c>
      <c r="N447" s="45" cm="1">
        <f t="array" aca="1" ref="N447" ca="1">SUMPRODUCT((Table1[SubscriptionStart] &lt;= $A447) * (Table1[EffectiveEndDate] &gt;= $A447) * (Table1[Region] = "Northern Ireland"))</f>
        <v>93</v>
      </c>
      <c r="O447" s="45" cm="1">
        <f t="array" aca="1" ref="O447" ca="1">SUMPRODUCT((Table1[Gender]="Male")*(Table1[SubscriptionStart]&lt;=A447)*(Table1[EffectiveEndDate]&gt;=A447))</f>
        <v>187</v>
      </c>
      <c r="P447" s="45" cm="1">
        <f t="array" aca="1" ref="P447" ca="1">SUMPRODUCT((Table1[Gender]="Female")*(Table1[SubscriptionStart]&lt;=A447)*(Table1[EffectiveEndDate]&gt;=A447))</f>
        <v>158</v>
      </c>
    </row>
    <row r="448" spans="1:16">
      <c r="A448" s="48">
        <f t="shared" si="27"/>
        <v>45008</v>
      </c>
      <c r="B448" s="45" cm="1">
        <f t="array" aca="1" ref="B448" ca="1">SUMPRODUCT((Table1[SubscriptionStart]&lt;=A448)*(Table1[EffectiveEndDate]&gt;=A448))</f>
        <v>345</v>
      </c>
      <c r="C448" s="45">
        <f>COUNTIFS(Table1[SubscriptionStart], A448)</f>
        <v>0</v>
      </c>
      <c r="D448" s="45">
        <f>COUNTIFS(Table1[CancellationDate], A448)</f>
        <v>3</v>
      </c>
      <c r="E448" s="45">
        <f t="shared" si="24"/>
        <v>-3</v>
      </c>
      <c r="F448" s="45">
        <f>SUM($C$2:C448)</f>
        <v>475</v>
      </c>
      <c r="G448" s="49" cm="1">
        <f t="array" aca="1" ref="G448" ca="1">IF(B448=0,"", SUMPRODUCT((Table1[SubscriptionStart]&lt;=A448)*(Table1[EffectiveEndDate]&gt;=A448)*Table1[Age]) / B448 )</f>
        <v>46.843478260869567</v>
      </c>
      <c r="H448" s="22">
        <f>SUMIF(Table1[SubscriptionStart],"&lt;="&amp;A448,Table1[TotalRevenue])</f>
        <v>99983.250000000102</v>
      </c>
      <c r="I448" s="50">
        <f t="shared" si="25"/>
        <v>45016</v>
      </c>
      <c r="J448" s="49">
        <f t="shared" ca="1" si="26"/>
        <v>341.83870967741933</v>
      </c>
      <c r="K448" s="45" cm="1">
        <f t="array" aca="1" ref="K448" ca="1">SUMPRODUCT((Table1[SubscriptionStart] &lt;= $A448) * (Table1[EffectiveEndDate] &gt;= $A448) * (Table1[Region] = "England"))</f>
        <v>87</v>
      </c>
      <c r="L448" s="45" cm="1">
        <f t="array" aca="1" ref="L448" ca="1">SUMPRODUCT((Table1[SubscriptionStart] &lt;= $A448) * (Table1[EffectiveEndDate] &gt;= $A448) * (Table1[Region] = "Scotland"))</f>
        <v>71</v>
      </c>
      <c r="M448" s="45" cm="1">
        <f t="array" aca="1" ref="M448" ca="1">SUMPRODUCT((Table1[SubscriptionStart] &lt;= $A448) * (Table1[EffectiveEndDate] &gt;= $A448) * (Table1[Region] = "Wales"))</f>
        <v>94</v>
      </c>
      <c r="N448" s="45" cm="1">
        <f t="array" aca="1" ref="N448" ca="1">SUMPRODUCT((Table1[SubscriptionStart] &lt;= $A448) * (Table1[EffectiveEndDate] &gt;= $A448) * (Table1[Region] = "Northern Ireland"))</f>
        <v>93</v>
      </c>
      <c r="O448" s="45" cm="1">
        <f t="array" aca="1" ref="O448" ca="1">SUMPRODUCT((Table1[Gender]="Male")*(Table1[SubscriptionStart]&lt;=A448)*(Table1[EffectiveEndDate]&gt;=A448))</f>
        <v>187</v>
      </c>
      <c r="P448" s="45" cm="1">
        <f t="array" aca="1" ref="P448" ca="1">SUMPRODUCT((Table1[Gender]="Female")*(Table1[SubscriptionStart]&lt;=A448)*(Table1[EffectiveEndDate]&gt;=A448))</f>
        <v>158</v>
      </c>
    </row>
    <row r="449" spans="1:16">
      <c r="A449" s="48">
        <f t="shared" si="27"/>
        <v>45009</v>
      </c>
      <c r="B449" s="45" cm="1">
        <f t="array" aca="1" ref="B449" ca="1">SUMPRODUCT((Table1[SubscriptionStart]&lt;=A449)*(Table1[EffectiveEndDate]&gt;=A449))</f>
        <v>344</v>
      </c>
      <c r="C449" s="45">
        <f>COUNTIFS(Table1[SubscriptionStart], A449)</f>
        <v>2</v>
      </c>
      <c r="D449" s="45">
        <f>COUNTIFS(Table1[CancellationDate], A449)</f>
        <v>1</v>
      </c>
      <c r="E449" s="45">
        <f t="shared" si="24"/>
        <v>1</v>
      </c>
      <c r="F449" s="45">
        <f>SUM($C$2:C449)</f>
        <v>477</v>
      </c>
      <c r="G449" s="49" cm="1">
        <f t="array" aca="1" ref="G449" ca="1">IF(B449=0,"", SUMPRODUCT((Table1[SubscriptionStart]&lt;=A449)*(Table1[EffectiveEndDate]&gt;=A449)*Table1[Age]) / B449 )</f>
        <v>46.965116279069768</v>
      </c>
      <c r="H449" s="22">
        <f>SUMIF(Table1[SubscriptionStart],"&lt;="&amp;A449,Table1[TotalRevenue])</f>
        <v>100676.2500000001</v>
      </c>
      <c r="I449" s="50">
        <f t="shared" si="25"/>
        <v>45016</v>
      </c>
      <c r="J449" s="49">
        <f t="shared" ca="1" si="26"/>
        <v>341.83870967741933</v>
      </c>
      <c r="K449" s="45" cm="1">
        <f t="array" aca="1" ref="K449" ca="1">SUMPRODUCT((Table1[SubscriptionStart] &lt;= $A449) * (Table1[EffectiveEndDate] &gt;= $A449) * (Table1[Region] = "England"))</f>
        <v>86</v>
      </c>
      <c r="L449" s="45" cm="1">
        <f t="array" aca="1" ref="L449" ca="1">SUMPRODUCT((Table1[SubscriptionStart] &lt;= $A449) * (Table1[EffectiveEndDate] &gt;= $A449) * (Table1[Region] = "Scotland"))</f>
        <v>72</v>
      </c>
      <c r="M449" s="45" cm="1">
        <f t="array" aca="1" ref="M449" ca="1">SUMPRODUCT((Table1[SubscriptionStart] &lt;= $A449) * (Table1[EffectiveEndDate] &gt;= $A449) * (Table1[Region] = "Wales"))</f>
        <v>95</v>
      </c>
      <c r="N449" s="45" cm="1">
        <f t="array" aca="1" ref="N449" ca="1">SUMPRODUCT((Table1[SubscriptionStart] &lt;= $A449) * (Table1[EffectiveEndDate] &gt;= $A449) * (Table1[Region] = "Northern Ireland"))</f>
        <v>91</v>
      </c>
      <c r="O449" s="45" cm="1">
        <f t="array" aca="1" ref="O449" ca="1">SUMPRODUCT((Table1[Gender]="Male")*(Table1[SubscriptionStart]&lt;=A449)*(Table1[EffectiveEndDate]&gt;=A449))</f>
        <v>188</v>
      </c>
      <c r="P449" s="45" cm="1">
        <f t="array" aca="1" ref="P449" ca="1">SUMPRODUCT((Table1[Gender]="Female")*(Table1[SubscriptionStart]&lt;=A449)*(Table1[EffectiveEndDate]&gt;=A449))</f>
        <v>156</v>
      </c>
    </row>
    <row r="450" spans="1:16">
      <c r="A450" s="48">
        <f t="shared" si="27"/>
        <v>45010</v>
      </c>
      <c r="B450" s="45" cm="1">
        <f t="array" aca="1" ref="B450" ca="1">SUMPRODUCT((Table1[SubscriptionStart]&lt;=A450)*(Table1[EffectiveEndDate]&gt;=A450))</f>
        <v>346</v>
      </c>
      <c r="C450" s="45">
        <f>COUNTIFS(Table1[SubscriptionStart], A450)</f>
        <v>3</v>
      </c>
      <c r="D450" s="45">
        <f>COUNTIFS(Table1[CancellationDate], A450)</f>
        <v>0</v>
      </c>
      <c r="E450" s="45">
        <f t="shared" ref="E450:E513" si="28" xml:space="preserve"> C450 - D450</f>
        <v>3</v>
      </c>
      <c r="F450" s="45">
        <f>SUM($C$2:C450)</f>
        <v>480</v>
      </c>
      <c r="G450" s="49" cm="1">
        <f t="array" aca="1" ref="G450" ca="1">IF(B450=0,"", SUMPRODUCT((Table1[SubscriptionStart]&lt;=A450)*(Table1[EffectiveEndDate]&gt;=A450)*Table1[Age]) / B450 )</f>
        <v>46.936416184971101</v>
      </c>
      <c r="H450" s="22">
        <f>SUMIF(Table1[SubscriptionStart],"&lt;="&amp;A450,Table1[TotalRevenue])</f>
        <v>100822.05000000009</v>
      </c>
      <c r="I450" s="50">
        <f t="shared" ref="I450:I513" si="29">EOMONTH(A450,0)</f>
        <v>45016</v>
      </c>
      <c r="J450" s="49">
        <f t="shared" ref="J450:J513" ca="1" si="30">AVERAGEIFS(B:B, I:I, I450)</f>
        <v>341.83870967741933</v>
      </c>
      <c r="K450" s="45" cm="1">
        <f t="array" aca="1" ref="K450" ca="1">SUMPRODUCT((Table1[SubscriptionStart] &lt;= $A450) * (Table1[EffectiveEndDate] &gt;= $A450) * (Table1[Region] = "England"))</f>
        <v>87</v>
      </c>
      <c r="L450" s="45" cm="1">
        <f t="array" aca="1" ref="L450" ca="1">SUMPRODUCT((Table1[SubscriptionStart] &lt;= $A450) * (Table1[EffectiveEndDate] &gt;= $A450) * (Table1[Region] = "Scotland"))</f>
        <v>73</v>
      </c>
      <c r="M450" s="45" cm="1">
        <f t="array" aca="1" ref="M450" ca="1">SUMPRODUCT((Table1[SubscriptionStart] &lt;= $A450) * (Table1[EffectiveEndDate] &gt;= $A450) * (Table1[Region] = "Wales"))</f>
        <v>94</v>
      </c>
      <c r="N450" s="45" cm="1">
        <f t="array" aca="1" ref="N450" ca="1">SUMPRODUCT((Table1[SubscriptionStart] &lt;= $A450) * (Table1[EffectiveEndDate] &gt;= $A450) * (Table1[Region] = "Northern Ireland"))</f>
        <v>92</v>
      </c>
      <c r="O450" s="45" cm="1">
        <f t="array" aca="1" ref="O450" ca="1">SUMPRODUCT((Table1[Gender]="Male")*(Table1[SubscriptionStart]&lt;=A450)*(Table1[EffectiveEndDate]&gt;=A450))</f>
        <v>189</v>
      </c>
      <c r="P450" s="45" cm="1">
        <f t="array" aca="1" ref="P450" ca="1">SUMPRODUCT((Table1[Gender]="Female")*(Table1[SubscriptionStart]&lt;=A450)*(Table1[EffectiveEndDate]&gt;=A450))</f>
        <v>157</v>
      </c>
    </row>
    <row r="451" spans="1:16">
      <c r="A451" s="48">
        <f t="shared" si="27"/>
        <v>45011</v>
      </c>
      <c r="B451" s="45" cm="1">
        <f t="array" aca="1" ref="B451" ca="1">SUMPRODUCT((Table1[SubscriptionStart]&lt;=A451)*(Table1[EffectiveEndDate]&gt;=A451))</f>
        <v>346</v>
      </c>
      <c r="C451" s="45">
        <f>COUNTIFS(Table1[SubscriptionStart], A451)</f>
        <v>0</v>
      </c>
      <c r="D451" s="45">
        <f>COUNTIFS(Table1[CancellationDate], A451)</f>
        <v>0</v>
      </c>
      <c r="E451" s="45">
        <f t="shared" si="28"/>
        <v>0</v>
      </c>
      <c r="F451" s="45">
        <f>SUM($C$2:C451)</f>
        <v>480</v>
      </c>
      <c r="G451" s="49" cm="1">
        <f t="array" aca="1" ref="G451" ca="1">IF(B451=0,"", SUMPRODUCT((Table1[SubscriptionStart]&lt;=A451)*(Table1[EffectiveEndDate]&gt;=A451)*Table1[Age]) / B451 )</f>
        <v>46.936416184971101</v>
      </c>
      <c r="H451" s="22">
        <f>SUMIF(Table1[SubscriptionStart],"&lt;="&amp;A451,Table1[TotalRevenue])</f>
        <v>100822.05000000009</v>
      </c>
      <c r="I451" s="50">
        <f t="shared" si="29"/>
        <v>45016</v>
      </c>
      <c r="J451" s="49">
        <f t="shared" ca="1" si="30"/>
        <v>341.83870967741933</v>
      </c>
      <c r="K451" s="45" cm="1">
        <f t="array" aca="1" ref="K451" ca="1">SUMPRODUCT((Table1[SubscriptionStart] &lt;= $A451) * (Table1[EffectiveEndDate] &gt;= $A451) * (Table1[Region] = "England"))</f>
        <v>87</v>
      </c>
      <c r="L451" s="45" cm="1">
        <f t="array" aca="1" ref="L451" ca="1">SUMPRODUCT((Table1[SubscriptionStart] &lt;= $A451) * (Table1[EffectiveEndDate] &gt;= $A451) * (Table1[Region] = "Scotland"))</f>
        <v>73</v>
      </c>
      <c r="M451" s="45" cm="1">
        <f t="array" aca="1" ref="M451" ca="1">SUMPRODUCT((Table1[SubscriptionStart] &lt;= $A451) * (Table1[EffectiveEndDate] &gt;= $A451) * (Table1[Region] = "Wales"))</f>
        <v>94</v>
      </c>
      <c r="N451" s="45" cm="1">
        <f t="array" aca="1" ref="N451" ca="1">SUMPRODUCT((Table1[SubscriptionStart] &lt;= $A451) * (Table1[EffectiveEndDate] &gt;= $A451) * (Table1[Region] = "Northern Ireland"))</f>
        <v>92</v>
      </c>
      <c r="O451" s="45" cm="1">
        <f t="array" aca="1" ref="O451" ca="1">SUMPRODUCT((Table1[Gender]="Male")*(Table1[SubscriptionStart]&lt;=A451)*(Table1[EffectiveEndDate]&gt;=A451))</f>
        <v>189</v>
      </c>
      <c r="P451" s="45" cm="1">
        <f t="array" aca="1" ref="P451" ca="1">SUMPRODUCT((Table1[Gender]="Female")*(Table1[SubscriptionStart]&lt;=A451)*(Table1[EffectiveEndDate]&gt;=A451))</f>
        <v>157</v>
      </c>
    </row>
    <row r="452" spans="1:16">
      <c r="A452" s="48">
        <f t="shared" ref="A452:A515" si="31">A451+1</f>
        <v>45012</v>
      </c>
      <c r="B452" s="45" cm="1">
        <f t="array" aca="1" ref="B452" ca="1">SUMPRODUCT((Table1[SubscriptionStart]&lt;=A452)*(Table1[EffectiveEndDate]&gt;=A452))</f>
        <v>349</v>
      </c>
      <c r="C452" s="45">
        <f>COUNTIFS(Table1[SubscriptionStart], A452)</f>
        <v>3</v>
      </c>
      <c r="D452" s="45">
        <f>COUNTIFS(Table1[CancellationDate], A452)</f>
        <v>2</v>
      </c>
      <c r="E452" s="45">
        <f t="shared" si="28"/>
        <v>1</v>
      </c>
      <c r="F452" s="45">
        <f>SUM($C$2:C452)</f>
        <v>483</v>
      </c>
      <c r="G452" s="49" cm="1">
        <f t="array" aca="1" ref="G452" ca="1">IF(B452=0,"", SUMPRODUCT((Table1[SubscriptionStart]&lt;=A452)*(Table1[EffectiveEndDate]&gt;=A452)*Table1[Age]) / B452 )</f>
        <v>46.842406876790832</v>
      </c>
      <c r="H452" s="22">
        <f>SUMIF(Table1[SubscriptionStart],"&lt;="&amp;A452,Table1[TotalRevenue])</f>
        <v>101311.05000000009</v>
      </c>
      <c r="I452" s="50">
        <f t="shared" si="29"/>
        <v>45016</v>
      </c>
      <c r="J452" s="49">
        <f t="shared" ca="1" si="30"/>
        <v>341.83870967741933</v>
      </c>
      <c r="K452" s="45" cm="1">
        <f t="array" aca="1" ref="K452" ca="1">SUMPRODUCT((Table1[SubscriptionStart] &lt;= $A452) * (Table1[EffectiveEndDate] &gt;= $A452) * (Table1[Region] = "England"))</f>
        <v>87</v>
      </c>
      <c r="L452" s="45" cm="1">
        <f t="array" aca="1" ref="L452" ca="1">SUMPRODUCT((Table1[SubscriptionStart] &lt;= $A452) * (Table1[EffectiveEndDate] &gt;= $A452) * (Table1[Region] = "Scotland"))</f>
        <v>74</v>
      </c>
      <c r="M452" s="45" cm="1">
        <f t="array" aca="1" ref="M452" ca="1">SUMPRODUCT((Table1[SubscriptionStart] &lt;= $A452) * (Table1[EffectiveEndDate] &gt;= $A452) * (Table1[Region] = "Wales"))</f>
        <v>96</v>
      </c>
      <c r="N452" s="45" cm="1">
        <f t="array" aca="1" ref="N452" ca="1">SUMPRODUCT((Table1[SubscriptionStart] &lt;= $A452) * (Table1[EffectiveEndDate] &gt;= $A452) * (Table1[Region] = "Northern Ireland"))</f>
        <v>92</v>
      </c>
      <c r="O452" s="45" cm="1">
        <f t="array" aca="1" ref="O452" ca="1">SUMPRODUCT((Table1[Gender]="Male")*(Table1[SubscriptionStart]&lt;=A452)*(Table1[EffectiveEndDate]&gt;=A452))</f>
        <v>191</v>
      </c>
      <c r="P452" s="45" cm="1">
        <f t="array" aca="1" ref="P452" ca="1">SUMPRODUCT((Table1[Gender]="Female")*(Table1[SubscriptionStart]&lt;=A452)*(Table1[EffectiveEndDate]&gt;=A452))</f>
        <v>158</v>
      </c>
    </row>
    <row r="453" spans="1:16">
      <c r="A453" s="48">
        <f t="shared" si="31"/>
        <v>45013</v>
      </c>
      <c r="B453" s="45" cm="1">
        <f t="array" aca="1" ref="B453" ca="1">SUMPRODUCT((Table1[SubscriptionStart]&lt;=A453)*(Table1[EffectiveEndDate]&gt;=A453))</f>
        <v>348</v>
      </c>
      <c r="C453" s="45">
        <f>COUNTIFS(Table1[SubscriptionStart], A453)</f>
        <v>1</v>
      </c>
      <c r="D453" s="45">
        <f>COUNTIFS(Table1[CancellationDate], A453)</f>
        <v>1</v>
      </c>
      <c r="E453" s="45">
        <f t="shared" si="28"/>
        <v>0</v>
      </c>
      <c r="F453" s="45">
        <f>SUM($C$2:C453)</f>
        <v>484</v>
      </c>
      <c r="G453" s="49" cm="1">
        <f t="array" aca="1" ref="G453" ca="1">IF(B453=0,"", SUMPRODUCT((Table1[SubscriptionStart]&lt;=A453)*(Table1[EffectiveEndDate]&gt;=A453)*Table1[Age]) / B453 )</f>
        <v>46.853448275862071</v>
      </c>
      <c r="H453" s="22">
        <f>SUMIF(Table1[SubscriptionStart],"&lt;="&amp;A453,Table1[TotalRevenue])</f>
        <v>101963.55000000009</v>
      </c>
      <c r="I453" s="50">
        <f t="shared" si="29"/>
        <v>45016</v>
      </c>
      <c r="J453" s="49">
        <f t="shared" ca="1" si="30"/>
        <v>341.83870967741933</v>
      </c>
      <c r="K453" s="45" cm="1">
        <f t="array" aca="1" ref="K453" ca="1">SUMPRODUCT((Table1[SubscriptionStart] &lt;= $A453) * (Table1[EffectiveEndDate] &gt;= $A453) * (Table1[Region] = "England"))</f>
        <v>87</v>
      </c>
      <c r="L453" s="45" cm="1">
        <f t="array" aca="1" ref="L453" ca="1">SUMPRODUCT((Table1[SubscriptionStart] &lt;= $A453) * (Table1[EffectiveEndDate] &gt;= $A453) * (Table1[Region] = "Scotland"))</f>
        <v>74</v>
      </c>
      <c r="M453" s="45" cm="1">
        <f t="array" aca="1" ref="M453" ca="1">SUMPRODUCT((Table1[SubscriptionStart] &lt;= $A453) * (Table1[EffectiveEndDate] &gt;= $A453) * (Table1[Region] = "Wales"))</f>
        <v>96</v>
      </c>
      <c r="N453" s="45" cm="1">
        <f t="array" aca="1" ref="N453" ca="1">SUMPRODUCT((Table1[SubscriptionStart] &lt;= $A453) * (Table1[EffectiveEndDate] &gt;= $A453) * (Table1[Region] = "Northern Ireland"))</f>
        <v>91</v>
      </c>
      <c r="O453" s="45" cm="1">
        <f t="array" aca="1" ref="O453" ca="1">SUMPRODUCT((Table1[Gender]="Male")*(Table1[SubscriptionStart]&lt;=A453)*(Table1[EffectiveEndDate]&gt;=A453))</f>
        <v>191</v>
      </c>
      <c r="P453" s="45" cm="1">
        <f t="array" aca="1" ref="P453" ca="1">SUMPRODUCT((Table1[Gender]="Female")*(Table1[SubscriptionStart]&lt;=A453)*(Table1[EffectiveEndDate]&gt;=A453))</f>
        <v>157</v>
      </c>
    </row>
    <row r="454" spans="1:16">
      <c r="A454" s="48">
        <f t="shared" si="31"/>
        <v>45014</v>
      </c>
      <c r="B454" s="45" cm="1">
        <f t="array" aca="1" ref="B454" ca="1">SUMPRODUCT((Table1[SubscriptionStart]&lt;=A454)*(Table1[EffectiveEndDate]&gt;=A454))</f>
        <v>351</v>
      </c>
      <c r="C454" s="45">
        <f>COUNTIFS(Table1[SubscriptionStart], A454)</f>
        <v>4</v>
      </c>
      <c r="D454" s="45">
        <f>COUNTIFS(Table1[CancellationDate], A454)</f>
        <v>0</v>
      </c>
      <c r="E454" s="45">
        <f t="shared" si="28"/>
        <v>4</v>
      </c>
      <c r="F454" s="45">
        <f>SUM($C$2:C454)</f>
        <v>488</v>
      </c>
      <c r="G454" s="49" cm="1">
        <f t="array" aca="1" ref="G454" ca="1">IF(B454=0,"", SUMPRODUCT((Table1[SubscriptionStart]&lt;=A454)*(Table1[EffectiveEndDate]&gt;=A454)*Table1[Age]) / B454 )</f>
        <v>46.948717948717949</v>
      </c>
      <c r="H454" s="22">
        <f>SUMIF(Table1[SubscriptionStart],"&lt;="&amp;A454,Table1[TotalRevenue])</f>
        <v>102582.1500000001</v>
      </c>
      <c r="I454" s="50">
        <f t="shared" si="29"/>
        <v>45016</v>
      </c>
      <c r="J454" s="49">
        <f t="shared" ca="1" si="30"/>
        <v>341.83870967741933</v>
      </c>
      <c r="K454" s="45" cm="1">
        <f t="array" aca="1" ref="K454" ca="1">SUMPRODUCT((Table1[SubscriptionStart] &lt;= $A454) * (Table1[EffectiveEndDate] &gt;= $A454) * (Table1[Region] = "England"))</f>
        <v>87</v>
      </c>
      <c r="L454" s="45" cm="1">
        <f t="array" aca="1" ref="L454" ca="1">SUMPRODUCT((Table1[SubscriptionStart] &lt;= $A454) * (Table1[EffectiveEndDate] &gt;= $A454) * (Table1[Region] = "Scotland"))</f>
        <v>76</v>
      </c>
      <c r="M454" s="45" cm="1">
        <f t="array" aca="1" ref="M454" ca="1">SUMPRODUCT((Table1[SubscriptionStart] &lt;= $A454) * (Table1[EffectiveEndDate] &gt;= $A454) * (Table1[Region] = "Wales"))</f>
        <v>96</v>
      </c>
      <c r="N454" s="45" cm="1">
        <f t="array" aca="1" ref="N454" ca="1">SUMPRODUCT((Table1[SubscriptionStart] &lt;= $A454) * (Table1[EffectiveEndDate] &gt;= $A454) * (Table1[Region] = "Northern Ireland"))</f>
        <v>92</v>
      </c>
      <c r="O454" s="45" cm="1">
        <f t="array" aca="1" ref="O454" ca="1">SUMPRODUCT((Table1[Gender]="Male")*(Table1[SubscriptionStart]&lt;=A454)*(Table1[EffectiveEndDate]&gt;=A454))</f>
        <v>193</v>
      </c>
      <c r="P454" s="45" cm="1">
        <f t="array" aca="1" ref="P454" ca="1">SUMPRODUCT((Table1[Gender]="Female")*(Table1[SubscriptionStart]&lt;=A454)*(Table1[EffectiveEndDate]&gt;=A454))</f>
        <v>158</v>
      </c>
    </row>
    <row r="455" spans="1:16">
      <c r="A455" s="48">
        <f t="shared" si="31"/>
        <v>45015</v>
      </c>
      <c r="B455" s="45" cm="1">
        <f t="array" aca="1" ref="B455" ca="1">SUMPRODUCT((Table1[SubscriptionStart]&lt;=A455)*(Table1[EffectiveEndDate]&gt;=A455))</f>
        <v>352</v>
      </c>
      <c r="C455" s="45">
        <f>COUNTIFS(Table1[SubscriptionStart], A455)</f>
        <v>1</v>
      </c>
      <c r="D455" s="45">
        <f>COUNTIFS(Table1[CancellationDate], A455)</f>
        <v>0</v>
      </c>
      <c r="E455" s="45">
        <f t="shared" si="28"/>
        <v>1</v>
      </c>
      <c r="F455" s="45">
        <f>SUM($C$2:C455)</f>
        <v>489</v>
      </c>
      <c r="G455" s="49" cm="1">
        <f t="array" aca="1" ref="G455" ca="1">IF(B455=0,"", SUMPRODUCT((Table1[SubscriptionStart]&lt;=A455)*(Table1[EffectiveEndDate]&gt;=A455)*Table1[Age]) / B455 )</f>
        <v>46.965909090909093</v>
      </c>
      <c r="H455" s="22">
        <f>SUMIF(Table1[SubscriptionStart],"&lt;="&amp;A455,Table1[TotalRevenue])</f>
        <v>103051.9500000001</v>
      </c>
      <c r="I455" s="50">
        <f t="shared" si="29"/>
        <v>45016</v>
      </c>
      <c r="J455" s="49">
        <f t="shared" ca="1" si="30"/>
        <v>341.83870967741933</v>
      </c>
      <c r="K455" s="45" cm="1">
        <f t="array" aca="1" ref="K455" ca="1">SUMPRODUCT((Table1[SubscriptionStart] &lt;= $A455) * (Table1[EffectiveEndDate] &gt;= $A455) * (Table1[Region] = "England"))</f>
        <v>87</v>
      </c>
      <c r="L455" s="45" cm="1">
        <f t="array" aca="1" ref="L455" ca="1">SUMPRODUCT((Table1[SubscriptionStart] &lt;= $A455) * (Table1[EffectiveEndDate] &gt;= $A455) * (Table1[Region] = "Scotland"))</f>
        <v>76</v>
      </c>
      <c r="M455" s="45" cm="1">
        <f t="array" aca="1" ref="M455" ca="1">SUMPRODUCT((Table1[SubscriptionStart] &lt;= $A455) * (Table1[EffectiveEndDate] &gt;= $A455) * (Table1[Region] = "Wales"))</f>
        <v>96</v>
      </c>
      <c r="N455" s="45" cm="1">
        <f t="array" aca="1" ref="N455" ca="1">SUMPRODUCT((Table1[SubscriptionStart] &lt;= $A455) * (Table1[EffectiveEndDate] &gt;= $A455) * (Table1[Region] = "Northern Ireland"))</f>
        <v>93</v>
      </c>
      <c r="O455" s="45" cm="1">
        <f t="array" aca="1" ref="O455" ca="1">SUMPRODUCT((Table1[Gender]="Male")*(Table1[SubscriptionStart]&lt;=A455)*(Table1[EffectiveEndDate]&gt;=A455))</f>
        <v>193</v>
      </c>
      <c r="P455" s="45" cm="1">
        <f t="array" aca="1" ref="P455" ca="1">SUMPRODUCT((Table1[Gender]="Female")*(Table1[SubscriptionStart]&lt;=A455)*(Table1[EffectiveEndDate]&gt;=A455))</f>
        <v>159</v>
      </c>
    </row>
    <row r="456" spans="1:16">
      <c r="A456" s="48">
        <f t="shared" si="31"/>
        <v>45016</v>
      </c>
      <c r="B456" s="45" cm="1">
        <f t="array" aca="1" ref="B456" ca="1">SUMPRODUCT((Table1[SubscriptionStart]&lt;=A456)*(Table1[EffectiveEndDate]&gt;=A456))</f>
        <v>354</v>
      </c>
      <c r="C456" s="45">
        <f>COUNTIFS(Table1[SubscriptionStart], A456)</f>
        <v>2</v>
      </c>
      <c r="D456" s="45">
        <f>COUNTIFS(Table1[CancellationDate], A456)</f>
        <v>1</v>
      </c>
      <c r="E456" s="45">
        <f t="shared" si="28"/>
        <v>1</v>
      </c>
      <c r="F456" s="45">
        <f>SUM($C$2:C456)</f>
        <v>491</v>
      </c>
      <c r="G456" s="49" cm="1">
        <f t="array" aca="1" ref="G456" ca="1">IF(B456=0,"", SUMPRODUCT((Table1[SubscriptionStart]&lt;=A456)*(Table1[EffectiveEndDate]&gt;=A456)*Table1[Age]) / B456 )</f>
        <v>46.926553672316388</v>
      </c>
      <c r="H456" s="22">
        <f>SUMIF(Table1[SubscriptionStart],"&lt;="&amp;A456,Table1[TotalRevenue])</f>
        <v>103608.1500000001</v>
      </c>
      <c r="I456" s="50">
        <f t="shared" si="29"/>
        <v>45016</v>
      </c>
      <c r="J456" s="49">
        <f t="shared" ca="1" si="30"/>
        <v>341.83870967741933</v>
      </c>
      <c r="K456" s="45" cm="1">
        <f t="array" aca="1" ref="K456" ca="1">SUMPRODUCT((Table1[SubscriptionStart] &lt;= $A456) * (Table1[EffectiveEndDate] &gt;= $A456) * (Table1[Region] = "England"))</f>
        <v>87</v>
      </c>
      <c r="L456" s="45" cm="1">
        <f t="array" aca="1" ref="L456" ca="1">SUMPRODUCT((Table1[SubscriptionStart] &lt;= $A456) * (Table1[EffectiveEndDate] &gt;= $A456) * (Table1[Region] = "Scotland"))</f>
        <v>76</v>
      </c>
      <c r="M456" s="45" cm="1">
        <f t="array" aca="1" ref="M456" ca="1">SUMPRODUCT((Table1[SubscriptionStart] &lt;= $A456) * (Table1[EffectiveEndDate] &gt;= $A456) * (Table1[Region] = "Wales"))</f>
        <v>97</v>
      </c>
      <c r="N456" s="45" cm="1">
        <f t="array" aca="1" ref="N456" ca="1">SUMPRODUCT((Table1[SubscriptionStart] &lt;= $A456) * (Table1[EffectiveEndDate] &gt;= $A456) * (Table1[Region] = "Northern Ireland"))</f>
        <v>94</v>
      </c>
      <c r="O456" s="45" cm="1">
        <f t="array" aca="1" ref="O456" ca="1">SUMPRODUCT((Table1[Gender]="Male")*(Table1[SubscriptionStart]&lt;=A456)*(Table1[EffectiveEndDate]&gt;=A456))</f>
        <v>193</v>
      </c>
      <c r="P456" s="45" cm="1">
        <f t="array" aca="1" ref="P456" ca="1">SUMPRODUCT((Table1[Gender]="Female")*(Table1[SubscriptionStart]&lt;=A456)*(Table1[EffectiveEndDate]&gt;=A456))</f>
        <v>161</v>
      </c>
    </row>
    <row r="457" spans="1:16">
      <c r="A457" s="48">
        <f t="shared" si="31"/>
        <v>45017</v>
      </c>
      <c r="B457" s="45" cm="1">
        <f t="array" aca="1" ref="B457" ca="1">SUMPRODUCT((Table1[SubscriptionStart]&lt;=A457)*(Table1[EffectiveEndDate]&gt;=A457))</f>
        <v>354</v>
      </c>
      <c r="C457" s="45">
        <f>COUNTIFS(Table1[SubscriptionStart], A457)</f>
        <v>1</v>
      </c>
      <c r="D457" s="45">
        <f>COUNTIFS(Table1[CancellationDate], A457)</f>
        <v>2</v>
      </c>
      <c r="E457" s="45">
        <f t="shared" si="28"/>
        <v>-1</v>
      </c>
      <c r="F457" s="45">
        <f>SUM($C$2:C457)</f>
        <v>492</v>
      </c>
      <c r="G457" s="49" cm="1">
        <f t="array" aca="1" ref="G457" ca="1">IF(B457=0,"", SUMPRODUCT((Table1[SubscriptionStart]&lt;=A457)*(Table1[EffectiveEndDate]&gt;=A457)*Table1[Age]) / B457 )</f>
        <v>46.983050847457626</v>
      </c>
      <c r="H457" s="22">
        <f>SUMIF(Table1[SubscriptionStart],"&lt;="&amp;A457,Table1[TotalRevenue])</f>
        <v>103869.1500000001</v>
      </c>
      <c r="I457" s="50">
        <f t="shared" si="29"/>
        <v>45046</v>
      </c>
      <c r="J457" s="49">
        <f t="shared" ca="1" si="30"/>
        <v>357.4</v>
      </c>
      <c r="K457" s="45" cm="1">
        <f t="array" aca="1" ref="K457" ca="1">SUMPRODUCT((Table1[SubscriptionStart] &lt;= $A457) * (Table1[EffectiveEndDate] &gt;= $A457) * (Table1[Region] = "England"))</f>
        <v>88</v>
      </c>
      <c r="L457" s="45" cm="1">
        <f t="array" aca="1" ref="L457" ca="1">SUMPRODUCT((Table1[SubscriptionStart] &lt;= $A457) * (Table1[EffectiveEndDate] &gt;= $A457) * (Table1[Region] = "Scotland"))</f>
        <v>75</v>
      </c>
      <c r="M457" s="45" cm="1">
        <f t="array" aca="1" ref="M457" ca="1">SUMPRODUCT((Table1[SubscriptionStart] &lt;= $A457) * (Table1[EffectiveEndDate] &gt;= $A457) * (Table1[Region] = "Wales"))</f>
        <v>97</v>
      </c>
      <c r="N457" s="45" cm="1">
        <f t="array" aca="1" ref="N457" ca="1">SUMPRODUCT((Table1[SubscriptionStart] &lt;= $A457) * (Table1[EffectiveEndDate] &gt;= $A457) * (Table1[Region] = "Northern Ireland"))</f>
        <v>94</v>
      </c>
      <c r="O457" s="45" cm="1">
        <f t="array" aca="1" ref="O457" ca="1">SUMPRODUCT((Table1[Gender]="Male")*(Table1[SubscriptionStart]&lt;=A457)*(Table1[EffectiveEndDate]&gt;=A457))</f>
        <v>192</v>
      </c>
      <c r="P457" s="45" cm="1">
        <f t="array" aca="1" ref="P457" ca="1">SUMPRODUCT((Table1[Gender]="Female")*(Table1[SubscriptionStart]&lt;=A457)*(Table1[EffectiveEndDate]&gt;=A457))</f>
        <v>162</v>
      </c>
    </row>
    <row r="458" spans="1:16">
      <c r="A458" s="48">
        <f t="shared" si="31"/>
        <v>45018</v>
      </c>
      <c r="B458" s="45" cm="1">
        <f t="array" aca="1" ref="B458" ca="1">SUMPRODUCT((Table1[SubscriptionStart]&lt;=A458)*(Table1[EffectiveEndDate]&gt;=A458))</f>
        <v>353</v>
      </c>
      <c r="C458" s="45">
        <f>COUNTIFS(Table1[SubscriptionStart], A458)</f>
        <v>1</v>
      </c>
      <c r="D458" s="45">
        <f>COUNTIFS(Table1[CancellationDate], A458)</f>
        <v>3</v>
      </c>
      <c r="E458" s="45">
        <f t="shared" si="28"/>
        <v>-2</v>
      </c>
      <c r="F458" s="45">
        <f>SUM($C$2:C458)</f>
        <v>493</v>
      </c>
      <c r="G458" s="49" cm="1">
        <f t="array" aca="1" ref="G458" ca="1">IF(B458=0,"", SUMPRODUCT((Table1[SubscriptionStart]&lt;=A458)*(Table1[EffectiveEndDate]&gt;=A458)*Table1[Age]) / B458 )</f>
        <v>47.073654390934841</v>
      </c>
      <c r="H458" s="22">
        <f>SUMIF(Table1[SubscriptionStart],"&lt;="&amp;A458,Table1[TotalRevenue])</f>
        <v>104286.7500000001</v>
      </c>
      <c r="I458" s="50">
        <f t="shared" si="29"/>
        <v>45046</v>
      </c>
      <c r="J458" s="49">
        <f t="shared" ca="1" si="30"/>
        <v>357.4</v>
      </c>
      <c r="K458" s="45" cm="1">
        <f t="array" aca="1" ref="K458" ca="1">SUMPRODUCT((Table1[SubscriptionStart] &lt;= $A458) * (Table1[EffectiveEndDate] &gt;= $A458) * (Table1[Region] = "England"))</f>
        <v>88</v>
      </c>
      <c r="L458" s="45" cm="1">
        <f t="array" aca="1" ref="L458" ca="1">SUMPRODUCT((Table1[SubscriptionStart] &lt;= $A458) * (Table1[EffectiveEndDate] &gt;= $A458) * (Table1[Region] = "Scotland"))</f>
        <v>75</v>
      </c>
      <c r="M458" s="45" cm="1">
        <f t="array" aca="1" ref="M458" ca="1">SUMPRODUCT((Table1[SubscriptionStart] &lt;= $A458) * (Table1[EffectiveEndDate] &gt;= $A458) * (Table1[Region] = "Wales"))</f>
        <v>97</v>
      </c>
      <c r="N458" s="45" cm="1">
        <f t="array" aca="1" ref="N458" ca="1">SUMPRODUCT((Table1[SubscriptionStart] &lt;= $A458) * (Table1[EffectiveEndDate] &gt;= $A458) * (Table1[Region] = "Northern Ireland"))</f>
        <v>93</v>
      </c>
      <c r="O458" s="45" cm="1">
        <f t="array" aca="1" ref="O458" ca="1">SUMPRODUCT((Table1[Gender]="Male")*(Table1[SubscriptionStart]&lt;=A458)*(Table1[EffectiveEndDate]&gt;=A458))</f>
        <v>190</v>
      </c>
      <c r="P458" s="45" cm="1">
        <f t="array" aca="1" ref="P458" ca="1">SUMPRODUCT((Table1[Gender]="Female")*(Table1[SubscriptionStart]&lt;=A458)*(Table1[EffectiveEndDate]&gt;=A458))</f>
        <v>163</v>
      </c>
    </row>
    <row r="459" spans="1:16">
      <c r="A459" s="48">
        <f t="shared" si="31"/>
        <v>45019</v>
      </c>
      <c r="B459" s="45" cm="1">
        <f t="array" aca="1" ref="B459" ca="1">SUMPRODUCT((Table1[SubscriptionStart]&lt;=A459)*(Table1[EffectiveEndDate]&gt;=A459))</f>
        <v>352</v>
      </c>
      <c r="C459" s="45">
        <f>COUNTIFS(Table1[SubscriptionStart], A459)</f>
        <v>2</v>
      </c>
      <c r="D459" s="45">
        <f>COUNTIFS(Table1[CancellationDate], A459)</f>
        <v>0</v>
      </c>
      <c r="E459" s="45">
        <f t="shared" si="28"/>
        <v>2</v>
      </c>
      <c r="F459" s="45">
        <f>SUM($C$2:C459)</f>
        <v>495</v>
      </c>
      <c r="G459" s="49" cm="1">
        <f t="array" aca="1" ref="G459" ca="1">IF(B459=0,"", SUMPRODUCT((Table1[SubscriptionStart]&lt;=A459)*(Table1[EffectiveEndDate]&gt;=A459)*Table1[Age]) / B459 )</f>
        <v>47.09375</v>
      </c>
      <c r="H459" s="22">
        <f>SUMIF(Table1[SubscriptionStart],"&lt;="&amp;A459,Table1[TotalRevenue])</f>
        <v>105059.2500000001</v>
      </c>
      <c r="I459" s="50">
        <f t="shared" si="29"/>
        <v>45046</v>
      </c>
      <c r="J459" s="49">
        <f t="shared" ca="1" si="30"/>
        <v>357.4</v>
      </c>
      <c r="K459" s="45" cm="1">
        <f t="array" aca="1" ref="K459" ca="1">SUMPRODUCT((Table1[SubscriptionStart] &lt;= $A459) * (Table1[EffectiveEndDate] &gt;= $A459) * (Table1[Region] = "England"))</f>
        <v>88</v>
      </c>
      <c r="L459" s="45" cm="1">
        <f t="array" aca="1" ref="L459" ca="1">SUMPRODUCT((Table1[SubscriptionStart] &lt;= $A459) * (Table1[EffectiveEndDate] &gt;= $A459) * (Table1[Region] = "Scotland"))</f>
        <v>74</v>
      </c>
      <c r="M459" s="45" cm="1">
        <f t="array" aca="1" ref="M459" ca="1">SUMPRODUCT((Table1[SubscriptionStart] &lt;= $A459) * (Table1[EffectiveEndDate] &gt;= $A459) * (Table1[Region] = "Wales"))</f>
        <v>98</v>
      </c>
      <c r="N459" s="45" cm="1">
        <f t="array" aca="1" ref="N459" ca="1">SUMPRODUCT((Table1[SubscriptionStart] &lt;= $A459) * (Table1[EffectiveEndDate] &gt;= $A459) * (Table1[Region] = "Northern Ireland"))</f>
        <v>92</v>
      </c>
      <c r="O459" s="45" cm="1">
        <f t="array" aca="1" ref="O459" ca="1">SUMPRODUCT((Table1[Gender]="Male")*(Table1[SubscriptionStart]&lt;=A459)*(Table1[EffectiveEndDate]&gt;=A459))</f>
        <v>190</v>
      </c>
      <c r="P459" s="45" cm="1">
        <f t="array" aca="1" ref="P459" ca="1">SUMPRODUCT((Table1[Gender]="Female")*(Table1[SubscriptionStart]&lt;=A459)*(Table1[EffectiveEndDate]&gt;=A459))</f>
        <v>162</v>
      </c>
    </row>
    <row r="460" spans="1:16">
      <c r="A460" s="48">
        <f t="shared" si="31"/>
        <v>45020</v>
      </c>
      <c r="B460" s="45" cm="1">
        <f t="array" aca="1" ref="B460" ca="1">SUMPRODUCT((Table1[SubscriptionStart]&lt;=A460)*(Table1[EffectiveEndDate]&gt;=A460))</f>
        <v>352</v>
      </c>
      <c r="C460" s="45">
        <f>COUNTIFS(Table1[SubscriptionStart], A460)</f>
        <v>0</v>
      </c>
      <c r="D460" s="45">
        <f>COUNTIFS(Table1[CancellationDate], A460)</f>
        <v>1</v>
      </c>
      <c r="E460" s="45">
        <f t="shared" si="28"/>
        <v>-1</v>
      </c>
      <c r="F460" s="45">
        <f>SUM($C$2:C460)</f>
        <v>495</v>
      </c>
      <c r="G460" s="49" cm="1">
        <f t="array" aca="1" ref="G460" ca="1">IF(B460=0,"", SUMPRODUCT((Table1[SubscriptionStart]&lt;=A460)*(Table1[EffectiveEndDate]&gt;=A460)*Table1[Age]) / B460 )</f>
        <v>47.09375</v>
      </c>
      <c r="H460" s="22">
        <f>SUMIF(Table1[SubscriptionStart],"&lt;="&amp;A460,Table1[TotalRevenue])</f>
        <v>105059.2500000001</v>
      </c>
      <c r="I460" s="50">
        <f t="shared" si="29"/>
        <v>45046</v>
      </c>
      <c r="J460" s="49">
        <f t="shared" ca="1" si="30"/>
        <v>357.4</v>
      </c>
      <c r="K460" s="45" cm="1">
        <f t="array" aca="1" ref="K460" ca="1">SUMPRODUCT((Table1[SubscriptionStart] &lt;= $A460) * (Table1[EffectiveEndDate] &gt;= $A460) * (Table1[Region] = "England"))</f>
        <v>88</v>
      </c>
      <c r="L460" s="45" cm="1">
        <f t="array" aca="1" ref="L460" ca="1">SUMPRODUCT((Table1[SubscriptionStart] &lt;= $A460) * (Table1[EffectiveEndDate] &gt;= $A460) * (Table1[Region] = "Scotland"))</f>
        <v>74</v>
      </c>
      <c r="M460" s="45" cm="1">
        <f t="array" aca="1" ref="M460" ca="1">SUMPRODUCT((Table1[SubscriptionStart] &lt;= $A460) * (Table1[EffectiveEndDate] &gt;= $A460) * (Table1[Region] = "Wales"))</f>
        <v>98</v>
      </c>
      <c r="N460" s="45" cm="1">
        <f t="array" aca="1" ref="N460" ca="1">SUMPRODUCT((Table1[SubscriptionStart] &lt;= $A460) * (Table1[EffectiveEndDate] &gt;= $A460) * (Table1[Region] = "Northern Ireland"))</f>
        <v>92</v>
      </c>
      <c r="O460" s="45" cm="1">
        <f t="array" aca="1" ref="O460" ca="1">SUMPRODUCT((Table1[Gender]="Male")*(Table1[SubscriptionStart]&lt;=A460)*(Table1[EffectiveEndDate]&gt;=A460))</f>
        <v>190</v>
      </c>
      <c r="P460" s="45" cm="1">
        <f t="array" aca="1" ref="P460" ca="1">SUMPRODUCT((Table1[Gender]="Female")*(Table1[SubscriptionStart]&lt;=A460)*(Table1[EffectiveEndDate]&gt;=A460))</f>
        <v>162</v>
      </c>
    </row>
    <row r="461" spans="1:16">
      <c r="A461" s="48">
        <f t="shared" si="31"/>
        <v>45021</v>
      </c>
      <c r="B461" s="45" cm="1">
        <f t="array" aca="1" ref="B461" ca="1">SUMPRODUCT((Table1[SubscriptionStart]&lt;=A461)*(Table1[EffectiveEndDate]&gt;=A461))</f>
        <v>352</v>
      </c>
      <c r="C461" s="45">
        <f>COUNTIFS(Table1[SubscriptionStart], A461)</f>
        <v>1</v>
      </c>
      <c r="D461" s="45">
        <f>COUNTIFS(Table1[CancellationDate], A461)</f>
        <v>2</v>
      </c>
      <c r="E461" s="45">
        <f t="shared" si="28"/>
        <v>-1</v>
      </c>
      <c r="F461" s="45">
        <f>SUM($C$2:C461)</f>
        <v>496</v>
      </c>
      <c r="G461" s="49" cm="1">
        <f t="array" aca="1" ref="G461" ca="1">IF(B461=0,"", SUMPRODUCT((Table1[SubscriptionStart]&lt;=A461)*(Table1[EffectiveEndDate]&gt;=A461)*Table1[Age]) / B461 )</f>
        <v>47.09375</v>
      </c>
      <c r="H461" s="22">
        <f>SUMIF(Table1[SubscriptionStart],"&lt;="&amp;A461,Table1[TotalRevenue])</f>
        <v>105597.4500000001</v>
      </c>
      <c r="I461" s="50">
        <f t="shared" si="29"/>
        <v>45046</v>
      </c>
      <c r="J461" s="49">
        <f t="shared" ca="1" si="30"/>
        <v>357.4</v>
      </c>
      <c r="K461" s="45" cm="1">
        <f t="array" aca="1" ref="K461" ca="1">SUMPRODUCT((Table1[SubscriptionStart] &lt;= $A461) * (Table1[EffectiveEndDate] &gt;= $A461) * (Table1[Region] = "England"))</f>
        <v>88</v>
      </c>
      <c r="L461" s="45" cm="1">
        <f t="array" aca="1" ref="L461" ca="1">SUMPRODUCT((Table1[SubscriptionStart] &lt;= $A461) * (Table1[EffectiveEndDate] &gt;= $A461) * (Table1[Region] = "Scotland"))</f>
        <v>74</v>
      </c>
      <c r="M461" s="45" cm="1">
        <f t="array" aca="1" ref="M461" ca="1">SUMPRODUCT((Table1[SubscriptionStart] &lt;= $A461) * (Table1[EffectiveEndDate] &gt;= $A461) * (Table1[Region] = "Wales"))</f>
        <v>97</v>
      </c>
      <c r="N461" s="45" cm="1">
        <f t="array" aca="1" ref="N461" ca="1">SUMPRODUCT((Table1[SubscriptionStart] &lt;= $A461) * (Table1[EffectiveEndDate] &gt;= $A461) * (Table1[Region] = "Northern Ireland"))</f>
        <v>93</v>
      </c>
      <c r="O461" s="45" cm="1">
        <f t="array" aca="1" ref="O461" ca="1">SUMPRODUCT((Table1[Gender]="Male")*(Table1[SubscriptionStart]&lt;=A461)*(Table1[EffectiveEndDate]&gt;=A461))</f>
        <v>190</v>
      </c>
      <c r="P461" s="45" cm="1">
        <f t="array" aca="1" ref="P461" ca="1">SUMPRODUCT((Table1[Gender]="Female")*(Table1[SubscriptionStart]&lt;=A461)*(Table1[EffectiveEndDate]&gt;=A461))</f>
        <v>162</v>
      </c>
    </row>
    <row r="462" spans="1:16">
      <c r="A462" s="48">
        <f t="shared" si="31"/>
        <v>45022</v>
      </c>
      <c r="B462" s="45" cm="1">
        <f t="array" aca="1" ref="B462" ca="1">SUMPRODUCT((Table1[SubscriptionStart]&lt;=A462)*(Table1[EffectiveEndDate]&gt;=A462))</f>
        <v>354</v>
      </c>
      <c r="C462" s="45">
        <f>COUNTIFS(Table1[SubscriptionStart], A462)</f>
        <v>4</v>
      </c>
      <c r="D462" s="45">
        <f>COUNTIFS(Table1[CancellationDate], A462)</f>
        <v>1</v>
      </c>
      <c r="E462" s="45">
        <f t="shared" si="28"/>
        <v>3</v>
      </c>
      <c r="F462" s="45">
        <f>SUM($C$2:C462)</f>
        <v>500</v>
      </c>
      <c r="G462" s="49" cm="1">
        <f t="array" aca="1" ref="G462" ca="1">IF(B462=0,"", SUMPRODUCT((Table1[SubscriptionStart]&lt;=A462)*(Table1[EffectiveEndDate]&gt;=A462)*Table1[Age]) / B462 )</f>
        <v>47.045197740112997</v>
      </c>
      <c r="H462" s="22">
        <f>SUMIF(Table1[SubscriptionStart],"&lt;="&amp;A462,Table1[TotalRevenue])</f>
        <v>105900.3000000001</v>
      </c>
      <c r="I462" s="50">
        <f t="shared" si="29"/>
        <v>45046</v>
      </c>
      <c r="J462" s="49">
        <f t="shared" ca="1" si="30"/>
        <v>357.4</v>
      </c>
      <c r="K462" s="45" cm="1">
        <f t="array" aca="1" ref="K462" ca="1">SUMPRODUCT((Table1[SubscriptionStart] &lt;= $A462) * (Table1[EffectiveEndDate] &gt;= $A462) * (Table1[Region] = "England"))</f>
        <v>89</v>
      </c>
      <c r="L462" s="45" cm="1">
        <f t="array" aca="1" ref="L462" ca="1">SUMPRODUCT((Table1[SubscriptionStart] &lt;= $A462) * (Table1[EffectiveEndDate] &gt;= $A462) * (Table1[Region] = "Scotland"))</f>
        <v>73</v>
      </c>
      <c r="M462" s="45" cm="1">
        <f t="array" aca="1" ref="M462" ca="1">SUMPRODUCT((Table1[SubscriptionStart] &lt;= $A462) * (Table1[EffectiveEndDate] &gt;= $A462) * (Table1[Region] = "Wales"))</f>
        <v>98</v>
      </c>
      <c r="N462" s="45" cm="1">
        <f t="array" aca="1" ref="N462" ca="1">SUMPRODUCT((Table1[SubscriptionStart] &lt;= $A462) * (Table1[EffectiveEndDate] &gt;= $A462) * (Table1[Region] = "Northern Ireland"))</f>
        <v>94</v>
      </c>
      <c r="O462" s="45" cm="1">
        <f t="array" aca="1" ref="O462" ca="1">SUMPRODUCT((Table1[Gender]="Male")*(Table1[SubscriptionStart]&lt;=A462)*(Table1[EffectiveEndDate]&gt;=A462))</f>
        <v>189</v>
      </c>
      <c r="P462" s="45" cm="1">
        <f t="array" aca="1" ref="P462" ca="1">SUMPRODUCT((Table1[Gender]="Female")*(Table1[SubscriptionStart]&lt;=A462)*(Table1[EffectiveEndDate]&gt;=A462))</f>
        <v>165</v>
      </c>
    </row>
    <row r="463" spans="1:16">
      <c r="A463" s="48">
        <f t="shared" si="31"/>
        <v>45023</v>
      </c>
      <c r="B463" s="45" cm="1">
        <f t="array" aca="1" ref="B463" ca="1">SUMPRODUCT((Table1[SubscriptionStart]&lt;=A463)*(Table1[EffectiveEndDate]&gt;=A463))</f>
        <v>354</v>
      </c>
      <c r="C463" s="45">
        <f>COUNTIFS(Table1[SubscriptionStart], A463)</f>
        <v>1</v>
      </c>
      <c r="D463" s="45">
        <f>COUNTIFS(Table1[CancellationDate], A463)</f>
        <v>0</v>
      </c>
      <c r="E463" s="45">
        <f t="shared" si="28"/>
        <v>1</v>
      </c>
      <c r="F463" s="45">
        <f>SUM($C$2:C463)</f>
        <v>501</v>
      </c>
      <c r="G463" s="49" cm="1">
        <f t="array" aca="1" ref="G463" ca="1">IF(B463=0,"", SUMPRODUCT((Table1[SubscriptionStart]&lt;=A463)*(Table1[EffectiveEndDate]&gt;=A463)*Table1[Age]) / B463 )</f>
        <v>47.039548022598872</v>
      </c>
      <c r="H463" s="22">
        <f>SUMIF(Table1[SubscriptionStart],"&lt;="&amp;A463,Table1[TotalRevenue])</f>
        <v>105900.3000000001</v>
      </c>
      <c r="I463" s="50">
        <f t="shared" si="29"/>
        <v>45046</v>
      </c>
      <c r="J463" s="49">
        <f t="shared" ca="1" si="30"/>
        <v>357.4</v>
      </c>
      <c r="K463" s="45" cm="1">
        <f t="array" aca="1" ref="K463" ca="1">SUMPRODUCT((Table1[SubscriptionStart] &lt;= $A463) * (Table1[EffectiveEndDate] &gt;= $A463) * (Table1[Region] = "England"))</f>
        <v>89</v>
      </c>
      <c r="L463" s="45" cm="1">
        <f t="array" aca="1" ref="L463" ca="1">SUMPRODUCT((Table1[SubscriptionStart] &lt;= $A463) * (Table1[EffectiveEndDate] &gt;= $A463) * (Table1[Region] = "Scotland"))</f>
        <v>73</v>
      </c>
      <c r="M463" s="45" cm="1">
        <f t="array" aca="1" ref="M463" ca="1">SUMPRODUCT((Table1[SubscriptionStart] &lt;= $A463) * (Table1[EffectiveEndDate] &gt;= $A463) * (Table1[Region] = "Wales"))</f>
        <v>98</v>
      </c>
      <c r="N463" s="45" cm="1">
        <f t="array" aca="1" ref="N463" ca="1">SUMPRODUCT((Table1[SubscriptionStart] &lt;= $A463) * (Table1[EffectiveEndDate] &gt;= $A463) * (Table1[Region] = "Northern Ireland"))</f>
        <v>94</v>
      </c>
      <c r="O463" s="45" cm="1">
        <f t="array" aca="1" ref="O463" ca="1">SUMPRODUCT((Table1[Gender]="Male")*(Table1[SubscriptionStart]&lt;=A463)*(Table1[EffectiveEndDate]&gt;=A463))</f>
        <v>189</v>
      </c>
      <c r="P463" s="45" cm="1">
        <f t="array" aca="1" ref="P463" ca="1">SUMPRODUCT((Table1[Gender]="Female")*(Table1[SubscriptionStart]&lt;=A463)*(Table1[EffectiveEndDate]&gt;=A463))</f>
        <v>165</v>
      </c>
    </row>
    <row r="464" spans="1:16">
      <c r="A464" s="48">
        <f t="shared" si="31"/>
        <v>45024</v>
      </c>
      <c r="B464" s="45" cm="1">
        <f t="array" aca="1" ref="B464" ca="1">SUMPRODUCT((Table1[SubscriptionStart]&lt;=A464)*(Table1[EffectiveEndDate]&gt;=A464))</f>
        <v>355</v>
      </c>
      <c r="C464" s="45">
        <f>COUNTIFS(Table1[SubscriptionStart], A464)</f>
        <v>1</v>
      </c>
      <c r="D464" s="45">
        <f>COUNTIFS(Table1[CancellationDate], A464)</f>
        <v>1</v>
      </c>
      <c r="E464" s="45">
        <f t="shared" si="28"/>
        <v>0</v>
      </c>
      <c r="F464" s="45">
        <f>SUM($C$2:C464)</f>
        <v>502</v>
      </c>
      <c r="G464" s="49" cm="1">
        <f t="array" aca="1" ref="G464" ca="1">IF(B464=0,"", SUMPRODUCT((Table1[SubscriptionStart]&lt;=A464)*(Table1[EffectiveEndDate]&gt;=A464)*Table1[Age]) / B464 )</f>
        <v>47.059154929577467</v>
      </c>
      <c r="H464" s="22">
        <f>SUMIF(Table1[SubscriptionStart],"&lt;="&amp;A464,Table1[TotalRevenue])</f>
        <v>105972.3000000001</v>
      </c>
      <c r="I464" s="50">
        <f t="shared" si="29"/>
        <v>45046</v>
      </c>
      <c r="J464" s="49">
        <f t="shared" ca="1" si="30"/>
        <v>357.4</v>
      </c>
      <c r="K464" s="45" cm="1">
        <f t="array" aca="1" ref="K464" ca="1">SUMPRODUCT((Table1[SubscriptionStart] &lt;= $A464) * (Table1[EffectiveEndDate] &gt;= $A464) * (Table1[Region] = "England"))</f>
        <v>89</v>
      </c>
      <c r="L464" s="45" cm="1">
        <f t="array" aca="1" ref="L464" ca="1">SUMPRODUCT((Table1[SubscriptionStart] &lt;= $A464) * (Table1[EffectiveEndDate] &gt;= $A464) * (Table1[Region] = "Scotland"))</f>
        <v>74</v>
      </c>
      <c r="M464" s="45" cm="1">
        <f t="array" aca="1" ref="M464" ca="1">SUMPRODUCT((Table1[SubscriptionStart] &lt;= $A464) * (Table1[EffectiveEndDate] &gt;= $A464) * (Table1[Region] = "Wales"))</f>
        <v>98</v>
      </c>
      <c r="N464" s="45" cm="1">
        <f t="array" aca="1" ref="N464" ca="1">SUMPRODUCT((Table1[SubscriptionStart] &lt;= $A464) * (Table1[EffectiveEndDate] &gt;= $A464) * (Table1[Region] = "Northern Ireland"))</f>
        <v>94</v>
      </c>
      <c r="O464" s="45" cm="1">
        <f t="array" aca="1" ref="O464" ca="1">SUMPRODUCT((Table1[Gender]="Male")*(Table1[SubscriptionStart]&lt;=A464)*(Table1[EffectiveEndDate]&gt;=A464))</f>
        <v>189</v>
      </c>
      <c r="P464" s="45" cm="1">
        <f t="array" aca="1" ref="P464" ca="1">SUMPRODUCT((Table1[Gender]="Female")*(Table1[SubscriptionStart]&lt;=A464)*(Table1[EffectiveEndDate]&gt;=A464))</f>
        <v>166</v>
      </c>
    </row>
    <row r="465" spans="1:16">
      <c r="A465" s="48">
        <f t="shared" si="31"/>
        <v>45025</v>
      </c>
      <c r="B465" s="45" cm="1">
        <f t="array" aca="1" ref="B465" ca="1">SUMPRODUCT((Table1[SubscriptionStart]&lt;=A465)*(Table1[EffectiveEndDate]&gt;=A465))</f>
        <v>355</v>
      </c>
      <c r="C465" s="45">
        <f>COUNTIFS(Table1[SubscriptionStart], A465)</f>
        <v>1</v>
      </c>
      <c r="D465" s="45">
        <f>COUNTIFS(Table1[CancellationDate], A465)</f>
        <v>2</v>
      </c>
      <c r="E465" s="45">
        <f t="shared" si="28"/>
        <v>-1</v>
      </c>
      <c r="F465" s="45">
        <f>SUM($C$2:C465)</f>
        <v>503</v>
      </c>
      <c r="G465" s="49" cm="1">
        <f t="array" aca="1" ref="G465" ca="1">IF(B465=0,"", SUMPRODUCT((Table1[SubscriptionStart]&lt;=A465)*(Table1[EffectiveEndDate]&gt;=A465)*Table1[Age]) / B465 )</f>
        <v>47.016901408450707</v>
      </c>
      <c r="H465" s="22">
        <f>SUMIF(Table1[SubscriptionStart],"&lt;="&amp;A465,Table1[TotalRevenue])</f>
        <v>106012.8000000001</v>
      </c>
      <c r="I465" s="50">
        <f t="shared" si="29"/>
        <v>45046</v>
      </c>
      <c r="J465" s="49">
        <f t="shared" ca="1" si="30"/>
        <v>357.4</v>
      </c>
      <c r="K465" s="45" cm="1">
        <f t="array" aca="1" ref="K465" ca="1">SUMPRODUCT((Table1[SubscriptionStart] &lt;= $A465) * (Table1[EffectiveEndDate] &gt;= $A465) * (Table1[Region] = "England"))</f>
        <v>89</v>
      </c>
      <c r="L465" s="45" cm="1">
        <f t="array" aca="1" ref="L465" ca="1">SUMPRODUCT((Table1[SubscriptionStart] &lt;= $A465) * (Table1[EffectiveEndDate] &gt;= $A465) * (Table1[Region] = "Scotland"))</f>
        <v>75</v>
      </c>
      <c r="M465" s="45" cm="1">
        <f t="array" aca="1" ref="M465" ca="1">SUMPRODUCT((Table1[SubscriptionStart] &lt;= $A465) * (Table1[EffectiveEndDate] &gt;= $A465) * (Table1[Region] = "Wales"))</f>
        <v>97</v>
      </c>
      <c r="N465" s="45" cm="1">
        <f t="array" aca="1" ref="N465" ca="1">SUMPRODUCT((Table1[SubscriptionStart] &lt;= $A465) * (Table1[EffectiveEndDate] &gt;= $A465) * (Table1[Region] = "Northern Ireland"))</f>
        <v>94</v>
      </c>
      <c r="O465" s="45" cm="1">
        <f t="array" aca="1" ref="O465" ca="1">SUMPRODUCT((Table1[Gender]="Male")*(Table1[SubscriptionStart]&lt;=A465)*(Table1[EffectiveEndDate]&gt;=A465))</f>
        <v>188</v>
      </c>
      <c r="P465" s="45" cm="1">
        <f t="array" aca="1" ref="P465" ca="1">SUMPRODUCT((Table1[Gender]="Female")*(Table1[SubscriptionStart]&lt;=A465)*(Table1[EffectiveEndDate]&gt;=A465))</f>
        <v>167</v>
      </c>
    </row>
    <row r="466" spans="1:16">
      <c r="A466" s="48">
        <f t="shared" si="31"/>
        <v>45026</v>
      </c>
      <c r="B466" s="45" cm="1">
        <f t="array" aca="1" ref="B466" ca="1">SUMPRODUCT((Table1[SubscriptionStart]&lt;=A466)*(Table1[EffectiveEndDate]&gt;=A466))</f>
        <v>355</v>
      </c>
      <c r="C466" s="45">
        <f>COUNTIFS(Table1[SubscriptionStart], A466)</f>
        <v>2</v>
      </c>
      <c r="D466" s="45">
        <f>COUNTIFS(Table1[CancellationDate], A466)</f>
        <v>1</v>
      </c>
      <c r="E466" s="45">
        <f t="shared" si="28"/>
        <v>1</v>
      </c>
      <c r="F466" s="45">
        <f>SUM($C$2:C466)</f>
        <v>505</v>
      </c>
      <c r="G466" s="49" cm="1">
        <f t="array" aca="1" ref="G466" ca="1">IF(B466=0,"", SUMPRODUCT((Table1[SubscriptionStart]&lt;=A466)*(Table1[EffectiveEndDate]&gt;=A466)*Table1[Age]) / B466 )</f>
        <v>46.842253521126757</v>
      </c>
      <c r="H466" s="22">
        <f>SUMIF(Table1[SubscriptionStart],"&lt;="&amp;A466,Table1[TotalRevenue])</f>
        <v>106186.0500000001</v>
      </c>
      <c r="I466" s="50">
        <f t="shared" si="29"/>
        <v>45046</v>
      </c>
      <c r="J466" s="49">
        <f t="shared" ca="1" si="30"/>
        <v>357.4</v>
      </c>
      <c r="K466" s="45" cm="1">
        <f t="array" aca="1" ref="K466" ca="1">SUMPRODUCT((Table1[SubscriptionStart] &lt;= $A466) * (Table1[EffectiveEndDate] &gt;= $A466) * (Table1[Region] = "England"))</f>
        <v>90</v>
      </c>
      <c r="L466" s="45" cm="1">
        <f t="array" aca="1" ref="L466" ca="1">SUMPRODUCT((Table1[SubscriptionStart] &lt;= $A466) * (Table1[EffectiveEndDate] &gt;= $A466) * (Table1[Region] = "Scotland"))</f>
        <v>75</v>
      </c>
      <c r="M466" s="45" cm="1">
        <f t="array" aca="1" ref="M466" ca="1">SUMPRODUCT((Table1[SubscriptionStart] &lt;= $A466) * (Table1[EffectiveEndDate] &gt;= $A466) * (Table1[Region] = "Wales"))</f>
        <v>96</v>
      </c>
      <c r="N466" s="45" cm="1">
        <f t="array" aca="1" ref="N466" ca="1">SUMPRODUCT((Table1[SubscriptionStart] &lt;= $A466) * (Table1[EffectiveEndDate] &gt;= $A466) * (Table1[Region] = "Northern Ireland"))</f>
        <v>94</v>
      </c>
      <c r="O466" s="45" cm="1">
        <f t="array" aca="1" ref="O466" ca="1">SUMPRODUCT((Table1[Gender]="Male")*(Table1[SubscriptionStart]&lt;=A466)*(Table1[EffectiveEndDate]&gt;=A466))</f>
        <v>187</v>
      </c>
      <c r="P466" s="45" cm="1">
        <f t="array" aca="1" ref="P466" ca="1">SUMPRODUCT((Table1[Gender]="Female")*(Table1[SubscriptionStart]&lt;=A466)*(Table1[EffectiveEndDate]&gt;=A466))</f>
        <v>168</v>
      </c>
    </row>
    <row r="467" spans="1:16">
      <c r="A467" s="48">
        <f t="shared" si="31"/>
        <v>45027</v>
      </c>
      <c r="B467" s="45" cm="1">
        <f t="array" aca="1" ref="B467" ca="1">SUMPRODUCT((Table1[SubscriptionStart]&lt;=A467)*(Table1[EffectiveEndDate]&gt;=A467))</f>
        <v>356</v>
      </c>
      <c r="C467" s="45">
        <f>COUNTIFS(Table1[SubscriptionStart], A467)</f>
        <v>2</v>
      </c>
      <c r="D467" s="45">
        <f>COUNTIFS(Table1[CancellationDate], A467)</f>
        <v>0</v>
      </c>
      <c r="E467" s="45">
        <f t="shared" si="28"/>
        <v>2</v>
      </c>
      <c r="F467" s="45">
        <f>SUM($C$2:C467)</f>
        <v>507</v>
      </c>
      <c r="G467" s="49" cm="1">
        <f t="array" aca="1" ref="G467" ca="1">IF(B467=0,"", SUMPRODUCT((Table1[SubscriptionStart]&lt;=A467)*(Table1[EffectiveEndDate]&gt;=A467)*Table1[Age]) / B467 )</f>
        <v>46.80898876404494</v>
      </c>
      <c r="H467" s="22">
        <f>SUMIF(Table1[SubscriptionStart],"&lt;="&amp;A467,Table1[TotalRevenue])</f>
        <v>106330.0500000001</v>
      </c>
      <c r="I467" s="50">
        <f t="shared" si="29"/>
        <v>45046</v>
      </c>
      <c r="J467" s="49">
        <f t="shared" ca="1" si="30"/>
        <v>357.4</v>
      </c>
      <c r="K467" s="45" cm="1">
        <f t="array" aca="1" ref="K467" ca="1">SUMPRODUCT((Table1[SubscriptionStart] &lt;= $A467) * (Table1[EffectiveEndDate] &gt;= $A467) * (Table1[Region] = "England"))</f>
        <v>91</v>
      </c>
      <c r="L467" s="45" cm="1">
        <f t="array" aca="1" ref="L467" ca="1">SUMPRODUCT((Table1[SubscriptionStart] &lt;= $A467) * (Table1[EffectiveEndDate] &gt;= $A467) * (Table1[Region] = "Scotland"))</f>
        <v>75</v>
      </c>
      <c r="M467" s="45" cm="1">
        <f t="array" aca="1" ref="M467" ca="1">SUMPRODUCT((Table1[SubscriptionStart] &lt;= $A467) * (Table1[EffectiveEndDate] &gt;= $A467) * (Table1[Region] = "Wales"))</f>
        <v>97</v>
      </c>
      <c r="N467" s="45" cm="1">
        <f t="array" aca="1" ref="N467" ca="1">SUMPRODUCT((Table1[SubscriptionStart] &lt;= $A467) * (Table1[EffectiveEndDate] &gt;= $A467) * (Table1[Region] = "Northern Ireland"))</f>
        <v>93</v>
      </c>
      <c r="O467" s="45" cm="1">
        <f t="array" aca="1" ref="O467" ca="1">SUMPRODUCT((Table1[Gender]="Male")*(Table1[SubscriptionStart]&lt;=A467)*(Table1[EffectiveEndDate]&gt;=A467))</f>
        <v>186</v>
      </c>
      <c r="P467" s="45" cm="1">
        <f t="array" aca="1" ref="P467" ca="1">SUMPRODUCT((Table1[Gender]="Female")*(Table1[SubscriptionStart]&lt;=A467)*(Table1[EffectiveEndDate]&gt;=A467))</f>
        <v>170</v>
      </c>
    </row>
    <row r="468" spans="1:16">
      <c r="A468" s="48">
        <f t="shared" si="31"/>
        <v>45028</v>
      </c>
      <c r="B468" s="45" cm="1">
        <f t="array" aca="1" ref="B468" ca="1">SUMPRODUCT((Table1[SubscriptionStart]&lt;=A468)*(Table1[EffectiveEndDate]&gt;=A468))</f>
        <v>356</v>
      </c>
      <c r="C468" s="45">
        <f>COUNTIFS(Table1[SubscriptionStart], A468)</f>
        <v>0</v>
      </c>
      <c r="D468" s="45">
        <f>COUNTIFS(Table1[CancellationDate], A468)</f>
        <v>0</v>
      </c>
      <c r="E468" s="45">
        <f t="shared" si="28"/>
        <v>0</v>
      </c>
      <c r="F468" s="45">
        <f>SUM($C$2:C468)</f>
        <v>507</v>
      </c>
      <c r="G468" s="49" cm="1">
        <f t="array" aca="1" ref="G468" ca="1">IF(B468=0,"", SUMPRODUCT((Table1[SubscriptionStart]&lt;=A468)*(Table1[EffectiveEndDate]&gt;=A468)*Table1[Age]) / B468 )</f>
        <v>46.80898876404494</v>
      </c>
      <c r="H468" s="22">
        <f>SUMIF(Table1[SubscriptionStart],"&lt;="&amp;A468,Table1[TotalRevenue])</f>
        <v>106330.0500000001</v>
      </c>
      <c r="I468" s="50">
        <f t="shared" si="29"/>
        <v>45046</v>
      </c>
      <c r="J468" s="49">
        <f t="shared" ca="1" si="30"/>
        <v>357.4</v>
      </c>
      <c r="K468" s="45" cm="1">
        <f t="array" aca="1" ref="K468" ca="1">SUMPRODUCT((Table1[SubscriptionStart] &lt;= $A468) * (Table1[EffectiveEndDate] &gt;= $A468) * (Table1[Region] = "England"))</f>
        <v>91</v>
      </c>
      <c r="L468" s="45" cm="1">
        <f t="array" aca="1" ref="L468" ca="1">SUMPRODUCT((Table1[SubscriptionStart] &lt;= $A468) * (Table1[EffectiveEndDate] &gt;= $A468) * (Table1[Region] = "Scotland"))</f>
        <v>75</v>
      </c>
      <c r="M468" s="45" cm="1">
        <f t="array" aca="1" ref="M468" ca="1">SUMPRODUCT((Table1[SubscriptionStart] &lt;= $A468) * (Table1[EffectiveEndDate] &gt;= $A468) * (Table1[Region] = "Wales"))</f>
        <v>97</v>
      </c>
      <c r="N468" s="45" cm="1">
        <f t="array" aca="1" ref="N468" ca="1">SUMPRODUCT((Table1[SubscriptionStart] &lt;= $A468) * (Table1[EffectiveEndDate] &gt;= $A468) * (Table1[Region] = "Northern Ireland"))</f>
        <v>93</v>
      </c>
      <c r="O468" s="45" cm="1">
        <f t="array" aca="1" ref="O468" ca="1">SUMPRODUCT((Table1[Gender]="Male")*(Table1[SubscriptionStart]&lt;=A468)*(Table1[EffectiveEndDate]&gt;=A468))</f>
        <v>186</v>
      </c>
      <c r="P468" s="45" cm="1">
        <f t="array" aca="1" ref="P468" ca="1">SUMPRODUCT((Table1[Gender]="Female")*(Table1[SubscriptionStart]&lt;=A468)*(Table1[EffectiveEndDate]&gt;=A468))</f>
        <v>170</v>
      </c>
    </row>
    <row r="469" spans="1:16">
      <c r="A469" s="48">
        <f t="shared" si="31"/>
        <v>45029</v>
      </c>
      <c r="B469" s="45" cm="1">
        <f t="array" aca="1" ref="B469" ca="1">SUMPRODUCT((Table1[SubscriptionStart]&lt;=A469)*(Table1[EffectiveEndDate]&gt;=A469))</f>
        <v>357</v>
      </c>
      <c r="C469" s="45">
        <f>COUNTIFS(Table1[SubscriptionStart], A469)</f>
        <v>1</v>
      </c>
      <c r="D469" s="45">
        <f>COUNTIFS(Table1[CancellationDate], A469)</f>
        <v>3</v>
      </c>
      <c r="E469" s="45">
        <f t="shared" si="28"/>
        <v>-2</v>
      </c>
      <c r="F469" s="45">
        <f>SUM($C$2:C469)</f>
        <v>508</v>
      </c>
      <c r="G469" s="49" cm="1">
        <f t="array" aca="1" ref="G469" ca="1">IF(B469=0,"", SUMPRODUCT((Table1[SubscriptionStart]&lt;=A469)*(Table1[EffectiveEndDate]&gt;=A469)*Table1[Age]) / B469 )</f>
        <v>46.862745098039213</v>
      </c>
      <c r="H469" s="22">
        <f>SUMIF(Table1[SubscriptionStart],"&lt;="&amp;A469,Table1[TotalRevenue])</f>
        <v>106510.0500000001</v>
      </c>
      <c r="I469" s="50">
        <f t="shared" si="29"/>
        <v>45046</v>
      </c>
      <c r="J469" s="49">
        <f t="shared" ca="1" si="30"/>
        <v>357.4</v>
      </c>
      <c r="K469" s="45" cm="1">
        <f t="array" aca="1" ref="K469" ca="1">SUMPRODUCT((Table1[SubscriptionStart] &lt;= $A469) * (Table1[EffectiveEndDate] &gt;= $A469) * (Table1[Region] = "England"))</f>
        <v>91</v>
      </c>
      <c r="L469" s="45" cm="1">
        <f t="array" aca="1" ref="L469" ca="1">SUMPRODUCT((Table1[SubscriptionStart] &lt;= $A469) * (Table1[EffectiveEndDate] &gt;= $A469) * (Table1[Region] = "Scotland"))</f>
        <v>75</v>
      </c>
      <c r="M469" s="45" cm="1">
        <f t="array" aca="1" ref="M469" ca="1">SUMPRODUCT((Table1[SubscriptionStart] &lt;= $A469) * (Table1[EffectiveEndDate] &gt;= $A469) * (Table1[Region] = "Wales"))</f>
        <v>97</v>
      </c>
      <c r="N469" s="45" cm="1">
        <f t="array" aca="1" ref="N469" ca="1">SUMPRODUCT((Table1[SubscriptionStart] &lt;= $A469) * (Table1[EffectiveEndDate] &gt;= $A469) * (Table1[Region] = "Northern Ireland"))</f>
        <v>94</v>
      </c>
      <c r="O469" s="45" cm="1">
        <f t="array" aca="1" ref="O469" ca="1">SUMPRODUCT((Table1[Gender]="Male")*(Table1[SubscriptionStart]&lt;=A469)*(Table1[EffectiveEndDate]&gt;=A469))</f>
        <v>186</v>
      </c>
      <c r="P469" s="45" cm="1">
        <f t="array" aca="1" ref="P469" ca="1">SUMPRODUCT((Table1[Gender]="Female")*(Table1[SubscriptionStart]&lt;=A469)*(Table1[EffectiveEndDate]&gt;=A469))</f>
        <v>171</v>
      </c>
    </row>
    <row r="470" spans="1:16">
      <c r="A470" s="48">
        <f t="shared" si="31"/>
        <v>45030</v>
      </c>
      <c r="B470" s="45" cm="1">
        <f t="array" aca="1" ref="B470" ca="1">SUMPRODUCT((Table1[SubscriptionStart]&lt;=A470)*(Table1[EffectiveEndDate]&gt;=A470))</f>
        <v>355</v>
      </c>
      <c r="C470" s="45">
        <f>COUNTIFS(Table1[SubscriptionStart], A470)</f>
        <v>1</v>
      </c>
      <c r="D470" s="45">
        <f>COUNTIFS(Table1[CancellationDate], A470)</f>
        <v>0</v>
      </c>
      <c r="E470" s="45">
        <f t="shared" si="28"/>
        <v>1</v>
      </c>
      <c r="F470" s="45">
        <f>SUM($C$2:C470)</f>
        <v>509</v>
      </c>
      <c r="G470" s="49" cm="1">
        <f t="array" aca="1" ref="G470" ca="1">IF(B470=0,"", SUMPRODUCT((Table1[SubscriptionStart]&lt;=A470)*(Table1[EffectiveEndDate]&gt;=A470)*Table1[Age]) / B470 )</f>
        <v>46.822535211267606</v>
      </c>
      <c r="H470" s="22">
        <f>SUMIF(Table1[SubscriptionStart],"&lt;="&amp;A470,Table1[TotalRevenue])</f>
        <v>106690.0500000001</v>
      </c>
      <c r="I470" s="50">
        <f t="shared" si="29"/>
        <v>45046</v>
      </c>
      <c r="J470" s="49">
        <f t="shared" ca="1" si="30"/>
        <v>357.4</v>
      </c>
      <c r="K470" s="45" cm="1">
        <f t="array" aca="1" ref="K470" ca="1">SUMPRODUCT((Table1[SubscriptionStart] &lt;= $A470) * (Table1[EffectiveEndDate] &gt;= $A470) * (Table1[Region] = "England"))</f>
        <v>91</v>
      </c>
      <c r="L470" s="45" cm="1">
        <f t="array" aca="1" ref="L470" ca="1">SUMPRODUCT((Table1[SubscriptionStart] &lt;= $A470) * (Table1[EffectiveEndDate] &gt;= $A470) * (Table1[Region] = "Scotland"))</f>
        <v>74</v>
      </c>
      <c r="M470" s="45" cm="1">
        <f t="array" aca="1" ref="M470" ca="1">SUMPRODUCT((Table1[SubscriptionStart] &lt;= $A470) * (Table1[EffectiveEndDate] &gt;= $A470) * (Table1[Region] = "Wales"))</f>
        <v>97</v>
      </c>
      <c r="N470" s="45" cm="1">
        <f t="array" aca="1" ref="N470" ca="1">SUMPRODUCT((Table1[SubscriptionStart] &lt;= $A470) * (Table1[EffectiveEndDate] &gt;= $A470) * (Table1[Region] = "Northern Ireland"))</f>
        <v>93</v>
      </c>
      <c r="O470" s="45" cm="1">
        <f t="array" aca="1" ref="O470" ca="1">SUMPRODUCT((Table1[Gender]="Male")*(Table1[SubscriptionStart]&lt;=A470)*(Table1[EffectiveEndDate]&gt;=A470))</f>
        <v>184</v>
      </c>
      <c r="P470" s="45" cm="1">
        <f t="array" aca="1" ref="P470" ca="1">SUMPRODUCT((Table1[Gender]="Female")*(Table1[SubscriptionStart]&lt;=A470)*(Table1[EffectiveEndDate]&gt;=A470))</f>
        <v>171</v>
      </c>
    </row>
    <row r="471" spans="1:16">
      <c r="A471" s="48">
        <f t="shared" si="31"/>
        <v>45031</v>
      </c>
      <c r="B471" s="45" cm="1">
        <f t="array" aca="1" ref="B471" ca="1">SUMPRODUCT((Table1[SubscriptionStart]&lt;=A471)*(Table1[EffectiveEndDate]&gt;=A471))</f>
        <v>355</v>
      </c>
      <c r="C471" s="45">
        <f>COUNTIFS(Table1[SubscriptionStart], A471)</f>
        <v>0</v>
      </c>
      <c r="D471" s="45">
        <f>COUNTIFS(Table1[CancellationDate], A471)</f>
        <v>0</v>
      </c>
      <c r="E471" s="45">
        <f t="shared" si="28"/>
        <v>0</v>
      </c>
      <c r="F471" s="45">
        <f>SUM($C$2:C471)</f>
        <v>509</v>
      </c>
      <c r="G471" s="49" cm="1">
        <f t="array" aca="1" ref="G471" ca="1">IF(B471=0,"", SUMPRODUCT((Table1[SubscriptionStart]&lt;=A471)*(Table1[EffectiveEndDate]&gt;=A471)*Table1[Age]) / B471 )</f>
        <v>46.822535211267606</v>
      </c>
      <c r="H471" s="22">
        <f>SUMIF(Table1[SubscriptionStart],"&lt;="&amp;A471,Table1[TotalRevenue])</f>
        <v>106690.0500000001</v>
      </c>
      <c r="I471" s="50">
        <f t="shared" si="29"/>
        <v>45046</v>
      </c>
      <c r="J471" s="49">
        <f t="shared" ca="1" si="30"/>
        <v>357.4</v>
      </c>
      <c r="K471" s="45" cm="1">
        <f t="array" aca="1" ref="K471" ca="1">SUMPRODUCT((Table1[SubscriptionStart] &lt;= $A471) * (Table1[EffectiveEndDate] &gt;= $A471) * (Table1[Region] = "England"))</f>
        <v>91</v>
      </c>
      <c r="L471" s="45" cm="1">
        <f t="array" aca="1" ref="L471" ca="1">SUMPRODUCT((Table1[SubscriptionStart] &lt;= $A471) * (Table1[EffectiveEndDate] &gt;= $A471) * (Table1[Region] = "Scotland"))</f>
        <v>74</v>
      </c>
      <c r="M471" s="45" cm="1">
        <f t="array" aca="1" ref="M471" ca="1">SUMPRODUCT((Table1[SubscriptionStart] &lt;= $A471) * (Table1[EffectiveEndDate] &gt;= $A471) * (Table1[Region] = "Wales"))</f>
        <v>97</v>
      </c>
      <c r="N471" s="45" cm="1">
        <f t="array" aca="1" ref="N471" ca="1">SUMPRODUCT((Table1[SubscriptionStart] &lt;= $A471) * (Table1[EffectiveEndDate] &gt;= $A471) * (Table1[Region] = "Northern Ireland"))</f>
        <v>93</v>
      </c>
      <c r="O471" s="45" cm="1">
        <f t="array" aca="1" ref="O471" ca="1">SUMPRODUCT((Table1[Gender]="Male")*(Table1[SubscriptionStart]&lt;=A471)*(Table1[EffectiveEndDate]&gt;=A471))</f>
        <v>184</v>
      </c>
      <c r="P471" s="45" cm="1">
        <f t="array" aca="1" ref="P471" ca="1">SUMPRODUCT((Table1[Gender]="Female")*(Table1[SubscriptionStart]&lt;=A471)*(Table1[EffectiveEndDate]&gt;=A471))</f>
        <v>171</v>
      </c>
    </row>
    <row r="472" spans="1:16">
      <c r="A472" s="48">
        <f t="shared" si="31"/>
        <v>45032</v>
      </c>
      <c r="B472" s="45" cm="1">
        <f t="array" aca="1" ref="B472" ca="1">SUMPRODUCT((Table1[SubscriptionStart]&lt;=A472)*(Table1[EffectiveEndDate]&gt;=A472))</f>
        <v>356</v>
      </c>
      <c r="C472" s="45">
        <f>COUNTIFS(Table1[SubscriptionStart], A472)</f>
        <v>1</v>
      </c>
      <c r="D472" s="45">
        <f>COUNTIFS(Table1[CancellationDate], A472)</f>
        <v>0</v>
      </c>
      <c r="E472" s="45">
        <f t="shared" si="28"/>
        <v>1</v>
      </c>
      <c r="F472" s="45">
        <f>SUM($C$2:C472)</f>
        <v>510</v>
      </c>
      <c r="G472" s="49" cm="1">
        <f t="array" aca="1" ref="G472" ca="1">IF(B472=0,"", SUMPRODUCT((Table1[SubscriptionStart]&lt;=A472)*(Table1[EffectiveEndDate]&gt;=A472)*Table1[Age]) / B472 )</f>
        <v>46.83988764044944</v>
      </c>
      <c r="H472" s="22">
        <f>SUMIF(Table1[SubscriptionStart],"&lt;="&amp;A472,Table1[TotalRevenue])</f>
        <v>106989.0500000001</v>
      </c>
      <c r="I472" s="50">
        <f t="shared" si="29"/>
        <v>45046</v>
      </c>
      <c r="J472" s="49">
        <f t="shared" ca="1" si="30"/>
        <v>357.4</v>
      </c>
      <c r="K472" s="45" cm="1">
        <f t="array" aca="1" ref="K472" ca="1">SUMPRODUCT((Table1[SubscriptionStart] &lt;= $A472) * (Table1[EffectiveEndDate] &gt;= $A472) * (Table1[Region] = "England"))</f>
        <v>92</v>
      </c>
      <c r="L472" s="45" cm="1">
        <f t="array" aca="1" ref="L472" ca="1">SUMPRODUCT((Table1[SubscriptionStart] &lt;= $A472) * (Table1[EffectiveEndDate] &gt;= $A472) * (Table1[Region] = "Scotland"))</f>
        <v>74</v>
      </c>
      <c r="M472" s="45" cm="1">
        <f t="array" aca="1" ref="M472" ca="1">SUMPRODUCT((Table1[SubscriptionStart] &lt;= $A472) * (Table1[EffectiveEndDate] &gt;= $A472) * (Table1[Region] = "Wales"))</f>
        <v>97</v>
      </c>
      <c r="N472" s="45" cm="1">
        <f t="array" aca="1" ref="N472" ca="1">SUMPRODUCT((Table1[SubscriptionStart] &lt;= $A472) * (Table1[EffectiveEndDate] &gt;= $A472) * (Table1[Region] = "Northern Ireland"))</f>
        <v>93</v>
      </c>
      <c r="O472" s="45" cm="1">
        <f t="array" aca="1" ref="O472" ca="1">SUMPRODUCT((Table1[Gender]="Male")*(Table1[SubscriptionStart]&lt;=A472)*(Table1[EffectiveEndDate]&gt;=A472))</f>
        <v>185</v>
      </c>
      <c r="P472" s="45" cm="1">
        <f t="array" aca="1" ref="P472" ca="1">SUMPRODUCT((Table1[Gender]="Female")*(Table1[SubscriptionStart]&lt;=A472)*(Table1[EffectiveEndDate]&gt;=A472))</f>
        <v>171</v>
      </c>
    </row>
    <row r="473" spans="1:16">
      <c r="A473" s="48">
        <f t="shared" si="31"/>
        <v>45033</v>
      </c>
      <c r="B473" s="45" cm="1">
        <f t="array" aca="1" ref="B473" ca="1">SUMPRODUCT((Table1[SubscriptionStart]&lt;=A473)*(Table1[EffectiveEndDate]&gt;=A473))</f>
        <v>356</v>
      </c>
      <c r="C473" s="45">
        <f>COUNTIFS(Table1[SubscriptionStart], A473)</f>
        <v>0</v>
      </c>
      <c r="D473" s="45">
        <f>COUNTIFS(Table1[CancellationDate], A473)</f>
        <v>0</v>
      </c>
      <c r="E473" s="45">
        <f t="shared" si="28"/>
        <v>0</v>
      </c>
      <c r="F473" s="45">
        <f>SUM($C$2:C473)</f>
        <v>510</v>
      </c>
      <c r="G473" s="49" cm="1">
        <f t="array" aca="1" ref="G473" ca="1">IF(B473=0,"", SUMPRODUCT((Table1[SubscriptionStart]&lt;=A473)*(Table1[EffectiveEndDate]&gt;=A473)*Table1[Age]) / B473 )</f>
        <v>46.83988764044944</v>
      </c>
      <c r="H473" s="22">
        <f>SUMIF(Table1[SubscriptionStart],"&lt;="&amp;A473,Table1[TotalRevenue])</f>
        <v>106989.0500000001</v>
      </c>
      <c r="I473" s="50">
        <f t="shared" si="29"/>
        <v>45046</v>
      </c>
      <c r="J473" s="49">
        <f t="shared" ca="1" si="30"/>
        <v>357.4</v>
      </c>
      <c r="K473" s="45" cm="1">
        <f t="array" aca="1" ref="K473" ca="1">SUMPRODUCT((Table1[SubscriptionStart] &lt;= $A473) * (Table1[EffectiveEndDate] &gt;= $A473) * (Table1[Region] = "England"))</f>
        <v>92</v>
      </c>
      <c r="L473" s="45" cm="1">
        <f t="array" aca="1" ref="L473" ca="1">SUMPRODUCT((Table1[SubscriptionStart] &lt;= $A473) * (Table1[EffectiveEndDate] &gt;= $A473) * (Table1[Region] = "Scotland"))</f>
        <v>74</v>
      </c>
      <c r="M473" s="45" cm="1">
        <f t="array" aca="1" ref="M473" ca="1">SUMPRODUCT((Table1[SubscriptionStart] &lt;= $A473) * (Table1[EffectiveEndDate] &gt;= $A473) * (Table1[Region] = "Wales"))</f>
        <v>97</v>
      </c>
      <c r="N473" s="45" cm="1">
        <f t="array" aca="1" ref="N473" ca="1">SUMPRODUCT((Table1[SubscriptionStart] &lt;= $A473) * (Table1[EffectiveEndDate] &gt;= $A473) * (Table1[Region] = "Northern Ireland"))</f>
        <v>93</v>
      </c>
      <c r="O473" s="45" cm="1">
        <f t="array" aca="1" ref="O473" ca="1">SUMPRODUCT((Table1[Gender]="Male")*(Table1[SubscriptionStart]&lt;=A473)*(Table1[EffectiveEndDate]&gt;=A473))</f>
        <v>185</v>
      </c>
      <c r="P473" s="45" cm="1">
        <f t="array" aca="1" ref="P473" ca="1">SUMPRODUCT((Table1[Gender]="Female")*(Table1[SubscriptionStart]&lt;=A473)*(Table1[EffectiveEndDate]&gt;=A473))</f>
        <v>171</v>
      </c>
    </row>
    <row r="474" spans="1:16">
      <c r="A474" s="48">
        <f t="shared" si="31"/>
        <v>45034</v>
      </c>
      <c r="B474" s="45" cm="1">
        <f t="array" aca="1" ref="B474" ca="1">SUMPRODUCT((Table1[SubscriptionStart]&lt;=A474)*(Table1[EffectiveEndDate]&gt;=A474))</f>
        <v>358</v>
      </c>
      <c r="C474" s="45">
        <f>COUNTIFS(Table1[SubscriptionStart], A474)</f>
        <v>2</v>
      </c>
      <c r="D474" s="45">
        <f>COUNTIFS(Table1[CancellationDate], A474)</f>
        <v>0</v>
      </c>
      <c r="E474" s="45">
        <f t="shared" si="28"/>
        <v>2</v>
      </c>
      <c r="F474" s="45">
        <f>SUM($C$2:C474)</f>
        <v>512</v>
      </c>
      <c r="G474" s="49" cm="1">
        <f t="array" aca="1" ref="G474" ca="1">IF(B474=0,"", SUMPRODUCT((Table1[SubscriptionStart]&lt;=A474)*(Table1[EffectiveEndDate]&gt;=A474)*Table1[Age]) / B474 )</f>
        <v>46.745810055865924</v>
      </c>
      <c r="H474" s="22">
        <f>SUMIF(Table1[SubscriptionStart],"&lt;="&amp;A474,Table1[TotalRevenue])</f>
        <v>107061.9500000001</v>
      </c>
      <c r="I474" s="50">
        <f t="shared" si="29"/>
        <v>45046</v>
      </c>
      <c r="J474" s="49">
        <f t="shared" ca="1" si="30"/>
        <v>357.4</v>
      </c>
      <c r="K474" s="45" cm="1">
        <f t="array" aca="1" ref="K474" ca="1">SUMPRODUCT((Table1[SubscriptionStart] &lt;= $A474) * (Table1[EffectiveEndDate] &gt;= $A474) * (Table1[Region] = "England"))</f>
        <v>93</v>
      </c>
      <c r="L474" s="45" cm="1">
        <f t="array" aca="1" ref="L474" ca="1">SUMPRODUCT((Table1[SubscriptionStart] &lt;= $A474) * (Table1[EffectiveEndDate] &gt;= $A474) * (Table1[Region] = "Scotland"))</f>
        <v>74</v>
      </c>
      <c r="M474" s="45" cm="1">
        <f t="array" aca="1" ref="M474" ca="1">SUMPRODUCT((Table1[SubscriptionStart] &lt;= $A474) * (Table1[EffectiveEndDate] &gt;= $A474) * (Table1[Region] = "Wales"))</f>
        <v>98</v>
      </c>
      <c r="N474" s="45" cm="1">
        <f t="array" aca="1" ref="N474" ca="1">SUMPRODUCT((Table1[SubscriptionStart] &lt;= $A474) * (Table1[EffectiveEndDate] &gt;= $A474) * (Table1[Region] = "Northern Ireland"))</f>
        <v>93</v>
      </c>
      <c r="O474" s="45" cm="1">
        <f t="array" aca="1" ref="O474" ca="1">SUMPRODUCT((Table1[Gender]="Male")*(Table1[SubscriptionStart]&lt;=A474)*(Table1[EffectiveEndDate]&gt;=A474))</f>
        <v>186</v>
      </c>
      <c r="P474" s="45" cm="1">
        <f t="array" aca="1" ref="P474" ca="1">SUMPRODUCT((Table1[Gender]="Female")*(Table1[SubscriptionStart]&lt;=A474)*(Table1[EffectiveEndDate]&gt;=A474))</f>
        <v>172</v>
      </c>
    </row>
    <row r="475" spans="1:16">
      <c r="A475" s="48">
        <f t="shared" si="31"/>
        <v>45035</v>
      </c>
      <c r="B475" s="45" cm="1">
        <f t="array" aca="1" ref="B475" ca="1">SUMPRODUCT((Table1[SubscriptionStart]&lt;=A475)*(Table1[EffectiveEndDate]&gt;=A475))</f>
        <v>359</v>
      </c>
      <c r="C475" s="45">
        <f>COUNTIFS(Table1[SubscriptionStart], A475)</f>
        <v>1</v>
      </c>
      <c r="D475" s="45">
        <f>COUNTIFS(Table1[CancellationDate], A475)</f>
        <v>1</v>
      </c>
      <c r="E475" s="45">
        <f t="shared" si="28"/>
        <v>0</v>
      </c>
      <c r="F475" s="45">
        <f>SUM($C$2:C475)</f>
        <v>513</v>
      </c>
      <c r="G475" s="49" cm="1">
        <f t="array" aca="1" ref="G475" ca="1">IF(B475=0,"", SUMPRODUCT((Table1[SubscriptionStart]&lt;=A475)*(Table1[EffectiveEndDate]&gt;=A475)*Table1[Age]) / B475 )</f>
        <v>46.816155988857936</v>
      </c>
      <c r="H475" s="22">
        <f>SUMIF(Table1[SubscriptionStart],"&lt;="&amp;A475,Table1[TotalRevenue])</f>
        <v>107809.4500000001</v>
      </c>
      <c r="I475" s="50">
        <f t="shared" si="29"/>
        <v>45046</v>
      </c>
      <c r="J475" s="49">
        <f t="shared" ca="1" si="30"/>
        <v>357.4</v>
      </c>
      <c r="K475" s="45" cm="1">
        <f t="array" aca="1" ref="K475" ca="1">SUMPRODUCT((Table1[SubscriptionStart] &lt;= $A475) * (Table1[EffectiveEndDate] &gt;= $A475) * (Table1[Region] = "England"))</f>
        <v>94</v>
      </c>
      <c r="L475" s="45" cm="1">
        <f t="array" aca="1" ref="L475" ca="1">SUMPRODUCT((Table1[SubscriptionStart] &lt;= $A475) * (Table1[EffectiveEndDate] &gt;= $A475) * (Table1[Region] = "Scotland"))</f>
        <v>74</v>
      </c>
      <c r="M475" s="45" cm="1">
        <f t="array" aca="1" ref="M475" ca="1">SUMPRODUCT((Table1[SubscriptionStart] &lt;= $A475) * (Table1[EffectiveEndDate] &gt;= $A475) * (Table1[Region] = "Wales"))</f>
        <v>98</v>
      </c>
      <c r="N475" s="45" cm="1">
        <f t="array" aca="1" ref="N475" ca="1">SUMPRODUCT((Table1[SubscriptionStart] &lt;= $A475) * (Table1[EffectiveEndDate] &gt;= $A475) * (Table1[Region] = "Northern Ireland"))</f>
        <v>93</v>
      </c>
      <c r="O475" s="45" cm="1">
        <f t="array" aca="1" ref="O475" ca="1">SUMPRODUCT((Table1[Gender]="Male")*(Table1[SubscriptionStart]&lt;=A475)*(Table1[EffectiveEndDate]&gt;=A475))</f>
        <v>186</v>
      </c>
      <c r="P475" s="45" cm="1">
        <f t="array" aca="1" ref="P475" ca="1">SUMPRODUCT((Table1[Gender]="Female")*(Table1[SubscriptionStart]&lt;=A475)*(Table1[EffectiveEndDate]&gt;=A475))</f>
        <v>173</v>
      </c>
    </row>
    <row r="476" spans="1:16">
      <c r="A476" s="48">
        <f t="shared" si="31"/>
        <v>45036</v>
      </c>
      <c r="B476" s="45" cm="1">
        <f t="array" aca="1" ref="B476" ca="1">SUMPRODUCT((Table1[SubscriptionStart]&lt;=A476)*(Table1[EffectiveEndDate]&gt;=A476))</f>
        <v>360</v>
      </c>
      <c r="C476" s="45">
        <f>COUNTIFS(Table1[SubscriptionStart], A476)</f>
        <v>2</v>
      </c>
      <c r="D476" s="45">
        <f>COUNTIFS(Table1[CancellationDate], A476)</f>
        <v>0</v>
      </c>
      <c r="E476" s="45">
        <f t="shared" si="28"/>
        <v>2</v>
      </c>
      <c r="F476" s="45">
        <f>SUM($C$2:C476)</f>
        <v>515</v>
      </c>
      <c r="G476" s="49" cm="1">
        <f t="array" aca="1" ref="G476" ca="1">IF(B476=0,"", SUMPRODUCT((Table1[SubscriptionStart]&lt;=A476)*(Table1[EffectiveEndDate]&gt;=A476)*Table1[Age]) / B476 )</f>
        <v>46.81111111111111</v>
      </c>
      <c r="H476" s="22">
        <f>SUMIF(Table1[SubscriptionStart],"&lt;="&amp;A476,Table1[TotalRevenue])</f>
        <v>108061.4500000001</v>
      </c>
      <c r="I476" s="50">
        <f t="shared" si="29"/>
        <v>45046</v>
      </c>
      <c r="J476" s="49">
        <f t="shared" ca="1" si="30"/>
        <v>357.4</v>
      </c>
      <c r="K476" s="45" cm="1">
        <f t="array" aca="1" ref="K476" ca="1">SUMPRODUCT((Table1[SubscriptionStart] &lt;= $A476) * (Table1[EffectiveEndDate] &gt;= $A476) * (Table1[Region] = "England"))</f>
        <v>94</v>
      </c>
      <c r="L476" s="45" cm="1">
        <f t="array" aca="1" ref="L476" ca="1">SUMPRODUCT((Table1[SubscriptionStart] &lt;= $A476) * (Table1[EffectiveEndDate] &gt;= $A476) * (Table1[Region] = "Scotland"))</f>
        <v>75</v>
      </c>
      <c r="M476" s="45" cm="1">
        <f t="array" aca="1" ref="M476" ca="1">SUMPRODUCT((Table1[SubscriptionStart] &lt;= $A476) * (Table1[EffectiveEndDate] &gt;= $A476) * (Table1[Region] = "Wales"))</f>
        <v>98</v>
      </c>
      <c r="N476" s="45" cm="1">
        <f t="array" aca="1" ref="N476" ca="1">SUMPRODUCT((Table1[SubscriptionStart] &lt;= $A476) * (Table1[EffectiveEndDate] &gt;= $A476) * (Table1[Region] = "Northern Ireland"))</f>
        <v>93</v>
      </c>
      <c r="O476" s="45" cm="1">
        <f t="array" aca="1" ref="O476" ca="1">SUMPRODUCT((Table1[Gender]="Male")*(Table1[SubscriptionStart]&lt;=A476)*(Table1[EffectiveEndDate]&gt;=A476))</f>
        <v>186</v>
      </c>
      <c r="P476" s="45" cm="1">
        <f t="array" aca="1" ref="P476" ca="1">SUMPRODUCT((Table1[Gender]="Female")*(Table1[SubscriptionStart]&lt;=A476)*(Table1[EffectiveEndDate]&gt;=A476))</f>
        <v>174</v>
      </c>
    </row>
    <row r="477" spans="1:16">
      <c r="A477" s="48">
        <f t="shared" si="31"/>
        <v>45037</v>
      </c>
      <c r="B477" s="45" cm="1">
        <f t="array" aca="1" ref="B477" ca="1">SUMPRODUCT((Table1[SubscriptionStart]&lt;=A477)*(Table1[EffectiveEndDate]&gt;=A477))</f>
        <v>362</v>
      </c>
      <c r="C477" s="45">
        <f>COUNTIFS(Table1[SubscriptionStart], A477)</f>
        <v>2</v>
      </c>
      <c r="D477" s="45">
        <f>COUNTIFS(Table1[CancellationDate], A477)</f>
        <v>2</v>
      </c>
      <c r="E477" s="45">
        <f t="shared" si="28"/>
        <v>0</v>
      </c>
      <c r="F477" s="45">
        <f>SUM($C$2:C477)</f>
        <v>517</v>
      </c>
      <c r="G477" s="49" cm="1">
        <f t="array" aca="1" ref="G477" ca="1">IF(B477=0,"", SUMPRODUCT((Table1[SubscriptionStart]&lt;=A477)*(Table1[EffectiveEndDate]&gt;=A477)*Table1[Age]) / B477 )</f>
        <v>46.756906077348063</v>
      </c>
      <c r="H477" s="22">
        <f>SUMIF(Table1[SubscriptionStart],"&lt;="&amp;A477,Table1[TotalRevenue])</f>
        <v>108786.85000000009</v>
      </c>
      <c r="I477" s="50">
        <f t="shared" si="29"/>
        <v>45046</v>
      </c>
      <c r="J477" s="49">
        <f t="shared" ca="1" si="30"/>
        <v>357.4</v>
      </c>
      <c r="K477" s="45" cm="1">
        <f t="array" aca="1" ref="K477" ca="1">SUMPRODUCT((Table1[SubscriptionStart] &lt;= $A477) * (Table1[EffectiveEndDate] &gt;= $A477) * (Table1[Region] = "England"))</f>
        <v>94</v>
      </c>
      <c r="L477" s="45" cm="1">
        <f t="array" aca="1" ref="L477" ca="1">SUMPRODUCT((Table1[SubscriptionStart] &lt;= $A477) * (Table1[EffectiveEndDate] &gt;= $A477) * (Table1[Region] = "Scotland"))</f>
        <v>77</v>
      </c>
      <c r="M477" s="45" cm="1">
        <f t="array" aca="1" ref="M477" ca="1">SUMPRODUCT((Table1[SubscriptionStart] &lt;= $A477) * (Table1[EffectiveEndDate] &gt;= $A477) * (Table1[Region] = "Wales"))</f>
        <v>98</v>
      </c>
      <c r="N477" s="45" cm="1">
        <f t="array" aca="1" ref="N477" ca="1">SUMPRODUCT((Table1[SubscriptionStart] &lt;= $A477) * (Table1[EffectiveEndDate] &gt;= $A477) * (Table1[Region] = "Northern Ireland"))</f>
        <v>93</v>
      </c>
      <c r="O477" s="45" cm="1">
        <f t="array" aca="1" ref="O477" ca="1">SUMPRODUCT((Table1[Gender]="Male")*(Table1[SubscriptionStart]&lt;=A477)*(Table1[EffectiveEndDate]&gt;=A477))</f>
        <v>187</v>
      </c>
      <c r="P477" s="45" cm="1">
        <f t="array" aca="1" ref="P477" ca="1">SUMPRODUCT((Table1[Gender]="Female")*(Table1[SubscriptionStart]&lt;=A477)*(Table1[EffectiveEndDate]&gt;=A477))</f>
        <v>175</v>
      </c>
    </row>
    <row r="478" spans="1:16">
      <c r="A478" s="48">
        <f t="shared" si="31"/>
        <v>45038</v>
      </c>
      <c r="B478" s="45" cm="1">
        <f t="array" aca="1" ref="B478" ca="1">SUMPRODUCT((Table1[SubscriptionStart]&lt;=A478)*(Table1[EffectiveEndDate]&gt;=A478))</f>
        <v>361</v>
      </c>
      <c r="C478" s="45">
        <f>COUNTIFS(Table1[SubscriptionStart], A478)</f>
        <v>1</v>
      </c>
      <c r="D478" s="45">
        <f>COUNTIFS(Table1[CancellationDate], A478)</f>
        <v>0</v>
      </c>
      <c r="E478" s="45">
        <f t="shared" si="28"/>
        <v>1</v>
      </c>
      <c r="F478" s="45">
        <f>SUM($C$2:C478)</f>
        <v>518</v>
      </c>
      <c r="G478" s="49" cm="1">
        <f t="array" aca="1" ref="G478" ca="1">IF(B478=0,"", SUMPRODUCT((Table1[SubscriptionStart]&lt;=A478)*(Table1[EffectiveEndDate]&gt;=A478)*Table1[Age]) / B478 )</f>
        <v>46.73130193905817</v>
      </c>
      <c r="H478" s="22">
        <f>SUMIF(Table1[SubscriptionStart],"&lt;="&amp;A478,Table1[TotalRevenue])</f>
        <v>108966.85000000009</v>
      </c>
      <c r="I478" s="50">
        <f t="shared" si="29"/>
        <v>45046</v>
      </c>
      <c r="J478" s="49">
        <f t="shared" ca="1" si="30"/>
        <v>357.4</v>
      </c>
      <c r="K478" s="45" cm="1">
        <f t="array" aca="1" ref="K478" ca="1">SUMPRODUCT((Table1[SubscriptionStart] &lt;= $A478) * (Table1[EffectiveEndDate] &gt;= $A478) * (Table1[Region] = "England"))</f>
        <v>94</v>
      </c>
      <c r="L478" s="45" cm="1">
        <f t="array" aca="1" ref="L478" ca="1">SUMPRODUCT((Table1[SubscriptionStart] &lt;= $A478) * (Table1[EffectiveEndDate] &gt;= $A478) * (Table1[Region] = "Scotland"))</f>
        <v>77</v>
      </c>
      <c r="M478" s="45" cm="1">
        <f t="array" aca="1" ref="M478" ca="1">SUMPRODUCT((Table1[SubscriptionStart] &lt;= $A478) * (Table1[EffectiveEndDate] &gt;= $A478) * (Table1[Region] = "Wales"))</f>
        <v>99</v>
      </c>
      <c r="N478" s="45" cm="1">
        <f t="array" aca="1" ref="N478" ca="1">SUMPRODUCT((Table1[SubscriptionStart] &lt;= $A478) * (Table1[EffectiveEndDate] &gt;= $A478) * (Table1[Region] = "Northern Ireland"))</f>
        <v>91</v>
      </c>
      <c r="O478" s="45" cm="1">
        <f t="array" aca="1" ref="O478" ca="1">SUMPRODUCT((Table1[Gender]="Male")*(Table1[SubscriptionStart]&lt;=A478)*(Table1[EffectiveEndDate]&gt;=A478))</f>
        <v>187</v>
      </c>
      <c r="P478" s="45" cm="1">
        <f t="array" aca="1" ref="P478" ca="1">SUMPRODUCT((Table1[Gender]="Female")*(Table1[SubscriptionStart]&lt;=A478)*(Table1[EffectiveEndDate]&gt;=A478))</f>
        <v>174</v>
      </c>
    </row>
    <row r="479" spans="1:16">
      <c r="A479" s="48">
        <f t="shared" si="31"/>
        <v>45039</v>
      </c>
      <c r="B479" s="45" cm="1">
        <f t="array" aca="1" ref="B479" ca="1">SUMPRODUCT((Table1[SubscriptionStart]&lt;=A479)*(Table1[EffectiveEndDate]&gt;=A479))</f>
        <v>362</v>
      </c>
      <c r="C479" s="45">
        <f>COUNTIFS(Table1[SubscriptionStart], A479)</f>
        <v>1</v>
      </c>
      <c r="D479" s="45">
        <f>COUNTIFS(Table1[CancellationDate], A479)</f>
        <v>0</v>
      </c>
      <c r="E479" s="45">
        <f t="shared" si="28"/>
        <v>1</v>
      </c>
      <c r="F479" s="45">
        <f>SUM($C$2:C479)</f>
        <v>519</v>
      </c>
      <c r="G479" s="49" cm="1">
        <f t="array" aca="1" ref="G479" ca="1">IF(B479=0,"", SUMPRODUCT((Table1[SubscriptionStart]&lt;=A479)*(Table1[EffectiveEndDate]&gt;=A479)*Table1[Age]) / B479 )</f>
        <v>46.806629834254146</v>
      </c>
      <c r="H479" s="22">
        <f>SUMIF(Table1[SubscriptionStart],"&lt;="&amp;A479,Table1[TotalRevenue])</f>
        <v>109265.85000000009</v>
      </c>
      <c r="I479" s="50">
        <f t="shared" si="29"/>
        <v>45046</v>
      </c>
      <c r="J479" s="49">
        <f t="shared" ca="1" si="30"/>
        <v>357.4</v>
      </c>
      <c r="K479" s="45" cm="1">
        <f t="array" aca="1" ref="K479" ca="1">SUMPRODUCT((Table1[SubscriptionStart] &lt;= $A479) * (Table1[EffectiveEndDate] &gt;= $A479) * (Table1[Region] = "England"))</f>
        <v>94</v>
      </c>
      <c r="L479" s="45" cm="1">
        <f t="array" aca="1" ref="L479" ca="1">SUMPRODUCT((Table1[SubscriptionStart] &lt;= $A479) * (Table1[EffectiveEndDate] &gt;= $A479) * (Table1[Region] = "Scotland"))</f>
        <v>77</v>
      </c>
      <c r="M479" s="45" cm="1">
        <f t="array" aca="1" ref="M479" ca="1">SUMPRODUCT((Table1[SubscriptionStart] &lt;= $A479) * (Table1[EffectiveEndDate] &gt;= $A479) * (Table1[Region] = "Wales"))</f>
        <v>100</v>
      </c>
      <c r="N479" s="45" cm="1">
        <f t="array" aca="1" ref="N479" ca="1">SUMPRODUCT((Table1[SubscriptionStart] &lt;= $A479) * (Table1[EffectiveEndDate] &gt;= $A479) * (Table1[Region] = "Northern Ireland"))</f>
        <v>91</v>
      </c>
      <c r="O479" s="45" cm="1">
        <f t="array" aca="1" ref="O479" ca="1">SUMPRODUCT((Table1[Gender]="Male")*(Table1[SubscriptionStart]&lt;=A479)*(Table1[EffectiveEndDate]&gt;=A479))</f>
        <v>187</v>
      </c>
      <c r="P479" s="45" cm="1">
        <f t="array" aca="1" ref="P479" ca="1">SUMPRODUCT((Table1[Gender]="Female")*(Table1[SubscriptionStart]&lt;=A479)*(Table1[EffectiveEndDate]&gt;=A479))</f>
        <v>175</v>
      </c>
    </row>
    <row r="480" spans="1:16">
      <c r="A480" s="48">
        <f t="shared" si="31"/>
        <v>45040</v>
      </c>
      <c r="B480" s="45" cm="1">
        <f t="array" aca="1" ref="B480" ca="1">SUMPRODUCT((Table1[SubscriptionStart]&lt;=A480)*(Table1[EffectiveEndDate]&gt;=A480))</f>
        <v>363</v>
      </c>
      <c r="C480" s="45">
        <f>COUNTIFS(Table1[SubscriptionStart], A480)</f>
        <v>1</v>
      </c>
      <c r="D480" s="45">
        <f>COUNTIFS(Table1[CancellationDate], A480)</f>
        <v>2</v>
      </c>
      <c r="E480" s="45">
        <f t="shared" si="28"/>
        <v>-1</v>
      </c>
      <c r="F480" s="45">
        <f>SUM($C$2:C480)</f>
        <v>520</v>
      </c>
      <c r="G480" s="49" cm="1">
        <f t="array" aca="1" ref="G480" ca="1">IF(B480=0,"", SUMPRODUCT((Table1[SubscriptionStart]&lt;=A480)*(Table1[EffectiveEndDate]&gt;=A480)*Table1[Age]) / B480 )</f>
        <v>46.809917355371901</v>
      </c>
      <c r="H480" s="22">
        <f>SUMIF(Table1[SubscriptionStart],"&lt;="&amp;A480,Table1[TotalRevenue])</f>
        <v>109395.4500000001</v>
      </c>
      <c r="I480" s="50">
        <f t="shared" si="29"/>
        <v>45046</v>
      </c>
      <c r="J480" s="49">
        <f t="shared" ca="1" si="30"/>
        <v>357.4</v>
      </c>
      <c r="K480" s="45" cm="1">
        <f t="array" aca="1" ref="K480" ca="1">SUMPRODUCT((Table1[SubscriptionStart] &lt;= $A480) * (Table1[EffectiveEndDate] &gt;= $A480) * (Table1[Region] = "England"))</f>
        <v>94</v>
      </c>
      <c r="L480" s="45" cm="1">
        <f t="array" aca="1" ref="L480" ca="1">SUMPRODUCT((Table1[SubscriptionStart] &lt;= $A480) * (Table1[EffectiveEndDate] &gt;= $A480) * (Table1[Region] = "Scotland"))</f>
        <v>77</v>
      </c>
      <c r="M480" s="45" cm="1">
        <f t="array" aca="1" ref="M480" ca="1">SUMPRODUCT((Table1[SubscriptionStart] &lt;= $A480) * (Table1[EffectiveEndDate] &gt;= $A480) * (Table1[Region] = "Wales"))</f>
        <v>101</v>
      </c>
      <c r="N480" s="45" cm="1">
        <f t="array" aca="1" ref="N480" ca="1">SUMPRODUCT((Table1[SubscriptionStart] &lt;= $A480) * (Table1[EffectiveEndDate] &gt;= $A480) * (Table1[Region] = "Northern Ireland"))</f>
        <v>91</v>
      </c>
      <c r="O480" s="45" cm="1">
        <f t="array" aca="1" ref="O480" ca="1">SUMPRODUCT((Table1[Gender]="Male")*(Table1[SubscriptionStart]&lt;=A480)*(Table1[EffectiveEndDate]&gt;=A480))</f>
        <v>187</v>
      </c>
      <c r="P480" s="45" cm="1">
        <f t="array" aca="1" ref="P480" ca="1">SUMPRODUCT((Table1[Gender]="Female")*(Table1[SubscriptionStart]&lt;=A480)*(Table1[EffectiveEndDate]&gt;=A480))</f>
        <v>176</v>
      </c>
    </row>
    <row r="481" spans="1:16">
      <c r="A481" s="48">
        <f t="shared" si="31"/>
        <v>45041</v>
      </c>
      <c r="B481" s="45" cm="1">
        <f t="array" aca="1" ref="B481" ca="1">SUMPRODUCT((Table1[SubscriptionStart]&lt;=A481)*(Table1[EffectiveEndDate]&gt;=A481))</f>
        <v>362</v>
      </c>
      <c r="C481" s="45">
        <f>COUNTIFS(Table1[SubscriptionStart], A481)</f>
        <v>1</v>
      </c>
      <c r="D481" s="45">
        <f>COUNTIFS(Table1[CancellationDate], A481)</f>
        <v>3</v>
      </c>
      <c r="E481" s="45">
        <f t="shared" si="28"/>
        <v>-2</v>
      </c>
      <c r="F481" s="45">
        <f>SUM($C$2:C481)</f>
        <v>521</v>
      </c>
      <c r="G481" s="49" cm="1">
        <f t="array" aca="1" ref="G481" ca="1">IF(B481=0,"", SUMPRODUCT((Table1[SubscriptionStart]&lt;=A481)*(Table1[EffectiveEndDate]&gt;=A481)*Table1[Age]) / B481 )</f>
        <v>46.820441988950279</v>
      </c>
      <c r="H481" s="22">
        <f>SUMIF(Table1[SubscriptionStart],"&lt;="&amp;A481,Table1[TotalRevenue])</f>
        <v>109525.0500000001</v>
      </c>
      <c r="I481" s="50">
        <f t="shared" si="29"/>
        <v>45046</v>
      </c>
      <c r="J481" s="49">
        <f t="shared" ca="1" si="30"/>
        <v>357.4</v>
      </c>
      <c r="K481" s="45" cm="1">
        <f t="array" aca="1" ref="K481" ca="1">SUMPRODUCT((Table1[SubscriptionStart] &lt;= $A481) * (Table1[EffectiveEndDate] &gt;= $A481) * (Table1[Region] = "England"))</f>
        <v>95</v>
      </c>
      <c r="L481" s="45" cm="1">
        <f t="array" aca="1" ref="L481" ca="1">SUMPRODUCT((Table1[SubscriptionStart] &lt;= $A481) * (Table1[EffectiveEndDate] &gt;= $A481) * (Table1[Region] = "Scotland"))</f>
        <v>77</v>
      </c>
      <c r="M481" s="45" cm="1">
        <f t="array" aca="1" ref="M481" ca="1">SUMPRODUCT((Table1[SubscriptionStart] &lt;= $A481) * (Table1[EffectiveEndDate] &gt;= $A481) * (Table1[Region] = "Wales"))</f>
        <v>101</v>
      </c>
      <c r="N481" s="45" cm="1">
        <f t="array" aca="1" ref="N481" ca="1">SUMPRODUCT((Table1[SubscriptionStart] &lt;= $A481) * (Table1[EffectiveEndDate] &gt;= $A481) * (Table1[Region] = "Northern Ireland"))</f>
        <v>89</v>
      </c>
      <c r="O481" s="45" cm="1">
        <f t="array" aca="1" ref="O481" ca="1">SUMPRODUCT((Table1[Gender]="Male")*(Table1[SubscriptionStart]&lt;=A481)*(Table1[EffectiveEndDate]&gt;=A481))</f>
        <v>187</v>
      </c>
      <c r="P481" s="45" cm="1">
        <f t="array" aca="1" ref="P481" ca="1">SUMPRODUCT((Table1[Gender]="Female")*(Table1[SubscriptionStart]&lt;=A481)*(Table1[EffectiveEndDate]&gt;=A481))</f>
        <v>175</v>
      </c>
    </row>
    <row r="482" spans="1:16">
      <c r="A482" s="48">
        <f t="shared" si="31"/>
        <v>45042</v>
      </c>
      <c r="B482" s="45" cm="1">
        <f t="array" aca="1" ref="B482" ca="1">SUMPRODUCT((Table1[SubscriptionStart]&lt;=A482)*(Table1[EffectiveEndDate]&gt;=A482))</f>
        <v>361</v>
      </c>
      <c r="C482" s="45">
        <f>COUNTIFS(Table1[SubscriptionStart], A482)</f>
        <v>2</v>
      </c>
      <c r="D482" s="45">
        <f>COUNTIFS(Table1[CancellationDate], A482)</f>
        <v>2</v>
      </c>
      <c r="E482" s="45">
        <f t="shared" si="28"/>
        <v>0</v>
      </c>
      <c r="F482" s="45">
        <f>SUM($C$2:C482)</f>
        <v>523</v>
      </c>
      <c r="G482" s="49" cm="1">
        <f t="array" aca="1" ref="G482" ca="1">IF(B482=0,"", SUMPRODUCT((Table1[SubscriptionStart]&lt;=A482)*(Table1[EffectiveEndDate]&gt;=A482)*Table1[Age]) / B482 )</f>
        <v>46.825484764542935</v>
      </c>
      <c r="H482" s="22">
        <f>SUMIF(Table1[SubscriptionStart],"&lt;="&amp;A482,Table1[TotalRevenue])</f>
        <v>109784.25000000012</v>
      </c>
      <c r="I482" s="50">
        <f t="shared" si="29"/>
        <v>45046</v>
      </c>
      <c r="J482" s="49">
        <f t="shared" ca="1" si="30"/>
        <v>357.4</v>
      </c>
      <c r="K482" s="45" cm="1">
        <f t="array" aca="1" ref="K482" ca="1">SUMPRODUCT((Table1[SubscriptionStart] &lt;= $A482) * (Table1[EffectiveEndDate] &gt;= $A482) * (Table1[Region] = "England"))</f>
        <v>94</v>
      </c>
      <c r="L482" s="45" cm="1">
        <f t="array" aca="1" ref="L482" ca="1">SUMPRODUCT((Table1[SubscriptionStart] &lt;= $A482) * (Table1[EffectiveEndDate] &gt;= $A482) * (Table1[Region] = "Scotland"))</f>
        <v>76</v>
      </c>
      <c r="M482" s="45" cm="1">
        <f t="array" aca="1" ref="M482" ca="1">SUMPRODUCT((Table1[SubscriptionStart] &lt;= $A482) * (Table1[EffectiveEndDate] &gt;= $A482) * (Table1[Region] = "Wales"))</f>
        <v>102</v>
      </c>
      <c r="N482" s="45" cm="1">
        <f t="array" aca="1" ref="N482" ca="1">SUMPRODUCT((Table1[SubscriptionStart] &lt;= $A482) * (Table1[EffectiveEndDate] &gt;= $A482) * (Table1[Region] = "Northern Ireland"))</f>
        <v>89</v>
      </c>
      <c r="O482" s="45" cm="1">
        <f t="array" aca="1" ref="O482" ca="1">SUMPRODUCT((Table1[Gender]="Male")*(Table1[SubscriptionStart]&lt;=A482)*(Table1[EffectiveEndDate]&gt;=A482))</f>
        <v>186</v>
      </c>
      <c r="P482" s="45" cm="1">
        <f t="array" aca="1" ref="P482" ca="1">SUMPRODUCT((Table1[Gender]="Female")*(Table1[SubscriptionStart]&lt;=A482)*(Table1[EffectiveEndDate]&gt;=A482))</f>
        <v>175</v>
      </c>
    </row>
    <row r="483" spans="1:16">
      <c r="A483" s="48">
        <f t="shared" si="31"/>
        <v>45043</v>
      </c>
      <c r="B483" s="45" cm="1">
        <f t="array" aca="1" ref="B483" ca="1">SUMPRODUCT((Table1[SubscriptionStart]&lt;=A483)*(Table1[EffectiveEndDate]&gt;=A483))</f>
        <v>360</v>
      </c>
      <c r="C483" s="45">
        <f>COUNTIFS(Table1[SubscriptionStart], A483)</f>
        <v>1</v>
      </c>
      <c r="D483" s="45">
        <f>COUNTIFS(Table1[CancellationDate], A483)</f>
        <v>1</v>
      </c>
      <c r="E483" s="45">
        <f t="shared" si="28"/>
        <v>0</v>
      </c>
      <c r="F483" s="45">
        <f>SUM($C$2:C483)</f>
        <v>524</v>
      </c>
      <c r="G483" s="49" cm="1">
        <f t="array" aca="1" ref="G483" ca="1">IF(B483=0,"", SUMPRODUCT((Table1[SubscriptionStart]&lt;=A483)*(Table1[EffectiveEndDate]&gt;=A483)*Table1[Age]) / B483 )</f>
        <v>46.822222222222223</v>
      </c>
      <c r="H483" s="22">
        <f>SUMIF(Table1[SubscriptionStart],"&lt;="&amp;A483,Table1[TotalRevenue])</f>
        <v>109857.15000000011</v>
      </c>
      <c r="I483" s="50">
        <f t="shared" si="29"/>
        <v>45046</v>
      </c>
      <c r="J483" s="49">
        <f t="shared" ca="1" si="30"/>
        <v>357.4</v>
      </c>
      <c r="K483" s="45" cm="1">
        <f t="array" aca="1" ref="K483" ca="1">SUMPRODUCT((Table1[SubscriptionStart] &lt;= $A483) * (Table1[EffectiveEndDate] &gt;= $A483) * (Table1[Region] = "England"))</f>
        <v>95</v>
      </c>
      <c r="L483" s="45" cm="1">
        <f t="array" aca="1" ref="L483" ca="1">SUMPRODUCT((Table1[SubscriptionStart] &lt;= $A483) * (Table1[EffectiveEndDate] &gt;= $A483) * (Table1[Region] = "Scotland"))</f>
        <v>76</v>
      </c>
      <c r="M483" s="45" cm="1">
        <f t="array" aca="1" ref="M483" ca="1">SUMPRODUCT((Table1[SubscriptionStart] &lt;= $A483) * (Table1[EffectiveEndDate] &gt;= $A483) * (Table1[Region] = "Wales"))</f>
        <v>100</v>
      </c>
      <c r="N483" s="45" cm="1">
        <f t="array" aca="1" ref="N483" ca="1">SUMPRODUCT((Table1[SubscriptionStart] &lt;= $A483) * (Table1[EffectiveEndDate] &gt;= $A483) * (Table1[Region] = "Northern Ireland"))</f>
        <v>89</v>
      </c>
      <c r="O483" s="45" cm="1">
        <f t="array" aca="1" ref="O483" ca="1">SUMPRODUCT((Table1[Gender]="Male")*(Table1[SubscriptionStart]&lt;=A483)*(Table1[EffectiveEndDate]&gt;=A483))</f>
        <v>185</v>
      </c>
      <c r="P483" s="45" cm="1">
        <f t="array" aca="1" ref="P483" ca="1">SUMPRODUCT((Table1[Gender]="Female")*(Table1[SubscriptionStart]&lt;=A483)*(Table1[EffectiveEndDate]&gt;=A483))</f>
        <v>175</v>
      </c>
    </row>
    <row r="484" spans="1:16">
      <c r="A484" s="48">
        <f t="shared" si="31"/>
        <v>45044</v>
      </c>
      <c r="B484" s="45" cm="1">
        <f t="array" aca="1" ref="B484" ca="1">SUMPRODUCT((Table1[SubscriptionStart]&lt;=A484)*(Table1[EffectiveEndDate]&gt;=A484))</f>
        <v>360</v>
      </c>
      <c r="C484" s="45">
        <f>COUNTIFS(Table1[SubscriptionStart], A484)</f>
        <v>1</v>
      </c>
      <c r="D484" s="45">
        <f>COUNTIFS(Table1[CancellationDate], A484)</f>
        <v>1</v>
      </c>
      <c r="E484" s="45">
        <f t="shared" si="28"/>
        <v>0</v>
      </c>
      <c r="F484" s="45">
        <f>SUM($C$2:C484)</f>
        <v>525</v>
      </c>
      <c r="G484" s="49" cm="1">
        <f t="array" aca="1" ref="G484" ca="1">IF(B484=0,"", SUMPRODUCT((Table1[SubscriptionStart]&lt;=A484)*(Table1[EffectiveEndDate]&gt;=A484)*Table1[Age]) / B484 )</f>
        <v>46.841666666666669</v>
      </c>
      <c r="H484" s="22">
        <f>SUMIF(Table1[SubscriptionStart],"&lt;="&amp;A484,Table1[TotalRevenue])</f>
        <v>109929.15000000011</v>
      </c>
      <c r="I484" s="50">
        <f t="shared" si="29"/>
        <v>45046</v>
      </c>
      <c r="J484" s="49">
        <f t="shared" ca="1" si="30"/>
        <v>357.4</v>
      </c>
      <c r="K484" s="45" cm="1">
        <f t="array" aca="1" ref="K484" ca="1">SUMPRODUCT((Table1[SubscriptionStart] &lt;= $A484) * (Table1[EffectiveEndDate] &gt;= $A484) * (Table1[Region] = "England"))</f>
        <v>96</v>
      </c>
      <c r="L484" s="45" cm="1">
        <f t="array" aca="1" ref="L484" ca="1">SUMPRODUCT((Table1[SubscriptionStart] &lt;= $A484) * (Table1[EffectiveEndDate] &gt;= $A484) * (Table1[Region] = "Scotland"))</f>
        <v>75</v>
      </c>
      <c r="M484" s="45" cm="1">
        <f t="array" aca="1" ref="M484" ca="1">SUMPRODUCT((Table1[SubscriptionStart] &lt;= $A484) * (Table1[EffectiveEndDate] &gt;= $A484) * (Table1[Region] = "Wales"))</f>
        <v>100</v>
      </c>
      <c r="N484" s="45" cm="1">
        <f t="array" aca="1" ref="N484" ca="1">SUMPRODUCT((Table1[SubscriptionStart] &lt;= $A484) * (Table1[EffectiveEndDate] &gt;= $A484) * (Table1[Region] = "Northern Ireland"))</f>
        <v>89</v>
      </c>
      <c r="O484" s="45" cm="1">
        <f t="array" aca="1" ref="O484" ca="1">SUMPRODUCT((Table1[Gender]="Male")*(Table1[SubscriptionStart]&lt;=A484)*(Table1[EffectiveEndDate]&gt;=A484))</f>
        <v>184</v>
      </c>
      <c r="P484" s="45" cm="1">
        <f t="array" aca="1" ref="P484" ca="1">SUMPRODUCT((Table1[Gender]="Female")*(Table1[SubscriptionStart]&lt;=A484)*(Table1[EffectiveEndDate]&gt;=A484))</f>
        <v>176</v>
      </c>
    </row>
    <row r="485" spans="1:16">
      <c r="A485" s="48">
        <f t="shared" si="31"/>
        <v>45045</v>
      </c>
      <c r="B485" s="45" cm="1">
        <f t="array" aca="1" ref="B485" ca="1">SUMPRODUCT((Table1[SubscriptionStart]&lt;=A485)*(Table1[EffectiveEndDate]&gt;=A485))</f>
        <v>363</v>
      </c>
      <c r="C485" s="45">
        <f>COUNTIFS(Table1[SubscriptionStart], A485)</f>
        <v>4</v>
      </c>
      <c r="D485" s="45">
        <f>COUNTIFS(Table1[CancellationDate], A485)</f>
        <v>0</v>
      </c>
      <c r="E485" s="45">
        <f t="shared" si="28"/>
        <v>4</v>
      </c>
      <c r="F485" s="45">
        <f>SUM($C$2:C485)</f>
        <v>529</v>
      </c>
      <c r="G485" s="49" cm="1">
        <f t="array" aca="1" ref="G485" ca="1">IF(B485=0,"", SUMPRODUCT((Table1[SubscriptionStart]&lt;=A485)*(Table1[EffectiveEndDate]&gt;=A485)*Table1[Age]) / B485 )</f>
        <v>46.699724517906333</v>
      </c>
      <c r="H485" s="22">
        <f>SUMIF(Table1[SubscriptionStart],"&lt;="&amp;A485,Table1[TotalRevenue])</f>
        <v>110357.75000000012</v>
      </c>
      <c r="I485" s="50">
        <f t="shared" si="29"/>
        <v>45046</v>
      </c>
      <c r="J485" s="49">
        <f t="shared" ca="1" si="30"/>
        <v>357.4</v>
      </c>
      <c r="K485" s="45" cm="1">
        <f t="array" aca="1" ref="K485" ca="1">SUMPRODUCT((Table1[SubscriptionStart] &lt;= $A485) * (Table1[EffectiveEndDate] &gt;= $A485) * (Table1[Region] = "England"))</f>
        <v>99</v>
      </c>
      <c r="L485" s="45" cm="1">
        <f t="array" aca="1" ref="L485" ca="1">SUMPRODUCT((Table1[SubscriptionStart] &lt;= $A485) * (Table1[EffectiveEndDate] &gt;= $A485) * (Table1[Region] = "Scotland"))</f>
        <v>75</v>
      </c>
      <c r="M485" s="45" cm="1">
        <f t="array" aca="1" ref="M485" ca="1">SUMPRODUCT((Table1[SubscriptionStart] &lt;= $A485) * (Table1[EffectiveEndDate] &gt;= $A485) * (Table1[Region] = "Wales"))</f>
        <v>100</v>
      </c>
      <c r="N485" s="45" cm="1">
        <f t="array" aca="1" ref="N485" ca="1">SUMPRODUCT((Table1[SubscriptionStart] &lt;= $A485) * (Table1[EffectiveEndDate] &gt;= $A485) * (Table1[Region] = "Northern Ireland"))</f>
        <v>89</v>
      </c>
      <c r="O485" s="45" cm="1">
        <f t="array" aca="1" ref="O485" ca="1">SUMPRODUCT((Table1[Gender]="Male")*(Table1[SubscriptionStart]&lt;=A485)*(Table1[EffectiveEndDate]&gt;=A485))</f>
        <v>184</v>
      </c>
      <c r="P485" s="45" cm="1">
        <f t="array" aca="1" ref="P485" ca="1">SUMPRODUCT((Table1[Gender]="Female")*(Table1[SubscriptionStart]&lt;=A485)*(Table1[EffectiveEndDate]&gt;=A485))</f>
        <v>179</v>
      </c>
    </row>
    <row r="486" spans="1:16">
      <c r="A486" s="48">
        <f t="shared" si="31"/>
        <v>45046</v>
      </c>
      <c r="B486" s="45" cm="1">
        <f t="array" aca="1" ref="B486" ca="1">SUMPRODUCT((Table1[SubscriptionStart]&lt;=A486)*(Table1[EffectiveEndDate]&gt;=A486))</f>
        <v>364</v>
      </c>
      <c r="C486" s="45">
        <f>COUNTIFS(Table1[SubscriptionStart], A486)</f>
        <v>1</v>
      </c>
      <c r="D486" s="45">
        <f>COUNTIFS(Table1[CancellationDate], A486)</f>
        <v>1</v>
      </c>
      <c r="E486" s="45">
        <f t="shared" si="28"/>
        <v>0</v>
      </c>
      <c r="F486" s="45">
        <f>SUM($C$2:C486)</f>
        <v>530</v>
      </c>
      <c r="G486" s="49" cm="1">
        <f t="array" aca="1" ref="G486" ca="1">IF(B486=0,"", SUMPRODUCT((Table1[SubscriptionStart]&lt;=A486)*(Table1[EffectiveEndDate]&gt;=A486)*Table1[Age]) / B486 )</f>
        <v>46.681318681318679</v>
      </c>
      <c r="H486" s="22">
        <f>SUMIF(Table1[SubscriptionStart],"&lt;="&amp;A486,Table1[TotalRevenue])</f>
        <v>110430.65000000011</v>
      </c>
      <c r="I486" s="50">
        <f t="shared" si="29"/>
        <v>45046</v>
      </c>
      <c r="J486" s="49">
        <f t="shared" ca="1" si="30"/>
        <v>357.4</v>
      </c>
      <c r="K486" s="45" cm="1">
        <f t="array" aca="1" ref="K486" ca="1">SUMPRODUCT((Table1[SubscriptionStart] &lt;= $A486) * (Table1[EffectiveEndDate] &gt;= $A486) * (Table1[Region] = "England"))</f>
        <v>99</v>
      </c>
      <c r="L486" s="45" cm="1">
        <f t="array" aca="1" ref="L486" ca="1">SUMPRODUCT((Table1[SubscriptionStart] &lt;= $A486) * (Table1[EffectiveEndDate] &gt;= $A486) * (Table1[Region] = "Scotland"))</f>
        <v>75</v>
      </c>
      <c r="M486" s="45" cm="1">
        <f t="array" aca="1" ref="M486" ca="1">SUMPRODUCT((Table1[SubscriptionStart] &lt;= $A486) * (Table1[EffectiveEndDate] &gt;= $A486) * (Table1[Region] = "Wales"))</f>
        <v>100</v>
      </c>
      <c r="N486" s="45" cm="1">
        <f t="array" aca="1" ref="N486" ca="1">SUMPRODUCT((Table1[SubscriptionStart] &lt;= $A486) * (Table1[EffectiveEndDate] &gt;= $A486) * (Table1[Region] = "Northern Ireland"))</f>
        <v>90</v>
      </c>
      <c r="O486" s="45" cm="1">
        <f t="array" aca="1" ref="O486" ca="1">SUMPRODUCT((Table1[Gender]="Male")*(Table1[SubscriptionStart]&lt;=A486)*(Table1[EffectiveEndDate]&gt;=A486))</f>
        <v>184</v>
      </c>
      <c r="P486" s="45" cm="1">
        <f t="array" aca="1" ref="P486" ca="1">SUMPRODUCT((Table1[Gender]="Female")*(Table1[SubscriptionStart]&lt;=A486)*(Table1[EffectiveEndDate]&gt;=A486))</f>
        <v>180</v>
      </c>
    </row>
    <row r="487" spans="1:16">
      <c r="A487" s="48">
        <f t="shared" si="31"/>
        <v>45047</v>
      </c>
      <c r="B487" s="45" cm="1">
        <f t="array" aca="1" ref="B487" ca="1">SUMPRODUCT((Table1[SubscriptionStart]&lt;=A487)*(Table1[EffectiveEndDate]&gt;=A487))</f>
        <v>363</v>
      </c>
      <c r="C487" s="45">
        <f>COUNTIFS(Table1[SubscriptionStart], A487)</f>
        <v>0</v>
      </c>
      <c r="D487" s="45">
        <f>COUNTIFS(Table1[CancellationDate], A487)</f>
        <v>0</v>
      </c>
      <c r="E487" s="45">
        <f t="shared" si="28"/>
        <v>0</v>
      </c>
      <c r="F487" s="45">
        <f>SUM($C$2:C487)</f>
        <v>530</v>
      </c>
      <c r="G487" s="49" cm="1">
        <f t="array" aca="1" ref="G487" ca="1">IF(B487=0,"", SUMPRODUCT((Table1[SubscriptionStart]&lt;=A487)*(Table1[EffectiveEndDate]&gt;=A487)*Table1[Age]) / B487 )</f>
        <v>46.738292011019283</v>
      </c>
      <c r="H487" s="22">
        <f>SUMIF(Table1[SubscriptionStart],"&lt;="&amp;A487,Table1[TotalRevenue])</f>
        <v>110430.65000000011</v>
      </c>
      <c r="I487" s="50">
        <f t="shared" si="29"/>
        <v>45077</v>
      </c>
      <c r="J487" s="49">
        <f t="shared" ca="1" si="30"/>
        <v>373.03225806451616</v>
      </c>
      <c r="K487" s="45" cm="1">
        <f t="array" aca="1" ref="K487" ca="1">SUMPRODUCT((Table1[SubscriptionStart] &lt;= $A487) * (Table1[EffectiveEndDate] &gt;= $A487) * (Table1[Region] = "England"))</f>
        <v>99</v>
      </c>
      <c r="L487" s="45" cm="1">
        <f t="array" aca="1" ref="L487" ca="1">SUMPRODUCT((Table1[SubscriptionStart] &lt;= $A487) * (Table1[EffectiveEndDate] &gt;= $A487) * (Table1[Region] = "Scotland"))</f>
        <v>75</v>
      </c>
      <c r="M487" s="45" cm="1">
        <f t="array" aca="1" ref="M487" ca="1">SUMPRODUCT((Table1[SubscriptionStart] &lt;= $A487) * (Table1[EffectiveEndDate] &gt;= $A487) * (Table1[Region] = "Wales"))</f>
        <v>100</v>
      </c>
      <c r="N487" s="45" cm="1">
        <f t="array" aca="1" ref="N487" ca="1">SUMPRODUCT((Table1[SubscriptionStart] &lt;= $A487) * (Table1[EffectiveEndDate] &gt;= $A487) * (Table1[Region] = "Northern Ireland"))</f>
        <v>89</v>
      </c>
      <c r="O487" s="45" cm="1">
        <f t="array" aca="1" ref="O487" ca="1">SUMPRODUCT((Table1[Gender]="Male")*(Table1[SubscriptionStart]&lt;=A487)*(Table1[EffectiveEndDate]&gt;=A487))</f>
        <v>184</v>
      </c>
      <c r="P487" s="45" cm="1">
        <f t="array" aca="1" ref="P487" ca="1">SUMPRODUCT((Table1[Gender]="Female")*(Table1[SubscriptionStart]&lt;=A487)*(Table1[EffectiveEndDate]&gt;=A487))</f>
        <v>179</v>
      </c>
    </row>
    <row r="488" spans="1:16">
      <c r="A488" s="48">
        <f t="shared" si="31"/>
        <v>45048</v>
      </c>
      <c r="B488" s="45" cm="1">
        <f t="array" aca="1" ref="B488" ca="1">SUMPRODUCT((Table1[SubscriptionStart]&lt;=A488)*(Table1[EffectiveEndDate]&gt;=A488))</f>
        <v>363</v>
      </c>
      <c r="C488" s="45">
        <f>COUNTIFS(Table1[SubscriptionStart], A488)</f>
        <v>0</v>
      </c>
      <c r="D488" s="45">
        <f>COUNTIFS(Table1[CancellationDate], A488)</f>
        <v>2</v>
      </c>
      <c r="E488" s="45">
        <f t="shared" si="28"/>
        <v>-2</v>
      </c>
      <c r="F488" s="45">
        <f>SUM($C$2:C488)</f>
        <v>530</v>
      </c>
      <c r="G488" s="49" cm="1">
        <f t="array" aca="1" ref="G488" ca="1">IF(B488=0,"", SUMPRODUCT((Table1[SubscriptionStart]&lt;=A488)*(Table1[EffectiveEndDate]&gt;=A488)*Table1[Age]) / B488 )</f>
        <v>46.738292011019283</v>
      </c>
      <c r="H488" s="22">
        <f>SUMIF(Table1[SubscriptionStart],"&lt;="&amp;A488,Table1[TotalRevenue])</f>
        <v>110430.65000000011</v>
      </c>
      <c r="I488" s="50">
        <f t="shared" si="29"/>
        <v>45077</v>
      </c>
      <c r="J488" s="49">
        <f t="shared" ca="1" si="30"/>
        <v>373.03225806451616</v>
      </c>
      <c r="K488" s="45" cm="1">
        <f t="array" aca="1" ref="K488" ca="1">SUMPRODUCT((Table1[SubscriptionStart] &lt;= $A488) * (Table1[EffectiveEndDate] &gt;= $A488) * (Table1[Region] = "England"))</f>
        <v>99</v>
      </c>
      <c r="L488" s="45" cm="1">
        <f t="array" aca="1" ref="L488" ca="1">SUMPRODUCT((Table1[SubscriptionStart] &lt;= $A488) * (Table1[EffectiveEndDate] &gt;= $A488) * (Table1[Region] = "Scotland"))</f>
        <v>75</v>
      </c>
      <c r="M488" s="45" cm="1">
        <f t="array" aca="1" ref="M488" ca="1">SUMPRODUCT((Table1[SubscriptionStart] &lt;= $A488) * (Table1[EffectiveEndDate] &gt;= $A488) * (Table1[Region] = "Wales"))</f>
        <v>100</v>
      </c>
      <c r="N488" s="45" cm="1">
        <f t="array" aca="1" ref="N488" ca="1">SUMPRODUCT((Table1[SubscriptionStart] &lt;= $A488) * (Table1[EffectiveEndDate] &gt;= $A488) * (Table1[Region] = "Northern Ireland"))</f>
        <v>89</v>
      </c>
      <c r="O488" s="45" cm="1">
        <f t="array" aca="1" ref="O488" ca="1">SUMPRODUCT((Table1[Gender]="Male")*(Table1[SubscriptionStart]&lt;=A488)*(Table1[EffectiveEndDate]&gt;=A488))</f>
        <v>184</v>
      </c>
      <c r="P488" s="45" cm="1">
        <f t="array" aca="1" ref="P488" ca="1">SUMPRODUCT((Table1[Gender]="Female")*(Table1[SubscriptionStart]&lt;=A488)*(Table1[EffectiveEndDate]&gt;=A488))</f>
        <v>179</v>
      </c>
    </row>
    <row r="489" spans="1:16">
      <c r="A489" s="48">
        <f t="shared" si="31"/>
        <v>45049</v>
      </c>
      <c r="B489" s="45" cm="1">
        <f t="array" aca="1" ref="B489" ca="1">SUMPRODUCT((Table1[SubscriptionStart]&lt;=A489)*(Table1[EffectiveEndDate]&gt;=A489))</f>
        <v>361</v>
      </c>
      <c r="C489" s="45">
        <f>COUNTIFS(Table1[SubscriptionStart], A489)</f>
        <v>0</v>
      </c>
      <c r="D489" s="45">
        <f>COUNTIFS(Table1[CancellationDate], A489)</f>
        <v>4</v>
      </c>
      <c r="E489" s="45">
        <f t="shared" si="28"/>
        <v>-4</v>
      </c>
      <c r="F489" s="45">
        <f>SUM($C$2:C489)</f>
        <v>530</v>
      </c>
      <c r="G489" s="49" cm="1">
        <f t="array" aca="1" ref="G489" ca="1">IF(B489=0,"", SUMPRODUCT((Table1[SubscriptionStart]&lt;=A489)*(Table1[EffectiveEndDate]&gt;=A489)*Table1[Age]) / B489 )</f>
        <v>46.78116343490305</v>
      </c>
      <c r="H489" s="22">
        <f>SUMIF(Table1[SubscriptionStart],"&lt;="&amp;A489,Table1[TotalRevenue])</f>
        <v>110430.65000000011</v>
      </c>
      <c r="I489" s="50">
        <f t="shared" si="29"/>
        <v>45077</v>
      </c>
      <c r="J489" s="49">
        <f t="shared" ca="1" si="30"/>
        <v>373.03225806451616</v>
      </c>
      <c r="K489" s="45" cm="1">
        <f t="array" aca="1" ref="K489" ca="1">SUMPRODUCT((Table1[SubscriptionStart] &lt;= $A489) * (Table1[EffectiveEndDate] &gt;= $A489) * (Table1[Region] = "England"))</f>
        <v>97</v>
      </c>
      <c r="L489" s="45" cm="1">
        <f t="array" aca="1" ref="L489" ca="1">SUMPRODUCT((Table1[SubscriptionStart] &lt;= $A489) * (Table1[EffectiveEndDate] &gt;= $A489) * (Table1[Region] = "Scotland"))</f>
        <v>75</v>
      </c>
      <c r="M489" s="45" cm="1">
        <f t="array" aca="1" ref="M489" ca="1">SUMPRODUCT((Table1[SubscriptionStart] &lt;= $A489) * (Table1[EffectiveEndDate] &gt;= $A489) * (Table1[Region] = "Wales"))</f>
        <v>100</v>
      </c>
      <c r="N489" s="45" cm="1">
        <f t="array" aca="1" ref="N489" ca="1">SUMPRODUCT((Table1[SubscriptionStart] &lt;= $A489) * (Table1[EffectiveEndDate] &gt;= $A489) * (Table1[Region] = "Northern Ireland"))</f>
        <v>89</v>
      </c>
      <c r="O489" s="45" cm="1">
        <f t="array" aca="1" ref="O489" ca="1">SUMPRODUCT((Table1[Gender]="Male")*(Table1[SubscriptionStart]&lt;=A489)*(Table1[EffectiveEndDate]&gt;=A489))</f>
        <v>182</v>
      </c>
      <c r="P489" s="45" cm="1">
        <f t="array" aca="1" ref="P489" ca="1">SUMPRODUCT((Table1[Gender]="Female")*(Table1[SubscriptionStart]&lt;=A489)*(Table1[EffectiveEndDate]&gt;=A489))</f>
        <v>179</v>
      </c>
    </row>
    <row r="490" spans="1:16">
      <c r="A490" s="48">
        <f t="shared" si="31"/>
        <v>45050</v>
      </c>
      <c r="B490" s="45" cm="1">
        <f t="array" aca="1" ref="B490" ca="1">SUMPRODUCT((Table1[SubscriptionStart]&lt;=A490)*(Table1[EffectiveEndDate]&gt;=A490))</f>
        <v>363</v>
      </c>
      <c r="C490" s="45">
        <f>COUNTIFS(Table1[SubscriptionStart], A490)</f>
        <v>6</v>
      </c>
      <c r="D490" s="45">
        <f>COUNTIFS(Table1[CancellationDate], A490)</f>
        <v>0</v>
      </c>
      <c r="E490" s="45">
        <f t="shared" si="28"/>
        <v>6</v>
      </c>
      <c r="F490" s="45">
        <f>SUM($C$2:C490)</f>
        <v>536</v>
      </c>
      <c r="G490" s="49" cm="1">
        <f t="array" aca="1" ref="G490" ca="1">IF(B490=0,"", SUMPRODUCT((Table1[SubscriptionStart]&lt;=A490)*(Table1[EffectiveEndDate]&gt;=A490)*Table1[Age]) / B490 )</f>
        <v>46.578512396694215</v>
      </c>
      <c r="H490" s="22">
        <f>SUMIF(Table1[SubscriptionStart],"&lt;="&amp;A490,Table1[TotalRevenue])</f>
        <v>112216.95000000011</v>
      </c>
      <c r="I490" s="50">
        <f t="shared" si="29"/>
        <v>45077</v>
      </c>
      <c r="J490" s="49">
        <f t="shared" ca="1" si="30"/>
        <v>373.03225806451616</v>
      </c>
      <c r="K490" s="45" cm="1">
        <f t="array" aca="1" ref="K490" ca="1">SUMPRODUCT((Table1[SubscriptionStart] &lt;= $A490) * (Table1[EffectiveEndDate] &gt;= $A490) * (Table1[Region] = "England"))</f>
        <v>99</v>
      </c>
      <c r="L490" s="45" cm="1">
        <f t="array" aca="1" ref="L490" ca="1">SUMPRODUCT((Table1[SubscriptionStart] &lt;= $A490) * (Table1[EffectiveEndDate] &gt;= $A490) * (Table1[Region] = "Scotland"))</f>
        <v>75</v>
      </c>
      <c r="M490" s="45" cm="1">
        <f t="array" aca="1" ref="M490" ca="1">SUMPRODUCT((Table1[SubscriptionStart] &lt;= $A490) * (Table1[EffectiveEndDate] &gt;= $A490) * (Table1[Region] = "Wales"))</f>
        <v>100</v>
      </c>
      <c r="N490" s="45" cm="1">
        <f t="array" aca="1" ref="N490" ca="1">SUMPRODUCT((Table1[SubscriptionStart] &lt;= $A490) * (Table1[EffectiveEndDate] &gt;= $A490) * (Table1[Region] = "Northern Ireland"))</f>
        <v>89</v>
      </c>
      <c r="O490" s="45" cm="1">
        <f t="array" aca="1" ref="O490" ca="1">SUMPRODUCT((Table1[Gender]="Male")*(Table1[SubscriptionStart]&lt;=A490)*(Table1[EffectiveEndDate]&gt;=A490))</f>
        <v>182</v>
      </c>
      <c r="P490" s="45" cm="1">
        <f t="array" aca="1" ref="P490" ca="1">SUMPRODUCT((Table1[Gender]="Female")*(Table1[SubscriptionStart]&lt;=A490)*(Table1[EffectiveEndDate]&gt;=A490))</f>
        <v>181</v>
      </c>
    </row>
    <row r="491" spans="1:16">
      <c r="A491" s="48">
        <f t="shared" si="31"/>
        <v>45051</v>
      </c>
      <c r="B491" s="45" cm="1">
        <f t="array" aca="1" ref="B491" ca="1">SUMPRODUCT((Table1[SubscriptionStart]&lt;=A491)*(Table1[EffectiveEndDate]&gt;=A491))</f>
        <v>365</v>
      </c>
      <c r="C491" s="45">
        <f>COUNTIFS(Table1[SubscriptionStart], A491)</f>
        <v>2</v>
      </c>
      <c r="D491" s="45">
        <f>COUNTIFS(Table1[CancellationDate], A491)</f>
        <v>2</v>
      </c>
      <c r="E491" s="45">
        <f t="shared" si="28"/>
        <v>0</v>
      </c>
      <c r="F491" s="45">
        <f>SUM($C$2:C491)</f>
        <v>538</v>
      </c>
      <c r="G491" s="49" cm="1">
        <f t="array" aca="1" ref="G491" ca="1">IF(B491=0,"", SUMPRODUCT((Table1[SubscriptionStart]&lt;=A491)*(Table1[EffectiveEndDate]&gt;=A491)*Table1[Age]) / B491 )</f>
        <v>46.605479452054794</v>
      </c>
      <c r="H491" s="22">
        <f>SUMIF(Table1[SubscriptionStart],"&lt;="&amp;A491,Table1[TotalRevenue])</f>
        <v>112526.55000000012</v>
      </c>
      <c r="I491" s="50">
        <f t="shared" si="29"/>
        <v>45077</v>
      </c>
      <c r="J491" s="49">
        <f t="shared" ca="1" si="30"/>
        <v>373.03225806451616</v>
      </c>
      <c r="K491" s="45" cm="1">
        <f t="array" aca="1" ref="K491" ca="1">SUMPRODUCT((Table1[SubscriptionStart] &lt;= $A491) * (Table1[EffectiveEndDate] &gt;= $A491) * (Table1[Region] = "England"))</f>
        <v>99</v>
      </c>
      <c r="L491" s="45" cm="1">
        <f t="array" aca="1" ref="L491" ca="1">SUMPRODUCT((Table1[SubscriptionStart] &lt;= $A491) * (Table1[EffectiveEndDate] &gt;= $A491) * (Table1[Region] = "Scotland"))</f>
        <v>76</v>
      </c>
      <c r="M491" s="45" cm="1">
        <f t="array" aca="1" ref="M491" ca="1">SUMPRODUCT((Table1[SubscriptionStart] &lt;= $A491) * (Table1[EffectiveEndDate] &gt;= $A491) * (Table1[Region] = "Wales"))</f>
        <v>100</v>
      </c>
      <c r="N491" s="45" cm="1">
        <f t="array" aca="1" ref="N491" ca="1">SUMPRODUCT((Table1[SubscriptionStart] &lt;= $A491) * (Table1[EffectiveEndDate] &gt;= $A491) * (Table1[Region] = "Northern Ireland"))</f>
        <v>90</v>
      </c>
      <c r="O491" s="45" cm="1">
        <f t="array" aca="1" ref="O491" ca="1">SUMPRODUCT((Table1[Gender]="Male")*(Table1[SubscriptionStart]&lt;=A491)*(Table1[EffectiveEndDate]&gt;=A491))</f>
        <v>183</v>
      </c>
      <c r="P491" s="45" cm="1">
        <f t="array" aca="1" ref="P491" ca="1">SUMPRODUCT((Table1[Gender]="Female")*(Table1[SubscriptionStart]&lt;=A491)*(Table1[EffectiveEndDate]&gt;=A491))</f>
        <v>182</v>
      </c>
    </row>
    <row r="492" spans="1:16">
      <c r="A492" s="48">
        <f t="shared" si="31"/>
        <v>45052</v>
      </c>
      <c r="B492" s="45" cm="1">
        <f t="array" aca="1" ref="B492" ca="1">SUMPRODUCT((Table1[SubscriptionStart]&lt;=A492)*(Table1[EffectiveEndDate]&gt;=A492))</f>
        <v>363</v>
      </c>
      <c r="C492" s="45">
        <f>COUNTIFS(Table1[SubscriptionStart], A492)</f>
        <v>0</v>
      </c>
      <c r="D492" s="45">
        <f>COUNTIFS(Table1[CancellationDate], A492)</f>
        <v>1</v>
      </c>
      <c r="E492" s="45">
        <f t="shared" si="28"/>
        <v>-1</v>
      </c>
      <c r="F492" s="45">
        <f>SUM($C$2:C492)</f>
        <v>538</v>
      </c>
      <c r="G492" s="49" cm="1">
        <f t="array" aca="1" ref="G492" ca="1">IF(B492=0,"", SUMPRODUCT((Table1[SubscriptionStart]&lt;=A492)*(Table1[EffectiveEndDate]&gt;=A492)*Table1[Age]) / B492 )</f>
        <v>46.592286501377409</v>
      </c>
      <c r="H492" s="22">
        <f>SUMIF(Table1[SubscriptionStart],"&lt;="&amp;A492,Table1[TotalRevenue])</f>
        <v>112526.55000000012</v>
      </c>
      <c r="I492" s="50">
        <f t="shared" si="29"/>
        <v>45077</v>
      </c>
      <c r="J492" s="49">
        <f t="shared" ca="1" si="30"/>
        <v>373.03225806451616</v>
      </c>
      <c r="K492" s="45" cm="1">
        <f t="array" aca="1" ref="K492" ca="1">SUMPRODUCT((Table1[SubscriptionStart] &lt;= $A492) * (Table1[EffectiveEndDate] &gt;= $A492) * (Table1[Region] = "England"))</f>
        <v>99</v>
      </c>
      <c r="L492" s="45" cm="1">
        <f t="array" aca="1" ref="L492" ca="1">SUMPRODUCT((Table1[SubscriptionStart] &lt;= $A492) * (Table1[EffectiveEndDate] &gt;= $A492) * (Table1[Region] = "Scotland"))</f>
        <v>76</v>
      </c>
      <c r="M492" s="45" cm="1">
        <f t="array" aca="1" ref="M492" ca="1">SUMPRODUCT((Table1[SubscriptionStart] &lt;= $A492) * (Table1[EffectiveEndDate] &gt;= $A492) * (Table1[Region] = "Wales"))</f>
        <v>99</v>
      </c>
      <c r="N492" s="45" cm="1">
        <f t="array" aca="1" ref="N492" ca="1">SUMPRODUCT((Table1[SubscriptionStart] &lt;= $A492) * (Table1[EffectiveEndDate] &gt;= $A492) * (Table1[Region] = "Northern Ireland"))</f>
        <v>89</v>
      </c>
      <c r="O492" s="45" cm="1">
        <f t="array" aca="1" ref="O492" ca="1">SUMPRODUCT((Table1[Gender]="Male")*(Table1[SubscriptionStart]&lt;=A492)*(Table1[EffectiveEndDate]&gt;=A492))</f>
        <v>182</v>
      </c>
      <c r="P492" s="45" cm="1">
        <f t="array" aca="1" ref="P492" ca="1">SUMPRODUCT((Table1[Gender]="Female")*(Table1[SubscriptionStart]&lt;=A492)*(Table1[EffectiveEndDate]&gt;=A492))</f>
        <v>181</v>
      </c>
    </row>
    <row r="493" spans="1:16">
      <c r="A493" s="48">
        <f t="shared" si="31"/>
        <v>45053</v>
      </c>
      <c r="B493" s="45" cm="1">
        <f t="array" aca="1" ref="B493" ca="1">SUMPRODUCT((Table1[SubscriptionStart]&lt;=A493)*(Table1[EffectiveEndDate]&gt;=A493))</f>
        <v>364</v>
      </c>
      <c r="C493" s="45">
        <f>COUNTIFS(Table1[SubscriptionStart], A493)</f>
        <v>2</v>
      </c>
      <c r="D493" s="45">
        <f>COUNTIFS(Table1[CancellationDate], A493)</f>
        <v>1</v>
      </c>
      <c r="E493" s="45">
        <f t="shared" si="28"/>
        <v>1</v>
      </c>
      <c r="F493" s="45">
        <f>SUM($C$2:C493)</f>
        <v>540</v>
      </c>
      <c r="G493" s="49" cm="1">
        <f t="array" aca="1" ref="G493" ca="1">IF(B493=0,"", SUMPRODUCT((Table1[SubscriptionStart]&lt;=A493)*(Table1[EffectiveEndDate]&gt;=A493)*Table1[Age]) / B493 )</f>
        <v>46.585164835164832</v>
      </c>
      <c r="H493" s="22">
        <f>SUMIF(Table1[SubscriptionStart],"&lt;="&amp;A493,Table1[TotalRevenue])</f>
        <v>112706.55000000012</v>
      </c>
      <c r="I493" s="50">
        <f t="shared" si="29"/>
        <v>45077</v>
      </c>
      <c r="J493" s="49">
        <f t="shared" ca="1" si="30"/>
        <v>373.03225806451616</v>
      </c>
      <c r="K493" s="45" cm="1">
        <f t="array" aca="1" ref="K493" ca="1">SUMPRODUCT((Table1[SubscriptionStart] &lt;= $A493) * (Table1[EffectiveEndDate] &gt;= $A493) * (Table1[Region] = "England"))</f>
        <v>99</v>
      </c>
      <c r="L493" s="45" cm="1">
        <f t="array" aca="1" ref="L493" ca="1">SUMPRODUCT((Table1[SubscriptionStart] &lt;= $A493) * (Table1[EffectiveEndDate] &gt;= $A493) * (Table1[Region] = "Scotland"))</f>
        <v>77</v>
      </c>
      <c r="M493" s="45" cm="1">
        <f t="array" aca="1" ref="M493" ca="1">SUMPRODUCT((Table1[SubscriptionStart] &lt;= $A493) * (Table1[EffectiveEndDate] &gt;= $A493) * (Table1[Region] = "Wales"))</f>
        <v>99</v>
      </c>
      <c r="N493" s="45" cm="1">
        <f t="array" aca="1" ref="N493" ca="1">SUMPRODUCT((Table1[SubscriptionStart] &lt;= $A493) * (Table1[EffectiveEndDate] &gt;= $A493) * (Table1[Region] = "Northern Ireland"))</f>
        <v>89</v>
      </c>
      <c r="O493" s="45" cm="1">
        <f t="array" aca="1" ref="O493" ca="1">SUMPRODUCT((Table1[Gender]="Male")*(Table1[SubscriptionStart]&lt;=A493)*(Table1[EffectiveEndDate]&gt;=A493))</f>
        <v>183</v>
      </c>
      <c r="P493" s="45" cm="1">
        <f t="array" aca="1" ref="P493" ca="1">SUMPRODUCT((Table1[Gender]="Female")*(Table1[SubscriptionStart]&lt;=A493)*(Table1[EffectiveEndDate]&gt;=A493))</f>
        <v>181</v>
      </c>
    </row>
    <row r="494" spans="1:16">
      <c r="A494" s="48">
        <f t="shared" si="31"/>
        <v>45054</v>
      </c>
      <c r="B494" s="45" cm="1">
        <f t="array" aca="1" ref="B494" ca="1">SUMPRODUCT((Table1[SubscriptionStart]&lt;=A494)*(Table1[EffectiveEndDate]&gt;=A494))</f>
        <v>363</v>
      </c>
      <c r="C494" s="45">
        <f>COUNTIFS(Table1[SubscriptionStart], A494)</f>
        <v>0</v>
      </c>
      <c r="D494" s="45">
        <f>COUNTIFS(Table1[CancellationDate], A494)</f>
        <v>1</v>
      </c>
      <c r="E494" s="45">
        <f t="shared" si="28"/>
        <v>-1</v>
      </c>
      <c r="F494" s="45">
        <f>SUM($C$2:C494)</f>
        <v>540</v>
      </c>
      <c r="G494" s="49" cm="1">
        <f t="array" aca="1" ref="G494" ca="1">IF(B494=0,"", SUMPRODUCT((Table1[SubscriptionStart]&lt;=A494)*(Table1[EffectiveEndDate]&gt;=A494)*Table1[Age]) / B494 )</f>
        <v>46.652892561983471</v>
      </c>
      <c r="H494" s="22">
        <f>SUMIF(Table1[SubscriptionStart],"&lt;="&amp;A494,Table1[TotalRevenue])</f>
        <v>112706.55000000012</v>
      </c>
      <c r="I494" s="50">
        <f t="shared" si="29"/>
        <v>45077</v>
      </c>
      <c r="J494" s="49">
        <f t="shared" ca="1" si="30"/>
        <v>373.03225806451616</v>
      </c>
      <c r="K494" s="45" cm="1">
        <f t="array" aca="1" ref="K494" ca="1">SUMPRODUCT((Table1[SubscriptionStart] &lt;= $A494) * (Table1[EffectiveEndDate] &gt;= $A494) * (Table1[Region] = "England"))</f>
        <v>99</v>
      </c>
      <c r="L494" s="45" cm="1">
        <f t="array" aca="1" ref="L494" ca="1">SUMPRODUCT((Table1[SubscriptionStart] &lt;= $A494) * (Table1[EffectiveEndDate] &gt;= $A494) * (Table1[Region] = "Scotland"))</f>
        <v>77</v>
      </c>
      <c r="M494" s="45" cm="1">
        <f t="array" aca="1" ref="M494" ca="1">SUMPRODUCT((Table1[SubscriptionStart] &lt;= $A494) * (Table1[EffectiveEndDate] &gt;= $A494) * (Table1[Region] = "Wales"))</f>
        <v>99</v>
      </c>
      <c r="N494" s="45" cm="1">
        <f t="array" aca="1" ref="N494" ca="1">SUMPRODUCT((Table1[SubscriptionStart] &lt;= $A494) * (Table1[EffectiveEndDate] &gt;= $A494) * (Table1[Region] = "Northern Ireland"))</f>
        <v>88</v>
      </c>
      <c r="O494" s="45" cm="1">
        <f t="array" aca="1" ref="O494" ca="1">SUMPRODUCT((Table1[Gender]="Male")*(Table1[SubscriptionStart]&lt;=A494)*(Table1[EffectiveEndDate]&gt;=A494))</f>
        <v>183</v>
      </c>
      <c r="P494" s="45" cm="1">
        <f t="array" aca="1" ref="P494" ca="1">SUMPRODUCT((Table1[Gender]="Female")*(Table1[SubscriptionStart]&lt;=A494)*(Table1[EffectiveEndDate]&gt;=A494))</f>
        <v>180</v>
      </c>
    </row>
    <row r="495" spans="1:16">
      <c r="A495" s="48">
        <f t="shared" si="31"/>
        <v>45055</v>
      </c>
      <c r="B495" s="45" cm="1">
        <f t="array" aca="1" ref="B495" ca="1">SUMPRODUCT((Table1[SubscriptionStart]&lt;=A495)*(Table1[EffectiveEndDate]&gt;=A495))</f>
        <v>365</v>
      </c>
      <c r="C495" s="45">
        <f>COUNTIFS(Table1[SubscriptionStart], A495)</f>
        <v>3</v>
      </c>
      <c r="D495" s="45">
        <f>COUNTIFS(Table1[CancellationDate], A495)</f>
        <v>0</v>
      </c>
      <c r="E495" s="45">
        <f t="shared" si="28"/>
        <v>3</v>
      </c>
      <c r="F495" s="45">
        <f>SUM($C$2:C495)</f>
        <v>543</v>
      </c>
      <c r="G495" s="49" cm="1">
        <f t="array" aca="1" ref="G495" ca="1">IF(B495=0,"", SUMPRODUCT((Table1[SubscriptionStart]&lt;=A495)*(Table1[EffectiveEndDate]&gt;=A495)*Table1[Age]) / B495 )</f>
        <v>46.660273972602738</v>
      </c>
      <c r="H495" s="22">
        <f>SUMIF(Table1[SubscriptionStart],"&lt;="&amp;A495,Table1[TotalRevenue])</f>
        <v>113009.40000000013</v>
      </c>
      <c r="I495" s="50">
        <f t="shared" si="29"/>
        <v>45077</v>
      </c>
      <c r="J495" s="49">
        <f t="shared" ca="1" si="30"/>
        <v>373.03225806451616</v>
      </c>
      <c r="K495" s="45" cm="1">
        <f t="array" aca="1" ref="K495" ca="1">SUMPRODUCT((Table1[SubscriptionStart] &lt;= $A495) * (Table1[EffectiveEndDate] &gt;= $A495) * (Table1[Region] = "England"))</f>
        <v>100</v>
      </c>
      <c r="L495" s="45" cm="1">
        <f t="array" aca="1" ref="L495" ca="1">SUMPRODUCT((Table1[SubscriptionStart] &lt;= $A495) * (Table1[EffectiveEndDate] &gt;= $A495) * (Table1[Region] = "Scotland"))</f>
        <v>77</v>
      </c>
      <c r="M495" s="45" cm="1">
        <f t="array" aca="1" ref="M495" ca="1">SUMPRODUCT((Table1[SubscriptionStart] &lt;= $A495) * (Table1[EffectiveEndDate] &gt;= $A495) * (Table1[Region] = "Wales"))</f>
        <v>99</v>
      </c>
      <c r="N495" s="45" cm="1">
        <f t="array" aca="1" ref="N495" ca="1">SUMPRODUCT((Table1[SubscriptionStart] &lt;= $A495) * (Table1[EffectiveEndDate] &gt;= $A495) * (Table1[Region] = "Northern Ireland"))</f>
        <v>89</v>
      </c>
      <c r="O495" s="45" cm="1">
        <f t="array" aca="1" ref="O495" ca="1">SUMPRODUCT((Table1[Gender]="Male")*(Table1[SubscriptionStart]&lt;=A495)*(Table1[EffectiveEndDate]&gt;=A495))</f>
        <v>185</v>
      </c>
      <c r="P495" s="45" cm="1">
        <f t="array" aca="1" ref="P495" ca="1">SUMPRODUCT((Table1[Gender]="Female")*(Table1[SubscriptionStart]&lt;=A495)*(Table1[EffectiveEndDate]&gt;=A495))</f>
        <v>180</v>
      </c>
    </row>
    <row r="496" spans="1:16">
      <c r="A496" s="48">
        <f t="shared" si="31"/>
        <v>45056</v>
      </c>
      <c r="B496" s="45" cm="1">
        <f t="array" aca="1" ref="B496" ca="1">SUMPRODUCT((Table1[SubscriptionStart]&lt;=A496)*(Table1[EffectiveEndDate]&gt;=A496))</f>
        <v>368</v>
      </c>
      <c r="C496" s="45">
        <f>COUNTIFS(Table1[SubscriptionStart], A496)</f>
        <v>3</v>
      </c>
      <c r="D496" s="45">
        <f>COUNTIFS(Table1[CancellationDate], A496)</f>
        <v>0</v>
      </c>
      <c r="E496" s="45">
        <f t="shared" si="28"/>
        <v>3</v>
      </c>
      <c r="F496" s="45">
        <f>SUM($C$2:C496)</f>
        <v>546</v>
      </c>
      <c r="G496" s="49" cm="1">
        <f t="array" aca="1" ref="G496" ca="1">IF(B496=0,"", SUMPRODUCT((Table1[SubscriptionStart]&lt;=A496)*(Table1[EffectiveEndDate]&gt;=A496)*Table1[Age]) / B496 )</f>
        <v>46.758152173913047</v>
      </c>
      <c r="H496" s="22">
        <f>SUMIF(Table1[SubscriptionStart],"&lt;="&amp;A496,Table1[TotalRevenue])</f>
        <v>113283.00000000013</v>
      </c>
      <c r="I496" s="50">
        <f t="shared" si="29"/>
        <v>45077</v>
      </c>
      <c r="J496" s="49">
        <f t="shared" ca="1" si="30"/>
        <v>373.03225806451616</v>
      </c>
      <c r="K496" s="45" cm="1">
        <f t="array" aca="1" ref="K496" ca="1">SUMPRODUCT((Table1[SubscriptionStart] &lt;= $A496) * (Table1[EffectiveEndDate] &gt;= $A496) * (Table1[Region] = "England"))</f>
        <v>102</v>
      </c>
      <c r="L496" s="45" cm="1">
        <f t="array" aca="1" ref="L496" ca="1">SUMPRODUCT((Table1[SubscriptionStart] &lt;= $A496) * (Table1[EffectiveEndDate] &gt;= $A496) * (Table1[Region] = "Scotland"))</f>
        <v>78</v>
      </c>
      <c r="M496" s="45" cm="1">
        <f t="array" aca="1" ref="M496" ca="1">SUMPRODUCT((Table1[SubscriptionStart] &lt;= $A496) * (Table1[EffectiveEndDate] &gt;= $A496) * (Table1[Region] = "Wales"))</f>
        <v>99</v>
      </c>
      <c r="N496" s="45" cm="1">
        <f t="array" aca="1" ref="N496" ca="1">SUMPRODUCT((Table1[SubscriptionStart] &lt;= $A496) * (Table1[EffectiveEndDate] &gt;= $A496) * (Table1[Region] = "Northern Ireland"))</f>
        <v>89</v>
      </c>
      <c r="O496" s="45" cm="1">
        <f t="array" aca="1" ref="O496" ca="1">SUMPRODUCT((Table1[Gender]="Male")*(Table1[SubscriptionStart]&lt;=A496)*(Table1[EffectiveEndDate]&gt;=A496))</f>
        <v>188</v>
      </c>
      <c r="P496" s="45" cm="1">
        <f t="array" aca="1" ref="P496" ca="1">SUMPRODUCT((Table1[Gender]="Female")*(Table1[SubscriptionStart]&lt;=A496)*(Table1[EffectiveEndDate]&gt;=A496))</f>
        <v>180</v>
      </c>
    </row>
    <row r="497" spans="1:16">
      <c r="A497" s="48">
        <f t="shared" si="31"/>
        <v>45057</v>
      </c>
      <c r="B497" s="45" cm="1">
        <f t="array" aca="1" ref="B497" ca="1">SUMPRODUCT((Table1[SubscriptionStart]&lt;=A497)*(Table1[EffectiveEndDate]&gt;=A497))</f>
        <v>369</v>
      </c>
      <c r="C497" s="45">
        <f>COUNTIFS(Table1[SubscriptionStart], A497)</f>
        <v>1</v>
      </c>
      <c r="D497" s="45">
        <f>COUNTIFS(Table1[CancellationDate], A497)</f>
        <v>1</v>
      </c>
      <c r="E497" s="45">
        <f t="shared" si="28"/>
        <v>0</v>
      </c>
      <c r="F497" s="45">
        <f>SUM($C$2:C497)</f>
        <v>547</v>
      </c>
      <c r="G497" s="49" cm="1">
        <f t="array" aca="1" ref="G497" ca="1">IF(B497=0,"", SUMPRODUCT((Table1[SubscriptionStart]&lt;=A497)*(Table1[EffectiveEndDate]&gt;=A497)*Table1[Age]) / B497 )</f>
        <v>46.72086720867209</v>
      </c>
      <c r="H497" s="22">
        <f>SUMIF(Table1[SubscriptionStart],"&lt;="&amp;A497,Table1[TotalRevenue])</f>
        <v>113283.00000000013</v>
      </c>
      <c r="I497" s="50">
        <f t="shared" si="29"/>
        <v>45077</v>
      </c>
      <c r="J497" s="49">
        <f t="shared" ca="1" si="30"/>
        <v>373.03225806451616</v>
      </c>
      <c r="K497" s="45" cm="1">
        <f t="array" aca="1" ref="K497" ca="1">SUMPRODUCT((Table1[SubscriptionStart] &lt;= $A497) * (Table1[EffectiveEndDate] &gt;= $A497) * (Table1[Region] = "England"))</f>
        <v>102</v>
      </c>
      <c r="L497" s="45" cm="1">
        <f t="array" aca="1" ref="L497" ca="1">SUMPRODUCT((Table1[SubscriptionStart] &lt;= $A497) * (Table1[EffectiveEndDate] &gt;= $A497) * (Table1[Region] = "Scotland"))</f>
        <v>78</v>
      </c>
      <c r="M497" s="45" cm="1">
        <f t="array" aca="1" ref="M497" ca="1">SUMPRODUCT((Table1[SubscriptionStart] &lt;= $A497) * (Table1[EffectiveEndDate] &gt;= $A497) * (Table1[Region] = "Wales"))</f>
        <v>99</v>
      </c>
      <c r="N497" s="45" cm="1">
        <f t="array" aca="1" ref="N497" ca="1">SUMPRODUCT((Table1[SubscriptionStart] &lt;= $A497) * (Table1[EffectiveEndDate] &gt;= $A497) * (Table1[Region] = "Northern Ireland"))</f>
        <v>90</v>
      </c>
      <c r="O497" s="45" cm="1">
        <f t="array" aca="1" ref="O497" ca="1">SUMPRODUCT((Table1[Gender]="Male")*(Table1[SubscriptionStart]&lt;=A497)*(Table1[EffectiveEndDate]&gt;=A497))</f>
        <v>189</v>
      </c>
      <c r="P497" s="45" cm="1">
        <f t="array" aca="1" ref="P497" ca="1">SUMPRODUCT((Table1[Gender]="Female")*(Table1[SubscriptionStart]&lt;=A497)*(Table1[EffectiveEndDate]&gt;=A497))</f>
        <v>180</v>
      </c>
    </row>
    <row r="498" spans="1:16">
      <c r="A498" s="48">
        <f t="shared" si="31"/>
        <v>45058</v>
      </c>
      <c r="B498" s="45" cm="1">
        <f t="array" aca="1" ref="B498" ca="1">SUMPRODUCT((Table1[SubscriptionStart]&lt;=A498)*(Table1[EffectiveEndDate]&gt;=A498))</f>
        <v>371</v>
      </c>
      <c r="C498" s="45">
        <f>COUNTIFS(Table1[SubscriptionStart], A498)</f>
        <v>3</v>
      </c>
      <c r="D498" s="45">
        <f>COUNTIFS(Table1[CancellationDate], A498)</f>
        <v>1</v>
      </c>
      <c r="E498" s="45">
        <f t="shared" si="28"/>
        <v>2</v>
      </c>
      <c r="F498" s="45">
        <f>SUM($C$2:C498)</f>
        <v>550</v>
      </c>
      <c r="G498" s="49" cm="1">
        <f t="array" aca="1" ref="G498" ca="1">IF(B498=0,"", SUMPRODUCT((Table1[SubscriptionStart]&lt;=A498)*(Table1[EffectiveEndDate]&gt;=A498)*Table1[Age]) / B498 )</f>
        <v>46.81401617250674</v>
      </c>
      <c r="H498" s="22">
        <f>SUMIF(Table1[SubscriptionStart],"&lt;="&amp;A498,Table1[TotalRevenue])</f>
        <v>114005.50000000013</v>
      </c>
      <c r="I498" s="50">
        <f t="shared" si="29"/>
        <v>45077</v>
      </c>
      <c r="J498" s="49">
        <f t="shared" ca="1" si="30"/>
        <v>373.03225806451616</v>
      </c>
      <c r="K498" s="45" cm="1">
        <f t="array" aca="1" ref="K498" ca="1">SUMPRODUCT((Table1[SubscriptionStart] &lt;= $A498) * (Table1[EffectiveEndDate] &gt;= $A498) * (Table1[Region] = "England"))</f>
        <v>102</v>
      </c>
      <c r="L498" s="45" cm="1">
        <f t="array" aca="1" ref="L498" ca="1">SUMPRODUCT((Table1[SubscriptionStart] &lt;= $A498) * (Table1[EffectiveEndDate] &gt;= $A498) * (Table1[Region] = "Scotland"))</f>
        <v>77</v>
      </c>
      <c r="M498" s="45" cm="1">
        <f t="array" aca="1" ref="M498" ca="1">SUMPRODUCT((Table1[SubscriptionStart] &lt;= $A498) * (Table1[EffectiveEndDate] &gt;= $A498) * (Table1[Region] = "Wales"))</f>
        <v>100</v>
      </c>
      <c r="N498" s="45" cm="1">
        <f t="array" aca="1" ref="N498" ca="1">SUMPRODUCT((Table1[SubscriptionStart] &lt;= $A498) * (Table1[EffectiveEndDate] &gt;= $A498) * (Table1[Region] = "Northern Ireland"))</f>
        <v>92</v>
      </c>
      <c r="O498" s="45" cm="1">
        <f t="array" aca="1" ref="O498" ca="1">SUMPRODUCT((Table1[Gender]="Male")*(Table1[SubscriptionStart]&lt;=A498)*(Table1[EffectiveEndDate]&gt;=A498))</f>
        <v>190</v>
      </c>
      <c r="P498" s="45" cm="1">
        <f t="array" aca="1" ref="P498" ca="1">SUMPRODUCT((Table1[Gender]="Female")*(Table1[SubscriptionStart]&lt;=A498)*(Table1[EffectiveEndDate]&gt;=A498))</f>
        <v>181</v>
      </c>
    </row>
    <row r="499" spans="1:16">
      <c r="A499" s="48">
        <f t="shared" si="31"/>
        <v>45059</v>
      </c>
      <c r="B499" s="45" cm="1">
        <f t="array" aca="1" ref="B499" ca="1">SUMPRODUCT((Table1[SubscriptionStart]&lt;=A499)*(Table1[EffectiveEndDate]&gt;=A499))</f>
        <v>370</v>
      </c>
      <c r="C499" s="45">
        <f>COUNTIFS(Table1[SubscriptionStart], A499)</f>
        <v>0</v>
      </c>
      <c r="D499" s="45">
        <f>COUNTIFS(Table1[CancellationDate], A499)</f>
        <v>0</v>
      </c>
      <c r="E499" s="45">
        <f t="shared" si="28"/>
        <v>0</v>
      </c>
      <c r="F499" s="45">
        <f>SUM($C$2:C499)</f>
        <v>550</v>
      </c>
      <c r="G499" s="49" cm="1">
        <f t="array" aca="1" ref="G499" ca="1">IF(B499=0,"", SUMPRODUCT((Table1[SubscriptionStart]&lt;=A499)*(Table1[EffectiveEndDate]&gt;=A499)*Table1[Age]) / B499 )</f>
        <v>46.781081081081084</v>
      </c>
      <c r="H499" s="22">
        <f>SUMIF(Table1[SubscriptionStart],"&lt;="&amp;A499,Table1[TotalRevenue])</f>
        <v>114005.50000000013</v>
      </c>
      <c r="I499" s="50">
        <f t="shared" si="29"/>
        <v>45077</v>
      </c>
      <c r="J499" s="49">
        <f t="shared" ca="1" si="30"/>
        <v>373.03225806451616</v>
      </c>
      <c r="K499" s="45" cm="1">
        <f t="array" aca="1" ref="K499" ca="1">SUMPRODUCT((Table1[SubscriptionStart] &lt;= $A499) * (Table1[EffectiveEndDate] &gt;= $A499) * (Table1[Region] = "England"))</f>
        <v>101</v>
      </c>
      <c r="L499" s="45" cm="1">
        <f t="array" aca="1" ref="L499" ca="1">SUMPRODUCT((Table1[SubscriptionStart] &lt;= $A499) * (Table1[EffectiveEndDate] &gt;= $A499) * (Table1[Region] = "Scotland"))</f>
        <v>77</v>
      </c>
      <c r="M499" s="45" cm="1">
        <f t="array" aca="1" ref="M499" ca="1">SUMPRODUCT((Table1[SubscriptionStart] &lt;= $A499) * (Table1[EffectiveEndDate] &gt;= $A499) * (Table1[Region] = "Wales"))</f>
        <v>100</v>
      </c>
      <c r="N499" s="45" cm="1">
        <f t="array" aca="1" ref="N499" ca="1">SUMPRODUCT((Table1[SubscriptionStart] &lt;= $A499) * (Table1[EffectiveEndDate] &gt;= $A499) * (Table1[Region] = "Northern Ireland"))</f>
        <v>92</v>
      </c>
      <c r="O499" s="45" cm="1">
        <f t="array" aca="1" ref="O499" ca="1">SUMPRODUCT((Table1[Gender]="Male")*(Table1[SubscriptionStart]&lt;=A499)*(Table1[EffectiveEndDate]&gt;=A499))</f>
        <v>190</v>
      </c>
      <c r="P499" s="45" cm="1">
        <f t="array" aca="1" ref="P499" ca="1">SUMPRODUCT((Table1[Gender]="Female")*(Table1[SubscriptionStart]&lt;=A499)*(Table1[EffectiveEndDate]&gt;=A499))</f>
        <v>180</v>
      </c>
    </row>
    <row r="500" spans="1:16">
      <c r="A500" s="48">
        <f t="shared" si="31"/>
        <v>45060</v>
      </c>
      <c r="B500" s="45" cm="1">
        <f t="array" aca="1" ref="B500" ca="1">SUMPRODUCT((Table1[SubscriptionStart]&lt;=A500)*(Table1[EffectiveEndDate]&gt;=A500))</f>
        <v>374</v>
      </c>
      <c r="C500" s="45">
        <f>COUNTIFS(Table1[SubscriptionStart], A500)</f>
        <v>4</v>
      </c>
      <c r="D500" s="45">
        <f>COUNTIFS(Table1[CancellationDate], A500)</f>
        <v>1</v>
      </c>
      <c r="E500" s="45">
        <f t="shared" si="28"/>
        <v>3</v>
      </c>
      <c r="F500" s="45">
        <f>SUM($C$2:C500)</f>
        <v>554</v>
      </c>
      <c r="G500" s="49" cm="1">
        <f t="array" aca="1" ref="G500" ca="1">IF(B500=0,"", SUMPRODUCT((Table1[SubscriptionStart]&lt;=A500)*(Table1[EffectiveEndDate]&gt;=A500)*Table1[Age]) / B500 )</f>
        <v>46.644385026737964</v>
      </c>
      <c r="H500" s="22">
        <f>SUMIF(Table1[SubscriptionStart],"&lt;="&amp;A500,Table1[TotalRevenue])</f>
        <v>114619.10000000014</v>
      </c>
      <c r="I500" s="50">
        <f t="shared" si="29"/>
        <v>45077</v>
      </c>
      <c r="J500" s="49">
        <f t="shared" ca="1" si="30"/>
        <v>373.03225806451616</v>
      </c>
      <c r="K500" s="45" cm="1">
        <f t="array" aca="1" ref="K500" ca="1">SUMPRODUCT((Table1[SubscriptionStart] &lt;= $A500) * (Table1[EffectiveEndDate] &gt;= $A500) * (Table1[Region] = "England"))</f>
        <v>102</v>
      </c>
      <c r="L500" s="45" cm="1">
        <f t="array" aca="1" ref="L500" ca="1">SUMPRODUCT((Table1[SubscriptionStart] &lt;= $A500) * (Table1[EffectiveEndDate] &gt;= $A500) * (Table1[Region] = "Scotland"))</f>
        <v>79</v>
      </c>
      <c r="M500" s="45" cm="1">
        <f t="array" aca="1" ref="M500" ca="1">SUMPRODUCT((Table1[SubscriptionStart] &lt;= $A500) * (Table1[EffectiveEndDate] &gt;= $A500) * (Table1[Region] = "Wales"))</f>
        <v>101</v>
      </c>
      <c r="N500" s="45" cm="1">
        <f t="array" aca="1" ref="N500" ca="1">SUMPRODUCT((Table1[SubscriptionStart] &lt;= $A500) * (Table1[EffectiveEndDate] &gt;= $A500) * (Table1[Region] = "Northern Ireland"))</f>
        <v>92</v>
      </c>
      <c r="O500" s="45" cm="1">
        <f t="array" aca="1" ref="O500" ca="1">SUMPRODUCT((Table1[Gender]="Male")*(Table1[SubscriptionStart]&lt;=A500)*(Table1[EffectiveEndDate]&gt;=A500))</f>
        <v>191</v>
      </c>
      <c r="P500" s="45" cm="1">
        <f t="array" aca="1" ref="P500" ca="1">SUMPRODUCT((Table1[Gender]="Female")*(Table1[SubscriptionStart]&lt;=A500)*(Table1[EffectiveEndDate]&gt;=A500))</f>
        <v>183</v>
      </c>
    </row>
    <row r="501" spans="1:16">
      <c r="A501" s="48">
        <f t="shared" si="31"/>
        <v>45061</v>
      </c>
      <c r="B501" s="45" cm="1">
        <f t="array" aca="1" ref="B501" ca="1">SUMPRODUCT((Table1[SubscriptionStart]&lt;=A501)*(Table1[EffectiveEndDate]&gt;=A501))</f>
        <v>375</v>
      </c>
      <c r="C501" s="45">
        <f>COUNTIFS(Table1[SubscriptionStart], A501)</f>
        <v>2</v>
      </c>
      <c r="D501" s="45">
        <f>COUNTIFS(Table1[CancellationDate], A501)</f>
        <v>0</v>
      </c>
      <c r="E501" s="45">
        <f t="shared" si="28"/>
        <v>2</v>
      </c>
      <c r="F501" s="45">
        <f>SUM($C$2:C501)</f>
        <v>556</v>
      </c>
      <c r="G501" s="49" cm="1">
        <f t="array" aca="1" ref="G501" ca="1">IF(B501=0,"", SUMPRODUCT((Table1[SubscriptionStart]&lt;=A501)*(Table1[EffectiveEndDate]&gt;=A501)*Table1[Age]) / B501 )</f>
        <v>46.501333333333335</v>
      </c>
      <c r="H501" s="22">
        <f>SUMIF(Table1[SubscriptionStart],"&lt;="&amp;A501,Table1[TotalRevenue])</f>
        <v>114732.50000000013</v>
      </c>
      <c r="I501" s="50">
        <f t="shared" si="29"/>
        <v>45077</v>
      </c>
      <c r="J501" s="49">
        <f t="shared" ca="1" si="30"/>
        <v>373.03225806451616</v>
      </c>
      <c r="K501" s="45" cm="1">
        <f t="array" aca="1" ref="K501" ca="1">SUMPRODUCT((Table1[SubscriptionStart] &lt;= $A501) * (Table1[EffectiveEndDate] &gt;= $A501) * (Table1[Region] = "England"))</f>
        <v>102</v>
      </c>
      <c r="L501" s="45" cm="1">
        <f t="array" aca="1" ref="L501" ca="1">SUMPRODUCT((Table1[SubscriptionStart] &lt;= $A501) * (Table1[EffectiveEndDate] &gt;= $A501) * (Table1[Region] = "Scotland"))</f>
        <v>80</v>
      </c>
      <c r="M501" s="45" cm="1">
        <f t="array" aca="1" ref="M501" ca="1">SUMPRODUCT((Table1[SubscriptionStart] &lt;= $A501) * (Table1[EffectiveEndDate] &gt;= $A501) * (Table1[Region] = "Wales"))</f>
        <v>101</v>
      </c>
      <c r="N501" s="45" cm="1">
        <f t="array" aca="1" ref="N501" ca="1">SUMPRODUCT((Table1[SubscriptionStart] &lt;= $A501) * (Table1[EffectiveEndDate] &gt;= $A501) * (Table1[Region] = "Northern Ireland"))</f>
        <v>92</v>
      </c>
      <c r="O501" s="45" cm="1">
        <f t="array" aca="1" ref="O501" ca="1">SUMPRODUCT((Table1[Gender]="Male")*(Table1[SubscriptionStart]&lt;=A501)*(Table1[EffectiveEndDate]&gt;=A501))</f>
        <v>192</v>
      </c>
      <c r="P501" s="45" cm="1">
        <f t="array" aca="1" ref="P501" ca="1">SUMPRODUCT((Table1[Gender]="Female")*(Table1[SubscriptionStart]&lt;=A501)*(Table1[EffectiveEndDate]&gt;=A501))</f>
        <v>183</v>
      </c>
    </row>
    <row r="502" spans="1:16">
      <c r="A502" s="48">
        <f t="shared" si="31"/>
        <v>45062</v>
      </c>
      <c r="B502" s="45" cm="1">
        <f t="array" aca="1" ref="B502" ca="1">SUMPRODUCT((Table1[SubscriptionStart]&lt;=A502)*(Table1[EffectiveEndDate]&gt;=A502))</f>
        <v>376</v>
      </c>
      <c r="C502" s="45">
        <f>COUNTIFS(Table1[SubscriptionStart], A502)</f>
        <v>1</v>
      </c>
      <c r="D502" s="45">
        <f>COUNTIFS(Table1[CancellationDate], A502)</f>
        <v>1</v>
      </c>
      <c r="E502" s="45">
        <f t="shared" si="28"/>
        <v>0</v>
      </c>
      <c r="F502" s="45">
        <f>SUM($C$2:C502)</f>
        <v>557</v>
      </c>
      <c r="G502" s="49" cm="1">
        <f t="array" aca="1" ref="G502" ca="1">IF(B502=0,"", SUMPRODUCT((Table1[SubscriptionStart]&lt;=A502)*(Table1[EffectiveEndDate]&gt;=A502)*Table1[Age]) / B502 )</f>
        <v>46.537234042553195</v>
      </c>
      <c r="H502" s="22">
        <f>SUMIF(Table1[SubscriptionStart],"&lt;="&amp;A502,Table1[TotalRevenue])</f>
        <v>114804.50000000013</v>
      </c>
      <c r="I502" s="50">
        <f t="shared" si="29"/>
        <v>45077</v>
      </c>
      <c r="J502" s="49">
        <f t="shared" ca="1" si="30"/>
        <v>373.03225806451616</v>
      </c>
      <c r="K502" s="45" cm="1">
        <f t="array" aca="1" ref="K502" ca="1">SUMPRODUCT((Table1[SubscriptionStart] &lt;= $A502) * (Table1[EffectiveEndDate] &gt;= $A502) * (Table1[Region] = "England"))</f>
        <v>102</v>
      </c>
      <c r="L502" s="45" cm="1">
        <f t="array" aca="1" ref="L502" ca="1">SUMPRODUCT((Table1[SubscriptionStart] &lt;= $A502) * (Table1[EffectiveEndDate] &gt;= $A502) * (Table1[Region] = "Scotland"))</f>
        <v>80</v>
      </c>
      <c r="M502" s="45" cm="1">
        <f t="array" aca="1" ref="M502" ca="1">SUMPRODUCT((Table1[SubscriptionStart] &lt;= $A502) * (Table1[EffectiveEndDate] &gt;= $A502) * (Table1[Region] = "Wales"))</f>
        <v>101</v>
      </c>
      <c r="N502" s="45" cm="1">
        <f t="array" aca="1" ref="N502" ca="1">SUMPRODUCT((Table1[SubscriptionStart] &lt;= $A502) * (Table1[EffectiveEndDate] &gt;= $A502) * (Table1[Region] = "Northern Ireland"))</f>
        <v>93</v>
      </c>
      <c r="O502" s="45" cm="1">
        <f t="array" aca="1" ref="O502" ca="1">SUMPRODUCT((Table1[Gender]="Male")*(Table1[SubscriptionStart]&lt;=A502)*(Table1[EffectiveEndDate]&gt;=A502))</f>
        <v>193</v>
      </c>
      <c r="P502" s="45" cm="1">
        <f t="array" aca="1" ref="P502" ca="1">SUMPRODUCT((Table1[Gender]="Female")*(Table1[SubscriptionStart]&lt;=A502)*(Table1[EffectiveEndDate]&gt;=A502))</f>
        <v>183</v>
      </c>
    </row>
    <row r="503" spans="1:16">
      <c r="A503" s="48">
        <f t="shared" si="31"/>
        <v>45063</v>
      </c>
      <c r="B503" s="45" cm="1">
        <f t="array" aca="1" ref="B503" ca="1">SUMPRODUCT((Table1[SubscriptionStart]&lt;=A503)*(Table1[EffectiveEndDate]&gt;=A503))</f>
        <v>375</v>
      </c>
      <c r="C503" s="45">
        <f>COUNTIFS(Table1[SubscriptionStart], A503)</f>
        <v>0</v>
      </c>
      <c r="D503" s="45">
        <f>COUNTIFS(Table1[CancellationDate], A503)</f>
        <v>1</v>
      </c>
      <c r="E503" s="45">
        <f t="shared" si="28"/>
        <v>-1</v>
      </c>
      <c r="F503" s="45">
        <f>SUM($C$2:C503)</f>
        <v>557</v>
      </c>
      <c r="G503" s="49" cm="1">
        <f t="array" aca="1" ref="G503" ca="1">IF(B503=0,"", SUMPRODUCT((Table1[SubscriptionStart]&lt;=A503)*(Table1[EffectiveEndDate]&gt;=A503)*Table1[Age]) / B503 )</f>
        <v>46.549333333333337</v>
      </c>
      <c r="H503" s="22">
        <f>SUMIF(Table1[SubscriptionStart],"&lt;="&amp;A503,Table1[TotalRevenue])</f>
        <v>114804.50000000013</v>
      </c>
      <c r="I503" s="50">
        <f t="shared" si="29"/>
        <v>45077</v>
      </c>
      <c r="J503" s="49">
        <f t="shared" ca="1" si="30"/>
        <v>373.03225806451616</v>
      </c>
      <c r="K503" s="45" cm="1">
        <f t="array" aca="1" ref="K503" ca="1">SUMPRODUCT((Table1[SubscriptionStart] &lt;= $A503) * (Table1[EffectiveEndDate] &gt;= $A503) * (Table1[Region] = "England"))</f>
        <v>102</v>
      </c>
      <c r="L503" s="45" cm="1">
        <f t="array" aca="1" ref="L503" ca="1">SUMPRODUCT((Table1[SubscriptionStart] &lt;= $A503) * (Table1[EffectiveEndDate] &gt;= $A503) * (Table1[Region] = "Scotland"))</f>
        <v>80</v>
      </c>
      <c r="M503" s="45" cm="1">
        <f t="array" aca="1" ref="M503" ca="1">SUMPRODUCT((Table1[SubscriptionStart] &lt;= $A503) * (Table1[EffectiveEndDate] &gt;= $A503) * (Table1[Region] = "Wales"))</f>
        <v>100</v>
      </c>
      <c r="N503" s="45" cm="1">
        <f t="array" aca="1" ref="N503" ca="1">SUMPRODUCT((Table1[SubscriptionStart] &lt;= $A503) * (Table1[EffectiveEndDate] &gt;= $A503) * (Table1[Region] = "Northern Ireland"))</f>
        <v>93</v>
      </c>
      <c r="O503" s="45" cm="1">
        <f t="array" aca="1" ref="O503" ca="1">SUMPRODUCT((Table1[Gender]="Male")*(Table1[SubscriptionStart]&lt;=A503)*(Table1[EffectiveEndDate]&gt;=A503))</f>
        <v>193</v>
      </c>
      <c r="P503" s="45" cm="1">
        <f t="array" aca="1" ref="P503" ca="1">SUMPRODUCT((Table1[Gender]="Female")*(Table1[SubscriptionStart]&lt;=A503)*(Table1[EffectiveEndDate]&gt;=A503))</f>
        <v>182</v>
      </c>
    </row>
    <row r="504" spans="1:16">
      <c r="A504" s="48">
        <f t="shared" si="31"/>
        <v>45064</v>
      </c>
      <c r="B504" s="45" cm="1">
        <f t="array" aca="1" ref="B504" ca="1">SUMPRODUCT((Table1[SubscriptionStart]&lt;=A504)*(Table1[EffectiveEndDate]&gt;=A504))</f>
        <v>376</v>
      </c>
      <c r="C504" s="45">
        <f>COUNTIFS(Table1[SubscriptionStart], A504)</f>
        <v>2</v>
      </c>
      <c r="D504" s="45">
        <f>COUNTIFS(Table1[CancellationDate], A504)</f>
        <v>1</v>
      </c>
      <c r="E504" s="45">
        <f t="shared" si="28"/>
        <v>1</v>
      </c>
      <c r="F504" s="45">
        <f>SUM($C$2:C504)</f>
        <v>559</v>
      </c>
      <c r="G504" s="49" cm="1">
        <f t="array" aca="1" ref="G504" ca="1">IF(B504=0,"", SUMPRODUCT((Table1[SubscriptionStart]&lt;=A504)*(Table1[EffectiveEndDate]&gt;=A504)*Table1[Age]) / B504 )</f>
        <v>46.513297872340424</v>
      </c>
      <c r="H504" s="22">
        <f>SUMIF(Table1[SubscriptionStart],"&lt;="&amp;A504,Table1[TotalRevenue])</f>
        <v>115504.70000000013</v>
      </c>
      <c r="I504" s="50">
        <f t="shared" si="29"/>
        <v>45077</v>
      </c>
      <c r="J504" s="49">
        <f t="shared" ca="1" si="30"/>
        <v>373.03225806451616</v>
      </c>
      <c r="K504" s="45" cm="1">
        <f t="array" aca="1" ref="K504" ca="1">SUMPRODUCT((Table1[SubscriptionStart] &lt;= $A504) * (Table1[EffectiveEndDate] &gt;= $A504) * (Table1[Region] = "England"))</f>
        <v>102</v>
      </c>
      <c r="L504" s="45" cm="1">
        <f t="array" aca="1" ref="L504" ca="1">SUMPRODUCT((Table1[SubscriptionStart] &lt;= $A504) * (Table1[EffectiveEndDate] &gt;= $A504) * (Table1[Region] = "Scotland"))</f>
        <v>81</v>
      </c>
      <c r="M504" s="45" cm="1">
        <f t="array" aca="1" ref="M504" ca="1">SUMPRODUCT((Table1[SubscriptionStart] &lt;= $A504) * (Table1[EffectiveEndDate] &gt;= $A504) * (Table1[Region] = "Wales"))</f>
        <v>101</v>
      </c>
      <c r="N504" s="45" cm="1">
        <f t="array" aca="1" ref="N504" ca="1">SUMPRODUCT((Table1[SubscriptionStart] &lt;= $A504) * (Table1[EffectiveEndDate] &gt;= $A504) * (Table1[Region] = "Northern Ireland"))</f>
        <v>92</v>
      </c>
      <c r="O504" s="45" cm="1">
        <f t="array" aca="1" ref="O504" ca="1">SUMPRODUCT((Table1[Gender]="Male")*(Table1[SubscriptionStart]&lt;=A504)*(Table1[EffectiveEndDate]&gt;=A504))</f>
        <v>193</v>
      </c>
      <c r="P504" s="45" cm="1">
        <f t="array" aca="1" ref="P504" ca="1">SUMPRODUCT((Table1[Gender]="Female")*(Table1[SubscriptionStart]&lt;=A504)*(Table1[EffectiveEndDate]&gt;=A504))</f>
        <v>183</v>
      </c>
    </row>
    <row r="505" spans="1:16">
      <c r="A505" s="48">
        <f t="shared" si="31"/>
        <v>45065</v>
      </c>
      <c r="B505" s="45" cm="1">
        <f t="array" aca="1" ref="B505" ca="1">SUMPRODUCT((Table1[SubscriptionStart]&lt;=A505)*(Table1[EffectiveEndDate]&gt;=A505))</f>
        <v>376</v>
      </c>
      <c r="C505" s="45">
        <f>COUNTIFS(Table1[SubscriptionStart], A505)</f>
        <v>1</v>
      </c>
      <c r="D505" s="45">
        <f>COUNTIFS(Table1[CancellationDate], A505)</f>
        <v>0</v>
      </c>
      <c r="E505" s="45">
        <f t="shared" si="28"/>
        <v>1</v>
      </c>
      <c r="F505" s="45">
        <f>SUM($C$2:C505)</f>
        <v>560</v>
      </c>
      <c r="G505" s="49" cm="1">
        <f t="array" aca="1" ref="G505" ca="1">IF(B505=0,"", SUMPRODUCT((Table1[SubscriptionStart]&lt;=A505)*(Table1[EffectiveEndDate]&gt;=A505)*Table1[Age]) / B505 )</f>
        <v>46.598404255319146</v>
      </c>
      <c r="H505" s="22">
        <f>SUMIF(Table1[SubscriptionStart],"&lt;="&amp;A505,Table1[TotalRevenue])</f>
        <v>116024.90000000013</v>
      </c>
      <c r="I505" s="50">
        <f t="shared" si="29"/>
        <v>45077</v>
      </c>
      <c r="J505" s="49">
        <f t="shared" ca="1" si="30"/>
        <v>373.03225806451616</v>
      </c>
      <c r="K505" s="45" cm="1">
        <f t="array" aca="1" ref="K505" ca="1">SUMPRODUCT((Table1[SubscriptionStart] &lt;= $A505) * (Table1[EffectiveEndDate] &gt;= $A505) * (Table1[Region] = "England"))</f>
        <v>103</v>
      </c>
      <c r="L505" s="45" cm="1">
        <f t="array" aca="1" ref="L505" ca="1">SUMPRODUCT((Table1[SubscriptionStart] &lt;= $A505) * (Table1[EffectiveEndDate] &gt;= $A505) * (Table1[Region] = "Scotland"))</f>
        <v>81</v>
      </c>
      <c r="M505" s="45" cm="1">
        <f t="array" aca="1" ref="M505" ca="1">SUMPRODUCT((Table1[SubscriptionStart] &lt;= $A505) * (Table1[EffectiveEndDate] &gt;= $A505) * (Table1[Region] = "Wales"))</f>
        <v>100</v>
      </c>
      <c r="N505" s="45" cm="1">
        <f t="array" aca="1" ref="N505" ca="1">SUMPRODUCT((Table1[SubscriptionStart] &lt;= $A505) * (Table1[EffectiveEndDate] &gt;= $A505) * (Table1[Region] = "Northern Ireland"))</f>
        <v>92</v>
      </c>
      <c r="O505" s="45" cm="1">
        <f t="array" aca="1" ref="O505" ca="1">SUMPRODUCT((Table1[Gender]="Male")*(Table1[SubscriptionStart]&lt;=A505)*(Table1[EffectiveEndDate]&gt;=A505))</f>
        <v>193</v>
      </c>
      <c r="P505" s="45" cm="1">
        <f t="array" aca="1" ref="P505" ca="1">SUMPRODUCT((Table1[Gender]="Female")*(Table1[SubscriptionStart]&lt;=A505)*(Table1[EffectiveEndDate]&gt;=A505))</f>
        <v>183</v>
      </c>
    </row>
    <row r="506" spans="1:16">
      <c r="A506" s="48">
        <f t="shared" si="31"/>
        <v>45066</v>
      </c>
      <c r="B506" s="45" cm="1">
        <f t="array" aca="1" ref="B506" ca="1">SUMPRODUCT((Table1[SubscriptionStart]&lt;=A506)*(Table1[EffectiveEndDate]&gt;=A506))</f>
        <v>379</v>
      </c>
      <c r="C506" s="45">
        <f>COUNTIFS(Table1[SubscriptionStart], A506)</f>
        <v>3</v>
      </c>
      <c r="D506" s="45">
        <f>COUNTIFS(Table1[CancellationDate], A506)</f>
        <v>0</v>
      </c>
      <c r="E506" s="45">
        <f t="shared" si="28"/>
        <v>3</v>
      </c>
      <c r="F506" s="45">
        <f>SUM($C$2:C506)</f>
        <v>563</v>
      </c>
      <c r="G506" s="49" cm="1">
        <f t="array" aca="1" ref="G506" ca="1">IF(B506=0,"", SUMPRODUCT((Table1[SubscriptionStart]&lt;=A506)*(Table1[EffectiveEndDate]&gt;=A506)*Table1[Age]) / B506 )</f>
        <v>46.601583113456464</v>
      </c>
      <c r="H506" s="22">
        <f>SUMIF(Table1[SubscriptionStart],"&lt;="&amp;A506,Table1[TotalRevenue])</f>
        <v>117197.60000000012</v>
      </c>
      <c r="I506" s="50">
        <f t="shared" si="29"/>
        <v>45077</v>
      </c>
      <c r="J506" s="49">
        <f t="shared" ca="1" si="30"/>
        <v>373.03225806451616</v>
      </c>
      <c r="K506" s="45" cm="1">
        <f t="array" aca="1" ref="K506" ca="1">SUMPRODUCT((Table1[SubscriptionStart] &lt;= $A506) * (Table1[EffectiveEndDate] &gt;= $A506) * (Table1[Region] = "England"))</f>
        <v>103</v>
      </c>
      <c r="L506" s="45" cm="1">
        <f t="array" aca="1" ref="L506" ca="1">SUMPRODUCT((Table1[SubscriptionStart] &lt;= $A506) * (Table1[EffectiveEndDate] &gt;= $A506) * (Table1[Region] = "Scotland"))</f>
        <v>81</v>
      </c>
      <c r="M506" s="45" cm="1">
        <f t="array" aca="1" ref="M506" ca="1">SUMPRODUCT((Table1[SubscriptionStart] &lt;= $A506) * (Table1[EffectiveEndDate] &gt;= $A506) * (Table1[Region] = "Wales"))</f>
        <v>102</v>
      </c>
      <c r="N506" s="45" cm="1">
        <f t="array" aca="1" ref="N506" ca="1">SUMPRODUCT((Table1[SubscriptionStart] &lt;= $A506) * (Table1[EffectiveEndDate] &gt;= $A506) * (Table1[Region] = "Northern Ireland"))</f>
        <v>93</v>
      </c>
      <c r="O506" s="45" cm="1">
        <f t="array" aca="1" ref="O506" ca="1">SUMPRODUCT((Table1[Gender]="Male")*(Table1[SubscriptionStart]&lt;=A506)*(Table1[EffectiveEndDate]&gt;=A506))</f>
        <v>195</v>
      </c>
      <c r="P506" s="45" cm="1">
        <f t="array" aca="1" ref="P506" ca="1">SUMPRODUCT((Table1[Gender]="Female")*(Table1[SubscriptionStart]&lt;=A506)*(Table1[EffectiveEndDate]&gt;=A506))</f>
        <v>184</v>
      </c>
    </row>
    <row r="507" spans="1:16">
      <c r="A507" s="48">
        <f t="shared" si="31"/>
        <v>45067</v>
      </c>
      <c r="B507" s="45" cm="1">
        <f t="array" aca="1" ref="B507" ca="1">SUMPRODUCT((Table1[SubscriptionStart]&lt;=A507)*(Table1[EffectiveEndDate]&gt;=A507))</f>
        <v>379</v>
      </c>
      <c r="C507" s="45">
        <f>COUNTIFS(Table1[SubscriptionStart], A507)</f>
        <v>0</v>
      </c>
      <c r="D507" s="45">
        <f>COUNTIFS(Table1[CancellationDate], A507)</f>
        <v>0</v>
      </c>
      <c r="E507" s="45">
        <f t="shared" si="28"/>
        <v>0</v>
      </c>
      <c r="F507" s="45">
        <f>SUM($C$2:C507)</f>
        <v>563</v>
      </c>
      <c r="G507" s="49" cm="1">
        <f t="array" aca="1" ref="G507" ca="1">IF(B507=0,"", SUMPRODUCT((Table1[SubscriptionStart]&lt;=A507)*(Table1[EffectiveEndDate]&gt;=A507)*Table1[Age]) / B507 )</f>
        <v>46.601583113456464</v>
      </c>
      <c r="H507" s="22">
        <f>SUMIF(Table1[SubscriptionStart],"&lt;="&amp;A507,Table1[TotalRevenue])</f>
        <v>117197.60000000012</v>
      </c>
      <c r="I507" s="50">
        <f t="shared" si="29"/>
        <v>45077</v>
      </c>
      <c r="J507" s="49">
        <f t="shared" ca="1" si="30"/>
        <v>373.03225806451616</v>
      </c>
      <c r="K507" s="45" cm="1">
        <f t="array" aca="1" ref="K507" ca="1">SUMPRODUCT((Table1[SubscriptionStart] &lt;= $A507) * (Table1[EffectiveEndDate] &gt;= $A507) * (Table1[Region] = "England"))</f>
        <v>103</v>
      </c>
      <c r="L507" s="45" cm="1">
        <f t="array" aca="1" ref="L507" ca="1">SUMPRODUCT((Table1[SubscriptionStart] &lt;= $A507) * (Table1[EffectiveEndDate] &gt;= $A507) * (Table1[Region] = "Scotland"))</f>
        <v>81</v>
      </c>
      <c r="M507" s="45" cm="1">
        <f t="array" aca="1" ref="M507" ca="1">SUMPRODUCT((Table1[SubscriptionStart] &lt;= $A507) * (Table1[EffectiveEndDate] &gt;= $A507) * (Table1[Region] = "Wales"))</f>
        <v>102</v>
      </c>
      <c r="N507" s="45" cm="1">
        <f t="array" aca="1" ref="N507" ca="1">SUMPRODUCT((Table1[SubscriptionStart] &lt;= $A507) * (Table1[EffectiveEndDate] &gt;= $A507) * (Table1[Region] = "Northern Ireland"))</f>
        <v>93</v>
      </c>
      <c r="O507" s="45" cm="1">
        <f t="array" aca="1" ref="O507" ca="1">SUMPRODUCT((Table1[Gender]="Male")*(Table1[SubscriptionStart]&lt;=A507)*(Table1[EffectiveEndDate]&gt;=A507))</f>
        <v>195</v>
      </c>
      <c r="P507" s="45" cm="1">
        <f t="array" aca="1" ref="P507" ca="1">SUMPRODUCT((Table1[Gender]="Female")*(Table1[SubscriptionStart]&lt;=A507)*(Table1[EffectiveEndDate]&gt;=A507))</f>
        <v>184</v>
      </c>
    </row>
    <row r="508" spans="1:16">
      <c r="A508" s="48">
        <f t="shared" si="31"/>
        <v>45068</v>
      </c>
      <c r="B508" s="45" cm="1">
        <f t="array" aca="1" ref="B508" ca="1">SUMPRODUCT((Table1[SubscriptionStart]&lt;=A508)*(Table1[EffectiveEndDate]&gt;=A508))</f>
        <v>379</v>
      </c>
      <c r="C508" s="45">
        <f>COUNTIFS(Table1[SubscriptionStart], A508)</f>
        <v>0</v>
      </c>
      <c r="D508" s="45">
        <f>COUNTIFS(Table1[CancellationDate], A508)</f>
        <v>2</v>
      </c>
      <c r="E508" s="45">
        <f t="shared" si="28"/>
        <v>-2</v>
      </c>
      <c r="F508" s="45">
        <f>SUM($C$2:C508)</f>
        <v>563</v>
      </c>
      <c r="G508" s="49" cm="1">
        <f t="array" aca="1" ref="G508" ca="1">IF(B508=0,"", SUMPRODUCT((Table1[SubscriptionStart]&lt;=A508)*(Table1[EffectiveEndDate]&gt;=A508)*Table1[Age]) / B508 )</f>
        <v>46.601583113456464</v>
      </c>
      <c r="H508" s="22">
        <f>SUMIF(Table1[SubscriptionStart],"&lt;="&amp;A508,Table1[TotalRevenue])</f>
        <v>117197.60000000012</v>
      </c>
      <c r="I508" s="50">
        <f t="shared" si="29"/>
        <v>45077</v>
      </c>
      <c r="J508" s="49">
        <f t="shared" ca="1" si="30"/>
        <v>373.03225806451616</v>
      </c>
      <c r="K508" s="45" cm="1">
        <f t="array" aca="1" ref="K508" ca="1">SUMPRODUCT((Table1[SubscriptionStart] &lt;= $A508) * (Table1[EffectiveEndDate] &gt;= $A508) * (Table1[Region] = "England"))</f>
        <v>103</v>
      </c>
      <c r="L508" s="45" cm="1">
        <f t="array" aca="1" ref="L508" ca="1">SUMPRODUCT((Table1[SubscriptionStart] &lt;= $A508) * (Table1[EffectiveEndDate] &gt;= $A508) * (Table1[Region] = "Scotland"))</f>
        <v>81</v>
      </c>
      <c r="M508" s="45" cm="1">
        <f t="array" aca="1" ref="M508" ca="1">SUMPRODUCT((Table1[SubscriptionStart] &lt;= $A508) * (Table1[EffectiveEndDate] &gt;= $A508) * (Table1[Region] = "Wales"))</f>
        <v>102</v>
      </c>
      <c r="N508" s="45" cm="1">
        <f t="array" aca="1" ref="N508" ca="1">SUMPRODUCT((Table1[SubscriptionStart] &lt;= $A508) * (Table1[EffectiveEndDate] &gt;= $A508) * (Table1[Region] = "Northern Ireland"))</f>
        <v>93</v>
      </c>
      <c r="O508" s="45" cm="1">
        <f t="array" aca="1" ref="O508" ca="1">SUMPRODUCT((Table1[Gender]="Male")*(Table1[SubscriptionStart]&lt;=A508)*(Table1[EffectiveEndDate]&gt;=A508))</f>
        <v>195</v>
      </c>
      <c r="P508" s="45" cm="1">
        <f t="array" aca="1" ref="P508" ca="1">SUMPRODUCT((Table1[Gender]="Female")*(Table1[SubscriptionStart]&lt;=A508)*(Table1[EffectiveEndDate]&gt;=A508))</f>
        <v>184</v>
      </c>
    </row>
    <row r="509" spans="1:16">
      <c r="A509" s="48">
        <f t="shared" si="31"/>
        <v>45069</v>
      </c>
      <c r="B509" s="45" cm="1">
        <f t="array" aca="1" ref="B509" ca="1">SUMPRODUCT((Table1[SubscriptionStart]&lt;=A509)*(Table1[EffectiveEndDate]&gt;=A509))</f>
        <v>378</v>
      </c>
      <c r="C509" s="45">
        <f>COUNTIFS(Table1[SubscriptionStart], A509)</f>
        <v>1</v>
      </c>
      <c r="D509" s="45">
        <f>COUNTIFS(Table1[CancellationDate], A509)</f>
        <v>0</v>
      </c>
      <c r="E509" s="45">
        <f t="shared" si="28"/>
        <v>1</v>
      </c>
      <c r="F509" s="45">
        <f>SUM($C$2:C509)</f>
        <v>564</v>
      </c>
      <c r="G509" s="49" cm="1">
        <f t="array" aca="1" ref="G509" ca="1">IF(B509=0,"", SUMPRODUCT((Table1[SubscriptionStart]&lt;=A509)*(Table1[EffectiveEndDate]&gt;=A509)*Table1[Age]) / B509 )</f>
        <v>46.682539682539684</v>
      </c>
      <c r="H509" s="22">
        <f>SUMIF(Table1[SubscriptionStart],"&lt;="&amp;A509,Table1[TotalRevenue])</f>
        <v>117667.40000000013</v>
      </c>
      <c r="I509" s="50">
        <f t="shared" si="29"/>
        <v>45077</v>
      </c>
      <c r="J509" s="49">
        <f t="shared" ca="1" si="30"/>
        <v>373.03225806451616</v>
      </c>
      <c r="K509" s="45" cm="1">
        <f t="array" aca="1" ref="K509" ca="1">SUMPRODUCT((Table1[SubscriptionStart] &lt;= $A509) * (Table1[EffectiveEndDate] &gt;= $A509) * (Table1[Region] = "England"))</f>
        <v>102</v>
      </c>
      <c r="L509" s="45" cm="1">
        <f t="array" aca="1" ref="L509" ca="1">SUMPRODUCT((Table1[SubscriptionStart] &lt;= $A509) * (Table1[EffectiveEndDate] &gt;= $A509) * (Table1[Region] = "Scotland"))</f>
        <v>81</v>
      </c>
      <c r="M509" s="45" cm="1">
        <f t="array" aca="1" ref="M509" ca="1">SUMPRODUCT((Table1[SubscriptionStart] &lt;= $A509) * (Table1[EffectiveEndDate] &gt;= $A509) * (Table1[Region] = "Wales"))</f>
        <v>103</v>
      </c>
      <c r="N509" s="45" cm="1">
        <f t="array" aca="1" ref="N509" ca="1">SUMPRODUCT((Table1[SubscriptionStart] &lt;= $A509) * (Table1[EffectiveEndDate] &gt;= $A509) * (Table1[Region] = "Northern Ireland"))</f>
        <v>92</v>
      </c>
      <c r="O509" s="45" cm="1">
        <f t="array" aca="1" ref="O509" ca="1">SUMPRODUCT((Table1[Gender]="Male")*(Table1[SubscriptionStart]&lt;=A509)*(Table1[EffectiveEndDate]&gt;=A509))</f>
        <v>194</v>
      </c>
      <c r="P509" s="45" cm="1">
        <f t="array" aca="1" ref="P509" ca="1">SUMPRODUCT((Table1[Gender]="Female")*(Table1[SubscriptionStart]&lt;=A509)*(Table1[EffectiveEndDate]&gt;=A509))</f>
        <v>184</v>
      </c>
    </row>
    <row r="510" spans="1:16">
      <c r="A510" s="48">
        <f t="shared" si="31"/>
        <v>45070</v>
      </c>
      <c r="B510" s="45" cm="1">
        <f t="array" aca="1" ref="B510" ca="1">SUMPRODUCT((Table1[SubscriptionStart]&lt;=A510)*(Table1[EffectiveEndDate]&gt;=A510))</f>
        <v>379</v>
      </c>
      <c r="C510" s="45">
        <f>COUNTIFS(Table1[SubscriptionStart], A510)</f>
        <v>1</v>
      </c>
      <c r="D510" s="45">
        <f>COUNTIFS(Table1[CancellationDate], A510)</f>
        <v>0</v>
      </c>
      <c r="E510" s="45">
        <f t="shared" si="28"/>
        <v>1</v>
      </c>
      <c r="F510" s="45">
        <f>SUM($C$2:C510)</f>
        <v>565</v>
      </c>
      <c r="G510" s="49" cm="1">
        <f t="array" aca="1" ref="G510" ca="1">IF(B510=0,"", SUMPRODUCT((Table1[SubscriptionStart]&lt;=A510)*(Table1[EffectiveEndDate]&gt;=A510)*Table1[Age]) / B510 )</f>
        <v>46.620052770448552</v>
      </c>
      <c r="H510" s="22">
        <f>SUMIF(Table1[SubscriptionStart],"&lt;="&amp;A510,Table1[TotalRevenue])</f>
        <v>117739.40000000013</v>
      </c>
      <c r="I510" s="50">
        <f t="shared" si="29"/>
        <v>45077</v>
      </c>
      <c r="J510" s="49">
        <f t="shared" ca="1" si="30"/>
        <v>373.03225806451616</v>
      </c>
      <c r="K510" s="45" cm="1">
        <f t="array" aca="1" ref="K510" ca="1">SUMPRODUCT((Table1[SubscriptionStart] &lt;= $A510) * (Table1[EffectiveEndDate] &gt;= $A510) * (Table1[Region] = "England"))</f>
        <v>102</v>
      </c>
      <c r="L510" s="45" cm="1">
        <f t="array" aca="1" ref="L510" ca="1">SUMPRODUCT((Table1[SubscriptionStart] &lt;= $A510) * (Table1[EffectiveEndDate] &gt;= $A510) * (Table1[Region] = "Scotland"))</f>
        <v>82</v>
      </c>
      <c r="M510" s="45" cm="1">
        <f t="array" aca="1" ref="M510" ca="1">SUMPRODUCT((Table1[SubscriptionStart] &lt;= $A510) * (Table1[EffectiveEndDate] &gt;= $A510) * (Table1[Region] = "Wales"))</f>
        <v>103</v>
      </c>
      <c r="N510" s="45" cm="1">
        <f t="array" aca="1" ref="N510" ca="1">SUMPRODUCT((Table1[SubscriptionStart] &lt;= $A510) * (Table1[EffectiveEndDate] &gt;= $A510) * (Table1[Region] = "Northern Ireland"))</f>
        <v>92</v>
      </c>
      <c r="O510" s="45" cm="1">
        <f t="array" aca="1" ref="O510" ca="1">SUMPRODUCT((Table1[Gender]="Male")*(Table1[SubscriptionStart]&lt;=A510)*(Table1[EffectiveEndDate]&gt;=A510))</f>
        <v>194</v>
      </c>
      <c r="P510" s="45" cm="1">
        <f t="array" aca="1" ref="P510" ca="1">SUMPRODUCT((Table1[Gender]="Female")*(Table1[SubscriptionStart]&lt;=A510)*(Table1[EffectiveEndDate]&gt;=A510))</f>
        <v>185</v>
      </c>
    </row>
    <row r="511" spans="1:16">
      <c r="A511" s="48">
        <f t="shared" si="31"/>
        <v>45071</v>
      </c>
      <c r="B511" s="45" cm="1">
        <f t="array" aca="1" ref="B511" ca="1">SUMPRODUCT((Table1[SubscriptionStart]&lt;=A511)*(Table1[EffectiveEndDate]&gt;=A511))</f>
        <v>380</v>
      </c>
      <c r="C511" s="45">
        <f>COUNTIFS(Table1[SubscriptionStart], A511)</f>
        <v>1</v>
      </c>
      <c r="D511" s="45">
        <f>COUNTIFS(Table1[CancellationDate], A511)</f>
        <v>0</v>
      </c>
      <c r="E511" s="45">
        <f t="shared" si="28"/>
        <v>1</v>
      </c>
      <c r="F511" s="45">
        <f>SUM($C$2:C511)</f>
        <v>566</v>
      </c>
      <c r="G511" s="49" cm="1">
        <f t="array" aca="1" ref="G511" ca="1">IF(B511=0,"", SUMPRODUCT((Table1[SubscriptionStart]&lt;=A511)*(Table1[EffectiveEndDate]&gt;=A511)*Table1[Age]) / B511 )</f>
        <v>46.607894736842105</v>
      </c>
      <c r="H511" s="22">
        <f>SUMIF(Table1[SubscriptionStart],"&lt;="&amp;A511,Table1[TotalRevenue])</f>
        <v>118209.20000000013</v>
      </c>
      <c r="I511" s="50">
        <f t="shared" si="29"/>
        <v>45077</v>
      </c>
      <c r="J511" s="49">
        <f t="shared" ca="1" si="30"/>
        <v>373.03225806451616</v>
      </c>
      <c r="K511" s="45" cm="1">
        <f t="array" aca="1" ref="K511" ca="1">SUMPRODUCT((Table1[SubscriptionStart] &lt;= $A511) * (Table1[EffectiveEndDate] &gt;= $A511) * (Table1[Region] = "England"))</f>
        <v>102</v>
      </c>
      <c r="L511" s="45" cm="1">
        <f t="array" aca="1" ref="L511" ca="1">SUMPRODUCT((Table1[SubscriptionStart] &lt;= $A511) * (Table1[EffectiveEndDate] &gt;= $A511) * (Table1[Region] = "Scotland"))</f>
        <v>82</v>
      </c>
      <c r="M511" s="45" cm="1">
        <f t="array" aca="1" ref="M511" ca="1">SUMPRODUCT((Table1[SubscriptionStart] &lt;= $A511) * (Table1[EffectiveEndDate] &gt;= $A511) * (Table1[Region] = "Wales"))</f>
        <v>103</v>
      </c>
      <c r="N511" s="45" cm="1">
        <f t="array" aca="1" ref="N511" ca="1">SUMPRODUCT((Table1[SubscriptionStart] &lt;= $A511) * (Table1[EffectiveEndDate] &gt;= $A511) * (Table1[Region] = "Northern Ireland"))</f>
        <v>93</v>
      </c>
      <c r="O511" s="45" cm="1">
        <f t="array" aca="1" ref="O511" ca="1">SUMPRODUCT((Table1[Gender]="Male")*(Table1[SubscriptionStart]&lt;=A511)*(Table1[EffectiveEndDate]&gt;=A511))</f>
        <v>195</v>
      </c>
      <c r="P511" s="45" cm="1">
        <f t="array" aca="1" ref="P511" ca="1">SUMPRODUCT((Table1[Gender]="Female")*(Table1[SubscriptionStart]&lt;=A511)*(Table1[EffectiveEndDate]&gt;=A511))</f>
        <v>185</v>
      </c>
    </row>
    <row r="512" spans="1:16">
      <c r="A512" s="48">
        <f t="shared" si="31"/>
        <v>45072</v>
      </c>
      <c r="B512" s="45" cm="1">
        <f t="array" aca="1" ref="B512" ca="1">SUMPRODUCT((Table1[SubscriptionStart]&lt;=A512)*(Table1[EffectiveEndDate]&gt;=A512))</f>
        <v>382</v>
      </c>
      <c r="C512" s="45">
        <f>COUNTIFS(Table1[SubscriptionStart], A512)</f>
        <v>2</v>
      </c>
      <c r="D512" s="45">
        <f>COUNTIFS(Table1[CancellationDate], A512)</f>
        <v>1</v>
      </c>
      <c r="E512" s="45">
        <f t="shared" si="28"/>
        <v>1</v>
      </c>
      <c r="F512" s="45">
        <f>SUM($C$2:C512)</f>
        <v>568</v>
      </c>
      <c r="G512" s="49" cm="1">
        <f t="array" aca="1" ref="G512" ca="1">IF(B512=0,"", SUMPRODUCT((Table1[SubscriptionStart]&lt;=A512)*(Table1[EffectiveEndDate]&gt;=A512)*Table1[Age]) / B512 )</f>
        <v>46.599476439790578</v>
      </c>
      <c r="H512" s="22">
        <f>SUMIF(Table1[SubscriptionStart],"&lt;="&amp;A512,Table1[TotalRevenue])</f>
        <v>118461.20000000013</v>
      </c>
      <c r="I512" s="50">
        <f t="shared" si="29"/>
        <v>45077</v>
      </c>
      <c r="J512" s="49">
        <f t="shared" ca="1" si="30"/>
        <v>373.03225806451616</v>
      </c>
      <c r="K512" s="45" cm="1">
        <f t="array" aca="1" ref="K512" ca="1">SUMPRODUCT((Table1[SubscriptionStart] &lt;= $A512) * (Table1[EffectiveEndDate] &gt;= $A512) * (Table1[Region] = "England"))</f>
        <v>103</v>
      </c>
      <c r="L512" s="45" cm="1">
        <f t="array" aca="1" ref="L512" ca="1">SUMPRODUCT((Table1[SubscriptionStart] &lt;= $A512) * (Table1[EffectiveEndDate] &gt;= $A512) * (Table1[Region] = "Scotland"))</f>
        <v>82</v>
      </c>
      <c r="M512" s="45" cm="1">
        <f t="array" aca="1" ref="M512" ca="1">SUMPRODUCT((Table1[SubscriptionStart] &lt;= $A512) * (Table1[EffectiveEndDate] &gt;= $A512) * (Table1[Region] = "Wales"))</f>
        <v>103</v>
      </c>
      <c r="N512" s="45" cm="1">
        <f t="array" aca="1" ref="N512" ca="1">SUMPRODUCT((Table1[SubscriptionStart] &lt;= $A512) * (Table1[EffectiveEndDate] &gt;= $A512) * (Table1[Region] = "Northern Ireland"))</f>
        <v>94</v>
      </c>
      <c r="O512" s="45" cm="1">
        <f t="array" aca="1" ref="O512" ca="1">SUMPRODUCT((Table1[Gender]="Male")*(Table1[SubscriptionStart]&lt;=A512)*(Table1[EffectiveEndDate]&gt;=A512))</f>
        <v>196</v>
      </c>
      <c r="P512" s="45" cm="1">
        <f t="array" aca="1" ref="P512" ca="1">SUMPRODUCT((Table1[Gender]="Female")*(Table1[SubscriptionStart]&lt;=A512)*(Table1[EffectiveEndDate]&gt;=A512))</f>
        <v>186</v>
      </c>
    </row>
    <row r="513" spans="1:16">
      <c r="A513" s="48">
        <f t="shared" si="31"/>
        <v>45073</v>
      </c>
      <c r="B513" s="45" cm="1">
        <f t="array" aca="1" ref="B513" ca="1">SUMPRODUCT((Table1[SubscriptionStart]&lt;=A513)*(Table1[EffectiveEndDate]&gt;=A513))</f>
        <v>383</v>
      </c>
      <c r="C513" s="45">
        <f>COUNTIFS(Table1[SubscriptionStart], A513)</f>
        <v>2</v>
      </c>
      <c r="D513" s="45">
        <f>COUNTIFS(Table1[CancellationDate], A513)</f>
        <v>2</v>
      </c>
      <c r="E513" s="45">
        <f t="shared" si="28"/>
        <v>0</v>
      </c>
      <c r="F513" s="45">
        <f>SUM($C$2:C513)</f>
        <v>570</v>
      </c>
      <c r="G513" s="49" cm="1">
        <f t="array" aca="1" ref="G513" ca="1">IF(B513=0,"", SUMPRODUCT((Table1[SubscriptionStart]&lt;=A513)*(Table1[EffectiveEndDate]&gt;=A513)*Table1[Age]) / B513 )</f>
        <v>46.422976501305484</v>
      </c>
      <c r="H513" s="22">
        <f>SUMIF(Table1[SubscriptionStart],"&lt;="&amp;A513,Table1[TotalRevenue])</f>
        <v>118770.80000000013</v>
      </c>
      <c r="I513" s="50">
        <f t="shared" si="29"/>
        <v>45077</v>
      </c>
      <c r="J513" s="49">
        <f t="shared" ca="1" si="30"/>
        <v>373.03225806451616</v>
      </c>
      <c r="K513" s="45" cm="1">
        <f t="array" aca="1" ref="K513" ca="1">SUMPRODUCT((Table1[SubscriptionStart] &lt;= $A513) * (Table1[EffectiveEndDate] &gt;= $A513) * (Table1[Region] = "England"))</f>
        <v>102</v>
      </c>
      <c r="L513" s="45" cm="1">
        <f t="array" aca="1" ref="L513" ca="1">SUMPRODUCT((Table1[SubscriptionStart] &lt;= $A513) * (Table1[EffectiveEndDate] &gt;= $A513) * (Table1[Region] = "Scotland"))</f>
        <v>82</v>
      </c>
      <c r="M513" s="45" cm="1">
        <f t="array" aca="1" ref="M513" ca="1">SUMPRODUCT((Table1[SubscriptionStart] &lt;= $A513) * (Table1[EffectiveEndDate] &gt;= $A513) * (Table1[Region] = "Wales"))</f>
        <v>104</v>
      </c>
      <c r="N513" s="45" cm="1">
        <f t="array" aca="1" ref="N513" ca="1">SUMPRODUCT((Table1[SubscriptionStart] &lt;= $A513) * (Table1[EffectiveEndDate] &gt;= $A513) * (Table1[Region] = "Northern Ireland"))</f>
        <v>95</v>
      </c>
      <c r="O513" s="45" cm="1">
        <f t="array" aca="1" ref="O513" ca="1">SUMPRODUCT((Table1[Gender]="Male")*(Table1[SubscriptionStart]&lt;=A513)*(Table1[EffectiveEndDate]&gt;=A513))</f>
        <v>196</v>
      </c>
      <c r="P513" s="45" cm="1">
        <f t="array" aca="1" ref="P513" ca="1">SUMPRODUCT((Table1[Gender]="Female")*(Table1[SubscriptionStart]&lt;=A513)*(Table1[EffectiveEndDate]&gt;=A513))</f>
        <v>187</v>
      </c>
    </row>
    <row r="514" spans="1:16">
      <c r="A514" s="48">
        <f t="shared" si="31"/>
        <v>45074</v>
      </c>
      <c r="B514" s="45" cm="1">
        <f t="array" aca="1" ref="B514" ca="1">SUMPRODUCT((Table1[SubscriptionStart]&lt;=A514)*(Table1[EffectiveEndDate]&gt;=A514))</f>
        <v>382</v>
      </c>
      <c r="C514" s="45">
        <f>COUNTIFS(Table1[SubscriptionStart], A514)</f>
        <v>1</v>
      </c>
      <c r="D514" s="45">
        <f>COUNTIFS(Table1[CancellationDate], A514)</f>
        <v>0</v>
      </c>
      <c r="E514" s="45">
        <f t="shared" ref="E514:E577" si="32" xml:space="preserve"> C514 - D514</f>
        <v>1</v>
      </c>
      <c r="F514" s="45">
        <f>SUM($C$2:C514)</f>
        <v>571</v>
      </c>
      <c r="G514" s="49" cm="1">
        <f t="array" aca="1" ref="G514" ca="1">IF(B514=0,"", SUMPRODUCT((Table1[SubscriptionStart]&lt;=A514)*(Table1[EffectiveEndDate]&gt;=A514)*Table1[Age]) / B514 )</f>
        <v>46.607329842931939</v>
      </c>
      <c r="H514" s="22">
        <f>SUMIF(Table1[SubscriptionStart],"&lt;="&amp;A514,Table1[TotalRevenue])</f>
        <v>119059.80000000013</v>
      </c>
      <c r="I514" s="50">
        <f t="shared" ref="I514:I577" si="33">EOMONTH(A514,0)</f>
        <v>45077</v>
      </c>
      <c r="J514" s="49">
        <f t="shared" ref="J514:J577" ca="1" si="34">AVERAGEIFS(B:B, I:I, I514)</f>
        <v>373.03225806451616</v>
      </c>
      <c r="K514" s="45" cm="1">
        <f t="array" aca="1" ref="K514" ca="1">SUMPRODUCT((Table1[SubscriptionStart] &lt;= $A514) * (Table1[EffectiveEndDate] &gt;= $A514) * (Table1[Region] = "England"))</f>
        <v>102</v>
      </c>
      <c r="L514" s="45" cm="1">
        <f t="array" aca="1" ref="L514" ca="1">SUMPRODUCT((Table1[SubscriptionStart] &lt;= $A514) * (Table1[EffectiveEndDate] &gt;= $A514) * (Table1[Region] = "Scotland"))</f>
        <v>81</v>
      </c>
      <c r="M514" s="45" cm="1">
        <f t="array" aca="1" ref="M514" ca="1">SUMPRODUCT((Table1[SubscriptionStart] &lt;= $A514) * (Table1[EffectiveEndDate] &gt;= $A514) * (Table1[Region] = "Wales"))</f>
        <v>103</v>
      </c>
      <c r="N514" s="45" cm="1">
        <f t="array" aca="1" ref="N514" ca="1">SUMPRODUCT((Table1[SubscriptionStart] &lt;= $A514) * (Table1[EffectiveEndDate] &gt;= $A514) * (Table1[Region] = "Northern Ireland"))</f>
        <v>96</v>
      </c>
      <c r="O514" s="45" cm="1">
        <f t="array" aca="1" ref="O514" ca="1">SUMPRODUCT((Table1[Gender]="Male")*(Table1[SubscriptionStart]&lt;=A514)*(Table1[EffectiveEndDate]&gt;=A514))</f>
        <v>195</v>
      </c>
      <c r="P514" s="45" cm="1">
        <f t="array" aca="1" ref="P514" ca="1">SUMPRODUCT((Table1[Gender]="Female")*(Table1[SubscriptionStart]&lt;=A514)*(Table1[EffectiveEndDate]&gt;=A514))</f>
        <v>187</v>
      </c>
    </row>
    <row r="515" spans="1:16">
      <c r="A515" s="48">
        <f t="shared" si="31"/>
        <v>45075</v>
      </c>
      <c r="B515" s="45" cm="1">
        <f t="array" aca="1" ref="B515" ca="1">SUMPRODUCT((Table1[SubscriptionStart]&lt;=A515)*(Table1[EffectiveEndDate]&gt;=A515))</f>
        <v>383</v>
      </c>
      <c r="C515" s="45">
        <f>COUNTIFS(Table1[SubscriptionStart], A515)</f>
        <v>1</v>
      </c>
      <c r="D515" s="45">
        <f>COUNTIFS(Table1[CancellationDate], A515)</f>
        <v>3</v>
      </c>
      <c r="E515" s="45">
        <f t="shared" si="32"/>
        <v>-2</v>
      </c>
      <c r="F515" s="45">
        <f>SUM($C$2:C515)</f>
        <v>572</v>
      </c>
      <c r="G515" s="49" cm="1">
        <f t="array" aca="1" ref="G515" ca="1">IF(B515=0,"", SUMPRODUCT((Table1[SubscriptionStart]&lt;=A515)*(Table1[EffectiveEndDate]&gt;=A515)*Table1[Age]) / B515 )</f>
        <v>46.657963446475193</v>
      </c>
      <c r="H515" s="22">
        <f>SUMIF(Table1[SubscriptionStart],"&lt;="&amp;A515,Table1[TotalRevenue])</f>
        <v>119348.80000000013</v>
      </c>
      <c r="I515" s="50">
        <f t="shared" si="33"/>
        <v>45077</v>
      </c>
      <c r="J515" s="49">
        <f t="shared" ca="1" si="34"/>
        <v>373.03225806451616</v>
      </c>
      <c r="K515" s="45" cm="1">
        <f t="array" aca="1" ref="K515" ca="1">SUMPRODUCT((Table1[SubscriptionStart] &lt;= $A515) * (Table1[EffectiveEndDate] &gt;= $A515) * (Table1[Region] = "England"))</f>
        <v>103</v>
      </c>
      <c r="L515" s="45" cm="1">
        <f t="array" aca="1" ref="L515" ca="1">SUMPRODUCT((Table1[SubscriptionStart] &lt;= $A515) * (Table1[EffectiveEndDate] &gt;= $A515) * (Table1[Region] = "Scotland"))</f>
        <v>81</v>
      </c>
      <c r="M515" s="45" cm="1">
        <f t="array" aca="1" ref="M515" ca="1">SUMPRODUCT((Table1[SubscriptionStart] &lt;= $A515) * (Table1[EffectiveEndDate] &gt;= $A515) * (Table1[Region] = "Wales"))</f>
        <v>103</v>
      </c>
      <c r="N515" s="45" cm="1">
        <f t="array" aca="1" ref="N515" ca="1">SUMPRODUCT((Table1[SubscriptionStart] &lt;= $A515) * (Table1[EffectiveEndDate] &gt;= $A515) * (Table1[Region] = "Northern Ireland"))</f>
        <v>96</v>
      </c>
      <c r="O515" s="45" cm="1">
        <f t="array" aca="1" ref="O515" ca="1">SUMPRODUCT((Table1[Gender]="Male")*(Table1[SubscriptionStart]&lt;=A515)*(Table1[EffectiveEndDate]&gt;=A515))</f>
        <v>196</v>
      </c>
      <c r="P515" s="45" cm="1">
        <f t="array" aca="1" ref="P515" ca="1">SUMPRODUCT((Table1[Gender]="Female")*(Table1[SubscriptionStart]&lt;=A515)*(Table1[EffectiveEndDate]&gt;=A515))</f>
        <v>187</v>
      </c>
    </row>
    <row r="516" spans="1:16">
      <c r="A516" s="48">
        <f t="shared" ref="A516:A579" si="35">A515+1</f>
        <v>45076</v>
      </c>
      <c r="B516" s="45" cm="1">
        <f t="array" aca="1" ref="B516" ca="1">SUMPRODUCT((Table1[SubscriptionStart]&lt;=A516)*(Table1[EffectiveEndDate]&gt;=A516))</f>
        <v>380</v>
      </c>
      <c r="C516" s="45">
        <f>COUNTIFS(Table1[SubscriptionStart], A516)</f>
        <v>0</v>
      </c>
      <c r="D516" s="45">
        <f>COUNTIFS(Table1[CancellationDate], A516)</f>
        <v>1</v>
      </c>
      <c r="E516" s="45">
        <f t="shared" si="32"/>
        <v>-1</v>
      </c>
      <c r="F516" s="45">
        <f>SUM($C$2:C516)</f>
        <v>572</v>
      </c>
      <c r="G516" s="49" cm="1">
        <f t="array" aca="1" ref="G516" ca="1">IF(B516=0,"", SUMPRODUCT((Table1[SubscriptionStart]&lt;=A516)*(Table1[EffectiveEndDate]&gt;=A516)*Table1[Age]) / B516 )</f>
        <v>46.705263157894734</v>
      </c>
      <c r="H516" s="22">
        <f>SUMIF(Table1[SubscriptionStart],"&lt;="&amp;A516,Table1[TotalRevenue])</f>
        <v>119348.80000000013</v>
      </c>
      <c r="I516" s="50">
        <f t="shared" si="33"/>
        <v>45077</v>
      </c>
      <c r="J516" s="49">
        <f t="shared" ca="1" si="34"/>
        <v>373.03225806451616</v>
      </c>
      <c r="K516" s="45" cm="1">
        <f t="array" aca="1" ref="K516" ca="1">SUMPRODUCT((Table1[SubscriptionStart] &lt;= $A516) * (Table1[EffectiveEndDate] &gt;= $A516) * (Table1[Region] = "England"))</f>
        <v>102</v>
      </c>
      <c r="L516" s="45" cm="1">
        <f t="array" aca="1" ref="L516" ca="1">SUMPRODUCT((Table1[SubscriptionStart] &lt;= $A516) * (Table1[EffectiveEndDate] &gt;= $A516) * (Table1[Region] = "Scotland"))</f>
        <v>81</v>
      </c>
      <c r="M516" s="45" cm="1">
        <f t="array" aca="1" ref="M516" ca="1">SUMPRODUCT((Table1[SubscriptionStart] &lt;= $A516) * (Table1[EffectiveEndDate] &gt;= $A516) * (Table1[Region] = "Wales"))</f>
        <v>101</v>
      </c>
      <c r="N516" s="45" cm="1">
        <f t="array" aca="1" ref="N516" ca="1">SUMPRODUCT((Table1[SubscriptionStart] &lt;= $A516) * (Table1[EffectiveEndDate] &gt;= $A516) * (Table1[Region] = "Northern Ireland"))</f>
        <v>96</v>
      </c>
      <c r="O516" s="45" cm="1">
        <f t="array" aca="1" ref="O516" ca="1">SUMPRODUCT((Table1[Gender]="Male")*(Table1[SubscriptionStart]&lt;=A516)*(Table1[EffectiveEndDate]&gt;=A516))</f>
        <v>196</v>
      </c>
      <c r="P516" s="45" cm="1">
        <f t="array" aca="1" ref="P516" ca="1">SUMPRODUCT((Table1[Gender]="Female")*(Table1[SubscriptionStart]&lt;=A516)*(Table1[EffectiveEndDate]&gt;=A516))</f>
        <v>184</v>
      </c>
    </row>
    <row r="517" spans="1:16">
      <c r="A517" s="48">
        <f t="shared" si="35"/>
        <v>45077</v>
      </c>
      <c r="B517" s="45" cm="1">
        <f t="array" aca="1" ref="B517" ca="1">SUMPRODUCT((Table1[SubscriptionStart]&lt;=A517)*(Table1[EffectiveEndDate]&gt;=A517))</f>
        <v>380</v>
      </c>
      <c r="C517" s="45">
        <f>COUNTIFS(Table1[SubscriptionStart], A517)</f>
        <v>1</v>
      </c>
      <c r="D517" s="45">
        <f>COUNTIFS(Table1[CancellationDate], A517)</f>
        <v>0</v>
      </c>
      <c r="E517" s="45">
        <f t="shared" si="32"/>
        <v>1</v>
      </c>
      <c r="F517" s="45">
        <f>SUM($C$2:C517)</f>
        <v>573</v>
      </c>
      <c r="G517" s="49" cm="1">
        <f t="array" aca="1" ref="G517" ca="1">IF(B517=0,"", SUMPRODUCT((Table1[SubscriptionStart]&lt;=A517)*(Table1[EffectiveEndDate]&gt;=A517)*Table1[Age]) / B517 )</f>
        <v>46.771052631578947</v>
      </c>
      <c r="H517" s="22">
        <f>SUMIF(Table1[SubscriptionStart],"&lt;="&amp;A517,Table1[TotalRevenue])</f>
        <v>119478.40000000014</v>
      </c>
      <c r="I517" s="50">
        <f t="shared" si="33"/>
        <v>45077</v>
      </c>
      <c r="J517" s="49">
        <f t="shared" ca="1" si="34"/>
        <v>373.03225806451616</v>
      </c>
      <c r="K517" s="45" cm="1">
        <f t="array" aca="1" ref="K517" ca="1">SUMPRODUCT((Table1[SubscriptionStart] &lt;= $A517) * (Table1[EffectiveEndDate] &gt;= $A517) * (Table1[Region] = "England"))</f>
        <v>103</v>
      </c>
      <c r="L517" s="45" cm="1">
        <f t="array" aca="1" ref="L517" ca="1">SUMPRODUCT((Table1[SubscriptionStart] &lt;= $A517) * (Table1[EffectiveEndDate] &gt;= $A517) * (Table1[Region] = "Scotland"))</f>
        <v>81</v>
      </c>
      <c r="M517" s="45" cm="1">
        <f t="array" aca="1" ref="M517" ca="1">SUMPRODUCT((Table1[SubscriptionStart] &lt;= $A517) * (Table1[EffectiveEndDate] &gt;= $A517) * (Table1[Region] = "Wales"))</f>
        <v>101</v>
      </c>
      <c r="N517" s="45" cm="1">
        <f t="array" aca="1" ref="N517" ca="1">SUMPRODUCT((Table1[SubscriptionStart] &lt;= $A517) * (Table1[EffectiveEndDate] &gt;= $A517) * (Table1[Region] = "Northern Ireland"))</f>
        <v>95</v>
      </c>
      <c r="O517" s="45" cm="1">
        <f t="array" aca="1" ref="O517" ca="1">SUMPRODUCT((Table1[Gender]="Male")*(Table1[SubscriptionStart]&lt;=A517)*(Table1[EffectiveEndDate]&gt;=A517))</f>
        <v>196</v>
      </c>
      <c r="P517" s="45" cm="1">
        <f t="array" aca="1" ref="P517" ca="1">SUMPRODUCT((Table1[Gender]="Female")*(Table1[SubscriptionStart]&lt;=A517)*(Table1[EffectiveEndDate]&gt;=A517))</f>
        <v>184</v>
      </c>
    </row>
    <row r="518" spans="1:16">
      <c r="A518" s="48">
        <f t="shared" si="35"/>
        <v>45078</v>
      </c>
      <c r="B518" s="45" cm="1">
        <f t="array" aca="1" ref="B518" ca="1">SUMPRODUCT((Table1[SubscriptionStart]&lt;=A518)*(Table1[EffectiveEndDate]&gt;=A518))</f>
        <v>380</v>
      </c>
      <c r="C518" s="45">
        <f>COUNTIFS(Table1[SubscriptionStart], A518)</f>
        <v>0</v>
      </c>
      <c r="D518" s="45">
        <f>COUNTIFS(Table1[CancellationDate], A518)</f>
        <v>0</v>
      </c>
      <c r="E518" s="45">
        <f t="shared" si="32"/>
        <v>0</v>
      </c>
      <c r="F518" s="45">
        <f>SUM($C$2:C518)</f>
        <v>573</v>
      </c>
      <c r="G518" s="49" cm="1">
        <f t="array" aca="1" ref="G518" ca="1">IF(B518=0,"", SUMPRODUCT((Table1[SubscriptionStart]&lt;=A518)*(Table1[EffectiveEndDate]&gt;=A518)*Table1[Age]) / B518 )</f>
        <v>46.771052631578947</v>
      </c>
      <c r="H518" s="22">
        <f>SUMIF(Table1[SubscriptionStart],"&lt;="&amp;A518,Table1[TotalRevenue])</f>
        <v>119478.40000000014</v>
      </c>
      <c r="I518" s="50">
        <f t="shared" si="33"/>
        <v>45107</v>
      </c>
      <c r="J518" s="49">
        <f t="shared" ca="1" si="34"/>
        <v>383.1</v>
      </c>
      <c r="K518" s="45" cm="1">
        <f t="array" aca="1" ref="K518" ca="1">SUMPRODUCT((Table1[SubscriptionStart] &lt;= $A518) * (Table1[EffectiveEndDate] &gt;= $A518) * (Table1[Region] = "England"))</f>
        <v>103</v>
      </c>
      <c r="L518" s="45" cm="1">
        <f t="array" aca="1" ref="L518" ca="1">SUMPRODUCT((Table1[SubscriptionStart] &lt;= $A518) * (Table1[EffectiveEndDate] &gt;= $A518) * (Table1[Region] = "Scotland"))</f>
        <v>81</v>
      </c>
      <c r="M518" s="45" cm="1">
        <f t="array" aca="1" ref="M518" ca="1">SUMPRODUCT((Table1[SubscriptionStart] &lt;= $A518) * (Table1[EffectiveEndDate] &gt;= $A518) * (Table1[Region] = "Wales"))</f>
        <v>101</v>
      </c>
      <c r="N518" s="45" cm="1">
        <f t="array" aca="1" ref="N518" ca="1">SUMPRODUCT((Table1[SubscriptionStart] &lt;= $A518) * (Table1[EffectiveEndDate] &gt;= $A518) * (Table1[Region] = "Northern Ireland"))</f>
        <v>95</v>
      </c>
      <c r="O518" s="45" cm="1">
        <f t="array" aca="1" ref="O518" ca="1">SUMPRODUCT((Table1[Gender]="Male")*(Table1[SubscriptionStart]&lt;=A518)*(Table1[EffectiveEndDate]&gt;=A518))</f>
        <v>196</v>
      </c>
      <c r="P518" s="45" cm="1">
        <f t="array" aca="1" ref="P518" ca="1">SUMPRODUCT((Table1[Gender]="Female")*(Table1[SubscriptionStart]&lt;=A518)*(Table1[EffectiveEndDate]&gt;=A518))</f>
        <v>184</v>
      </c>
    </row>
    <row r="519" spans="1:16">
      <c r="A519" s="48">
        <f t="shared" si="35"/>
        <v>45079</v>
      </c>
      <c r="B519" s="45" cm="1">
        <f t="array" aca="1" ref="B519" ca="1">SUMPRODUCT((Table1[SubscriptionStart]&lt;=A519)*(Table1[EffectiveEndDate]&gt;=A519))</f>
        <v>380</v>
      </c>
      <c r="C519" s="45">
        <f>COUNTIFS(Table1[SubscriptionStart], A519)</f>
        <v>0</v>
      </c>
      <c r="D519" s="45">
        <f>COUNTIFS(Table1[CancellationDate], A519)</f>
        <v>0</v>
      </c>
      <c r="E519" s="45">
        <f t="shared" si="32"/>
        <v>0</v>
      </c>
      <c r="F519" s="45">
        <f>SUM($C$2:C519)</f>
        <v>573</v>
      </c>
      <c r="G519" s="49" cm="1">
        <f t="array" aca="1" ref="G519" ca="1">IF(B519=0,"", SUMPRODUCT((Table1[SubscriptionStart]&lt;=A519)*(Table1[EffectiveEndDate]&gt;=A519)*Table1[Age]) / B519 )</f>
        <v>46.771052631578947</v>
      </c>
      <c r="H519" s="22">
        <f>SUMIF(Table1[SubscriptionStart],"&lt;="&amp;A519,Table1[TotalRevenue])</f>
        <v>119478.40000000014</v>
      </c>
      <c r="I519" s="50">
        <f t="shared" si="33"/>
        <v>45107</v>
      </c>
      <c r="J519" s="49">
        <f t="shared" ca="1" si="34"/>
        <v>383.1</v>
      </c>
      <c r="K519" s="45" cm="1">
        <f t="array" aca="1" ref="K519" ca="1">SUMPRODUCT((Table1[SubscriptionStart] &lt;= $A519) * (Table1[EffectiveEndDate] &gt;= $A519) * (Table1[Region] = "England"))</f>
        <v>103</v>
      </c>
      <c r="L519" s="45" cm="1">
        <f t="array" aca="1" ref="L519" ca="1">SUMPRODUCT((Table1[SubscriptionStart] &lt;= $A519) * (Table1[EffectiveEndDate] &gt;= $A519) * (Table1[Region] = "Scotland"))</f>
        <v>81</v>
      </c>
      <c r="M519" s="45" cm="1">
        <f t="array" aca="1" ref="M519" ca="1">SUMPRODUCT((Table1[SubscriptionStart] &lt;= $A519) * (Table1[EffectiveEndDate] &gt;= $A519) * (Table1[Region] = "Wales"))</f>
        <v>101</v>
      </c>
      <c r="N519" s="45" cm="1">
        <f t="array" aca="1" ref="N519" ca="1">SUMPRODUCT((Table1[SubscriptionStart] &lt;= $A519) * (Table1[EffectiveEndDate] &gt;= $A519) * (Table1[Region] = "Northern Ireland"))</f>
        <v>95</v>
      </c>
      <c r="O519" s="45" cm="1">
        <f t="array" aca="1" ref="O519" ca="1">SUMPRODUCT((Table1[Gender]="Male")*(Table1[SubscriptionStart]&lt;=A519)*(Table1[EffectiveEndDate]&gt;=A519))</f>
        <v>196</v>
      </c>
      <c r="P519" s="45" cm="1">
        <f t="array" aca="1" ref="P519" ca="1">SUMPRODUCT((Table1[Gender]="Female")*(Table1[SubscriptionStart]&lt;=A519)*(Table1[EffectiveEndDate]&gt;=A519))</f>
        <v>184</v>
      </c>
    </row>
    <row r="520" spans="1:16">
      <c r="A520" s="48">
        <f t="shared" si="35"/>
        <v>45080</v>
      </c>
      <c r="B520" s="45" cm="1">
        <f t="array" aca="1" ref="B520" ca="1">SUMPRODUCT((Table1[SubscriptionStart]&lt;=A520)*(Table1[EffectiveEndDate]&gt;=A520))</f>
        <v>382</v>
      </c>
      <c r="C520" s="45">
        <f>COUNTIFS(Table1[SubscriptionStart], A520)</f>
        <v>2</v>
      </c>
      <c r="D520" s="45">
        <f>COUNTIFS(Table1[CancellationDate], A520)</f>
        <v>2</v>
      </c>
      <c r="E520" s="45">
        <f t="shared" si="32"/>
        <v>0</v>
      </c>
      <c r="F520" s="45">
        <f>SUM($C$2:C520)</f>
        <v>575</v>
      </c>
      <c r="G520" s="49" cm="1">
        <f t="array" aca="1" ref="G520" ca="1">IF(B520=0,"", SUMPRODUCT((Table1[SubscriptionStart]&lt;=A520)*(Table1[EffectiveEndDate]&gt;=A520)*Table1[Age]) / B520 )</f>
        <v>46.730366492146594</v>
      </c>
      <c r="H520" s="22">
        <f>SUMIF(Table1[SubscriptionStart],"&lt;="&amp;A520,Table1[TotalRevenue])</f>
        <v>119478.40000000014</v>
      </c>
      <c r="I520" s="50">
        <f t="shared" si="33"/>
        <v>45107</v>
      </c>
      <c r="J520" s="49">
        <f t="shared" ca="1" si="34"/>
        <v>383.1</v>
      </c>
      <c r="K520" s="45" cm="1">
        <f t="array" aca="1" ref="K520" ca="1">SUMPRODUCT((Table1[SubscriptionStart] &lt;= $A520) * (Table1[EffectiveEndDate] &gt;= $A520) * (Table1[Region] = "England"))</f>
        <v>103</v>
      </c>
      <c r="L520" s="45" cm="1">
        <f t="array" aca="1" ref="L520" ca="1">SUMPRODUCT((Table1[SubscriptionStart] &lt;= $A520) * (Table1[EffectiveEndDate] &gt;= $A520) * (Table1[Region] = "Scotland"))</f>
        <v>81</v>
      </c>
      <c r="M520" s="45" cm="1">
        <f t="array" aca="1" ref="M520" ca="1">SUMPRODUCT((Table1[SubscriptionStart] &lt;= $A520) * (Table1[EffectiveEndDate] &gt;= $A520) * (Table1[Region] = "Wales"))</f>
        <v>102</v>
      </c>
      <c r="N520" s="45" cm="1">
        <f t="array" aca="1" ref="N520" ca="1">SUMPRODUCT((Table1[SubscriptionStart] &lt;= $A520) * (Table1[EffectiveEndDate] &gt;= $A520) * (Table1[Region] = "Northern Ireland"))</f>
        <v>96</v>
      </c>
      <c r="O520" s="45" cm="1">
        <f t="array" aca="1" ref="O520" ca="1">SUMPRODUCT((Table1[Gender]="Male")*(Table1[SubscriptionStart]&lt;=A520)*(Table1[EffectiveEndDate]&gt;=A520))</f>
        <v>196</v>
      </c>
      <c r="P520" s="45" cm="1">
        <f t="array" aca="1" ref="P520" ca="1">SUMPRODUCT((Table1[Gender]="Female")*(Table1[SubscriptionStart]&lt;=A520)*(Table1[EffectiveEndDate]&gt;=A520))</f>
        <v>186</v>
      </c>
    </row>
    <row r="521" spans="1:16">
      <c r="A521" s="48">
        <f t="shared" si="35"/>
        <v>45081</v>
      </c>
      <c r="B521" s="45" cm="1">
        <f t="array" aca="1" ref="B521" ca="1">SUMPRODUCT((Table1[SubscriptionStart]&lt;=A521)*(Table1[EffectiveEndDate]&gt;=A521))</f>
        <v>380</v>
      </c>
      <c r="C521" s="45">
        <f>COUNTIFS(Table1[SubscriptionStart], A521)</f>
        <v>0</v>
      </c>
      <c r="D521" s="45">
        <f>COUNTIFS(Table1[CancellationDate], A521)</f>
        <v>1</v>
      </c>
      <c r="E521" s="45">
        <f t="shared" si="32"/>
        <v>-1</v>
      </c>
      <c r="F521" s="45">
        <f>SUM($C$2:C521)</f>
        <v>575</v>
      </c>
      <c r="G521" s="49" cm="1">
        <f t="array" aca="1" ref="G521" ca="1">IF(B521=0,"", SUMPRODUCT((Table1[SubscriptionStart]&lt;=A521)*(Table1[EffectiveEndDate]&gt;=A521)*Table1[Age]) / B521 )</f>
        <v>46.718421052631577</v>
      </c>
      <c r="H521" s="22">
        <f>SUMIF(Table1[SubscriptionStart],"&lt;="&amp;A521,Table1[TotalRevenue])</f>
        <v>119478.40000000014</v>
      </c>
      <c r="I521" s="50">
        <f t="shared" si="33"/>
        <v>45107</v>
      </c>
      <c r="J521" s="49">
        <f t="shared" ca="1" si="34"/>
        <v>383.1</v>
      </c>
      <c r="K521" s="45" cm="1">
        <f t="array" aca="1" ref="K521" ca="1">SUMPRODUCT((Table1[SubscriptionStart] &lt;= $A521) * (Table1[EffectiveEndDate] &gt;= $A521) * (Table1[Region] = "England"))</f>
        <v>101</v>
      </c>
      <c r="L521" s="45" cm="1">
        <f t="array" aca="1" ref="L521" ca="1">SUMPRODUCT((Table1[SubscriptionStart] &lt;= $A521) * (Table1[EffectiveEndDate] &gt;= $A521) * (Table1[Region] = "Scotland"))</f>
        <v>81</v>
      </c>
      <c r="M521" s="45" cm="1">
        <f t="array" aca="1" ref="M521" ca="1">SUMPRODUCT((Table1[SubscriptionStart] &lt;= $A521) * (Table1[EffectiveEndDate] &gt;= $A521) * (Table1[Region] = "Wales"))</f>
        <v>102</v>
      </c>
      <c r="N521" s="45" cm="1">
        <f t="array" aca="1" ref="N521" ca="1">SUMPRODUCT((Table1[SubscriptionStart] &lt;= $A521) * (Table1[EffectiveEndDate] &gt;= $A521) * (Table1[Region] = "Northern Ireland"))</f>
        <v>96</v>
      </c>
      <c r="O521" s="45" cm="1">
        <f t="array" aca="1" ref="O521" ca="1">SUMPRODUCT((Table1[Gender]="Male")*(Table1[SubscriptionStart]&lt;=A521)*(Table1[EffectiveEndDate]&gt;=A521))</f>
        <v>195</v>
      </c>
      <c r="P521" s="45" cm="1">
        <f t="array" aca="1" ref="P521" ca="1">SUMPRODUCT((Table1[Gender]="Female")*(Table1[SubscriptionStart]&lt;=A521)*(Table1[EffectiveEndDate]&gt;=A521))</f>
        <v>185</v>
      </c>
    </row>
    <row r="522" spans="1:16">
      <c r="A522" s="48">
        <f t="shared" si="35"/>
        <v>45082</v>
      </c>
      <c r="B522" s="45" cm="1">
        <f t="array" aca="1" ref="B522" ca="1">SUMPRODUCT((Table1[SubscriptionStart]&lt;=A522)*(Table1[EffectiveEndDate]&gt;=A522))</f>
        <v>380</v>
      </c>
      <c r="C522" s="45">
        <f>COUNTIFS(Table1[SubscriptionStart], A522)</f>
        <v>1</v>
      </c>
      <c r="D522" s="45">
        <f>COUNTIFS(Table1[CancellationDate], A522)</f>
        <v>1</v>
      </c>
      <c r="E522" s="45">
        <f t="shared" si="32"/>
        <v>0</v>
      </c>
      <c r="F522" s="45">
        <f>SUM($C$2:C522)</f>
        <v>576</v>
      </c>
      <c r="G522" s="49" cm="1">
        <f t="array" aca="1" ref="G522" ca="1">IF(B522=0,"", SUMPRODUCT((Table1[SubscriptionStart]&lt;=A522)*(Table1[EffectiveEndDate]&gt;=A522)*Table1[Age]) / B522 )</f>
        <v>46.726315789473681</v>
      </c>
      <c r="H522" s="22">
        <f>SUMIF(Table1[SubscriptionStart],"&lt;="&amp;A522,Table1[TotalRevenue])</f>
        <v>119550.40000000014</v>
      </c>
      <c r="I522" s="50">
        <f t="shared" si="33"/>
        <v>45107</v>
      </c>
      <c r="J522" s="49">
        <f t="shared" ca="1" si="34"/>
        <v>383.1</v>
      </c>
      <c r="K522" s="45" cm="1">
        <f t="array" aca="1" ref="K522" ca="1">SUMPRODUCT((Table1[SubscriptionStart] &lt;= $A522) * (Table1[EffectiveEndDate] &gt;= $A522) * (Table1[Region] = "England"))</f>
        <v>101</v>
      </c>
      <c r="L522" s="45" cm="1">
        <f t="array" aca="1" ref="L522" ca="1">SUMPRODUCT((Table1[SubscriptionStart] &lt;= $A522) * (Table1[EffectiveEndDate] &gt;= $A522) * (Table1[Region] = "Scotland"))</f>
        <v>81</v>
      </c>
      <c r="M522" s="45" cm="1">
        <f t="array" aca="1" ref="M522" ca="1">SUMPRODUCT((Table1[SubscriptionStart] &lt;= $A522) * (Table1[EffectiveEndDate] &gt;= $A522) * (Table1[Region] = "Wales"))</f>
        <v>102</v>
      </c>
      <c r="N522" s="45" cm="1">
        <f t="array" aca="1" ref="N522" ca="1">SUMPRODUCT((Table1[SubscriptionStart] &lt;= $A522) * (Table1[EffectiveEndDate] &gt;= $A522) * (Table1[Region] = "Northern Ireland"))</f>
        <v>96</v>
      </c>
      <c r="O522" s="45" cm="1">
        <f t="array" aca="1" ref="O522" ca="1">SUMPRODUCT((Table1[Gender]="Male")*(Table1[SubscriptionStart]&lt;=A522)*(Table1[EffectiveEndDate]&gt;=A522))</f>
        <v>194</v>
      </c>
      <c r="P522" s="45" cm="1">
        <f t="array" aca="1" ref="P522" ca="1">SUMPRODUCT((Table1[Gender]="Female")*(Table1[SubscriptionStart]&lt;=A522)*(Table1[EffectiveEndDate]&gt;=A522))</f>
        <v>186</v>
      </c>
    </row>
    <row r="523" spans="1:16">
      <c r="A523" s="48">
        <f t="shared" si="35"/>
        <v>45083</v>
      </c>
      <c r="B523" s="45" cm="1">
        <f t="array" aca="1" ref="B523" ca="1">SUMPRODUCT((Table1[SubscriptionStart]&lt;=A523)*(Table1[EffectiveEndDate]&gt;=A523))</f>
        <v>380</v>
      </c>
      <c r="C523" s="45">
        <f>COUNTIFS(Table1[SubscriptionStart], A523)</f>
        <v>1</v>
      </c>
      <c r="D523" s="45">
        <f>COUNTIFS(Table1[CancellationDate], A523)</f>
        <v>1</v>
      </c>
      <c r="E523" s="45">
        <f t="shared" si="32"/>
        <v>0</v>
      </c>
      <c r="F523" s="45">
        <f>SUM($C$2:C523)</f>
        <v>577</v>
      </c>
      <c r="G523" s="49" cm="1">
        <f t="array" aca="1" ref="G523" ca="1">IF(B523=0,"", SUMPRODUCT((Table1[SubscriptionStart]&lt;=A523)*(Table1[EffectiveEndDate]&gt;=A523)*Table1[Age]) / B523 )</f>
        <v>46.584210526315786</v>
      </c>
      <c r="H523" s="22">
        <f>SUMIF(Table1[SubscriptionStart],"&lt;="&amp;A523,Table1[TotalRevenue])</f>
        <v>119766.40000000014</v>
      </c>
      <c r="I523" s="50">
        <f t="shared" si="33"/>
        <v>45107</v>
      </c>
      <c r="J523" s="49">
        <f t="shared" ca="1" si="34"/>
        <v>383.1</v>
      </c>
      <c r="K523" s="45" cm="1">
        <f t="array" aca="1" ref="K523" ca="1">SUMPRODUCT((Table1[SubscriptionStart] &lt;= $A523) * (Table1[EffectiveEndDate] &gt;= $A523) * (Table1[Region] = "England"))</f>
        <v>101</v>
      </c>
      <c r="L523" s="45" cm="1">
        <f t="array" aca="1" ref="L523" ca="1">SUMPRODUCT((Table1[SubscriptionStart] &lt;= $A523) * (Table1[EffectiveEndDate] &gt;= $A523) * (Table1[Region] = "Scotland"))</f>
        <v>81</v>
      </c>
      <c r="M523" s="45" cm="1">
        <f t="array" aca="1" ref="M523" ca="1">SUMPRODUCT((Table1[SubscriptionStart] &lt;= $A523) * (Table1[EffectiveEndDate] &gt;= $A523) * (Table1[Region] = "Wales"))</f>
        <v>102</v>
      </c>
      <c r="N523" s="45" cm="1">
        <f t="array" aca="1" ref="N523" ca="1">SUMPRODUCT((Table1[SubscriptionStart] &lt;= $A523) * (Table1[EffectiveEndDate] &gt;= $A523) * (Table1[Region] = "Northern Ireland"))</f>
        <v>96</v>
      </c>
      <c r="O523" s="45" cm="1">
        <f t="array" aca="1" ref="O523" ca="1">SUMPRODUCT((Table1[Gender]="Male")*(Table1[SubscriptionStart]&lt;=A523)*(Table1[EffectiveEndDate]&gt;=A523))</f>
        <v>194</v>
      </c>
      <c r="P523" s="45" cm="1">
        <f t="array" aca="1" ref="P523" ca="1">SUMPRODUCT((Table1[Gender]="Female")*(Table1[SubscriptionStart]&lt;=A523)*(Table1[EffectiveEndDate]&gt;=A523))</f>
        <v>186</v>
      </c>
    </row>
    <row r="524" spans="1:16">
      <c r="A524" s="48">
        <f t="shared" si="35"/>
        <v>45084</v>
      </c>
      <c r="B524" s="45" cm="1">
        <f t="array" aca="1" ref="B524" ca="1">SUMPRODUCT((Table1[SubscriptionStart]&lt;=A524)*(Table1[EffectiveEndDate]&gt;=A524))</f>
        <v>379</v>
      </c>
      <c r="C524" s="45">
        <f>COUNTIFS(Table1[SubscriptionStart], A524)</f>
        <v>0</v>
      </c>
      <c r="D524" s="45">
        <f>COUNTIFS(Table1[CancellationDate], A524)</f>
        <v>1</v>
      </c>
      <c r="E524" s="45">
        <f t="shared" si="32"/>
        <v>-1</v>
      </c>
      <c r="F524" s="45">
        <f>SUM($C$2:C524)</f>
        <v>577</v>
      </c>
      <c r="G524" s="49" cm="1">
        <f t="array" aca="1" ref="G524" ca="1">IF(B524=0,"", SUMPRODUCT((Table1[SubscriptionStart]&lt;=A524)*(Table1[EffectiveEndDate]&gt;=A524)*Table1[Age]) / B524 )</f>
        <v>46.604221635883903</v>
      </c>
      <c r="H524" s="22">
        <f>SUMIF(Table1[SubscriptionStart],"&lt;="&amp;A524,Table1[TotalRevenue])</f>
        <v>119766.40000000014</v>
      </c>
      <c r="I524" s="50">
        <f t="shared" si="33"/>
        <v>45107</v>
      </c>
      <c r="J524" s="49">
        <f t="shared" ca="1" si="34"/>
        <v>383.1</v>
      </c>
      <c r="K524" s="45" cm="1">
        <f t="array" aca="1" ref="K524" ca="1">SUMPRODUCT((Table1[SubscriptionStart] &lt;= $A524) * (Table1[EffectiveEndDate] &gt;= $A524) * (Table1[Region] = "England"))</f>
        <v>101</v>
      </c>
      <c r="L524" s="45" cm="1">
        <f t="array" aca="1" ref="L524" ca="1">SUMPRODUCT((Table1[SubscriptionStart] &lt;= $A524) * (Table1[EffectiveEndDate] &gt;= $A524) * (Table1[Region] = "Scotland"))</f>
        <v>80</v>
      </c>
      <c r="M524" s="45" cm="1">
        <f t="array" aca="1" ref="M524" ca="1">SUMPRODUCT((Table1[SubscriptionStart] &lt;= $A524) * (Table1[EffectiveEndDate] &gt;= $A524) * (Table1[Region] = "Wales"))</f>
        <v>102</v>
      </c>
      <c r="N524" s="45" cm="1">
        <f t="array" aca="1" ref="N524" ca="1">SUMPRODUCT((Table1[SubscriptionStart] &lt;= $A524) * (Table1[EffectiveEndDate] &gt;= $A524) * (Table1[Region] = "Northern Ireland"))</f>
        <v>96</v>
      </c>
      <c r="O524" s="45" cm="1">
        <f t="array" aca="1" ref="O524" ca="1">SUMPRODUCT((Table1[Gender]="Male")*(Table1[SubscriptionStart]&lt;=A524)*(Table1[EffectiveEndDate]&gt;=A524))</f>
        <v>194</v>
      </c>
      <c r="P524" s="45" cm="1">
        <f t="array" aca="1" ref="P524" ca="1">SUMPRODUCT((Table1[Gender]="Female")*(Table1[SubscriptionStart]&lt;=A524)*(Table1[EffectiveEndDate]&gt;=A524))</f>
        <v>185</v>
      </c>
    </row>
    <row r="525" spans="1:16">
      <c r="A525" s="48">
        <f t="shared" si="35"/>
        <v>45085</v>
      </c>
      <c r="B525" s="45" cm="1">
        <f t="array" aca="1" ref="B525" ca="1">SUMPRODUCT((Table1[SubscriptionStart]&lt;=A525)*(Table1[EffectiveEndDate]&gt;=A525))</f>
        <v>379</v>
      </c>
      <c r="C525" s="45">
        <f>COUNTIFS(Table1[SubscriptionStart], A525)</f>
        <v>1</v>
      </c>
      <c r="D525" s="45">
        <f>COUNTIFS(Table1[CancellationDate], A525)</f>
        <v>0</v>
      </c>
      <c r="E525" s="45">
        <f t="shared" si="32"/>
        <v>1</v>
      </c>
      <c r="F525" s="45">
        <f>SUM($C$2:C525)</f>
        <v>578</v>
      </c>
      <c r="G525" s="49" cm="1">
        <f t="array" aca="1" ref="G525" ca="1">IF(B525=0,"", SUMPRODUCT((Table1[SubscriptionStart]&lt;=A525)*(Table1[EffectiveEndDate]&gt;=A525)*Table1[Age]) / B525 )</f>
        <v>46.678100263852244</v>
      </c>
      <c r="H525" s="22">
        <f>SUMIF(Table1[SubscriptionStart],"&lt;="&amp;A525,Table1[TotalRevenue])</f>
        <v>119867.65000000014</v>
      </c>
      <c r="I525" s="50">
        <f t="shared" si="33"/>
        <v>45107</v>
      </c>
      <c r="J525" s="49">
        <f t="shared" ca="1" si="34"/>
        <v>383.1</v>
      </c>
      <c r="K525" s="45" cm="1">
        <f t="array" aca="1" ref="K525" ca="1">SUMPRODUCT((Table1[SubscriptionStart] &lt;= $A525) * (Table1[EffectiveEndDate] &gt;= $A525) * (Table1[Region] = "England"))</f>
        <v>101</v>
      </c>
      <c r="L525" s="45" cm="1">
        <f t="array" aca="1" ref="L525" ca="1">SUMPRODUCT((Table1[SubscriptionStart] &lt;= $A525) * (Table1[EffectiveEndDate] &gt;= $A525) * (Table1[Region] = "Scotland"))</f>
        <v>80</v>
      </c>
      <c r="M525" s="45" cm="1">
        <f t="array" aca="1" ref="M525" ca="1">SUMPRODUCT((Table1[SubscriptionStart] &lt;= $A525) * (Table1[EffectiveEndDate] &gt;= $A525) * (Table1[Region] = "Wales"))</f>
        <v>102</v>
      </c>
      <c r="N525" s="45" cm="1">
        <f t="array" aca="1" ref="N525" ca="1">SUMPRODUCT((Table1[SubscriptionStart] &lt;= $A525) * (Table1[EffectiveEndDate] &gt;= $A525) * (Table1[Region] = "Northern Ireland"))</f>
        <v>96</v>
      </c>
      <c r="O525" s="45" cm="1">
        <f t="array" aca="1" ref="O525" ca="1">SUMPRODUCT((Table1[Gender]="Male")*(Table1[SubscriptionStart]&lt;=A525)*(Table1[EffectiveEndDate]&gt;=A525))</f>
        <v>194</v>
      </c>
      <c r="P525" s="45" cm="1">
        <f t="array" aca="1" ref="P525" ca="1">SUMPRODUCT((Table1[Gender]="Female")*(Table1[SubscriptionStart]&lt;=A525)*(Table1[EffectiveEndDate]&gt;=A525))</f>
        <v>185</v>
      </c>
    </row>
    <row r="526" spans="1:16">
      <c r="A526" s="48">
        <f t="shared" si="35"/>
        <v>45086</v>
      </c>
      <c r="B526" s="45" cm="1">
        <f t="array" aca="1" ref="B526" ca="1">SUMPRODUCT((Table1[SubscriptionStart]&lt;=A526)*(Table1[EffectiveEndDate]&gt;=A526))</f>
        <v>381</v>
      </c>
      <c r="C526" s="45">
        <f>COUNTIFS(Table1[SubscriptionStart], A526)</f>
        <v>2</v>
      </c>
      <c r="D526" s="45">
        <f>COUNTIFS(Table1[CancellationDate], A526)</f>
        <v>0</v>
      </c>
      <c r="E526" s="45">
        <f t="shared" si="32"/>
        <v>2</v>
      </c>
      <c r="F526" s="45">
        <f>SUM($C$2:C526)</f>
        <v>580</v>
      </c>
      <c r="G526" s="49" cm="1">
        <f t="array" aca="1" ref="G526" ca="1">IF(B526=0,"", SUMPRODUCT((Table1[SubscriptionStart]&lt;=A526)*(Table1[EffectiveEndDate]&gt;=A526)*Table1[Age]) / B526 )</f>
        <v>46.666666666666664</v>
      </c>
      <c r="H526" s="22">
        <f>SUMIF(Table1[SubscriptionStart],"&lt;="&amp;A526,Table1[TotalRevenue])</f>
        <v>120605.65000000014</v>
      </c>
      <c r="I526" s="50">
        <f t="shared" si="33"/>
        <v>45107</v>
      </c>
      <c r="J526" s="49">
        <f t="shared" ca="1" si="34"/>
        <v>383.1</v>
      </c>
      <c r="K526" s="45" cm="1">
        <f t="array" aca="1" ref="K526" ca="1">SUMPRODUCT((Table1[SubscriptionStart] &lt;= $A526) * (Table1[EffectiveEndDate] &gt;= $A526) * (Table1[Region] = "England"))</f>
        <v>101</v>
      </c>
      <c r="L526" s="45" cm="1">
        <f t="array" aca="1" ref="L526" ca="1">SUMPRODUCT((Table1[SubscriptionStart] &lt;= $A526) * (Table1[EffectiveEndDate] &gt;= $A526) * (Table1[Region] = "Scotland"))</f>
        <v>81</v>
      </c>
      <c r="M526" s="45" cm="1">
        <f t="array" aca="1" ref="M526" ca="1">SUMPRODUCT((Table1[SubscriptionStart] &lt;= $A526) * (Table1[EffectiveEndDate] &gt;= $A526) * (Table1[Region] = "Wales"))</f>
        <v>103</v>
      </c>
      <c r="N526" s="45" cm="1">
        <f t="array" aca="1" ref="N526" ca="1">SUMPRODUCT((Table1[SubscriptionStart] &lt;= $A526) * (Table1[EffectiveEndDate] &gt;= $A526) * (Table1[Region] = "Northern Ireland"))</f>
        <v>96</v>
      </c>
      <c r="O526" s="45" cm="1">
        <f t="array" aca="1" ref="O526" ca="1">SUMPRODUCT((Table1[Gender]="Male")*(Table1[SubscriptionStart]&lt;=A526)*(Table1[EffectiveEndDate]&gt;=A526))</f>
        <v>196</v>
      </c>
      <c r="P526" s="45" cm="1">
        <f t="array" aca="1" ref="P526" ca="1">SUMPRODUCT((Table1[Gender]="Female")*(Table1[SubscriptionStart]&lt;=A526)*(Table1[EffectiveEndDate]&gt;=A526))</f>
        <v>185</v>
      </c>
    </row>
    <row r="527" spans="1:16">
      <c r="A527" s="48">
        <f t="shared" si="35"/>
        <v>45087</v>
      </c>
      <c r="B527" s="45" cm="1">
        <f t="array" aca="1" ref="B527" ca="1">SUMPRODUCT((Table1[SubscriptionStart]&lt;=A527)*(Table1[EffectiveEndDate]&gt;=A527))</f>
        <v>383</v>
      </c>
      <c r="C527" s="45">
        <f>COUNTIFS(Table1[SubscriptionStart], A527)</f>
        <v>2</v>
      </c>
      <c r="D527" s="45">
        <f>COUNTIFS(Table1[CancellationDate], A527)</f>
        <v>1</v>
      </c>
      <c r="E527" s="45">
        <f t="shared" si="32"/>
        <v>1</v>
      </c>
      <c r="F527" s="45">
        <f>SUM($C$2:C527)</f>
        <v>582</v>
      </c>
      <c r="G527" s="49" cm="1">
        <f t="array" aca="1" ref="G527" ca="1">IF(B527=0,"", SUMPRODUCT((Table1[SubscriptionStart]&lt;=A527)*(Table1[EffectiveEndDate]&gt;=A527)*Table1[Age]) / B527 )</f>
        <v>46.66057441253264</v>
      </c>
      <c r="H527" s="22">
        <f>SUMIF(Table1[SubscriptionStart],"&lt;="&amp;A527,Table1[TotalRevenue])</f>
        <v>120785.65000000014</v>
      </c>
      <c r="I527" s="50">
        <f t="shared" si="33"/>
        <v>45107</v>
      </c>
      <c r="J527" s="49">
        <f t="shared" ca="1" si="34"/>
        <v>383.1</v>
      </c>
      <c r="K527" s="45" cm="1">
        <f t="array" aca="1" ref="K527" ca="1">SUMPRODUCT((Table1[SubscriptionStart] &lt;= $A527) * (Table1[EffectiveEndDate] &gt;= $A527) * (Table1[Region] = "England"))</f>
        <v>101</v>
      </c>
      <c r="L527" s="45" cm="1">
        <f t="array" aca="1" ref="L527" ca="1">SUMPRODUCT((Table1[SubscriptionStart] &lt;= $A527) * (Table1[EffectiveEndDate] &gt;= $A527) * (Table1[Region] = "Scotland"))</f>
        <v>82</v>
      </c>
      <c r="M527" s="45" cm="1">
        <f t="array" aca="1" ref="M527" ca="1">SUMPRODUCT((Table1[SubscriptionStart] &lt;= $A527) * (Table1[EffectiveEndDate] &gt;= $A527) * (Table1[Region] = "Wales"))</f>
        <v>103</v>
      </c>
      <c r="N527" s="45" cm="1">
        <f t="array" aca="1" ref="N527" ca="1">SUMPRODUCT((Table1[SubscriptionStart] &lt;= $A527) * (Table1[EffectiveEndDate] &gt;= $A527) * (Table1[Region] = "Northern Ireland"))</f>
        <v>97</v>
      </c>
      <c r="O527" s="45" cm="1">
        <f t="array" aca="1" ref="O527" ca="1">SUMPRODUCT((Table1[Gender]="Male")*(Table1[SubscriptionStart]&lt;=A527)*(Table1[EffectiveEndDate]&gt;=A527))</f>
        <v>198</v>
      </c>
      <c r="P527" s="45" cm="1">
        <f t="array" aca="1" ref="P527" ca="1">SUMPRODUCT((Table1[Gender]="Female")*(Table1[SubscriptionStart]&lt;=A527)*(Table1[EffectiveEndDate]&gt;=A527))</f>
        <v>185</v>
      </c>
    </row>
    <row r="528" spans="1:16">
      <c r="A528" s="48">
        <f t="shared" si="35"/>
        <v>45088</v>
      </c>
      <c r="B528" s="45" cm="1">
        <f t="array" aca="1" ref="B528" ca="1">SUMPRODUCT((Table1[SubscriptionStart]&lt;=A528)*(Table1[EffectiveEndDate]&gt;=A528))</f>
        <v>384</v>
      </c>
      <c r="C528" s="45">
        <f>COUNTIFS(Table1[SubscriptionStart], A528)</f>
        <v>2</v>
      </c>
      <c r="D528" s="45">
        <f>COUNTIFS(Table1[CancellationDate], A528)</f>
        <v>3</v>
      </c>
      <c r="E528" s="45">
        <f t="shared" si="32"/>
        <v>-1</v>
      </c>
      <c r="F528" s="45">
        <f>SUM($C$2:C528)</f>
        <v>584</v>
      </c>
      <c r="G528" s="49" cm="1">
        <f t="array" aca="1" ref="G528" ca="1">IF(B528=0,"", SUMPRODUCT((Table1[SubscriptionStart]&lt;=A528)*(Table1[EffectiveEndDate]&gt;=A528)*Table1[Age]) / B528 )</f>
        <v>46.559895833333336</v>
      </c>
      <c r="H528" s="22">
        <f>SUMIF(Table1[SubscriptionStart],"&lt;="&amp;A528,Table1[TotalRevenue])</f>
        <v>121287.85000000014</v>
      </c>
      <c r="I528" s="50">
        <f t="shared" si="33"/>
        <v>45107</v>
      </c>
      <c r="J528" s="49">
        <f t="shared" ca="1" si="34"/>
        <v>383.1</v>
      </c>
      <c r="K528" s="45" cm="1">
        <f t="array" aca="1" ref="K528" ca="1">SUMPRODUCT((Table1[SubscriptionStart] &lt;= $A528) * (Table1[EffectiveEndDate] &gt;= $A528) * (Table1[Region] = "England"))</f>
        <v>101</v>
      </c>
      <c r="L528" s="45" cm="1">
        <f t="array" aca="1" ref="L528" ca="1">SUMPRODUCT((Table1[SubscriptionStart] &lt;= $A528) * (Table1[EffectiveEndDate] &gt;= $A528) * (Table1[Region] = "Scotland"))</f>
        <v>84</v>
      </c>
      <c r="M528" s="45" cm="1">
        <f t="array" aca="1" ref="M528" ca="1">SUMPRODUCT((Table1[SubscriptionStart] &lt;= $A528) * (Table1[EffectiveEndDate] &gt;= $A528) * (Table1[Region] = "Wales"))</f>
        <v>103</v>
      </c>
      <c r="N528" s="45" cm="1">
        <f t="array" aca="1" ref="N528" ca="1">SUMPRODUCT((Table1[SubscriptionStart] &lt;= $A528) * (Table1[EffectiveEndDate] &gt;= $A528) * (Table1[Region] = "Northern Ireland"))</f>
        <v>96</v>
      </c>
      <c r="O528" s="45" cm="1">
        <f t="array" aca="1" ref="O528" ca="1">SUMPRODUCT((Table1[Gender]="Male")*(Table1[SubscriptionStart]&lt;=A528)*(Table1[EffectiveEndDate]&gt;=A528))</f>
        <v>199</v>
      </c>
      <c r="P528" s="45" cm="1">
        <f t="array" aca="1" ref="P528" ca="1">SUMPRODUCT((Table1[Gender]="Female")*(Table1[SubscriptionStart]&lt;=A528)*(Table1[EffectiveEndDate]&gt;=A528))</f>
        <v>185</v>
      </c>
    </row>
    <row r="529" spans="1:16">
      <c r="A529" s="48">
        <f t="shared" si="35"/>
        <v>45089</v>
      </c>
      <c r="B529" s="45" cm="1">
        <f t="array" aca="1" ref="B529" ca="1">SUMPRODUCT((Table1[SubscriptionStart]&lt;=A529)*(Table1[EffectiveEndDate]&gt;=A529))</f>
        <v>382</v>
      </c>
      <c r="C529" s="45">
        <f>COUNTIFS(Table1[SubscriptionStart], A529)</f>
        <v>1</v>
      </c>
      <c r="D529" s="45">
        <f>COUNTIFS(Table1[CancellationDate], A529)</f>
        <v>1</v>
      </c>
      <c r="E529" s="45">
        <f t="shared" si="32"/>
        <v>0</v>
      </c>
      <c r="F529" s="45">
        <f>SUM($C$2:C529)</f>
        <v>585</v>
      </c>
      <c r="G529" s="49" cm="1">
        <f t="array" aca="1" ref="G529" ca="1">IF(B529=0,"", SUMPRODUCT((Table1[SubscriptionStart]&lt;=A529)*(Table1[EffectiveEndDate]&gt;=A529)*Table1[Age]) / B529 )</f>
        <v>46.502617801047123</v>
      </c>
      <c r="H529" s="22">
        <f>SUMIF(Table1[SubscriptionStart],"&lt;="&amp;A529,Table1[TotalRevenue])</f>
        <v>121359.85000000014</v>
      </c>
      <c r="I529" s="50">
        <f t="shared" si="33"/>
        <v>45107</v>
      </c>
      <c r="J529" s="49">
        <f t="shared" ca="1" si="34"/>
        <v>383.1</v>
      </c>
      <c r="K529" s="45" cm="1">
        <f t="array" aca="1" ref="K529" ca="1">SUMPRODUCT((Table1[SubscriptionStart] &lt;= $A529) * (Table1[EffectiveEndDate] &gt;= $A529) * (Table1[Region] = "England"))</f>
        <v>100</v>
      </c>
      <c r="L529" s="45" cm="1">
        <f t="array" aca="1" ref="L529" ca="1">SUMPRODUCT((Table1[SubscriptionStart] &lt;= $A529) * (Table1[EffectiveEndDate] &gt;= $A529) * (Table1[Region] = "Scotland"))</f>
        <v>84</v>
      </c>
      <c r="M529" s="45" cm="1">
        <f t="array" aca="1" ref="M529" ca="1">SUMPRODUCT((Table1[SubscriptionStart] &lt;= $A529) * (Table1[EffectiveEndDate] &gt;= $A529) * (Table1[Region] = "Wales"))</f>
        <v>104</v>
      </c>
      <c r="N529" s="45" cm="1">
        <f t="array" aca="1" ref="N529" ca="1">SUMPRODUCT((Table1[SubscriptionStart] &lt;= $A529) * (Table1[EffectiveEndDate] &gt;= $A529) * (Table1[Region] = "Northern Ireland"))</f>
        <v>94</v>
      </c>
      <c r="O529" s="45" cm="1">
        <f t="array" aca="1" ref="O529" ca="1">SUMPRODUCT((Table1[Gender]="Male")*(Table1[SubscriptionStart]&lt;=A529)*(Table1[EffectiveEndDate]&gt;=A529))</f>
        <v>198</v>
      </c>
      <c r="P529" s="45" cm="1">
        <f t="array" aca="1" ref="P529" ca="1">SUMPRODUCT((Table1[Gender]="Female")*(Table1[SubscriptionStart]&lt;=A529)*(Table1[EffectiveEndDate]&gt;=A529))</f>
        <v>184</v>
      </c>
    </row>
    <row r="530" spans="1:16">
      <c r="A530" s="48">
        <f t="shared" si="35"/>
        <v>45090</v>
      </c>
      <c r="B530" s="45" cm="1">
        <f t="array" aca="1" ref="B530" ca="1">SUMPRODUCT((Table1[SubscriptionStart]&lt;=A530)*(Table1[EffectiveEndDate]&gt;=A530))</f>
        <v>383</v>
      </c>
      <c r="C530" s="45">
        <f>COUNTIFS(Table1[SubscriptionStart], A530)</f>
        <v>2</v>
      </c>
      <c r="D530" s="45">
        <f>COUNTIFS(Table1[CancellationDate], A530)</f>
        <v>2</v>
      </c>
      <c r="E530" s="45">
        <f t="shared" si="32"/>
        <v>0</v>
      </c>
      <c r="F530" s="45">
        <f>SUM($C$2:C530)</f>
        <v>587</v>
      </c>
      <c r="G530" s="49" cm="1">
        <f t="array" aca="1" ref="G530" ca="1">IF(B530=0,"", SUMPRODUCT((Table1[SubscriptionStart]&lt;=A530)*(Table1[EffectiveEndDate]&gt;=A530)*Table1[Age]) / B530 )</f>
        <v>46.425587467362924</v>
      </c>
      <c r="H530" s="22">
        <f>SUMIF(Table1[SubscriptionStart],"&lt;="&amp;A530,Table1[TotalRevenue])</f>
        <v>121400.35000000014</v>
      </c>
      <c r="I530" s="50">
        <f t="shared" si="33"/>
        <v>45107</v>
      </c>
      <c r="J530" s="49">
        <f t="shared" ca="1" si="34"/>
        <v>383.1</v>
      </c>
      <c r="K530" s="45" cm="1">
        <f t="array" aca="1" ref="K530" ca="1">SUMPRODUCT((Table1[SubscriptionStart] &lt;= $A530) * (Table1[EffectiveEndDate] &gt;= $A530) * (Table1[Region] = "England"))</f>
        <v>101</v>
      </c>
      <c r="L530" s="45" cm="1">
        <f t="array" aca="1" ref="L530" ca="1">SUMPRODUCT((Table1[SubscriptionStart] &lt;= $A530) * (Table1[EffectiveEndDate] &gt;= $A530) * (Table1[Region] = "Scotland"))</f>
        <v>84</v>
      </c>
      <c r="M530" s="45" cm="1">
        <f t="array" aca="1" ref="M530" ca="1">SUMPRODUCT((Table1[SubscriptionStart] &lt;= $A530) * (Table1[EffectiveEndDate] &gt;= $A530) * (Table1[Region] = "Wales"))</f>
        <v>104</v>
      </c>
      <c r="N530" s="45" cm="1">
        <f t="array" aca="1" ref="N530" ca="1">SUMPRODUCT((Table1[SubscriptionStart] &lt;= $A530) * (Table1[EffectiveEndDate] &gt;= $A530) * (Table1[Region] = "Northern Ireland"))</f>
        <v>94</v>
      </c>
      <c r="O530" s="45" cm="1">
        <f t="array" aca="1" ref="O530" ca="1">SUMPRODUCT((Table1[Gender]="Male")*(Table1[SubscriptionStart]&lt;=A530)*(Table1[EffectiveEndDate]&gt;=A530))</f>
        <v>199</v>
      </c>
      <c r="P530" s="45" cm="1">
        <f t="array" aca="1" ref="P530" ca="1">SUMPRODUCT((Table1[Gender]="Female")*(Table1[SubscriptionStart]&lt;=A530)*(Table1[EffectiveEndDate]&gt;=A530))</f>
        <v>184</v>
      </c>
    </row>
    <row r="531" spans="1:16">
      <c r="A531" s="48">
        <f t="shared" si="35"/>
        <v>45091</v>
      </c>
      <c r="B531" s="45" cm="1">
        <f t="array" aca="1" ref="B531" ca="1">SUMPRODUCT((Table1[SubscriptionStart]&lt;=A531)*(Table1[EffectiveEndDate]&gt;=A531))</f>
        <v>383</v>
      </c>
      <c r="C531" s="45">
        <f>COUNTIFS(Table1[SubscriptionStart], A531)</f>
        <v>2</v>
      </c>
      <c r="D531" s="45">
        <f>COUNTIFS(Table1[CancellationDate], A531)</f>
        <v>1</v>
      </c>
      <c r="E531" s="45">
        <f t="shared" si="32"/>
        <v>1</v>
      </c>
      <c r="F531" s="45">
        <f>SUM($C$2:C531)</f>
        <v>589</v>
      </c>
      <c r="G531" s="49" cm="1">
        <f t="array" aca="1" ref="G531" ca="1">IF(B531=0,"", SUMPRODUCT((Table1[SubscriptionStart]&lt;=A531)*(Table1[EffectiveEndDate]&gt;=A531)*Table1[Age]) / B531 )</f>
        <v>46.454308093994776</v>
      </c>
      <c r="H531" s="22">
        <f>SUMIF(Table1[SubscriptionStart],"&lt;="&amp;A531,Table1[TotalRevenue])</f>
        <v>122397.95000000014</v>
      </c>
      <c r="I531" s="50">
        <f t="shared" si="33"/>
        <v>45107</v>
      </c>
      <c r="J531" s="49">
        <f t="shared" ca="1" si="34"/>
        <v>383.1</v>
      </c>
      <c r="K531" s="45" cm="1">
        <f t="array" aca="1" ref="K531" ca="1">SUMPRODUCT((Table1[SubscriptionStart] &lt;= $A531) * (Table1[EffectiveEndDate] &gt;= $A531) * (Table1[Region] = "England"))</f>
        <v>101</v>
      </c>
      <c r="L531" s="45" cm="1">
        <f t="array" aca="1" ref="L531" ca="1">SUMPRODUCT((Table1[SubscriptionStart] &lt;= $A531) * (Table1[EffectiveEndDate] &gt;= $A531) * (Table1[Region] = "Scotland"))</f>
        <v>83</v>
      </c>
      <c r="M531" s="45" cm="1">
        <f t="array" aca="1" ref="M531" ca="1">SUMPRODUCT((Table1[SubscriptionStart] &lt;= $A531) * (Table1[EffectiveEndDate] &gt;= $A531) * (Table1[Region] = "Wales"))</f>
        <v>106</v>
      </c>
      <c r="N531" s="45" cm="1">
        <f t="array" aca="1" ref="N531" ca="1">SUMPRODUCT((Table1[SubscriptionStart] &lt;= $A531) * (Table1[EffectiveEndDate] &gt;= $A531) * (Table1[Region] = "Northern Ireland"))</f>
        <v>93</v>
      </c>
      <c r="O531" s="45" cm="1">
        <f t="array" aca="1" ref="O531" ca="1">SUMPRODUCT((Table1[Gender]="Male")*(Table1[SubscriptionStart]&lt;=A531)*(Table1[EffectiveEndDate]&gt;=A531))</f>
        <v>199</v>
      </c>
      <c r="P531" s="45" cm="1">
        <f t="array" aca="1" ref="P531" ca="1">SUMPRODUCT((Table1[Gender]="Female")*(Table1[SubscriptionStart]&lt;=A531)*(Table1[EffectiveEndDate]&gt;=A531))</f>
        <v>184</v>
      </c>
    </row>
    <row r="532" spans="1:16">
      <c r="A532" s="48">
        <f t="shared" si="35"/>
        <v>45092</v>
      </c>
      <c r="B532" s="45" cm="1">
        <f t="array" aca="1" ref="B532" ca="1">SUMPRODUCT((Table1[SubscriptionStart]&lt;=A532)*(Table1[EffectiveEndDate]&gt;=A532))</f>
        <v>383</v>
      </c>
      <c r="C532" s="45">
        <f>COUNTIFS(Table1[SubscriptionStart], A532)</f>
        <v>1</v>
      </c>
      <c r="D532" s="45">
        <f>COUNTIFS(Table1[CancellationDate], A532)</f>
        <v>2</v>
      </c>
      <c r="E532" s="45">
        <f t="shared" si="32"/>
        <v>-1</v>
      </c>
      <c r="F532" s="45">
        <f>SUM($C$2:C532)</f>
        <v>590</v>
      </c>
      <c r="G532" s="49" cm="1">
        <f t="array" aca="1" ref="G532" ca="1">IF(B532=0,"", SUMPRODUCT((Table1[SubscriptionStart]&lt;=A532)*(Table1[EffectiveEndDate]&gt;=A532)*Table1[Age]) / B532 )</f>
        <v>46.449086161879897</v>
      </c>
      <c r="H532" s="22">
        <f>SUMIF(Table1[SubscriptionStart],"&lt;="&amp;A532,Table1[TotalRevenue])</f>
        <v>122469.95000000014</v>
      </c>
      <c r="I532" s="50">
        <f t="shared" si="33"/>
        <v>45107</v>
      </c>
      <c r="J532" s="49">
        <f t="shared" ca="1" si="34"/>
        <v>383.1</v>
      </c>
      <c r="K532" s="45" cm="1">
        <f t="array" aca="1" ref="K532" ca="1">SUMPRODUCT((Table1[SubscriptionStart] &lt;= $A532) * (Table1[EffectiveEndDate] &gt;= $A532) * (Table1[Region] = "England"))</f>
        <v>101</v>
      </c>
      <c r="L532" s="45" cm="1">
        <f t="array" aca="1" ref="L532" ca="1">SUMPRODUCT((Table1[SubscriptionStart] &lt;= $A532) * (Table1[EffectiveEndDate] &gt;= $A532) * (Table1[Region] = "Scotland"))</f>
        <v>83</v>
      </c>
      <c r="M532" s="45" cm="1">
        <f t="array" aca="1" ref="M532" ca="1">SUMPRODUCT((Table1[SubscriptionStart] &lt;= $A532) * (Table1[EffectiveEndDate] &gt;= $A532) * (Table1[Region] = "Wales"))</f>
        <v>106</v>
      </c>
      <c r="N532" s="45" cm="1">
        <f t="array" aca="1" ref="N532" ca="1">SUMPRODUCT((Table1[SubscriptionStart] &lt;= $A532) * (Table1[EffectiveEndDate] &gt;= $A532) * (Table1[Region] = "Northern Ireland"))</f>
        <v>93</v>
      </c>
      <c r="O532" s="45" cm="1">
        <f t="array" aca="1" ref="O532" ca="1">SUMPRODUCT((Table1[Gender]="Male")*(Table1[SubscriptionStart]&lt;=A532)*(Table1[EffectiveEndDate]&gt;=A532))</f>
        <v>200</v>
      </c>
      <c r="P532" s="45" cm="1">
        <f t="array" aca="1" ref="P532" ca="1">SUMPRODUCT((Table1[Gender]="Female")*(Table1[SubscriptionStart]&lt;=A532)*(Table1[EffectiveEndDate]&gt;=A532))</f>
        <v>183</v>
      </c>
    </row>
    <row r="533" spans="1:16">
      <c r="A533" s="48">
        <f t="shared" si="35"/>
        <v>45093</v>
      </c>
      <c r="B533" s="45" cm="1">
        <f t="array" aca="1" ref="B533" ca="1">SUMPRODUCT((Table1[SubscriptionStart]&lt;=A533)*(Table1[EffectiveEndDate]&gt;=A533))</f>
        <v>383</v>
      </c>
      <c r="C533" s="45">
        <f>COUNTIFS(Table1[SubscriptionStart], A533)</f>
        <v>2</v>
      </c>
      <c r="D533" s="45">
        <f>COUNTIFS(Table1[CancellationDate], A533)</f>
        <v>0</v>
      </c>
      <c r="E533" s="45">
        <f t="shared" si="32"/>
        <v>2</v>
      </c>
      <c r="F533" s="45">
        <f>SUM($C$2:C533)</f>
        <v>592</v>
      </c>
      <c r="G533" s="49" cm="1">
        <f t="array" aca="1" ref="G533" ca="1">IF(B533=0,"", SUMPRODUCT((Table1[SubscriptionStart]&lt;=A533)*(Table1[EffectiveEndDate]&gt;=A533)*Table1[Age]) / B533 )</f>
        <v>46.391644908616186</v>
      </c>
      <c r="H533" s="22">
        <f>SUMIF(Table1[SubscriptionStart],"&lt;="&amp;A533,Table1[TotalRevenue])</f>
        <v>122649.95000000014</v>
      </c>
      <c r="I533" s="50">
        <f t="shared" si="33"/>
        <v>45107</v>
      </c>
      <c r="J533" s="49">
        <f t="shared" ca="1" si="34"/>
        <v>383.1</v>
      </c>
      <c r="K533" s="45" cm="1">
        <f t="array" aca="1" ref="K533" ca="1">SUMPRODUCT((Table1[SubscriptionStart] &lt;= $A533) * (Table1[EffectiveEndDate] &gt;= $A533) * (Table1[Region] = "England"))</f>
        <v>102</v>
      </c>
      <c r="L533" s="45" cm="1">
        <f t="array" aca="1" ref="L533" ca="1">SUMPRODUCT((Table1[SubscriptionStart] &lt;= $A533) * (Table1[EffectiveEndDate] &gt;= $A533) * (Table1[Region] = "Scotland"))</f>
        <v>83</v>
      </c>
      <c r="M533" s="45" cm="1">
        <f t="array" aca="1" ref="M533" ca="1">SUMPRODUCT((Table1[SubscriptionStart] &lt;= $A533) * (Table1[EffectiveEndDate] &gt;= $A533) * (Table1[Region] = "Wales"))</f>
        <v>105</v>
      </c>
      <c r="N533" s="45" cm="1">
        <f t="array" aca="1" ref="N533" ca="1">SUMPRODUCT((Table1[SubscriptionStart] &lt;= $A533) * (Table1[EffectiveEndDate] &gt;= $A533) * (Table1[Region] = "Northern Ireland"))</f>
        <v>93</v>
      </c>
      <c r="O533" s="45" cm="1">
        <f t="array" aca="1" ref="O533" ca="1">SUMPRODUCT((Table1[Gender]="Male")*(Table1[SubscriptionStart]&lt;=A533)*(Table1[EffectiveEndDate]&gt;=A533))</f>
        <v>201</v>
      </c>
      <c r="P533" s="45" cm="1">
        <f t="array" aca="1" ref="P533" ca="1">SUMPRODUCT((Table1[Gender]="Female")*(Table1[SubscriptionStart]&lt;=A533)*(Table1[EffectiveEndDate]&gt;=A533))</f>
        <v>182</v>
      </c>
    </row>
    <row r="534" spans="1:16">
      <c r="A534" s="48">
        <f t="shared" si="35"/>
        <v>45094</v>
      </c>
      <c r="B534" s="45" cm="1">
        <f t="array" aca="1" ref="B534" ca="1">SUMPRODUCT((Table1[SubscriptionStart]&lt;=A534)*(Table1[EffectiveEndDate]&gt;=A534))</f>
        <v>385</v>
      </c>
      <c r="C534" s="45">
        <f>COUNTIFS(Table1[SubscriptionStart], A534)</f>
        <v>2</v>
      </c>
      <c r="D534" s="45">
        <f>COUNTIFS(Table1[CancellationDate], A534)</f>
        <v>0</v>
      </c>
      <c r="E534" s="45">
        <f t="shared" si="32"/>
        <v>2</v>
      </c>
      <c r="F534" s="45">
        <f>SUM($C$2:C534)</f>
        <v>594</v>
      </c>
      <c r="G534" s="49" cm="1">
        <f t="array" aca="1" ref="G534" ca="1">IF(B534=0,"", SUMPRODUCT((Table1[SubscriptionStart]&lt;=A534)*(Table1[EffectiveEndDate]&gt;=A534)*Table1[Age]) / B534 )</f>
        <v>46.30649350649351</v>
      </c>
      <c r="H534" s="22">
        <f>SUMIF(Table1[SubscriptionStart],"&lt;="&amp;A534,Table1[TotalRevenue])</f>
        <v>123011.55000000015</v>
      </c>
      <c r="I534" s="50">
        <f t="shared" si="33"/>
        <v>45107</v>
      </c>
      <c r="J534" s="49">
        <f t="shared" ca="1" si="34"/>
        <v>383.1</v>
      </c>
      <c r="K534" s="45" cm="1">
        <f t="array" aca="1" ref="K534" ca="1">SUMPRODUCT((Table1[SubscriptionStart] &lt;= $A534) * (Table1[EffectiveEndDate] &gt;= $A534) * (Table1[Region] = "England"))</f>
        <v>103</v>
      </c>
      <c r="L534" s="45" cm="1">
        <f t="array" aca="1" ref="L534" ca="1">SUMPRODUCT((Table1[SubscriptionStart] &lt;= $A534) * (Table1[EffectiveEndDate] &gt;= $A534) * (Table1[Region] = "Scotland"))</f>
        <v>83</v>
      </c>
      <c r="M534" s="45" cm="1">
        <f t="array" aca="1" ref="M534" ca="1">SUMPRODUCT((Table1[SubscriptionStart] &lt;= $A534) * (Table1[EffectiveEndDate] &gt;= $A534) * (Table1[Region] = "Wales"))</f>
        <v>106</v>
      </c>
      <c r="N534" s="45" cm="1">
        <f t="array" aca="1" ref="N534" ca="1">SUMPRODUCT((Table1[SubscriptionStart] &lt;= $A534) * (Table1[EffectiveEndDate] &gt;= $A534) * (Table1[Region] = "Northern Ireland"))</f>
        <v>93</v>
      </c>
      <c r="O534" s="45" cm="1">
        <f t="array" aca="1" ref="O534" ca="1">SUMPRODUCT((Table1[Gender]="Male")*(Table1[SubscriptionStart]&lt;=A534)*(Table1[EffectiveEndDate]&gt;=A534))</f>
        <v>201</v>
      </c>
      <c r="P534" s="45" cm="1">
        <f t="array" aca="1" ref="P534" ca="1">SUMPRODUCT((Table1[Gender]="Female")*(Table1[SubscriptionStart]&lt;=A534)*(Table1[EffectiveEndDate]&gt;=A534))</f>
        <v>184</v>
      </c>
    </row>
    <row r="535" spans="1:16">
      <c r="A535" s="48">
        <f t="shared" si="35"/>
        <v>45095</v>
      </c>
      <c r="B535" s="45" cm="1">
        <f t="array" aca="1" ref="B535" ca="1">SUMPRODUCT((Table1[SubscriptionStart]&lt;=A535)*(Table1[EffectiveEndDate]&gt;=A535))</f>
        <v>387</v>
      </c>
      <c r="C535" s="45">
        <f>COUNTIFS(Table1[SubscriptionStart], A535)</f>
        <v>2</v>
      </c>
      <c r="D535" s="45">
        <f>COUNTIFS(Table1[CancellationDate], A535)</f>
        <v>0</v>
      </c>
      <c r="E535" s="45">
        <f t="shared" si="32"/>
        <v>2</v>
      </c>
      <c r="F535" s="45">
        <f>SUM($C$2:C535)</f>
        <v>596</v>
      </c>
      <c r="G535" s="49" cm="1">
        <f t="array" aca="1" ref="G535" ca="1">IF(B535=0,"", SUMPRODUCT((Table1[SubscriptionStart]&lt;=A535)*(Table1[EffectiveEndDate]&gt;=A535)*Table1[Age]) / B535 )</f>
        <v>46.297157622739022</v>
      </c>
      <c r="H535" s="22">
        <f>SUMIF(Table1[SubscriptionStart],"&lt;="&amp;A535,Table1[TotalRevenue])</f>
        <v>123124.05000000015</v>
      </c>
      <c r="I535" s="50">
        <f t="shared" si="33"/>
        <v>45107</v>
      </c>
      <c r="J535" s="49">
        <f t="shared" ca="1" si="34"/>
        <v>383.1</v>
      </c>
      <c r="K535" s="45" cm="1">
        <f t="array" aca="1" ref="K535" ca="1">SUMPRODUCT((Table1[SubscriptionStart] &lt;= $A535) * (Table1[EffectiveEndDate] &gt;= $A535) * (Table1[Region] = "England"))</f>
        <v>103</v>
      </c>
      <c r="L535" s="45" cm="1">
        <f t="array" aca="1" ref="L535" ca="1">SUMPRODUCT((Table1[SubscriptionStart] &lt;= $A535) * (Table1[EffectiveEndDate] &gt;= $A535) * (Table1[Region] = "Scotland"))</f>
        <v>84</v>
      </c>
      <c r="M535" s="45" cm="1">
        <f t="array" aca="1" ref="M535" ca="1">SUMPRODUCT((Table1[SubscriptionStart] &lt;= $A535) * (Table1[EffectiveEndDate] &gt;= $A535) * (Table1[Region] = "Wales"))</f>
        <v>107</v>
      </c>
      <c r="N535" s="45" cm="1">
        <f t="array" aca="1" ref="N535" ca="1">SUMPRODUCT((Table1[SubscriptionStart] &lt;= $A535) * (Table1[EffectiveEndDate] &gt;= $A535) * (Table1[Region] = "Northern Ireland"))</f>
        <v>93</v>
      </c>
      <c r="O535" s="45" cm="1">
        <f t="array" aca="1" ref="O535" ca="1">SUMPRODUCT((Table1[Gender]="Male")*(Table1[SubscriptionStart]&lt;=A535)*(Table1[EffectiveEndDate]&gt;=A535))</f>
        <v>203</v>
      </c>
      <c r="P535" s="45" cm="1">
        <f t="array" aca="1" ref="P535" ca="1">SUMPRODUCT((Table1[Gender]="Female")*(Table1[SubscriptionStart]&lt;=A535)*(Table1[EffectiveEndDate]&gt;=A535))</f>
        <v>184</v>
      </c>
    </row>
    <row r="536" spans="1:16">
      <c r="A536" s="48">
        <f t="shared" si="35"/>
        <v>45096</v>
      </c>
      <c r="B536" s="45" cm="1">
        <f t="array" aca="1" ref="B536" ca="1">SUMPRODUCT((Table1[SubscriptionStart]&lt;=A536)*(Table1[EffectiveEndDate]&gt;=A536))</f>
        <v>387</v>
      </c>
      <c r="C536" s="45">
        <f>COUNTIFS(Table1[SubscriptionStart], A536)</f>
        <v>0</v>
      </c>
      <c r="D536" s="45">
        <f>COUNTIFS(Table1[CancellationDate], A536)</f>
        <v>1</v>
      </c>
      <c r="E536" s="45">
        <f t="shared" si="32"/>
        <v>-1</v>
      </c>
      <c r="F536" s="45">
        <f>SUM($C$2:C536)</f>
        <v>596</v>
      </c>
      <c r="G536" s="49" cm="1">
        <f t="array" aca="1" ref="G536" ca="1">IF(B536=0,"", SUMPRODUCT((Table1[SubscriptionStart]&lt;=A536)*(Table1[EffectiveEndDate]&gt;=A536)*Table1[Age]) / B536 )</f>
        <v>46.297157622739022</v>
      </c>
      <c r="H536" s="22">
        <f>SUMIF(Table1[SubscriptionStart],"&lt;="&amp;A536,Table1[TotalRevenue])</f>
        <v>123124.05000000015</v>
      </c>
      <c r="I536" s="50">
        <f t="shared" si="33"/>
        <v>45107</v>
      </c>
      <c r="J536" s="49">
        <f t="shared" ca="1" si="34"/>
        <v>383.1</v>
      </c>
      <c r="K536" s="45" cm="1">
        <f t="array" aca="1" ref="K536" ca="1">SUMPRODUCT((Table1[SubscriptionStart] &lt;= $A536) * (Table1[EffectiveEndDate] &gt;= $A536) * (Table1[Region] = "England"))</f>
        <v>103</v>
      </c>
      <c r="L536" s="45" cm="1">
        <f t="array" aca="1" ref="L536" ca="1">SUMPRODUCT((Table1[SubscriptionStart] &lt;= $A536) * (Table1[EffectiveEndDate] &gt;= $A536) * (Table1[Region] = "Scotland"))</f>
        <v>84</v>
      </c>
      <c r="M536" s="45" cm="1">
        <f t="array" aca="1" ref="M536" ca="1">SUMPRODUCT((Table1[SubscriptionStart] &lt;= $A536) * (Table1[EffectiveEndDate] &gt;= $A536) * (Table1[Region] = "Wales"))</f>
        <v>107</v>
      </c>
      <c r="N536" s="45" cm="1">
        <f t="array" aca="1" ref="N536" ca="1">SUMPRODUCT((Table1[SubscriptionStart] &lt;= $A536) * (Table1[EffectiveEndDate] &gt;= $A536) * (Table1[Region] = "Northern Ireland"))</f>
        <v>93</v>
      </c>
      <c r="O536" s="45" cm="1">
        <f t="array" aca="1" ref="O536" ca="1">SUMPRODUCT((Table1[Gender]="Male")*(Table1[SubscriptionStart]&lt;=A536)*(Table1[EffectiveEndDate]&gt;=A536))</f>
        <v>203</v>
      </c>
      <c r="P536" s="45" cm="1">
        <f t="array" aca="1" ref="P536" ca="1">SUMPRODUCT((Table1[Gender]="Female")*(Table1[SubscriptionStart]&lt;=A536)*(Table1[EffectiveEndDate]&gt;=A536))</f>
        <v>184</v>
      </c>
    </row>
    <row r="537" spans="1:16">
      <c r="A537" s="48">
        <f t="shared" si="35"/>
        <v>45097</v>
      </c>
      <c r="B537" s="45" cm="1">
        <f t="array" aca="1" ref="B537" ca="1">SUMPRODUCT((Table1[SubscriptionStart]&lt;=A537)*(Table1[EffectiveEndDate]&gt;=A537))</f>
        <v>386</v>
      </c>
      <c r="C537" s="45">
        <f>COUNTIFS(Table1[SubscriptionStart], A537)</f>
        <v>0</v>
      </c>
      <c r="D537" s="45">
        <f>COUNTIFS(Table1[CancellationDate], A537)</f>
        <v>1</v>
      </c>
      <c r="E537" s="45">
        <f t="shared" si="32"/>
        <v>-1</v>
      </c>
      <c r="F537" s="45">
        <f>SUM($C$2:C537)</f>
        <v>596</v>
      </c>
      <c r="G537" s="49" cm="1">
        <f t="array" aca="1" ref="G537" ca="1">IF(B537=0,"", SUMPRODUCT((Table1[SubscriptionStart]&lt;=A537)*(Table1[EffectiveEndDate]&gt;=A537)*Table1[Age]) / B537 )</f>
        <v>46.336787564766837</v>
      </c>
      <c r="H537" s="22">
        <f>SUMIF(Table1[SubscriptionStart],"&lt;="&amp;A537,Table1[TotalRevenue])</f>
        <v>123124.05000000015</v>
      </c>
      <c r="I537" s="50">
        <f t="shared" si="33"/>
        <v>45107</v>
      </c>
      <c r="J537" s="49">
        <f t="shared" ca="1" si="34"/>
        <v>383.1</v>
      </c>
      <c r="K537" s="45" cm="1">
        <f t="array" aca="1" ref="K537" ca="1">SUMPRODUCT((Table1[SubscriptionStart] &lt;= $A537) * (Table1[EffectiveEndDate] &gt;= $A537) * (Table1[Region] = "England"))</f>
        <v>103</v>
      </c>
      <c r="L537" s="45" cm="1">
        <f t="array" aca="1" ref="L537" ca="1">SUMPRODUCT((Table1[SubscriptionStart] &lt;= $A537) * (Table1[EffectiveEndDate] &gt;= $A537) * (Table1[Region] = "Scotland"))</f>
        <v>84</v>
      </c>
      <c r="M537" s="45" cm="1">
        <f t="array" aca="1" ref="M537" ca="1">SUMPRODUCT((Table1[SubscriptionStart] &lt;= $A537) * (Table1[EffectiveEndDate] &gt;= $A537) * (Table1[Region] = "Wales"))</f>
        <v>106</v>
      </c>
      <c r="N537" s="45" cm="1">
        <f t="array" aca="1" ref="N537" ca="1">SUMPRODUCT((Table1[SubscriptionStart] &lt;= $A537) * (Table1[EffectiveEndDate] &gt;= $A537) * (Table1[Region] = "Northern Ireland"))</f>
        <v>93</v>
      </c>
      <c r="O537" s="45" cm="1">
        <f t="array" aca="1" ref="O537" ca="1">SUMPRODUCT((Table1[Gender]="Male")*(Table1[SubscriptionStart]&lt;=A537)*(Table1[EffectiveEndDate]&gt;=A537))</f>
        <v>202</v>
      </c>
      <c r="P537" s="45" cm="1">
        <f t="array" aca="1" ref="P537" ca="1">SUMPRODUCT((Table1[Gender]="Female")*(Table1[SubscriptionStart]&lt;=A537)*(Table1[EffectiveEndDate]&gt;=A537))</f>
        <v>184</v>
      </c>
    </row>
    <row r="538" spans="1:16">
      <c r="A538" s="48">
        <f t="shared" si="35"/>
        <v>45098</v>
      </c>
      <c r="B538" s="45" cm="1">
        <f t="array" aca="1" ref="B538" ca="1">SUMPRODUCT((Table1[SubscriptionStart]&lt;=A538)*(Table1[EffectiveEndDate]&gt;=A538))</f>
        <v>387</v>
      </c>
      <c r="C538" s="45">
        <f>COUNTIFS(Table1[SubscriptionStart], A538)</f>
        <v>2</v>
      </c>
      <c r="D538" s="45">
        <f>COUNTIFS(Table1[CancellationDate], A538)</f>
        <v>0</v>
      </c>
      <c r="E538" s="45">
        <f t="shared" si="32"/>
        <v>2</v>
      </c>
      <c r="F538" s="45">
        <f>SUM($C$2:C538)</f>
        <v>598</v>
      </c>
      <c r="G538" s="49" cm="1">
        <f t="array" aca="1" ref="G538" ca="1">IF(B538=0,"", SUMPRODUCT((Table1[SubscriptionStart]&lt;=A538)*(Table1[EffectiveEndDate]&gt;=A538)*Table1[Age]) / B538 )</f>
        <v>46.258397932816536</v>
      </c>
      <c r="H538" s="22">
        <f>SUMIF(Table1[SubscriptionStart],"&lt;="&amp;A538,Table1[TotalRevenue])</f>
        <v>123325.65000000015</v>
      </c>
      <c r="I538" s="50">
        <f t="shared" si="33"/>
        <v>45107</v>
      </c>
      <c r="J538" s="49">
        <f t="shared" ca="1" si="34"/>
        <v>383.1</v>
      </c>
      <c r="K538" s="45" cm="1">
        <f t="array" aca="1" ref="K538" ca="1">SUMPRODUCT((Table1[SubscriptionStart] &lt;= $A538) * (Table1[EffectiveEndDate] &gt;= $A538) * (Table1[Region] = "England"))</f>
        <v>103</v>
      </c>
      <c r="L538" s="45" cm="1">
        <f t="array" aca="1" ref="L538" ca="1">SUMPRODUCT((Table1[SubscriptionStart] &lt;= $A538) * (Table1[EffectiveEndDate] &gt;= $A538) * (Table1[Region] = "Scotland"))</f>
        <v>84</v>
      </c>
      <c r="M538" s="45" cm="1">
        <f t="array" aca="1" ref="M538" ca="1">SUMPRODUCT((Table1[SubscriptionStart] &lt;= $A538) * (Table1[EffectiveEndDate] &gt;= $A538) * (Table1[Region] = "Wales"))</f>
        <v>106</v>
      </c>
      <c r="N538" s="45" cm="1">
        <f t="array" aca="1" ref="N538" ca="1">SUMPRODUCT((Table1[SubscriptionStart] &lt;= $A538) * (Table1[EffectiveEndDate] &gt;= $A538) * (Table1[Region] = "Northern Ireland"))</f>
        <v>94</v>
      </c>
      <c r="O538" s="45" cm="1">
        <f t="array" aca="1" ref="O538" ca="1">SUMPRODUCT((Table1[Gender]="Male")*(Table1[SubscriptionStart]&lt;=A538)*(Table1[EffectiveEndDate]&gt;=A538))</f>
        <v>201</v>
      </c>
      <c r="P538" s="45" cm="1">
        <f t="array" aca="1" ref="P538" ca="1">SUMPRODUCT((Table1[Gender]="Female")*(Table1[SubscriptionStart]&lt;=A538)*(Table1[EffectiveEndDate]&gt;=A538))</f>
        <v>186</v>
      </c>
    </row>
    <row r="539" spans="1:16">
      <c r="A539" s="48">
        <f t="shared" si="35"/>
        <v>45099</v>
      </c>
      <c r="B539" s="45" cm="1">
        <f t="array" aca="1" ref="B539" ca="1">SUMPRODUCT((Table1[SubscriptionStart]&lt;=A539)*(Table1[EffectiveEndDate]&gt;=A539))</f>
        <v>387</v>
      </c>
      <c r="C539" s="45">
        <f>COUNTIFS(Table1[SubscriptionStart], A539)</f>
        <v>0</v>
      </c>
      <c r="D539" s="45">
        <f>COUNTIFS(Table1[CancellationDate], A539)</f>
        <v>1</v>
      </c>
      <c r="E539" s="45">
        <f t="shared" si="32"/>
        <v>-1</v>
      </c>
      <c r="F539" s="45">
        <f>SUM($C$2:C539)</f>
        <v>598</v>
      </c>
      <c r="G539" s="49" cm="1">
        <f t="array" aca="1" ref="G539" ca="1">IF(B539=0,"", SUMPRODUCT((Table1[SubscriptionStart]&lt;=A539)*(Table1[EffectiveEndDate]&gt;=A539)*Table1[Age]) / B539 )</f>
        <v>46.258397932816536</v>
      </c>
      <c r="H539" s="22">
        <f>SUMIF(Table1[SubscriptionStart],"&lt;="&amp;A539,Table1[TotalRevenue])</f>
        <v>123325.65000000015</v>
      </c>
      <c r="I539" s="50">
        <f t="shared" si="33"/>
        <v>45107</v>
      </c>
      <c r="J539" s="49">
        <f t="shared" ca="1" si="34"/>
        <v>383.1</v>
      </c>
      <c r="K539" s="45" cm="1">
        <f t="array" aca="1" ref="K539" ca="1">SUMPRODUCT((Table1[SubscriptionStart] &lt;= $A539) * (Table1[EffectiveEndDate] &gt;= $A539) * (Table1[Region] = "England"))</f>
        <v>103</v>
      </c>
      <c r="L539" s="45" cm="1">
        <f t="array" aca="1" ref="L539" ca="1">SUMPRODUCT((Table1[SubscriptionStart] &lt;= $A539) * (Table1[EffectiveEndDate] &gt;= $A539) * (Table1[Region] = "Scotland"))</f>
        <v>84</v>
      </c>
      <c r="M539" s="45" cm="1">
        <f t="array" aca="1" ref="M539" ca="1">SUMPRODUCT((Table1[SubscriptionStart] &lt;= $A539) * (Table1[EffectiveEndDate] &gt;= $A539) * (Table1[Region] = "Wales"))</f>
        <v>106</v>
      </c>
      <c r="N539" s="45" cm="1">
        <f t="array" aca="1" ref="N539" ca="1">SUMPRODUCT((Table1[SubscriptionStart] &lt;= $A539) * (Table1[EffectiveEndDate] &gt;= $A539) * (Table1[Region] = "Northern Ireland"))</f>
        <v>94</v>
      </c>
      <c r="O539" s="45" cm="1">
        <f t="array" aca="1" ref="O539" ca="1">SUMPRODUCT((Table1[Gender]="Male")*(Table1[SubscriptionStart]&lt;=A539)*(Table1[EffectiveEndDate]&gt;=A539))</f>
        <v>201</v>
      </c>
      <c r="P539" s="45" cm="1">
        <f t="array" aca="1" ref="P539" ca="1">SUMPRODUCT((Table1[Gender]="Female")*(Table1[SubscriptionStart]&lt;=A539)*(Table1[EffectiveEndDate]&gt;=A539))</f>
        <v>186</v>
      </c>
    </row>
    <row r="540" spans="1:16">
      <c r="A540" s="48">
        <f t="shared" si="35"/>
        <v>45100</v>
      </c>
      <c r="B540" s="45" cm="1">
        <f t="array" aca="1" ref="B540" ca="1">SUMPRODUCT((Table1[SubscriptionStart]&lt;=A540)*(Table1[EffectiveEndDate]&gt;=A540))</f>
        <v>386</v>
      </c>
      <c r="C540" s="45">
        <f>COUNTIFS(Table1[SubscriptionStart], A540)</f>
        <v>0</v>
      </c>
      <c r="D540" s="45">
        <f>COUNTIFS(Table1[CancellationDate], A540)</f>
        <v>2</v>
      </c>
      <c r="E540" s="45">
        <f t="shared" si="32"/>
        <v>-2</v>
      </c>
      <c r="F540" s="45">
        <f>SUM($C$2:C540)</f>
        <v>598</v>
      </c>
      <c r="G540" s="49" cm="1">
        <f t="array" aca="1" ref="G540" ca="1">IF(B540=0,"", SUMPRODUCT((Table1[SubscriptionStart]&lt;=A540)*(Table1[EffectiveEndDate]&gt;=A540)*Table1[Age]) / B540 )</f>
        <v>46.2720207253886</v>
      </c>
      <c r="H540" s="22">
        <f>SUMIF(Table1[SubscriptionStart],"&lt;="&amp;A540,Table1[TotalRevenue])</f>
        <v>123325.65000000015</v>
      </c>
      <c r="I540" s="50">
        <f t="shared" si="33"/>
        <v>45107</v>
      </c>
      <c r="J540" s="49">
        <f t="shared" ca="1" si="34"/>
        <v>383.1</v>
      </c>
      <c r="K540" s="45" cm="1">
        <f t="array" aca="1" ref="K540" ca="1">SUMPRODUCT((Table1[SubscriptionStart] &lt;= $A540) * (Table1[EffectiveEndDate] &gt;= $A540) * (Table1[Region] = "England"))</f>
        <v>102</v>
      </c>
      <c r="L540" s="45" cm="1">
        <f t="array" aca="1" ref="L540" ca="1">SUMPRODUCT((Table1[SubscriptionStart] &lt;= $A540) * (Table1[EffectiveEndDate] &gt;= $A540) * (Table1[Region] = "Scotland"))</f>
        <v>84</v>
      </c>
      <c r="M540" s="45" cm="1">
        <f t="array" aca="1" ref="M540" ca="1">SUMPRODUCT((Table1[SubscriptionStart] &lt;= $A540) * (Table1[EffectiveEndDate] &gt;= $A540) * (Table1[Region] = "Wales"))</f>
        <v>106</v>
      </c>
      <c r="N540" s="45" cm="1">
        <f t="array" aca="1" ref="N540" ca="1">SUMPRODUCT((Table1[SubscriptionStart] &lt;= $A540) * (Table1[EffectiveEndDate] &gt;= $A540) * (Table1[Region] = "Northern Ireland"))</f>
        <v>94</v>
      </c>
      <c r="O540" s="45" cm="1">
        <f t="array" aca="1" ref="O540" ca="1">SUMPRODUCT((Table1[Gender]="Male")*(Table1[SubscriptionStart]&lt;=A540)*(Table1[EffectiveEndDate]&gt;=A540))</f>
        <v>200</v>
      </c>
      <c r="P540" s="45" cm="1">
        <f t="array" aca="1" ref="P540" ca="1">SUMPRODUCT((Table1[Gender]="Female")*(Table1[SubscriptionStart]&lt;=A540)*(Table1[EffectiveEndDate]&gt;=A540))</f>
        <v>186</v>
      </c>
    </row>
    <row r="541" spans="1:16">
      <c r="A541" s="48">
        <f t="shared" si="35"/>
        <v>45101</v>
      </c>
      <c r="B541" s="45" cm="1">
        <f t="array" aca="1" ref="B541" ca="1">SUMPRODUCT((Table1[SubscriptionStart]&lt;=A541)*(Table1[EffectiveEndDate]&gt;=A541))</f>
        <v>384</v>
      </c>
      <c r="C541" s="45">
        <f>COUNTIFS(Table1[SubscriptionStart], A541)</f>
        <v>0</v>
      </c>
      <c r="D541" s="45">
        <f>COUNTIFS(Table1[CancellationDate], A541)</f>
        <v>2</v>
      </c>
      <c r="E541" s="45">
        <f t="shared" si="32"/>
        <v>-2</v>
      </c>
      <c r="F541" s="45">
        <f>SUM($C$2:C541)</f>
        <v>598</v>
      </c>
      <c r="G541" s="49" cm="1">
        <f t="array" aca="1" ref="G541" ca="1">IF(B541=0,"", SUMPRODUCT((Table1[SubscriptionStart]&lt;=A541)*(Table1[EffectiveEndDate]&gt;=A541)*Table1[Age]) / B541 )</f>
        <v>46.270833333333336</v>
      </c>
      <c r="H541" s="22">
        <f>SUMIF(Table1[SubscriptionStart],"&lt;="&amp;A541,Table1[TotalRevenue])</f>
        <v>123325.65000000015</v>
      </c>
      <c r="I541" s="50">
        <f t="shared" si="33"/>
        <v>45107</v>
      </c>
      <c r="J541" s="49">
        <f t="shared" ca="1" si="34"/>
        <v>383.1</v>
      </c>
      <c r="K541" s="45" cm="1">
        <f t="array" aca="1" ref="K541" ca="1">SUMPRODUCT((Table1[SubscriptionStart] &lt;= $A541) * (Table1[EffectiveEndDate] &gt;= $A541) * (Table1[Region] = "England"))</f>
        <v>102</v>
      </c>
      <c r="L541" s="45" cm="1">
        <f t="array" aca="1" ref="L541" ca="1">SUMPRODUCT((Table1[SubscriptionStart] &lt;= $A541) * (Table1[EffectiveEndDate] &gt;= $A541) * (Table1[Region] = "Scotland"))</f>
        <v>83</v>
      </c>
      <c r="M541" s="45" cm="1">
        <f t="array" aca="1" ref="M541" ca="1">SUMPRODUCT((Table1[SubscriptionStart] &lt;= $A541) * (Table1[EffectiveEndDate] &gt;= $A541) * (Table1[Region] = "Wales"))</f>
        <v>106</v>
      </c>
      <c r="N541" s="45" cm="1">
        <f t="array" aca="1" ref="N541" ca="1">SUMPRODUCT((Table1[SubscriptionStart] &lt;= $A541) * (Table1[EffectiveEndDate] &gt;= $A541) * (Table1[Region] = "Northern Ireland"))</f>
        <v>93</v>
      </c>
      <c r="O541" s="45" cm="1">
        <f t="array" aca="1" ref="O541" ca="1">SUMPRODUCT((Table1[Gender]="Male")*(Table1[SubscriptionStart]&lt;=A541)*(Table1[EffectiveEndDate]&gt;=A541))</f>
        <v>200</v>
      </c>
      <c r="P541" s="45" cm="1">
        <f t="array" aca="1" ref="P541" ca="1">SUMPRODUCT((Table1[Gender]="Female")*(Table1[SubscriptionStart]&lt;=A541)*(Table1[EffectiveEndDate]&gt;=A541))</f>
        <v>184</v>
      </c>
    </row>
    <row r="542" spans="1:16">
      <c r="A542" s="48">
        <f t="shared" si="35"/>
        <v>45102</v>
      </c>
      <c r="B542" s="45" cm="1">
        <f t="array" aca="1" ref="B542" ca="1">SUMPRODUCT((Table1[SubscriptionStart]&lt;=A542)*(Table1[EffectiveEndDate]&gt;=A542))</f>
        <v>382</v>
      </c>
      <c r="C542" s="45">
        <f>COUNTIFS(Table1[SubscriptionStart], A542)</f>
        <v>0</v>
      </c>
      <c r="D542" s="45">
        <f>COUNTIFS(Table1[CancellationDate], A542)</f>
        <v>0</v>
      </c>
      <c r="E542" s="45">
        <f t="shared" si="32"/>
        <v>0</v>
      </c>
      <c r="F542" s="45">
        <f>SUM($C$2:C542)</f>
        <v>598</v>
      </c>
      <c r="G542" s="49" cm="1">
        <f t="array" aca="1" ref="G542" ca="1">IF(B542=0,"", SUMPRODUCT((Table1[SubscriptionStart]&lt;=A542)*(Table1[EffectiveEndDate]&gt;=A542)*Table1[Age]) / B542 )</f>
        <v>46.376963350785338</v>
      </c>
      <c r="H542" s="22">
        <f>SUMIF(Table1[SubscriptionStart],"&lt;="&amp;A542,Table1[TotalRevenue])</f>
        <v>123325.65000000015</v>
      </c>
      <c r="I542" s="50">
        <f t="shared" si="33"/>
        <v>45107</v>
      </c>
      <c r="J542" s="49">
        <f t="shared" ca="1" si="34"/>
        <v>383.1</v>
      </c>
      <c r="K542" s="45" cm="1">
        <f t="array" aca="1" ref="K542" ca="1">SUMPRODUCT((Table1[SubscriptionStart] &lt;= $A542) * (Table1[EffectiveEndDate] &gt;= $A542) * (Table1[Region] = "England"))</f>
        <v>102</v>
      </c>
      <c r="L542" s="45" cm="1">
        <f t="array" aca="1" ref="L542" ca="1">SUMPRODUCT((Table1[SubscriptionStart] &lt;= $A542) * (Table1[EffectiveEndDate] &gt;= $A542) * (Table1[Region] = "Scotland"))</f>
        <v>83</v>
      </c>
      <c r="M542" s="45" cm="1">
        <f t="array" aca="1" ref="M542" ca="1">SUMPRODUCT((Table1[SubscriptionStart] &lt;= $A542) * (Table1[EffectiveEndDate] &gt;= $A542) * (Table1[Region] = "Wales"))</f>
        <v>106</v>
      </c>
      <c r="N542" s="45" cm="1">
        <f t="array" aca="1" ref="N542" ca="1">SUMPRODUCT((Table1[SubscriptionStart] &lt;= $A542) * (Table1[EffectiveEndDate] &gt;= $A542) * (Table1[Region] = "Northern Ireland"))</f>
        <v>91</v>
      </c>
      <c r="O542" s="45" cm="1">
        <f t="array" aca="1" ref="O542" ca="1">SUMPRODUCT((Table1[Gender]="Male")*(Table1[SubscriptionStart]&lt;=A542)*(Table1[EffectiveEndDate]&gt;=A542))</f>
        <v>199</v>
      </c>
      <c r="P542" s="45" cm="1">
        <f t="array" aca="1" ref="P542" ca="1">SUMPRODUCT((Table1[Gender]="Female")*(Table1[SubscriptionStart]&lt;=A542)*(Table1[EffectiveEndDate]&gt;=A542))</f>
        <v>183</v>
      </c>
    </row>
    <row r="543" spans="1:16">
      <c r="A543" s="48">
        <f t="shared" si="35"/>
        <v>45103</v>
      </c>
      <c r="B543" s="45" cm="1">
        <f t="array" aca="1" ref="B543" ca="1">SUMPRODUCT((Table1[SubscriptionStart]&lt;=A543)*(Table1[EffectiveEndDate]&gt;=A543))</f>
        <v>384</v>
      </c>
      <c r="C543" s="45">
        <f>COUNTIFS(Table1[SubscriptionStart], A543)</f>
        <v>2</v>
      </c>
      <c r="D543" s="45">
        <f>COUNTIFS(Table1[CancellationDate], A543)</f>
        <v>1</v>
      </c>
      <c r="E543" s="45">
        <f t="shared" si="32"/>
        <v>1</v>
      </c>
      <c r="F543" s="45">
        <f>SUM($C$2:C543)</f>
        <v>600</v>
      </c>
      <c r="G543" s="49" cm="1">
        <f t="array" aca="1" ref="G543" ca="1">IF(B543=0,"", SUMPRODUCT((Table1[SubscriptionStart]&lt;=A543)*(Table1[EffectiveEndDate]&gt;=A543)*Table1[Age]) / B543 )</f>
        <v>46.364583333333336</v>
      </c>
      <c r="H543" s="22">
        <f>SUMIF(Table1[SubscriptionStart],"&lt;="&amp;A543,Table1[TotalRevenue])</f>
        <v>124096.05000000015</v>
      </c>
      <c r="I543" s="50">
        <f t="shared" si="33"/>
        <v>45107</v>
      </c>
      <c r="J543" s="49">
        <f t="shared" ca="1" si="34"/>
        <v>383.1</v>
      </c>
      <c r="K543" s="45" cm="1">
        <f t="array" aca="1" ref="K543" ca="1">SUMPRODUCT((Table1[SubscriptionStart] &lt;= $A543) * (Table1[EffectiveEndDate] &gt;= $A543) * (Table1[Region] = "England"))</f>
        <v>102</v>
      </c>
      <c r="L543" s="45" cm="1">
        <f t="array" aca="1" ref="L543" ca="1">SUMPRODUCT((Table1[SubscriptionStart] &lt;= $A543) * (Table1[EffectiveEndDate] &gt;= $A543) * (Table1[Region] = "Scotland"))</f>
        <v>84</v>
      </c>
      <c r="M543" s="45" cm="1">
        <f t="array" aca="1" ref="M543" ca="1">SUMPRODUCT((Table1[SubscriptionStart] &lt;= $A543) * (Table1[EffectiveEndDate] &gt;= $A543) * (Table1[Region] = "Wales"))</f>
        <v>107</v>
      </c>
      <c r="N543" s="45" cm="1">
        <f t="array" aca="1" ref="N543" ca="1">SUMPRODUCT((Table1[SubscriptionStart] &lt;= $A543) * (Table1[EffectiveEndDate] &gt;= $A543) * (Table1[Region] = "Northern Ireland"))</f>
        <v>91</v>
      </c>
      <c r="O543" s="45" cm="1">
        <f t="array" aca="1" ref="O543" ca="1">SUMPRODUCT((Table1[Gender]="Male")*(Table1[SubscriptionStart]&lt;=A543)*(Table1[EffectiveEndDate]&gt;=A543))</f>
        <v>199</v>
      </c>
      <c r="P543" s="45" cm="1">
        <f t="array" aca="1" ref="P543" ca="1">SUMPRODUCT((Table1[Gender]="Female")*(Table1[SubscriptionStart]&lt;=A543)*(Table1[EffectiveEndDate]&gt;=A543))</f>
        <v>185</v>
      </c>
    </row>
    <row r="544" spans="1:16">
      <c r="A544" s="48">
        <f t="shared" si="35"/>
        <v>45104</v>
      </c>
      <c r="B544" s="45" cm="1">
        <f t="array" aca="1" ref="B544" ca="1">SUMPRODUCT((Table1[SubscriptionStart]&lt;=A544)*(Table1[EffectiveEndDate]&gt;=A544))</f>
        <v>383</v>
      </c>
      <c r="C544" s="45">
        <f>COUNTIFS(Table1[SubscriptionStart], A544)</f>
        <v>0</v>
      </c>
      <c r="D544" s="45">
        <f>COUNTIFS(Table1[CancellationDate], A544)</f>
        <v>0</v>
      </c>
      <c r="E544" s="45">
        <f t="shared" si="32"/>
        <v>0</v>
      </c>
      <c r="F544" s="45">
        <f>SUM($C$2:C544)</f>
        <v>600</v>
      </c>
      <c r="G544" s="49" cm="1">
        <f t="array" aca="1" ref="G544" ca="1">IF(B544=0,"", SUMPRODUCT((Table1[SubscriptionStart]&lt;=A544)*(Table1[EffectiveEndDate]&gt;=A544)*Table1[Age]) / B544 )</f>
        <v>46.334203655352482</v>
      </c>
      <c r="H544" s="22">
        <f>SUMIF(Table1[SubscriptionStart],"&lt;="&amp;A544,Table1[TotalRevenue])</f>
        <v>124096.05000000015</v>
      </c>
      <c r="I544" s="50">
        <f t="shared" si="33"/>
        <v>45107</v>
      </c>
      <c r="J544" s="49">
        <f t="shared" ca="1" si="34"/>
        <v>383.1</v>
      </c>
      <c r="K544" s="45" cm="1">
        <f t="array" aca="1" ref="K544" ca="1">SUMPRODUCT((Table1[SubscriptionStart] &lt;= $A544) * (Table1[EffectiveEndDate] &gt;= $A544) * (Table1[Region] = "England"))</f>
        <v>102</v>
      </c>
      <c r="L544" s="45" cm="1">
        <f t="array" aca="1" ref="L544" ca="1">SUMPRODUCT((Table1[SubscriptionStart] &lt;= $A544) * (Table1[EffectiveEndDate] &gt;= $A544) * (Table1[Region] = "Scotland"))</f>
        <v>84</v>
      </c>
      <c r="M544" s="45" cm="1">
        <f t="array" aca="1" ref="M544" ca="1">SUMPRODUCT((Table1[SubscriptionStart] &lt;= $A544) * (Table1[EffectiveEndDate] &gt;= $A544) * (Table1[Region] = "Wales"))</f>
        <v>107</v>
      </c>
      <c r="N544" s="45" cm="1">
        <f t="array" aca="1" ref="N544" ca="1">SUMPRODUCT((Table1[SubscriptionStart] &lt;= $A544) * (Table1[EffectiveEndDate] &gt;= $A544) * (Table1[Region] = "Northern Ireland"))</f>
        <v>90</v>
      </c>
      <c r="O544" s="45" cm="1">
        <f t="array" aca="1" ref="O544" ca="1">SUMPRODUCT((Table1[Gender]="Male")*(Table1[SubscriptionStart]&lt;=A544)*(Table1[EffectiveEndDate]&gt;=A544))</f>
        <v>199</v>
      </c>
      <c r="P544" s="45" cm="1">
        <f t="array" aca="1" ref="P544" ca="1">SUMPRODUCT((Table1[Gender]="Female")*(Table1[SubscriptionStart]&lt;=A544)*(Table1[EffectiveEndDate]&gt;=A544))</f>
        <v>184</v>
      </c>
    </row>
    <row r="545" spans="1:16">
      <c r="A545" s="48">
        <f t="shared" si="35"/>
        <v>45105</v>
      </c>
      <c r="B545" s="45" cm="1">
        <f t="array" aca="1" ref="B545" ca="1">SUMPRODUCT((Table1[SubscriptionStart]&lt;=A545)*(Table1[EffectiveEndDate]&gt;=A545))</f>
        <v>383</v>
      </c>
      <c r="C545" s="45">
        <f>COUNTIFS(Table1[SubscriptionStart], A545)</f>
        <v>0</v>
      </c>
      <c r="D545" s="45">
        <f>COUNTIFS(Table1[CancellationDate], A545)</f>
        <v>0</v>
      </c>
      <c r="E545" s="45">
        <f t="shared" si="32"/>
        <v>0</v>
      </c>
      <c r="F545" s="45">
        <f>SUM($C$2:C545)</f>
        <v>600</v>
      </c>
      <c r="G545" s="49" cm="1">
        <f t="array" aca="1" ref="G545" ca="1">IF(B545=0,"", SUMPRODUCT((Table1[SubscriptionStart]&lt;=A545)*(Table1[EffectiveEndDate]&gt;=A545)*Table1[Age]) / B545 )</f>
        <v>46.334203655352482</v>
      </c>
      <c r="H545" s="22">
        <f>SUMIF(Table1[SubscriptionStart],"&lt;="&amp;A545,Table1[TotalRevenue])</f>
        <v>124096.05000000015</v>
      </c>
      <c r="I545" s="50">
        <f t="shared" si="33"/>
        <v>45107</v>
      </c>
      <c r="J545" s="49">
        <f t="shared" ca="1" si="34"/>
        <v>383.1</v>
      </c>
      <c r="K545" s="45" cm="1">
        <f t="array" aca="1" ref="K545" ca="1">SUMPRODUCT((Table1[SubscriptionStart] &lt;= $A545) * (Table1[EffectiveEndDate] &gt;= $A545) * (Table1[Region] = "England"))</f>
        <v>102</v>
      </c>
      <c r="L545" s="45" cm="1">
        <f t="array" aca="1" ref="L545" ca="1">SUMPRODUCT((Table1[SubscriptionStart] &lt;= $A545) * (Table1[EffectiveEndDate] &gt;= $A545) * (Table1[Region] = "Scotland"))</f>
        <v>84</v>
      </c>
      <c r="M545" s="45" cm="1">
        <f t="array" aca="1" ref="M545" ca="1">SUMPRODUCT((Table1[SubscriptionStart] &lt;= $A545) * (Table1[EffectiveEndDate] &gt;= $A545) * (Table1[Region] = "Wales"))</f>
        <v>107</v>
      </c>
      <c r="N545" s="45" cm="1">
        <f t="array" aca="1" ref="N545" ca="1">SUMPRODUCT((Table1[SubscriptionStart] &lt;= $A545) * (Table1[EffectiveEndDate] &gt;= $A545) * (Table1[Region] = "Northern Ireland"))</f>
        <v>90</v>
      </c>
      <c r="O545" s="45" cm="1">
        <f t="array" aca="1" ref="O545" ca="1">SUMPRODUCT((Table1[Gender]="Male")*(Table1[SubscriptionStart]&lt;=A545)*(Table1[EffectiveEndDate]&gt;=A545))</f>
        <v>199</v>
      </c>
      <c r="P545" s="45" cm="1">
        <f t="array" aca="1" ref="P545" ca="1">SUMPRODUCT((Table1[Gender]="Female")*(Table1[SubscriptionStart]&lt;=A545)*(Table1[EffectiveEndDate]&gt;=A545))</f>
        <v>184</v>
      </c>
    </row>
    <row r="546" spans="1:16">
      <c r="A546" s="48">
        <f t="shared" si="35"/>
        <v>45106</v>
      </c>
      <c r="B546" s="45" cm="1">
        <f t="array" aca="1" ref="B546" ca="1">SUMPRODUCT((Table1[SubscriptionStart]&lt;=A546)*(Table1[EffectiveEndDate]&gt;=A546))</f>
        <v>384</v>
      </c>
      <c r="C546" s="45">
        <f>COUNTIFS(Table1[SubscriptionStart], A546)</f>
        <v>1</v>
      </c>
      <c r="D546" s="45">
        <f>COUNTIFS(Table1[CancellationDate], A546)</f>
        <v>0</v>
      </c>
      <c r="E546" s="45">
        <f t="shared" si="32"/>
        <v>1</v>
      </c>
      <c r="F546" s="45">
        <f>SUM($C$2:C546)</f>
        <v>601</v>
      </c>
      <c r="G546" s="49" cm="1">
        <f t="array" aca="1" ref="G546" ca="1">IF(B546=0,"", SUMPRODUCT((Table1[SubscriptionStart]&lt;=A546)*(Table1[EffectiveEndDate]&gt;=A546)*Table1[Age]) / B546 )</f>
        <v>46.393229166666664</v>
      </c>
      <c r="H546" s="22">
        <f>SUMIF(Table1[SubscriptionStart],"&lt;="&amp;A546,Table1[TotalRevenue])</f>
        <v>124168.95000000014</v>
      </c>
      <c r="I546" s="50">
        <f t="shared" si="33"/>
        <v>45107</v>
      </c>
      <c r="J546" s="49">
        <f t="shared" ca="1" si="34"/>
        <v>383.1</v>
      </c>
      <c r="K546" s="45" cm="1">
        <f t="array" aca="1" ref="K546" ca="1">SUMPRODUCT((Table1[SubscriptionStart] &lt;= $A546) * (Table1[EffectiveEndDate] &gt;= $A546) * (Table1[Region] = "England"))</f>
        <v>102</v>
      </c>
      <c r="L546" s="45" cm="1">
        <f t="array" aca="1" ref="L546" ca="1">SUMPRODUCT((Table1[SubscriptionStart] &lt;= $A546) * (Table1[EffectiveEndDate] &gt;= $A546) * (Table1[Region] = "Scotland"))</f>
        <v>85</v>
      </c>
      <c r="M546" s="45" cm="1">
        <f t="array" aca="1" ref="M546" ca="1">SUMPRODUCT((Table1[SubscriptionStart] &lt;= $A546) * (Table1[EffectiveEndDate] &gt;= $A546) * (Table1[Region] = "Wales"))</f>
        <v>107</v>
      </c>
      <c r="N546" s="45" cm="1">
        <f t="array" aca="1" ref="N546" ca="1">SUMPRODUCT((Table1[SubscriptionStart] &lt;= $A546) * (Table1[EffectiveEndDate] &gt;= $A546) * (Table1[Region] = "Northern Ireland"))</f>
        <v>90</v>
      </c>
      <c r="O546" s="45" cm="1">
        <f t="array" aca="1" ref="O546" ca="1">SUMPRODUCT((Table1[Gender]="Male")*(Table1[SubscriptionStart]&lt;=A546)*(Table1[EffectiveEndDate]&gt;=A546))</f>
        <v>200</v>
      </c>
      <c r="P546" s="45" cm="1">
        <f t="array" aca="1" ref="P546" ca="1">SUMPRODUCT((Table1[Gender]="Female")*(Table1[SubscriptionStart]&lt;=A546)*(Table1[EffectiveEndDate]&gt;=A546))</f>
        <v>184</v>
      </c>
    </row>
    <row r="547" spans="1:16">
      <c r="A547" s="48">
        <f t="shared" si="35"/>
        <v>45107</v>
      </c>
      <c r="B547" s="45" cm="1">
        <f t="array" aca="1" ref="B547" ca="1">SUMPRODUCT((Table1[SubscriptionStart]&lt;=A547)*(Table1[EffectiveEndDate]&gt;=A547))</f>
        <v>386</v>
      </c>
      <c r="C547" s="45">
        <f>COUNTIFS(Table1[SubscriptionStart], A547)</f>
        <v>2</v>
      </c>
      <c r="D547" s="45">
        <f>COUNTIFS(Table1[CancellationDate], A547)</f>
        <v>0</v>
      </c>
      <c r="E547" s="45">
        <f t="shared" si="32"/>
        <v>2</v>
      </c>
      <c r="F547" s="45">
        <f>SUM($C$2:C547)</f>
        <v>603</v>
      </c>
      <c r="G547" s="49" cm="1">
        <f t="array" aca="1" ref="G547" ca="1">IF(B547=0,"", SUMPRODUCT((Table1[SubscriptionStart]&lt;=A547)*(Table1[EffectiveEndDate]&gt;=A547)*Table1[Age]) / B547 )</f>
        <v>46.34974093264249</v>
      </c>
      <c r="H547" s="22">
        <f>SUMIF(Table1[SubscriptionStart],"&lt;="&amp;A547,Table1[TotalRevenue])</f>
        <v>124456.95000000014</v>
      </c>
      <c r="I547" s="50">
        <f t="shared" si="33"/>
        <v>45107</v>
      </c>
      <c r="J547" s="49">
        <f t="shared" ca="1" si="34"/>
        <v>383.1</v>
      </c>
      <c r="K547" s="45" cm="1">
        <f t="array" aca="1" ref="K547" ca="1">SUMPRODUCT((Table1[SubscriptionStart] &lt;= $A547) * (Table1[EffectiveEndDate] &gt;= $A547) * (Table1[Region] = "England"))</f>
        <v>102</v>
      </c>
      <c r="L547" s="45" cm="1">
        <f t="array" aca="1" ref="L547" ca="1">SUMPRODUCT((Table1[SubscriptionStart] &lt;= $A547) * (Table1[EffectiveEndDate] &gt;= $A547) * (Table1[Region] = "Scotland"))</f>
        <v>86</v>
      </c>
      <c r="M547" s="45" cm="1">
        <f t="array" aca="1" ref="M547" ca="1">SUMPRODUCT((Table1[SubscriptionStart] &lt;= $A547) * (Table1[EffectiveEndDate] &gt;= $A547) * (Table1[Region] = "Wales"))</f>
        <v>107</v>
      </c>
      <c r="N547" s="45" cm="1">
        <f t="array" aca="1" ref="N547" ca="1">SUMPRODUCT((Table1[SubscriptionStart] &lt;= $A547) * (Table1[EffectiveEndDate] &gt;= $A547) * (Table1[Region] = "Northern Ireland"))</f>
        <v>91</v>
      </c>
      <c r="O547" s="45" cm="1">
        <f t="array" aca="1" ref="O547" ca="1">SUMPRODUCT((Table1[Gender]="Male")*(Table1[SubscriptionStart]&lt;=A547)*(Table1[EffectiveEndDate]&gt;=A547))</f>
        <v>201</v>
      </c>
      <c r="P547" s="45" cm="1">
        <f t="array" aca="1" ref="P547" ca="1">SUMPRODUCT((Table1[Gender]="Female")*(Table1[SubscriptionStart]&lt;=A547)*(Table1[EffectiveEndDate]&gt;=A547))</f>
        <v>185</v>
      </c>
    </row>
    <row r="548" spans="1:16">
      <c r="A548" s="48">
        <f t="shared" si="35"/>
        <v>45108</v>
      </c>
      <c r="B548" s="45" cm="1">
        <f t="array" aca="1" ref="B548" ca="1">SUMPRODUCT((Table1[SubscriptionStart]&lt;=A548)*(Table1[EffectiveEndDate]&gt;=A548))</f>
        <v>387</v>
      </c>
      <c r="C548" s="45">
        <f>COUNTIFS(Table1[SubscriptionStart], A548)</f>
        <v>1</v>
      </c>
      <c r="D548" s="45">
        <f>COUNTIFS(Table1[CancellationDate], A548)</f>
        <v>0</v>
      </c>
      <c r="E548" s="45">
        <f t="shared" si="32"/>
        <v>1</v>
      </c>
      <c r="F548" s="45">
        <f>SUM($C$2:C548)</f>
        <v>604</v>
      </c>
      <c r="G548" s="49" cm="1">
        <f t="array" aca="1" ref="G548" ca="1">IF(B548=0,"", SUMPRODUCT((Table1[SubscriptionStart]&lt;=A548)*(Table1[EffectiveEndDate]&gt;=A548)*Table1[Age]) / B548 )</f>
        <v>46.297157622739022</v>
      </c>
      <c r="H548" s="22">
        <f>SUMIF(Table1[SubscriptionStart],"&lt;="&amp;A548,Table1[TotalRevenue])</f>
        <v>125154.45000000014</v>
      </c>
      <c r="I548" s="50">
        <f t="shared" si="33"/>
        <v>45138</v>
      </c>
      <c r="J548" s="49">
        <f t="shared" ca="1" si="34"/>
        <v>386.93548387096774</v>
      </c>
      <c r="K548" s="45" cm="1">
        <f t="array" aca="1" ref="K548" ca="1">SUMPRODUCT((Table1[SubscriptionStart] &lt;= $A548) * (Table1[EffectiveEndDate] &gt;= $A548) * (Table1[Region] = "England"))</f>
        <v>102</v>
      </c>
      <c r="L548" s="45" cm="1">
        <f t="array" aca="1" ref="L548" ca="1">SUMPRODUCT((Table1[SubscriptionStart] &lt;= $A548) * (Table1[EffectiveEndDate] &gt;= $A548) * (Table1[Region] = "Scotland"))</f>
        <v>86</v>
      </c>
      <c r="M548" s="45" cm="1">
        <f t="array" aca="1" ref="M548" ca="1">SUMPRODUCT((Table1[SubscriptionStart] &lt;= $A548) * (Table1[EffectiveEndDate] &gt;= $A548) * (Table1[Region] = "Wales"))</f>
        <v>107</v>
      </c>
      <c r="N548" s="45" cm="1">
        <f t="array" aca="1" ref="N548" ca="1">SUMPRODUCT((Table1[SubscriptionStart] &lt;= $A548) * (Table1[EffectiveEndDate] &gt;= $A548) * (Table1[Region] = "Northern Ireland"))</f>
        <v>92</v>
      </c>
      <c r="O548" s="45" cm="1">
        <f t="array" aca="1" ref="O548" ca="1">SUMPRODUCT((Table1[Gender]="Male")*(Table1[SubscriptionStart]&lt;=A548)*(Table1[EffectiveEndDate]&gt;=A548))</f>
        <v>201</v>
      </c>
      <c r="P548" s="45" cm="1">
        <f t="array" aca="1" ref="P548" ca="1">SUMPRODUCT((Table1[Gender]="Female")*(Table1[SubscriptionStart]&lt;=A548)*(Table1[EffectiveEndDate]&gt;=A548))</f>
        <v>186</v>
      </c>
    </row>
    <row r="549" spans="1:16">
      <c r="A549" s="48">
        <f t="shared" si="35"/>
        <v>45109</v>
      </c>
      <c r="B549" s="45" cm="1">
        <f t="array" aca="1" ref="B549" ca="1">SUMPRODUCT((Table1[SubscriptionStart]&lt;=A549)*(Table1[EffectiveEndDate]&gt;=A549))</f>
        <v>388</v>
      </c>
      <c r="C549" s="45">
        <f>COUNTIFS(Table1[SubscriptionStart], A549)</f>
        <v>1</v>
      </c>
      <c r="D549" s="45">
        <f>COUNTIFS(Table1[CancellationDate], A549)</f>
        <v>1</v>
      </c>
      <c r="E549" s="45">
        <f t="shared" si="32"/>
        <v>0</v>
      </c>
      <c r="F549" s="45">
        <f>SUM($C$2:C549)</f>
        <v>605</v>
      </c>
      <c r="G549" s="49" cm="1">
        <f t="array" aca="1" ref="G549" ca="1">IF(B549=0,"", SUMPRODUCT((Table1[SubscriptionStart]&lt;=A549)*(Table1[EffectiveEndDate]&gt;=A549)*Table1[Age]) / B549 )</f>
        <v>46.304123711340203</v>
      </c>
      <c r="H549" s="22">
        <f>SUMIF(Table1[SubscriptionStart],"&lt;="&amp;A549,Table1[TotalRevenue])</f>
        <v>125334.45000000014</v>
      </c>
      <c r="I549" s="50">
        <f t="shared" si="33"/>
        <v>45138</v>
      </c>
      <c r="J549" s="49">
        <f t="shared" ca="1" si="34"/>
        <v>386.93548387096774</v>
      </c>
      <c r="K549" s="45" cm="1">
        <f t="array" aca="1" ref="K549" ca="1">SUMPRODUCT((Table1[SubscriptionStart] &lt;= $A549) * (Table1[EffectiveEndDate] &gt;= $A549) * (Table1[Region] = "England"))</f>
        <v>102</v>
      </c>
      <c r="L549" s="45" cm="1">
        <f t="array" aca="1" ref="L549" ca="1">SUMPRODUCT((Table1[SubscriptionStart] &lt;= $A549) * (Table1[EffectiveEndDate] &gt;= $A549) * (Table1[Region] = "Scotland"))</f>
        <v>86</v>
      </c>
      <c r="M549" s="45" cm="1">
        <f t="array" aca="1" ref="M549" ca="1">SUMPRODUCT((Table1[SubscriptionStart] &lt;= $A549) * (Table1[EffectiveEndDate] &gt;= $A549) * (Table1[Region] = "Wales"))</f>
        <v>107</v>
      </c>
      <c r="N549" s="45" cm="1">
        <f t="array" aca="1" ref="N549" ca="1">SUMPRODUCT((Table1[SubscriptionStart] &lt;= $A549) * (Table1[EffectiveEndDate] &gt;= $A549) * (Table1[Region] = "Northern Ireland"))</f>
        <v>93</v>
      </c>
      <c r="O549" s="45" cm="1">
        <f t="array" aca="1" ref="O549" ca="1">SUMPRODUCT((Table1[Gender]="Male")*(Table1[SubscriptionStart]&lt;=A549)*(Table1[EffectiveEndDate]&gt;=A549))</f>
        <v>201</v>
      </c>
      <c r="P549" s="45" cm="1">
        <f t="array" aca="1" ref="P549" ca="1">SUMPRODUCT((Table1[Gender]="Female")*(Table1[SubscriptionStart]&lt;=A549)*(Table1[EffectiveEndDate]&gt;=A549))</f>
        <v>187</v>
      </c>
    </row>
    <row r="550" spans="1:16">
      <c r="A550" s="48">
        <f t="shared" si="35"/>
        <v>45110</v>
      </c>
      <c r="B550" s="45" cm="1">
        <f t="array" aca="1" ref="B550" ca="1">SUMPRODUCT((Table1[SubscriptionStart]&lt;=A550)*(Table1[EffectiveEndDate]&gt;=A550))</f>
        <v>388</v>
      </c>
      <c r="C550" s="45">
        <f>COUNTIFS(Table1[SubscriptionStart], A550)</f>
        <v>1</v>
      </c>
      <c r="D550" s="45">
        <f>COUNTIFS(Table1[CancellationDate], A550)</f>
        <v>3</v>
      </c>
      <c r="E550" s="45">
        <f t="shared" si="32"/>
        <v>-2</v>
      </c>
      <c r="F550" s="45">
        <f>SUM($C$2:C550)</f>
        <v>606</v>
      </c>
      <c r="G550" s="49" cm="1">
        <f t="array" aca="1" ref="G550" ca="1">IF(B550=0,"", SUMPRODUCT((Table1[SubscriptionStart]&lt;=A550)*(Table1[EffectiveEndDate]&gt;=A550)*Table1[Age]) / B550 )</f>
        <v>46.376288659793815</v>
      </c>
      <c r="H550" s="22">
        <f>SUMIF(Table1[SubscriptionStart],"&lt;="&amp;A550,Table1[TotalRevenue])</f>
        <v>126031.95000000014</v>
      </c>
      <c r="I550" s="50">
        <f t="shared" si="33"/>
        <v>45138</v>
      </c>
      <c r="J550" s="49">
        <f t="shared" ca="1" si="34"/>
        <v>386.93548387096774</v>
      </c>
      <c r="K550" s="45" cm="1">
        <f t="array" aca="1" ref="K550" ca="1">SUMPRODUCT((Table1[SubscriptionStart] &lt;= $A550) * (Table1[EffectiveEndDate] &gt;= $A550) * (Table1[Region] = "England"))</f>
        <v>102</v>
      </c>
      <c r="L550" s="45" cm="1">
        <f t="array" aca="1" ref="L550" ca="1">SUMPRODUCT((Table1[SubscriptionStart] &lt;= $A550) * (Table1[EffectiveEndDate] &gt;= $A550) * (Table1[Region] = "Scotland"))</f>
        <v>85</v>
      </c>
      <c r="M550" s="45" cm="1">
        <f t="array" aca="1" ref="M550" ca="1">SUMPRODUCT((Table1[SubscriptionStart] &lt;= $A550) * (Table1[EffectiveEndDate] &gt;= $A550) * (Table1[Region] = "Wales"))</f>
        <v>108</v>
      </c>
      <c r="N550" s="45" cm="1">
        <f t="array" aca="1" ref="N550" ca="1">SUMPRODUCT((Table1[SubscriptionStart] &lt;= $A550) * (Table1[EffectiveEndDate] &gt;= $A550) * (Table1[Region] = "Northern Ireland"))</f>
        <v>93</v>
      </c>
      <c r="O550" s="45" cm="1">
        <f t="array" aca="1" ref="O550" ca="1">SUMPRODUCT((Table1[Gender]="Male")*(Table1[SubscriptionStart]&lt;=A550)*(Table1[EffectiveEndDate]&gt;=A550))</f>
        <v>201</v>
      </c>
      <c r="P550" s="45" cm="1">
        <f t="array" aca="1" ref="P550" ca="1">SUMPRODUCT((Table1[Gender]="Female")*(Table1[SubscriptionStart]&lt;=A550)*(Table1[EffectiveEndDate]&gt;=A550))</f>
        <v>187</v>
      </c>
    </row>
    <row r="551" spans="1:16">
      <c r="A551" s="48">
        <f t="shared" si="35"/>
        <v>45111</v>
      </c>
      <c r="B551" s="45" cm="1">
        <f t="array" aca="1" ref="B551" ca="1">SUMPRODUCT((Table1[SubscriptionStart]&lt;=A551)*(Table1[EffectiveEndDate]&gt;=A551))</f>
        <v>386</v>
      </c>
      <c r="C551" s="45">
        <f>COUNTIFS(Table1[SubscriptionStart], A551)</f>
        <v>1</v>
      </c>
      <c r="D551" s="45">
        <f>COUNTIFS(Table1[CancellationDate], A551)</f>
        <v>3</v>
      </c>
      <c r="E551" s="45">
        <f t="shared" si="32"/>
        <v>-2</v>
      </c>
      <c r="F551" s="45">
        <f>SUM($C$2:C551)</f>
        <v>607</v>
      </c>
      <c r="G551" s="49" cm="1">
        <f t="array" aca="1" ref="G551" ca="1">IF(B551=0,"", SUMPRODUCT((Table1[SubscriptionStart]&lt;=A551)*(Table1[EffectiveEndDate]&gt;=A551)*Table1[Age]) / B551 )</f>
        <v>46.398963730569946</v>
      </c>
      <c r="H551" s="22">
        <f>SUMIF(Table1[SubscriptionStart],"&lt;="&amp;A551,Table1[TotalRevenue])</f>
        <v>126247.95000000014</v>
      </c>
      <c r="I551" s="50">
        <f t="shared" si="33"/>
        <v>45138</v>
      </c>
      <c r="J551" s="49">
        <f t="shared" ca="1" si="34"/>
        <v>386.93548387096774</v>
      </c>
      <c r="K551" s="45" cm="1">
        <f t="array" aca="1" ref="K551" ca="1">SUMPRODUCT((Table1[SubscriptionStart] &lt;= $A551) * (Table1[EffectiveEndDate] &gt;= $A551) * (Table1[Region] = "England"))</f>
        <v>101</v>
      </c>
      <c r="L551" s="45" cm="1">
        <f t="array" aca="1" ref="L551" ca="1">SUMPRODUCT((Table1[SubscriptionStart] &lt;= $A551) * (Table1[EffectiveEndDate] &gt;= $A551) * (Table1[Region] = "Scotland"))</f>
        <v>85</v>
      </c>
      <c r="M551" s="45" cm="1">
        <f t="array" aca="1" ref="M551" ca="1">SUMPRODUCT((Table1[SubscriptionStart] &lt;= $A551) * (Table1[EffectiveEndDate] &gt;= $A551) * (Table1[Region] = "Wales"))</f>
        <v>107</v>
      </c>
      <c r="N551" s="45" cm="1">
        <f t="array" aca="1" ref="N551" ca="1">SUMPRODUCT((Table1[SubscriptionStart] &lt;= $A551) * (Table1[EffectiveEndDate] &gt;= $A551) * (Table1[Region] = "Northern Ireland"))</f>
        <v>93</v>
      </c>
      <c r="O551" s="45" cm="1">
        <f t="array" aca="1" ref="O551" ca="1">SUMPRODUCT((Table1[Gender]="Male")*(Table1[SubscriptionStart]&lt;=A551)*(Table1[EffectiveEndDate]&gt;=A551))</f>
        <v>201</v>
      </c>
      <c r="P551" s="45" cm="1">
        <f t="array" aca="1" ref="P551" ca="1">SUMPRODUCT((Table1[Gender]="Female")*(Table1[SubscriptionStart]&lt;=A551)*(Table1[EffectiveEndDate]&gt;=A551))</f>
        <v>185</v>
      </c>
    </row>
    <row r="552" spans="1:16">
      <c r="A552" s="48">
        <f t="shared" si="35"/>
        <v>45112</v>
      </c>
      <c r="B552" s="45" cm="1">
        <f t="array" aca="1" ref="B552" ca="1">SUMPRODUCT((Table1[SubscriptionStart]&lt;=A552)*(Table1[EffectiveEndDate]&gt;=A552))</f>
        <v>384</v>
      </c>
      <c r="C552" s="45">
        <f>COUNTIFS(Table1[SubscriptionStart], A552)</f>
        <v>1</v>
      </c>
      <c r="D552" s="45">
        <f>COUNTIFS(Table1[CancellationDate], A552)</f>
        <v>1</v>
      </c>
      <c r="E552" s="45">
        <f t="shared" si="32"/>
        <v>0</v>
      </c>
      <c r="F552" s="45">
        <f>SUM($C$2:C552)</f>
        <v>608</v>
      </c>
      <c r="G552" s="49" cm="1">
        <f t="array" aca="1" ref="G552" ca="1">IF(B552=0,"", SUMPRODUCT((Table1[SubscriptionStart]&lt;=A552)*(Table1[EffectiveEndDate]&gt;=A552)*Table1[Age]) / B552 )</f>
        <v>46.315104166666664</v>
      </c>
      <c r="H552" s="22">
        <f>SUMIF(Table1[SubscriptionStart],"&lt;="&amp;A552,Table1[TotalRevenue])</f>
        <v>126427.95000000014</v>
      </c>
      <c r="I552" s="50">
        <f t="shared" si="33"/>
        <v>45138</v>
      </c>
      <c r="J552" s="49">
        <f t="shared" ca="1" si="34"/>
        <v>386.93548387096774</v>
      </c>
      <c r="K552" s="45" cm="1">
        <f t="array" aca="1" ref="K552" ca="1">SUMPRODUCT((Table1[SubscriptionStart] &lt;= $A552) * (Table1[EffectiveEndDate] &gt;= $A552) * (Table1[Region] = "England"))</f>
        <v>102</v>
      </c>
      <c r="L552" s="45" cm="1">
        <f t="array" aca="1" ref="L552" ca="1">SUMPRODUCT((Table1[SubscriptionStart] &lt;= $A552) * (Table1[EffectiveEndDate] &gt;= $A552) * (Table1[Region] = "Scotland"))</f>
        <v>85</v>
      </c>
      <c r="M552" s="45" cm="1">
        <f t="array" aca="1" ref="M552" ca="1">SUMPRODUCT((Table1[SubscriptionStart] &lt;= $A552) * (Table1[EffectiveEndDate] &gt;= $A552) * (Table1[Region] = "Wales"))</f>
        <v>106</v>
      </c>
      <c r="N552" s="45" cm="1">
        <f t="array" aca="1" ref="N552" ca="1">SUMPRODUCT((Table1[SubscriptionStart] &lt;= $A552) * (Table1[EffectiveEndDate] &gt;= $A552) * (Table1[Region] = "Northern Ireland"))</f>
        <v>91</v>
      </c>
      <c r="O552" s="45" cm="1">
        <f t="array" aca="1" ref="O552" ca="1">SUMPRODUCT((Table1[Gender]="Male")*(Table1[SubscriptionStart]&lt;=A552)*(Table1[EffectiveEndDate]&gt;=A552))</f>
        <v>199</v>
      </c>
      <c r="P552" s="45" cm="1">
        <f t="array" aca="1" ref="P552" ca="1">SUMPRODUCT((Table1[Gender]="Female")*(Table1[SubscriptionStart]&lt;=A552)*(Table1[EffectiveEndDate]&gt;=A552))</f>
        <v>185</v>
      </c>
    </row>
    <row r="553" spans="1:16">
      <c r="A553" s="48">
        <f t="shared" si="35"/>
        <v>45113</v>
      </c>
      <c r="B553" s="45" cm="1">
        <f t="array" aca="1" ref="B553" ca="1">SUMPRODUCT((Table1[SubscriptionStart]&lt;=A553)*(Table1[EffectiveEndDate]&gt;=A553))</f>
        <v>383</v>
      </c>
      <c r="C553" s="45">
        <f>COUNTIFS(Table1[SubscriptionStart], A553)</f>
        <v>0</v>
      </c>
      <c r="D553" s="45">
        <f>COUNTIFS(Table1[CancellationDate], A553)</f>
        <v>0</v>
      </c>
      <c r="E553" s="45">
        <f t="shared" si="32"/>
        <v>0</v>
      </c>
      <c r="F553" s="45">
        <f>SUM($C$2:C553)</f>
        <v>608</v>
      </c>
      <c r="G553" s="49" cm="1">
        <f t="array" aca="1" ref="G553" ca="1">IF(B553=0,"", SUMPRODUCT((Table1[SubscriptionStart]&lt;=A553)*(Table1[EffectiveEndDate]&gt;=A553)*Table1[Age]) / B553 )</f>
        <v>46.370757180156659</v>
      </c>
      <c r="H553" s="22">
        <f>SUMIF(Table1[SubscriptionStart],"&lt;="&amp;A553,Table1[TotalRevenue])</f>
        <v>126427.95000000014</v>
      </c>
      <c r="I553" s="50">
        <f t="shared" si="33"/>
        <v>45138</v>
      </c>
      <c r="J553" s="49">
        <f t="shared" ca="1" si="34"/>
        <v>386.93548387096774</v>
      </c>
      <c r="K553" s="45" cm="1">
        <f t="array" aca="1" ref="K553" ca="1">SUMPRODUCT((Table1[SubscriptionStart] &lt;= $A553) * (Table1[EffectiveEndDate] &gt;= $A553) * (Table1[Region] = "England"))</f>
        <v>102</v>
      </c>
      <c r="L553" s="45" cm="1">
        <f t="array" aca="1" ref="L553" ca="1">SUMPRODUCT((Table1[SubscriptionStart] &lt;= $A553) * (Table1[EffectiveEndDate] &gt;= $A553) * (Table1[Region] = "Scotland"))</f>
        <v>85</v>
      </c>
      <c r="M553" s="45" cm="1">
        <f t="array" aca="1" ref="M553" ca="1">SUMPRODUCT((Table1[SubscriptionStart] &lt;= $A553) * (Table1[EffectiveEndDate] &gt;= $A553) * (Table1[Region] = "Wales"))</f>
        <v>105</v>
      </c>
      <c r="N553" s="45" cm="1">
        <f t="array" aca="1" ref="N553" ca="1">SUMPRODUCT((Table1[SubscriptionStart] &lt;= $A553) * (Table1[EffectiveEndDate] &gt;= $A553) * (Table1[Region] = "Northern Ireland"))</f>
        <v>91</v>
      </c>
      <c r="O553" s="45" cm="1">
        <f t="array" aca="1" ref="O553" ca="1">SUMPRODUCT((Table1[Gender]="Male")*(Table1[SubscriptionStart]&lt;=A553)*(Table1[EffectiveEndDate]&gt;=A553))</f>
        <v>198</v>
      </c>
      <c r="P553" s="45" cm="1">
        <f t="array" aca="1" ref="P553" ca="1">SUMPRODUCT((Table1[Gender]="Female")*(Table1[SubscriptionStart]&lt;=A553)*(Table1[EffectiveEndDate]&gt;=A553))</f>
        <v>185</v>
      </c>
    </row>
    <row r="554" spans="1:16">
      <c r="A554" s="48">
        <f t="shared" si="35"/>
        <v>45114</v>
      </c>
      <c r="B554" s="45" cm="1">
        <f t="array" aca="1" ref="B554" ca="1">SUMPRODUCT((Table1[SubscriptionStart]&lt;=A554)*(Table1[EffectiveEndDate]&gt;=A554))</f>
        <v>384</v>
      </c>
      <c r="C554" s="45">
        <f>COUNTIFS(Table1[SubscriptionStart], A554)</f>
        <v>1</v>
      </c>
      <c r="D554" s="45">
        <f>COUNTIFS(Table1[CancellationDate], A554)</f>
        <v>2</v>
      </c>
      <c r="E554" s="45">
        <f t="shared" si="32"/>
        <v>-1</v>
      </c>
      <c r="F554" s="45">
        <f>SUM($C$2:C554)</f>
        <v>609</v>
      </c>
      <c r="G554" s="49" cm="1">
        <f t="array" aca="1" ref="G554" ca="1">IF(B554=0,"", SUMPRODUCT((Table1[SubscriptionStart]&lt;=A554)*(Table1[EffectiveEndDate]&gt;=A554)*Table1[Age]) / B554 )</f>
        <v>46.377604166666664</v>
      </c>
      <c r="H554" s="22">
        <f>SUMIF(Table1[SubscriptionStart],"&lt;="&amp;A554,Table1[TotalRevenue])</f>
        <v>126696.95000000014</v>
      </c>
      <c r="I554" s="50">
        <f t="shared" si="33"/>
        <v>45138</v>
      </c>
      <c r="J554" s="49">
        <f t="shared" ca="1" si="34"/>
        <v>386.93548387096774</v>
      </c>
      <c r="K554" s="45" cm="1">
        <f t="array" aca="1" ref="K554" ca="1">SUMPRODUCT((Table1[SubscriptionStart] &lt;= $A554) * (Table1[EffectiveEndDate] &gt;= $A554) * (Table1[Region] = "England"))</f>
        <v>102</v>
      </c>
      <c r="L554" s="45" cm="1">
        <f t="array" aca="1" ref="L554" ca="1">SUMPRODUCT((Table1[SubscriptionStart] &lt;= $A554) * (Table1[EffectiveEndDate] &gt;= $A554) * (Table1[Region] = "Scotland"))</f>
        <v>86</v>
      </c>
      <c r="M554" s="45" cm="1">
        <f t="array" aca="1" ref="M554" ca="1">SUMPRODUCT((Table1[SubscriptionStart] &lt;= $A554) * (Table1[EffectiveEndDate] &gt;= $A554) * (Table1[Region] = "Wales"))</f>
        <v>105</v>
      </c>
      <c r="N554" s="45" cm="1">
        <f t="array" aca="1" ref="N554" ca="1">SUMPRODUCT((Table1[SubscriptionStart] &lt;= $A554) * (Table1[EffectiveEndDate] &gt;= $A554) * (Table1[Region] = "Northern Ireland"))</f>
        <v>91</v>
      </c>
      <c r="O554" s="45" cm="1">
        <f t="array" aca="1" ref="O554" ca="1">SUMPRODUCT((Table1[Gender]="Male")*(Table1[SubscriptionStart]&lt;=A554)*(Table1[EffectiveEndDate]&gt;=A554))</f>
        <v>198</v>
      </c>
      <c r="P554" s="45" cm="1">
        <f t="array" aca="1" ref="P554" ca="1">SUMPRODUCT((Table1[Gender]="Female")*(Table1[SubscriptionStart]&lt;=A554)*(Table1[EffectiveEndDate]&gt;=A554))</f>
        <v>186</v>
      </c>
    </row>
    <row r="555" spans="1:16">
      <c r="A555" s="48">
        <f t="shared" si="35"/>
        <v>45115</v>
      </c>
      <c r="B555" s="45" cm="1">
        <f t="array" aca="1" ref="B555" ca="1">SUMPRODUCT((Table1[SubscriptionStart]&lt;=A555)*(Table1[EffectiveEndDate]&gt;=A555))</f>
        <v>383</v>
      </c>
      <c r="C555" s="45">
        <f>COUNTIFS(Table1[SubscriptionStart], A555)</f>
        <v>1</v>
      </c>
      <c r="D555" s="45">
        <f>COUNTIFS(Table1[CancellationDate], A555)</f>
        <v>2</v>
      </c>
      <c r="E555" s="45">
        <f t="shared" si="32"/>
        <v>-1</v>
      </c>
      <c r="F555" s="45">
        <f>SUM($C$2:C555)</f>
        <v>610</v>
      </c>
      <c r="G555" s="49" cm="1">
        <f t="array" aca="1" ref="G555" ca="1">IF(B555=0,"", SUMPRODUCT((Table1[SubscriptionStart]&lt;=A555)*(Table1[EffectiveEndDate]&gt;=A555)*Table1[Age]) / B555 )</f>
        <v>46.430809399477809</v>
      </c>
      <c r="H555" s="22">
        <f>SUMIF(Table1[SubscriptionStart],"&lt;="&amp;A555,Table1[TotalRevenue])</f>
        <v>126696.95000000014</v>
      </c>
      <c r="I555" s="50">
        <f t="shared" si="33"/>
        <v>45138</v>
      </c>
      <c r="J555" s="49">
        <f t="shared" ca="1" si="34"/>
        <v>386.93548387096774</v>
      </c>
      <c r="K555" s="45" cm="1">
        <f t="array" aca="1" ref="K555" ca="1">SUMPRODUCT((Table1[SubscriptionStart] &lt;= $A555) * (Table1[EffectiveEndDate] &gt;= $A555) * (Table1[Region] = "England"))</f>
        <v>102</v>
      </c>
      <c r="L555" s="45" cm="1">
        <f t="array" aca="1" ref="L555" ca="1">SUMPRODUCT((Table1[SubscriptionStart] &lt;= $A555) * (Table1[EffectiveEndDate] &gt;= $A555) * (Table1[Region] = "Scotland"))</f>
        <v>85</v>
      </c>
      <c r="M555" s="45" cm="1">
        <f t="array" aca="1" ref="M555" ca="1">SUMPRODUCT((Table1[SubscriptionStart] &lt;= $A555) * (Table1[EffectiveEndDate] &gt;= $A555) * (Table1[Region] = "Wales"))</f>
        <v>105</v>
      </c>
      <c r="N555" s="45" cm="1">
        <f t="array" aca="1" ref="N555" ca="1">SUMPRODUCT((Table1[SubscriptionStart] &lt;= $A555) * (Table1[EffectiveEndDate] &gt;= $A555) * (Table1[Region] = "Northern Ireland"))</f>
        <v>91</v>
      </c>
      <c r="O555" s="45" cm="1">
        <f t="array" aca="1" ref="O555" ca="1">SUMPRODUCT((Table1[Gender]="Male")*(Table1[SubscriptionStart]&lt;=A555)*(Table1[EffectiveEndDate]&gt;=A555))</f>
        <v>197</v>
      </c>
      <c r="P555" s="45" cm="1">
        <f t="array" aca="1" ref="P555" ca="1">SUMPRODUCT((Table1[Gender]="Female")*(Table1[SubscriptionStart]&lt;=A555)*(Table1[EffectiveEndDate]&gt;=A555))</f>
        <v>186</v>
      </c>
    </row>
    <row r="556" spans="1:16">
      <c r="A556" s="48">
        <f t="shared" si="35"/>
        <v>45116</v>
      </c>
      <c r="B556" s="45" cm="1">
        <f t="array" aca="1" ref="B556" ca="1">SUMPRODUCT((Table1[SubscriptionStart]&lt;=A556)*(Table1[EffectiveEndDate]&gt;=A556))</f>
        <v>384</v>
      </c>
      <c r="C556" s="45">
        <f>COUNTIFS(Table1[SubscriptionStart], A556)</f>
        <v>3</v>
      </c>
      <c r="D556" s="45">
        <f>COUNTIFS(Table1[CancellationDate], A556)</f>
        <v>0</v>
      </c>
      <c r="E556" s="45">
        <f t="shared" si="32"/>
        <v>3</v>
      </c>
      <c r="F556" s="45">
        <f>SUM($C$2:C556)</f>
        <v>613</v>
      </c>
      <c r="G556" s="49" cm="1">
        <f t="array" aca="1" ref="G556" ca="1">IF(B556=0,"", SUMPRODUCT((Table1[SubscriptionStart]&lt;=A556)*(Table1[EffectiveEndDate]&gt;=A556)*Table1[Age]) / B556 )</f>
        <v>46.330729166666664</v>
      </c>
      <c r="H556" s="22">
        <f>SUMIF(Table1[SubscriptionStart],"&lt;="&amp;A556,Table1[TotalRevenue])</f>
        <v>127222.55000000015</v>
      </c>
      <c r="I556" s="50">
        <f t="shared" si="33"/>
        <v>45138</v>
      </c>
      <c r="J556" s="49">
        <f t="shared" ca="1" si="34"/>
        <v>386.93548387096774</v>
      </c>
      <c r="K556" s="45" cm="1">
        <f t="array" aca="1" ref="K556" ca="1">SUMPRODUCT((Table1[SubscriptionStart] &lt;= $A556) * (Table1[EffectiveEndDate] &gt;= $A556) * (Table1[Region] = "England"))</f>
        <v>101</v>
      </c>
      <c r="L556" s="45" cm="1">
        <f t="array" aca="1" ref="L556" ca="1">SUMPRODUCT((Table1[SubscriptionStart] &lt;= $A556) * (Table1[EffectiveEndDate] &gt;= $A556) * (Table1[Region] = "Scotland"))</f>
        <v>85</v>
      </c>
      <c r="M556" s="45" cm="1">
        <f t="array" aca="1" ref="M556" ca="1">SUMPRODUCT((Table1[SubscriptionStart] &lt;= $A556) * (Table1[EffectiveEndDate] &gt;= $A556) * (Table1[Region] = "Wales"))</f>
        <v>106</v>
      </c>
      <c r="N556" s="45" cm="1">
        <f t="array" aca="1" ref="N556" ca="1">SUMPRODUCT((Table1[SubscriptionStart] &lt;= $A556) * (Table1[EffectiveEndDate] &gt;= $A556) * (Table1[Region] = "Northern Ireland"))</f>
        <v>92</v>
      </c>
      <c r="O556" s="45" cm="1">
        <f t="array" aca="1" ref="O556" ca="1">SUMPRODUCT((Table1[Gender]="Male")*(Table1[SubscriptionStart]&lt;=A556)*(Table1[EffectiveEndDate]&gt;=A556))</f>
        <v>197</v>
      </c>
      <c r="P556" s="45" cm="1">
        <f t="array" aca="1" ref="P556" ca="1">SUMPRODUCT((Table1[Gender]="Female")*(Table1[SubscriptionStart]&lt;=A556)*(Table1[EffectiveEndDate]&gt;=A556))</f>
        <v>187</v>
      </c>
    </row>
    <row r="557" spans="1:16">
      <c r="A557" s="48">
        <f t="shared" si="35"/>
        <v>45117</v>
      </c>
      <c r="B557" s="45" cm="1">
        <f t="array" aca="1" ref="B557" ca="1">SUMPRODUCT((Table1[SubscriptionStart]&lt;=A557)*(Table1[EffectiveEndDate]&gt;=A557))</f>
        <v>386</v>
      </c>
      <c r="C557" s="45">
        <f>COUNTIFS(Table1[SubscriptionStart], A557)</f>
        <v>2</v>
      </c>
      <c r="D557" s="45">
        <f>COUNTIFS(Table1[CancellationDate], A557)</f>
        <v>1</v>
      </c>
      <c r="E557" s="45">
        <f t="shared" si="32"/>
        <v>1</v>
      </c>
      <c r="F557" s="45">
        <f>SUM($C$2:C557)</f>
        <v>615</v>
      </c>
      <c r="G557" s="49" cm="1">
        <f t="array" aca="1" ref="G557" ca="1">IF(B557=0,"", SUMPRODUCT((Table1[SubscriptionStart]&lt;=A557)*(Table1[EffectiveEndDate]&gt;=A557)*Table1[Age]) / B557 )</f>
        <v>46.295336787564764</v>
      </c>
      <c r="H557" s="22">
        <f>SUMIF(Table1[SubscriptionStart],"&lt;="&amp;A557,Table1[TotalRevenue])</f>
        <v>127532.15000000015</v>
      </c>
      <c r="I557" s="50">
        <f t="shared" si="33"/>
        <v>45138</v>
      </c>
      <c r="J557" s="49">
        <f t="shared" ca="1" si="34"/>
        <v>386.93548387096774</v>
      </c>
      <c r="K557" s="45" cm="1">
        <f t="array" aca="1" ref="K557" ca="1">SUMPRODUCT((Table1[SubscriptionStart] &lt;= $A557) * (Table1[EffectiveEndDate] &gt;= $A557) * (Table1[Region] = "England"))</f>
        <v>102</v>
      </c>
      <c r="L557" s="45" cm="1">
        <f t="array" aca="1" ref="L557" ca="1">SUMPRODUCT((Table1[SubscriptionStart] &lt;= $A557) * (Table1[EffectiveEndDate] &gt;= $A557) * (Table1[Region] = "Scotland"))</f>
        <v>86</v>
      </c>
      <c r="M557" s="45" cm="1">
        <f t="array" aca="1" ref="M557" ca="1">SUMPRODUCT((Table1[SubscriptionStart] &lt;= $A557) * (Table1[EffectiveEndDate] &gt;= $A557) * (Table1[Region] = "Wales"))</f>
        <v>106</v>
      </c>
      <c r="N557" s="45" cm="1">
        <f t="array" aca="1" ref="N557" ca="1">SUMPRODUCT((Table1[SubscriptionStart] &lt;= $A557) * (Table1[EffectiveEndDate] &gt;= $A557) * (Table1[Region] = "Northern Ireland"))</f>
        <v>92</v>
      </c>
      <c r="O557" s="45" cm="1">
        <f t="array" aca="1" ref="O557" ca="1">SUMPRODUCT((Table1[Gender]="Male")*(Table1[SubscriptionStart]&lt;=A557)*(Table1[EffectiveEndDate]&gt;=A557))</f>
        <v>199</v>
      </c>
      <c r="P557" s="45" cm="1">
        <f t="array" aca="1" ref="P557" ca="1">SUMPRODUCT((Table1[Gender]="Female")*(Table1[SubscriptionStart]&lt;=A557)*(Table1[EffectiveEndDate]&gt;=A557))</f>
        <v>187</v>
      </c>
    </row>
    <row r="558" spans="1:16">
      <c r="A558" s="48">
        <f t="shared" si="35"/>
        <v>45118</v>
      </c>
      <c r="B558" s="45" cm="1">
        <f t="array" aca="1" ref="B558" ca="1">SUMPRODUCT((Table1[SubscriptionStart]&lt;=A558)*(Table1[EffectiveEndDate]&gt;=A558))</f>
        <v>386</v>
      </c>
      <c r="C558" s="45">
        <f>COUNTIFS(Table1[SubscriptionStart], A558)</f>
        <v>1</v>
      </c>
      <c r="D558" s="45">
        <f>COUNTIFS(Table1[CancellationDate], A558)</f>
        <v>1</v>
      </c>
      <c r="E558" s="45">
        <f t="shared" si="32"/>
        <v>0</v>
      </c>
      <c r="F558" s="45">
        <f>SUM($C$2:C558)</f>
        <v>616</v>
      </c>
      <c r="G558" s="49" cm="1">
        <f t="array" aca="1" ref="G558" ca="1">IF(B558=0,"", SUMPRODUCT((Table1[SubscriptionStart]&lt;=A558)*(Table1[EffectiveEndDate]&gt;=A558)*Table1[Age]) / B558 )</f>
        <v>46.404145077720209</v>
      </c>
      <c r="H558" s="22">
        <f>SUMIF(Table1[SubscriptionStart],"&lt;="&amp;A558,Table1[TotalRevenue])</f>
        <v>127712.15000000015</v>
      </c>
      <c r="I558" s="50">
        <f t="shared" si="33"/>
        <v>45138</v>
      </c>
      <c r="J558" s="49">
        <f t="shared" ca="1" si="34"/>
        <v>386.93548387096774</v>
      </c>
      <c r="K558" s="45" cm="1">
        <f t="array" aca="1" ref="K558" ca="1">SUMPRODUCT((Table1[SubscriptionStart] &lt;= $A558) * (Table1[EffectiveEndDate] &gt;= $A558) * (Table1[Region] = "England"))</f>
        <v>102</v>
      </c>
      <c r="L558" s="45" cm="1">
        <f t="array" aca="1" ref="L558" ca="1">SUMPRODUCT((Table1[SubscriptionStart] &lt;= $A558) * (Table1[EffectiveEndDate] &gt;= $A558) * (Table1[Region] = "Scotland"))</f>
        <v>87</v>
      </c>
      <c r="M558" s="45" cm="1">
        <f t="array" aca="1" ref="M558" ca="1">SUMPRODUCT((Table1[SubscriptionStart] &lt;= $A558) * (Table1[EffectiveEndDate] &gt;= $A558) * (Table1[Region] = "Wales"))</f>
        <v>106</v>
      </c>
      <c r="N558" s="45" cm="1">
        <f t="array" aca="1" ref="N558" ca="1">SUMPRODUCT((Table1[SubscriptionStart] &lt;= $A558) * (Table1[EffectiveEndDate] &gt;= $A558) * (Table1[Region] = "Northern Ireland"))</f>
        <v>91</v>
      </c>
      <c r="O558" s="45" cm="1">
        <f t="array" aca="1" ref="O558" ca="1">SUMPRODUCT((Table1[Gender]="Male")*(Table1[SubscriptionStart]&lt;=A558)*(Table1[EffectiveEndDate]&gt;=A558))</f>
        <v>199</v>
      </c>
      <c r="P558" s="45" cm="1">
        <f t="array" aca="1" ref="P558" ca="1">SUMPRODUCT((Table1[Gender]="Female")*(Table1[SubscriptionStart]&lt;=A558)*(Table1[EffectiveEndDate]&gt;=A558))</f>
        <v>187</v>
      </c>
    </row>
    <row r="559" spans="1:16">
      <c r="A559" s="48">
        <f t="shared" si="35"/>
        <v>45119</v>
      </c>
      <c r="B559" s="45" cm="1">
        <f t="array" aca="1" ref="B559" ca="1">SUMPRODUCT((Table1[SubscriptionStart]&lt;=A559)*(Table1[EffectiveEndDate]&gt;=A559))</f>
        <v>385</v>
      </c>
      <c r="C559" s="45">
        <f>COUNTIFS(Table1[SubscriptionStart], A559)</f>
        <v>0</v>
      </c>
      <c r="D559" s="45">
        <f>COUNTIFS(Table1[CancellationDate], A559)</f>
        <v>0</v>
      </c>
      <c r="E559" s="45">
        <f t="shared" si="32"/>
        <v>0</v>
      </c>
      <c r="F559" s="45">
        <f>SUM($C$2:C559)</f>
        <v>616</v>
      </c>
      <c r="G559" s="49" cm="1">
        <f t="array" aca="1" ref="G559" ca="1">IF(B559=0,"", SUMPRODUCT((Table1[SubscriptionStart]&lt;=A559)*(Table1[EffectiveEndDate]&gt;=A559)*Table1[Age]) / B559 )</f>
        <v>46.477922077922081</v>
      </c>
      <c r="H559" s="22">
        <f>SUMIF(Table1[SubscriptionStart],"&lt;="&amp;A559,Table1[TotalRevenue])</f>
        <v>127712.15000000015</v>
      </c>
      <c r="I559" s="50">
        <f t="shared" si="33"/>
        <v>45138</v>
      </c>
      <c r="J559" s="49">
        <f t="shared" ca="1" si="34"/>
        <v>386.93548387096774</v>
      </c>
      <c r="K559" s="45" cm="1">
        <f t="array" aca="1" ref="K559" ca="1">SUMPRODUCT((Table1[SubscriptionStart] &lt;= $A559) * (Table1[EffectiveEndDate] &gt;= $A559) * (Table1[Region] = "England"))</f>
        <v>102</v>
      </c>
      <c r="L559" s="45" cm="1">
        <f t="array" aca="1" ref="L559" ca="1">SUMPRODUCT((Table1[SubscriptionStart] &lt;= $A559) * (Table1[EffectiveEndDate] &gt;= $A559) * (Table1[Region] = "Scotland"))</f>
        <v>86</v>
      </c>
      <c r="M559" s="45" cm="1">
        <f t="array" aca="1" ref="M559" ca="1">SUMPRODUCT((Table1[SubscriptionStart] &lt;= $A559) * (Table1[EffectiveEndDate] &gt;= $A559) * (Table1[Region] = "Wales"))</f>
        <v>106</v>
      </c>
      <c r="N559" s="45" cm="1">
        <f t="array" aca="1" ref="N559" ca="1">SUMPRODUCT((Table1[SubscriptionStart] &lt;= $A559) * (Table1[EffectiveEndDate] &gt;= $A559) * (Table1[Region] = "Northern Ireland"))</f>
        <v>91</v>
      </c>
      <c r="O559" s="45" cm="1">
        <f t="array" aca="1" ref="O559" ca="1">SUMPRODUCT((Table1[Gender]="Male")*(Table1[SubscriptionStart]&lt;=A559)*(Table1[EffectiveEndDate]&gt;=A559))</f>
        <v>198</v>
      </c>
      <c r="P559" s="45" cm="1">
        <f t="array" aca="1" ref="P559" ca="1">SUMPRODUCT((Table1[Gender]="Female")*(Table1[SubscriptionStart]&lt;=A559)*(Table1[EffectiveEndDate]&gt;=A559))</f>
        <v>187</v>
      </c>
    </row>
    <row r="560" spans="1:16">
      <c r="A560" s="48">
        <f t="shared" si="35"/>
        <v>45120</v>
      </c>
      <c r="B560" s="45" cm="1">
        <f t="array" aca="1" ref="B560" ca="1">SUMPRODUCT((Table1[SubscriptionStart]&lt;=A560)*(Table1[EffectiveEndDate]&gt;=A560))</f>
        <v>386</v>
      </c>
      <c r="C560" s="45">
        <f>COUNTIFS(Table1[SubscriptionStart], A560)</f>
        <v>1</v>
      </c>
      <c r="D560" s="45">
        <f>COUNTIFS(Table1[CancellationDate], A560)</f>
        <v>1</v>
      </c>
      <c r="E560" s="45">
        <f t="shared" si="32"/>
        <v>0</v>
      </c>
      <c r="F560" s="45">
        <f>SUM($C$2:C560)</f>
        <v>617</v>
      </c>
      <c r="G560" s="49" cm="1">
        <f t="array" aca="1" ref="G560" ca="1">IF(B560=0,"", SUMPRODUCT((Table1[SubscriptionStart]&lt;=A560)*(Table1[EffectiveEndDate]&gt;=A560)*Table1[Age]) / B560 )</f>
        <v>46.505181347150256</v>
      </c>
      <c r="H560" s="22">
        <f>SUMIF(Table1[SubscriptionStart],"&lt;="&amp;A560,Table1[TotalRevenue])</f>
        <v>127712.15000000015</v>
      </c>
      <c r="I560" s="50">
        <f t="shared" si="33"/>
        <v>45138</v>
      </c>
      <c r="J560" s="49">
        <f t="shared" ca="1" si="34"/>
        <v>386.93548387096774</v>
      </c>
      <c r="K560" s="45" cm="1">
        <f t="array" aca="1" ref="K560" ca="1">SUMPRODUCT((Table1[SubscriptionStart] &lt;= $A560) * (Table1[EffectiveEndDate] &gt;= $A560) * (Table1[Region] = "England"))</f>
        <v>103</v>
      </c>
      <c r="L560" s="45" cm="1">
        <f t="array" aca="1" ref="L560" ca="1">SUMPRODUCT((Table1[SubscriptionStart] &lt;= $A560) * (Table1[EffectiveEndDate] &gt;= $A560) * (Table1[Region] = "Scotland"))</f>
        <v>86</v>
      </c>
      <c r="M560" s="45" cm="1">
        <f t="array" aca="1" ref="M560" ca="1">SUMPRODUCT((Table1[SubscriptionStart] &lt;= $A560) * (Table1[EffectiveEndDate] &gt;= $A560) * (Table1[Region] = "Wales"))</f>
        <v>106</v>
      </c>
      <c r="N560" s="45" cm="1">
        <f t="array" aca="1" ref="N560" ca="1">SUMPRODUCT((Table1[SubscriptionStart] &lt;= $A560) * (Table1[EffectiveEndDate] &gt;= $A560) * (Table1[Region] = "Northern Ireland"))</f>
        <v>91</v>
      </c>
      <c r="O560" s="45" cm="1">
        <f t="array" aca="1" ref="O560" ca="1">SUMPRODUCT((Table1[Gender]="Male")*(Table1[SubscriptionStart]&lt;=A560)*(Table1[EffectiveEndDate]&gt;=A560))</f>
        <v>199</v>
      </c>
      <c r="P560" s="45" cm="1">
        <f t="array" aca="1" ref="P560" ca="1">SUMPRODUCT((Table1[Gender]="Female")*(Table1[SubscriptionStart]&lt;=A560)*(Table1[EffectiveEndDate]&gt;=A560))</f>
        <v>187</v>
      </c>
    </row>
    <row r="561" spans="1:16">
      <c r="A561" s="48">
        <f t="shared" si="35"/>
        <v>45121</v>
      </c>
      <c r="B561" s="45" cm="1">
        <f t="array" aca="1" ref="B561" ca="1">SUMPRODUCT((Table1[SubscriptionStart]&lt;=A561)*(Table1[EffectiveEndDate]&gt;=A561))</f>
        <v>385</v>
      </c>
      <c r="C561" s="45">
        <f>COUNTIFS(Table1[SubscriptionStart], A561)</f>
        <v>0</v>
      </c>
      <c r="D561" s="45">
        <f>COUNTIFS(Table1[CancellationDate], A561)</f>
        <v>1</v>
      </c>
      <c r="E561" s="45">
        <f t="shared" si="32"/>
        <v>-1</v>
      </c>
      <c r="F561" s="45">
        <f>SUM($C$2:C561)</f>
        <v>617</v>
      </c>
      <c r="G561" s="49" cm="1">
        <f t="array" aca="1" ref="G561" ca="1">IF(B561=0,"", SUMPRODUCT((Table1[SubscriptionStart]&lt;=A561)*(Table1[EffectiveEndDate]&gt;=A561)*Table1[Age]) / B561 )</f>
        <v>46.475324675324678</v>
      </c>
      <c r="H561" s="22">
        <f>SUMIF(Table1[SubscriptionStart],"&lt;="&amp;A561,Table1[TotalRevenue])</f>
        <v>127712.15000000015</v>
      </c>
      <c r="I561" s="50">
        <f t="shared" si="33"/>
        <v>45138</v>
      </c>
      <c r="J561" s="49">
        <f t="shared" ca="1" si="34"/>
        <v>386.93548387096774</v>
      </c>
      <c r="K561" s="45" cm="1">
        <f t="array" aca="1" ref="K561" ca="1">SUMPRODUCT((Table1[SubscriptionStart] &lt;= $A561) * (Table1[EffectiveEndDate] &gt;= $A561) * (Table1[Region] = "England"))</f>
        <v>102</v>
      </c>
      <c r="L561" s="45" cm="1">
        <f t="array" aca="1" ref="L561" ca="1">SUMPRODUCT((Table1[SubscriptionStart] &lt;= $A561) * (Table1[EffectiveEndDate] &gt;= $A561) * (Table1[Region] = "Scotland"))</f>
        <v>86</v>
      </c>
      <c r="M561" s="45" cm="1">
        <f t="array" aca="1" ref="M561" ca="1">SUMPRODUCT((Table1[SubscriptionStart] &lt;= $A561) * (Table1[EffectiveEndDate] &gt;= $A561) * (Table1[Region] = "Wales"))</f>
        <v>106</v>
      </c>
      <c r="N561" s="45" cm="1">
        <f t="array" aca="1" ref="N561" ca="1">SUMPRODUCT((Table1[SubscriptionStart] &lt;= $A561) * (Table1[EffectiveEndDate] &gt;= $A561) * (Table1[Region] = "Northern Ireland"))</f>
        <v>91</v>
      </c>
      <c r="O561" s="45" cm="1">
        <f t="array" aca="1" ref="O561" ca="1">SUMPRODUCT((Table1[Gender]="Male")*(Table1[SubscriptionStart]&lt;=A561)*(Table1[EffectiveEndDate]&gt;=A561))</f>
        <v>198</v>
      </c>
      <c r="P561" s="45" cm="1">
        <f t="array" aca="1" ref="P561" ca="1">SUMPRODUCT((Table1[Gender]="Female")*(Table1[SubscriptionStart]&lt;=A561)*(Table1[EffectiveEndDate]&gt;=A561))</f>
        <v>187</v>
      </c>
    </row>
    <row r="562" spans="1:16">
      <c r="A562" s="48">
        <f t="shared" si="35"/>
        <v>45122</v>
      </c>
      <c r="B562" s="45" cm="1">
        <f t="array" aca="1" ref="B562" ca="1">SUMPRODUCT((Table1[SubscriptionStart]&lt;=A562)*(Table1[EffectiveEndDate]&gt;=A562))</f>
        <v>387</v>
      </c>
      <c r="C562" s="45">
        <f>COUNTIFS(Table1[SubscriptionStart], A562)</f>
        <v>3</v>
      </c>
      <c r="D562" s="45">
        <f>COUNTIFS(Table1[CancellationDate], A562)</f>
        <v>0</v>
      </c>
      <c r="E562" s="45">
        <f t="shared" si="32"/>
        <v>3</v>
      </c>
      <c r="F562" s="45">
        <f>SUM($C$2:C562)</f>
        <v>620</v>
      </c>
      <c r="G562" s="49" cm="1">
        <f t="array" aca="1" ref="G562" ca="1">IF(B562=0,"", SUMPRODUCT((Table1[SubscriptionStart]&lt;=A562)*(Table1[EffectiveEndDate]&gt;=A562)*Table1[Age]) / B562 )</f>
        <v>46.441860465116278</v>
      </c>
      <c r="H562" s="22">
        <f>SUMIF(Table1[SubscriptionStart],"&lt;="&amp;A562,Table1[TotalRevenue])</f>
        <v>128015.90000000015</v>
      </c>
      <c r="I562" s="50">
        <f t="shared" si="33"/>
        <v>45138</v>
      </c>
      <c r="J562" s="49">
        <f t="shared" ca="1" si="34"/>
        <v>386.93548387096774</v>
      </c>
      <c r="K562" s="45" cm="1">
        <f t="array" aca="1" ref="K562" ca="1">SUMPRODUCT((Table1[SubscriptionStart] &lt;= $A562) * (Table1[EffectiveEndDate] &gt;= $A562) * (Table1[Region] = "England"))</f>
        <v>103</v>
      </c>
      <c r="L562" s="45" cm="1">
        <f t="array" aca="1" ref="L562" ca="1">SUMPRODUCT((Table1[SubscriptionStart] &lt;= $A562) * (Table1[EffectiveEndDate] &gt;= $A562) * (Table1[Region] = "Scotland"))</f>
        <v>88</v>
      </c>
      <c r="M562" s="45" cm="1">
        <f t="array" aca="1" ref="M562" ca="1">SUMPRODUCT((Table1[SubscriptionStart] &lt;= $A562) * (Table1[EffectiveEndDate] &gt;= $A562) * (Table1[Region] = "Wales"))</f>
        <v>106</v>
      </c>
      <c r="N562" s="45" cm="1">
        <f t="array" aca="1" ref="N562" ca="1">SUMPRODUCT((Table1[SubscriptionStart] &lt;= $A562) * (Table1[EffectiveEndDate] &gt;= $A562) * (Table1[Region] = "Northern Ireland"))</f>
        <v>90</v>
      </c>
      <c r="O562" s="45" cm="1">
        <f t="array" aca="1" ref="O562" ca="1">SUMPRODUCT((Table1[Gender]="Male")*(Table1[SubscriptionStart]&lt;=A562)*(Table1[EffectiveEndDate]&gt;=A562))</f>
        <v>199</v>
      </c>
      <c r="P562" s="45" cm="1">
        <f t="array" aca="1" ref="P562" ca="1">SUMPRODUCT((Table1[Gender]="Female")*(Table1[SubscriptionStart]&lt;=A562)*(Table1[EffectiveEndDate]&gt;=A562))</f>
        <v>188</v>
      </c>
    </row>
    <row r="563" spans="1:16">
      <c r="A563" s="48">
        <f t="shared" si="35"/>
        <v>45123</v>
      </c>
      <c r="B563" s="45" cm="1">
        <f t="array" aca="1" ref="B563" ca="1">SUMPRODUCT((Table1[SubscriptionStart]&lt;=A563)*(Table1[EffectiveEndDate]&gt;=A563))</f>
        <v>388</v>
      </c>
      <c r="C563" s="45">
        <f>COUNTIFS(Table1[SubscriptionStart], A563)</f>
        <v>1</v>
      </c>
      <c r="D563" s="45">
        <f>COUNTIFS(Table1[CancellationDate], A563)</f>
        <v>2</v>
      </c>
      <c r="E563" s="45">
        <f t="shared" si="32"/>
        <v>-1</v>
      </c>
      <c r="F563" s="45">
        <f>SUM($C$2:C563)</f>
        <v>621</v>
      </c>
      <c r="G563" s="49" cm="1">
        <f t="array" aca="1" ref="G563" ca="1">IF(B563=0,"", SUMPRODUCT((Table1[SubscriptionStart]&lt;=A563)*(Table1[EffectiveEndDate]&gt;=A563)*Table1[Age]) / B563 )</f>
        <v>46.376288659793815</v>
      </c>
      <c r="H563" s="22">
        <f>SUMIF(Table1[SubscriptionStart],"&lt;="&amp;A563,Table1[TotalRevenue])</f>
        <v>128145.50000000016</v>
      </c>
      <c r="I563" s="50">
        <f t="shared" si="33"/>
        <v>45138</v>
      </c>
      <c r="J563" s="49">
        <f t="shared" ca="1" si="34"/>
        <v>386.93548387096774</v>
      </c>
      <c r="K563" s="45" cm="1">
        <f t="array" aca="1" ref="K563" ca="1">SUMPRODUCT((Table1[SubscriptionStart] &lt;= $A563) * (Table1[EffectiveEndDate] &gt;= $A563) * (Table1[Region] = "England"))</f>
        <v>103</v>
      </c>
      <c r="L563" s="45" cm="1">
        <f t="array" aca="1" ref="L563" ca="1">SUMPRODUCT((Table1[SubscriptionStart] &lt;= $A563) * (Table1[EffectiveEndDate] &gt;= $A563) * (Table1[Region] = "Scotland"))</f>
        <v>89</v>
      </c>
      <c r="M563" s="45" cm="1">
        <f t="array" aca="1" ref="M563" ca="1">SUMPRODUCT((Table1[SubscriptionStart] &lt;= $A563) * (Table1[EffectiveEndDate] &gt;= $A563) * (Table1[Region] = "Wales"))</f>
        <v>106</v>
      </c>
      <c r="N563" s="45" cm="1">
        <f t="array" aca="1" ref="N563" ca="1">SUMPRODUCT((Table1[SubscriptionStart] &lt;= $A563) * (Table1[EffectiveEndDate] &gt;= $A563) * (Table1[Region] = "Northern Ireland"))</f>
        <v>90</v>
      </c>
      <c r="O563" s="45" cm="1">
        <f t="array" aca="1" ref="O563" ca="1">SUMPRODUCT((Table1[Gender]="Male")*(Table1[SubscriptionStart]&lt;=A563)*(Table1[EffectiveEndDate]&gt;=A563))</f>
        <v>199</v>
      </c>
      <c r="P563" s="45" cm="1">
        <f t="array" aca="1" ref="P563" ca="1">SUMPRODUCT((Table1[Gender]="Female")*(Table1[SubscriptionStart]&lt;=A563)*(Table1[EffectiveEndDate]&gt;=A563))</f>
        <v>189</v>
      </c>
    </row>
    <row r="564" spans="1:16">
      <c r="A564" s="48">
        <f t="shared" si="35"/>
        <v>45124</v>
      </c>
      <c r="B564" s="45" cm="1">
        <f t="array" aca="1" ref="B564" ca="1">SUMPRODUCT((Table1[SubscriptionStart]&lt;=A564)*(Table1[EffectiveEndDate]&gt;=A564))</f>
        <v>387</v>
      </c>
      <c r="C564" s="45">
        <f>COUNTIFS(Table1[SubscriptionStart], A564)</f>
        <v>1</v>
      </c>
      <c r="D564" s="45">
        <f>COUNTIFS(Table1[CancellationDate], A564)</f>
        <v>2</v>
      </c>
      <c r="E564" s="45">
        <f t="shared" si="32"/>
        <v>-1</v>
      </c>
      <c r="F564" s="45">
        <f>SUM($C$2:C564)</f>
        <v>622</v>
      </c>
      <c r="G564" s="49" cm="1">
        <f t="array" aca="1" ref="G564" ca="1">IF(B564=0,"", SUMPRODUCT((Table1[SubscriptionStart]&lt;=A564)*(Table1[EffectiveEndDate]&gt;=A564)*Table1[Age]) / B564 )</f>
        <v>46.532299741602067</v>
      </c>
      <c r="H564" s="22">
        <f>SUMIF(Table1[SubscriptionStart],"&lt;="&amp;A564,Table1[TotalRevenue])</f>
        <v>128217.50000000016</v>
      </c>
      <c r="I564" s="50">
        <f t="shared" si="33"/>
        <v>45138</v>
      </c>
      <c r="J564" s="49">
        <f t="shared" ca="1" si="34"/>
        <v>386.93548387096774</v>
      </c>
      <c r="K564" s="45" cm="1">
        <f t="array" aca="1" ref="K564" ca="1">SUMPRODUCT((Table1[SubscriptionStart] &lt;= $A564) * (Table1[EffectiveEndDate] &gt;= $A564) * (Table1[Region] = "England"))</f>
        <v>103</v>
      </c>
      <c r="L564" s="45" cm="1">
        <f t="array" aca="1" ref="L564" ca="1">SUMPRODUCT((Table1[SubscriptionStart] &lt;= $A564) * (Table1[EffectiveEndDate] &gt;= $A564) * (Table1[Region] = "Scotland"))</f>
        <v>89</v>
      </c>
      <c r="M564" s="45" cm="1">
        <f t="array" aca="1" ref="M564" ca="1">SUMPRODUCT((Table1[SubscriptionStart] &lt;= $A564) * (Table1[EffectiveEndDate] &gt;= $A564) * (Table1[Region] = "Wales"))</f>
        <v>105</v>
      </c>
      <c r="N564" s="45" cm="1">
        <f t="array" aca="1" ref="N564" ca="1">SUMPRODUCT((Table1[SubscriptionStart] &lt;= $A564) * (Table1[EffectiveEndDate] &gt;= $A564) * (Table1[Region] = "Northern Ireland"))</f>
        <v>90</v>
      </c>
      <c r="O564" s="45" cm="1">
        <f t="array" aca="1" ref="O564" ca="1">SUMPRODUCT((Table1[Gender]="Male")*(Table1[SubscriptionStart]&lt;=A564)*(Table1[EffectiveEndDate]&gt;=A564))</f>
        <v>198</v>
      </c>
      <c r="P564" s="45" cm="1">
        <f t="array" aca="1" ref="P564" ca="1">SUMPRODUCT((Table1[Gender]="Female")*(Table1[SubscriptionStart]&lt;=A564)*(Table1[EffectiveEndDate]&gt;=A564))</f>
        <v>189</v>
      </c>
    </row>
    <row r="565" spans="1:16">
      <c r="A565" s="48">
        <f t="shared" si="35"/>
        <v>45125</v>
      </c>
      <c r="B565" s="45" cm="1">
        <f t="array" aca="1" ref="B565" ca="1">SUMPRODUCT((Table1[SubscriptionStart]&lt;=A565)*(Table1[EffectiveEndDate]&gt;=A565))</f>
        <v>387</v>
      </c>
      <c r="C565" s="45">
        <f>COUNTIFS(Table1[SubscriptionStart], A565)</f>
        <v>2</v>
      </c>
      <c r="D565" s="45">
        <f>COUNTIFS(Table1[CancellationDate], A565)</f>
        <v>2</v>
      </c>
      <c r="E565" s="45">
        <f t="shared" si="32"/>
        <v>0</v>
      </c>
      <c r="F565" s="45">
        <f>SUM($C$2:C565)</f>
        <v>624</v>
      </c>
      <c r="G565" s="49" cm="1">
        <f t="array" aca="1" ref="G565" ca="1">IF(B565=0,"", SUMPRODUCT((Table1[SubscriptionStart]&lt;=A565)*(Table1[EffectiveEndDate]&gt;=A565)*Table1[Age]) / B565 )</f>
        <v>46.550387596899228</v>
      </c>
      <c r="H565" s="22">
        <f>SUMIF(Table1[SubscriptionStart],"&lt;="&amp;A565,Table1[TotalRevenue])</f>
        <v>128397.50000000016</v>
      </c>
      <c r="I565" s="50">
        <f t="shared" si="33"/>
        <v>45138</v>
      </c>
      <c r="J565" s="49">
        <f t="shared" ca="1" si="34"/>
        <v>386.93548387096774</v>
      </c>
      <c r="K565" s="45" cm="1">
        <f t="array" aca="1" ref="K565" ca="1">SUMPRODUCT((Table1[SubscriptionStart] &lt;= $A565) * (Table1[EffectiveEndDate] &gt;= $A565) * (Table1[Region] = "England"))</f>
        <v>103</v>
      </c>
      <c r="L565" s="45" cm="1">
        <f t="array" aca="1" ref="L565" ca="1">SUMPRODUCT((Table1[SubscriptionStart] &lt;= $A565) * (Table1[EffectiveEndDate] &gt;= $A565) * (Table1[Region] = "Scotland"))</f>
        <v>87</v>
      </c>
      <c r="M565" s="45" cm="1">
        <f t="array" aca="1" ref="M565" ca="1">SUMPRODUCT((Table1[SubscriptionStart] &lt;= $A565) * (Table1[EffectiveEndDate] &gt;= $A565) * (Table1[Region] = "Wales"))</f>
        <v>106</v>
      </c>
      <c r="N565" s="45" cm="1">
        <f t="array" aca="1" ref="N565" ca="1">SUMPRODUCT((Table1[SubscriptionStart] &lt;= $A565) * (Table1[EffectiveEndDate] &gt;= $A565) * (Table1[Region] = "Northern Ireland"))</f>
        <v>91</v>
      </c>
      <c r="O565" s="45" cm="1">
        <f t="array" aca="1" ref="O565" ca="1">SUMPRODUCT((Table1[Gender]="Male")*(Table1[SubscriptionStart]&lt;=A565)*(Table1[EffectiveEndDate]&gt;=A565))</f>
        <v>198</v>
      </c>
      <c r="P565" s="45" cm="1">
        <f t="array" aca="1" ref="P565" ca="1">SUMPRODUCT((Table1[Gender]="Female")*(Table1[SubscriptionStart]&lt;=A565)*(Table1[EffectiveEndDate]&gt;=A565))</f>
        <v>189</v>
      </c>
    </row>
    <row r="566" spans="1:16">
      <c r="A566" s="48">
        <f t="shared" si="35"/>
        <v>45126</v>
      </c>
      <c r="B566" s="45" cm="1">
        <f t="array" aca="1" ref="B566" ca="1">SUMPRODUCT((Table1[SubscriptionStart]&lt;=A566)*(Table1[EffectiveEndDate]&gt;=A566))</f>
        <v>385</v>
      </c>
      <c r="C566" s="45">
        <f>COUNTIFS(Table1[SubscriptionStart], A566)</f>
        <v>0</v>
      </c>
      <c r="D566" s="45">
        <f>COUNTIFS(Table1[CancellationDate], A566)</f>
        <v>0</v>
      </c>
      <c r="E566" s="45">
        <f t="shared" si="32"/>
        <v>0</v>
      </c>
      <c r="F566" s="45">
        <f>SUM($C$2:C566)</f>
        <v>624</v>
      </c>
      <c r="G566" s="49" cm="1">
        <f t="array" aca="1" ref="G566" ca="1">IF(B566=0,"", SUMPRODUCT((Table1[SubscriptionStart]&lt;=A566)*(Table1[EffectiveEndDate]&gt;=A566)*Table1[Age]) / B566 )</f>
        <v>46.524675324675322</v>
      </c>
      <c r="H566" s="22">
        <f>SUMIF(Table1[SubscriptionStart],"&lt;="&amp;A566,Table1[TotalRevenue])</f>
        <v>128397.50000000016</v>
      </c>
      <c r="I566" s="50">
        <f t="shared" si="33"/>
        <v>45138</v>
      </c>
      <c r="J566" s="49">
        <f t="shared" ca="1" si="34"/>
        <v>386.93548387096774</v>
      </c>
      <c r="K566" s="45" cm="1">
        <f t="array" aca="1" ref="K566" ca="1">SUMPRODUCT((Table1[SubscriptionStart] &lt;= $A566) * (Table1[EffectiveEndDate] &gt;= $A566) * (Table1[Region] = "England"))</f>
        <v>101</v>
      </c>
      <c r="L566" s="45" cm="1">
        <f t="array" aca="1" ref="L566" ca="1">SUMPRODUCT((Table1[SubscriptionStart] &lt;= $A566) * (Table1[EffectiveEndDate] &gt;= $A566) * (Table1[Region] = "Scotland"))</f>
        <v>87</v>
      </c>
      <c r="M566" s="45" cm="1">
        <f t="array" aca="1" ref="M566" ca="1">SUMPRODUCT((Table1[SubscriptionStart] &lt;= $A566) * (Table1[EffectiveEndDate] &gt;= $A566) * (Table1[Region] = "Wales"))</f>
        <v>106</v>
      </c>
      <c r="N566" s="45" cm="1">
        <f t="array" aca="1" ref="N566" ca="1">SUMPRODUCT((Table1[SubscriptionStart] &lt;= $A566) * (Table1[EffectiveEndDate] &gt;= $A566) * (Table1[Region] = "Northern Ireland"))</f>
        <v>91</v>
      </c>
      <c r="O566" s="45" cm="1">
        <f t="array" aca="1" ref="O566" ca="1">SUMPRODUCT((Table1[Gender]="Male")*(Table1[SubscriptionStart]&lt;=A566)*(Table1[EffectiveEndDate]&gt;=A566))</f>
        <v>197</v>
      </c>
      <c r="P566" s="45" cm="1">
        <f t="array" aca="1" ref="P566" ca="1">SUMPRODUCT((Table1[Gender]="Female")*(Table1[SubscriptionStart]&lt;=A566)*(Table1[EffectiveEndDate]&gt;=A566))</f>
        <v>188</v>
      </c>
    </row>
    <row r="567" spans="1:16">
      <c r="A567" s="48">
        <f t="shared" si="35"/>
        <v>45127</v>
      </c>
      <c r="B567" s="45" cm="1">
        <f t="array" aca="1" ref="B567" ca="1">SUMPRODUCT((Table1[SubscriptionStart]&lt;=A567)*(Table1[EffectiveEndDate]&gt;=A567))</f>
        <v>385</v>
      </c>
      <c r="C567" s="45">
        <f>COUNTIFS(Table1[SubscriptionStart], A567)</f>
        <v>0</v>
      </c>
      <c r="D567" s="45">
        <f>COUNTIFS(Table1[CancellationDate], A567)</f>
        <v>0</v>
      </c>
      <c r="E567" s="45">
        <f t="shared" si="32"/>
        <v>0</v>
      </c>
      <c r="F567" s="45">
        <f>SUM($C$2:C567)</f>
        <v>624</v>
      </c>
      <c r="G567" s="49" cm="1">
        <f t="array" aca="1" ref="G567" ca="1">IF(B567=0,"", SUMPRODUCT((Table1[SubscriptionStart]&lt;=A567)*(Table1[EffectiveEndDate]&gt;=A567)*Table1[Age]) / B567 )</f>
        <v>46.524675324675322</v>
      </c>
      <c r="H567" s="22">
        <f>SUMIF(Table1[SubscriptionStart],"&lt;="&amp;A567,Table1[TotalRevenue])</f>
        <v>128397.50000000016</v>
      </c>
      <c r="I567" s="50">
        <f t="shared" si="33"/>
        <v>45138</v>
      </c>
      <c r="J567" s="49">
        <f t="shared" ca="1" si="34"/>
        <v>386.93548387096774</v>
      </c>
      <c r="K567" s="45" cm="1">
        <f t="array" aca="1" ref="K567" ca="1">SUMPRODUCT((Table1[SubscriptionStart] &lt;= $A567) * (Table1[EffectiveEndDate] &gt;= $A567) * (Table1[Region] = "England"))</f>
        <v>101</v>
      </c>
      <c r="L567" s="45" cm="1">
        <f t="array" aca="1" ref="L567" ca="1">SUMPRODUCT((Table1[SubscriptionStart] &lt;= $A567) * (Table1[EffectiveEndDate] &gt;= $A567) * (Table1[Region] = "Scotland"))</f>
        <v>87</v>
      </c>
      <c r="M567" s="45" cm="1">
        <f t="array" aca="1" ref="M567" ca="1">SUMPRODUCT((Table1[SubscriptionStart] &lt;= $A567) * (Table1[EffectiveEndDate] &gt;= $A567) * (Table1[Region] = "Wales"))</f>
        <v>106</v>
      </c>
      <c r="N567" s="45" cm="1">
        <f t="array" aca="1" ref="N567" ca="1">SUMPRODUCT((Table1[SubscriptionStart] &lt;= $A567) * (Table1[EffectiveEndDate] &gt;= $A567) * (Table1[Region] = "Northern Ireland"))</f>
        <v>91</v>
      </c>
      <c r="O567" s="45" cm="1">
        <f t="array" aca="1" ref="O567" ca="1">SUMPRODUCT((Table1[Gender]="Male")*(Table1[SubscriptionStart]&lt;=A567)*(Table1[EffectiveEndDate]&gt;=A567))</f>
        <v>197</v>
      </c>
      <c r="P567" s="45" cm="1">
        <f t="array" aca="1" ref="P567" ca="1">SUMPRODUCT((Table1[Gender]="Female")*(Table1[SubscriptionStart]&lt;=A567)*(Table1[EffectiveEndDate]&gt;=A567))</f>
        <v>188</v>
      </c>
    </row>
    <row r="568" spans="1:16">
      <c r="A568" s="48">
        <f t="shared" si="35"/>
        <v>45128</v>
      </c>
      <c r="B568" s="45" cm="1">
        <f t="array" aca="1" ref="B568" ca="1">SUMPRODUCT((Table1[SubscriptionStart]&lt;=A568)*(Table1[EffectiveEndDate]&gt;=A568))</f>
        <v>385</v>
      </c>
      <c r="C568" s="45">
        <f>COUNTIFS(Table1[SubscriptionStart], A568)</f>
        <v>0</v>
      </c>
      <c r="D568" s="45">
        <f>COUNTIFS(Table1[CancellationDate], A568)</f>
        <v>0</v>
      </c>
      <c r="E568" s="45">
        <f t="shared" si="32"/>
        <v>0</v>
      </c>
      <c r="F568" s="45">
        <f>SUM($C$2:C568)</f>
        <v>624</v>
      </c>
      <c r="G568" s="49" cm="1">
        <f t="array" aca="1" ref="G568" ca="1">IF(B568=0,"", SUMPRODUCT((Table1[SubscriptionStart]&lt;=A568)*(Table1[EffectiveEndDate]&gt;=A568)*Table1[Age]) / B568 )</f>
        <v>46.524675324675322</v>
      </c>
      <c r="H568" s="22">
        <f>SUMIF(Table1[SubscriptionStart],"&lt;="&amp;A568,Table1[TotalRevenue])</f>
        <v>128397.50000000016</v>
      </c>
      <c r="I568" s="50">
        <f t="shared" si="33"/>
        <v>45138</v>
      </c>
      <c r="J568" s="49">
        <f t="shared" ca="1" si="34"/>
        <v>386.93548387096774</v>
      </c>
      <c r="K568" s="45" cm="1">
        <f t="array" aca="1" ref="K568" ca="1">SUMPRODUCT((Table1[SubscriptionStart] &lt;= $A568) * (Table1[EffectiveEndDate] &gt;= $A568) * (Table1[Region] = "England"))</f>
        <v>101</v>
      </c>
      <c r="L568" s="45" cm="1">
        <f t="array" aca="1" ref="L568" ca="1">SUMPRODUCT((Table1[SubscriptionStart] &lt;= $A568) * (Table1[EffectiveEndDate] &gt;= $A568) * (Table1[Region] = "Scotland"))</f>
        <v>87</v>
      </c>
      <c r="M568" s="45" cm="1">
        <f t="array" aca="1" ref="M568" ca="1">SUMPRODUCT((Table1[SubscriptionStart] &lt;= $A568) * (Table1[EffectiveEndDate] &gt;= $A568) * (Table1[Region] = "Wales"))</f>
        <v>106</v>
      </c>
      <c r="N568" s="45" cm="1">
        <f t="array" aca="1" ref="N568" ca="1">SUMPRODUCT((Table1[SubscriptionStart] &lt;= $A568) * (Table1[EffectiveEndDate] &gt;= $A568) * (Table1[Region] = "Northern Ireland"))</f>
        <v>91</v>
      </c>
      <c r="O568" s="45" cm="1">
        <f t="array" aca="1" ref="O568" ca="1">SUMPRODUCT((Table1[Gender]="Male")*(Table1[SubscriptionStart]&lt;=A568)*(Table1[EffectiveEndDate]&gt;=A568))</f>
        <v>197</v>
      </c>
      <c r="P568" s="45" cm="1">
        <f t="array" aca="1" ref="P568" ca="1">SUMPRODUCT((Table1[Gender]="Female")*(Table1[SubscriptionStart]&lt;=A568)*(Table1[EffectiveEndDate]&gt;=A568))</f>
        <v>188</v>
      </c>
    </row>
    <row r="569" spans="1:16">
      <c r="A569" s="48">
        <f t="shared" si="35"/>
        <v>45129</v>
      </c>
      <c r="B569" s="45" cm="1">
        <f t="array" aca="1" ref="B569" ca="1">SUMPRODUCT((Table1[SubscriptionStart]&lt;=A569)*(Table1[EffectiveEndDate]&gt;=A569))</f>
        <v>387</v>
      </c>
      <c r="C569" s="45">
        <f>COUNTIFS(Table1[SubscriptionStart], A569)</f>
        <v>2</v>
      </c>
      <c r="D569" s="45">
        <f>COUNTIFS(Table1[CancellationDate], A569)</f>
        <v>2</v>
      </c>
      <c r="E569" s="45">
        <f t="shared" si="32"/>
        <v>0</v>
      </c>
      <c r="F569" s="45">
        <f>SUM($C$2:C569)</f>
        <v>626</v>
      </c>
      <c r="G569" s="49" cm="1">
        <f t="array" aca="1" ref="G569" ca="1">IF(B569=0,"", SUMPRODUCT((Table1[SubscriptionStart]&lt;=A569)*(Table1[EffectiveEndDate]&gt;=A569)*Table1[Age]) / B569 )</f>
        <v>46.490956072351423</v>
      </c>
      <c r="H569" s="22">
        <f>SUMIF(Table1[SubscriptionStart],"&lt;="&amp;A569,Table1[TotalRevenue])</f>
        <v>129171.25000000016</v>
      </c>
      <c r="I569" s="50">
        <f t="shared" si="33"/>
        <v>45138</v>
      </c>
      <c r="J569" s="49">
        <f t="shared" ca="1" si="34"/>
        <v>386.93548387096774</v>
      </c>
      <c r="K569" s="45" cm="1">
        <f t="array" aca="1" ref="K569" ca="1">SUMPRODUCT((Table1[SubscriptionStart] &lt;= $A569) * (Table1[EffectiveEndDate] &gt;= $A569) * (Table1[Region] = "England"))</f>
        <v>103</v>
      </c>
      <c r="L569" s="45" cm="1">
        <f t="array" aca="1" ref="L569" ca="1">SUMPRODUCT((Table1[SubscriptionStart] &lt;= $A569) * (Table1[EffectiveEndDate] &gt;= $A569) * (Table1[Region] = "Scotland"))</f>
        <v>87</v>
      </c>
      <c r="M569" s="45" cm="1">
        <f t="array" aca="1" ref="M569" ca="1">SUMPRODUCT((Table1[SubscriptionStart] &lt;= $A569) * (Table1[EffectiveEndDate] &gt;= $A569) * (Table1[Region] = "Wales"))</f>
        <v>106</v>
      </c>
      <c r="N569" s="45" cm="1">
        <f t="array" aca="1" ref="N569" ca="1">SUMPRODUCT((Table1[SubscriptionStart] &lt;= $A569) * (Table1[EffectiveEndDate] &gt;= $A569) * (Table1[Region] = "Northern Ireland"))</f>
        <v>91</v>
      </c>
      <c r="O569" s="45" cm="1">
        <f t="array" aca="1" ref="O569" ca="1">SUMPRODUCT((Table1[Gender]="Male")*(Table1[SubscriptionStart]&lt;=A569)*(Table1[EffectiveEndDate]&gt;=A569))</f>
        <v>198</v>
      </c>
      <c r="P569" s="45" cm="1">
        <f t="array" aca="1" ref="P569" ca="1">SUMPRODUCT((Table1[Gender]="Female")*(Table1[SubscriptionStart]&lt;=A569)*(Table1[EffectiveEndDate]&gt;=A569))</f>
        <v>189</v>
      </c>
    </row>
    <row r="570" spans="1:16">
      <c r="A570" s="48">
        <f t="shared" si="35"/>
        <v>45130</v>
      </c>
      <c r="B570" s="45" cm="1">
        <f t="array" aca="1" ref="B570" ca="1">SUMPRODUCT((Table1[SubscriptionStart]&lt;=A570)*(Table1[EffectiveEndDate]&gt;=A570))</f>
        <v>386</v>
      </c>
      <c r="C570" s="45">
        <f>COUNTIFS(Table1[SubscriptionStart], A570)</f>
        <v>1</v>
      </c>
      <c r="D570" s="45">
        <f>COUNTIFS(Table1[CancellationDate], A570)</f>
        <v>1</v>
      </c>
      <c r="E570" s="45">
        <f t="shared" si="32"/>
        <v>0</v>
      </c>
      <c r="F570" s="45">
        <f>SUM($C$2:C570)</f>
        <v>627</v>
      </c>
      <c r="G570" s="49" cm="1">
        <f t="array" aca="1" ref="G570" ca="1">IF(B570=0,"", SUMPRODUCT((Table1[SubscriptionStart]&lt;=A570)*(Table1[EffectiveEndDate]&gt;=A570)*Table1[Age]) / B570 )</f>
        <v>46.422279792746117</v>
      </c>
      <c r="H570" s="22">
        <f>SUMIF(Table1[SubscriptionStart],"&lt;="&amp;A570,Table1[TotalRevenue])</f>
        <v>129244.15000000015</v>
      </c>
      <c r="I570" s="50">
        <f t="shared" si="33"/>
        <v>45138</v>
      </c>
      <c r="J570" s="49">
        <f t="shared" ca="1" si="34"/>
        <v>386.93548387096774</v>
      </c>
      <c r="K570" s="45" cm="1">
        <f t="array" aca="1" ref="K570" ca="1">SUMPRODUCT((Table1[SubscriptionStart] &lt;= $A570) * (Table1[EffectiveEndDate] &gt;= $A570) * (Table1[Region] = "England"))</f>
        <v>104</v>
      </c>
      <c r="L570" s="45" cm="1">
        <f t="array" aca="1" ref="L570" ca="1">SUMPRODUCT((Table1[SubscriptionStart] &lt;= $A570) * (Table1[EffectiveEndDate] &gt;= $A570) * (Table1[Region] = "Scotland"))</f>
        <v>87</v>
      </c>
      <c r="M570" s="45" cm="1">
        <f t="array" aca="1" ref="M570" ca="1">SUMPRODUCT((Table1[SubscriptionStart] &lt;= $A570) * (Table1[EffectiveEndDate] &gt;= $A570) * (Table1[Region] = "Wales"))</f>
        <v>104</v>
      </c>
      <c r="N570" s="45" cm="1">
        <f t="array" aca="1" ref="N570" ca="1">SUMPRODUCT((Table1[SubscriptionStart] &lt;= $A570) * (Table1[EffectiveEndDate] &gt;= $A570) * (Table1[Region] = "Northern Ireland"))</f>
        <v>91</v>
      </c>
      <c r="O570" s="45" cm="1">
        <f t="array" aca="1" ref="O570" ca="1">SUMPRODUCT((Table1[Gender]="Male")*(Table1[SubscriptionStart]&lt;=A570)*(Table1[EffectiveEndDate]&gt;=A570))</f>
        <v>198</v>
      </c>
      <c r="P570" s="45" cm="1">
        <f t="array" aca="1" ref="P570" ca="1">SUMPRODUCT((Table1[Gender]="Female")*(Table1[SubscriptionStart]&lt;=A570)*(Table1[EffectiveEndDate]&gt;=A570))</f>
        <v>188</v>
      </c>
    </row>
    <row r="571" spans="1:16">
      <c r="A571" s="48">
        <f t="shared" si="35"/>
        <v>45131</v>
      </c>
      <c r="B571" s="45" cm="1">
        <f t="array" aca="1" ref="B571" ca="1">SUMPRODUCT((Table1[SubscriptionStart]&lt;=A571)*(Table1[EffectiveEndDate]&gt;=A571))</f>
        <v>385</v>
      </c>
      <c r="C571" s="45">
        <f>COUNTIFS(Table1[SubscriptionStart], A571)</f>
        <v>0</v>
      </c>
      <c r="D571" s="45">
        <f>COUNTIFS(Table1[CancellationDate], A571)</f>
        <v>0</v>
      </c>
      <c r="E571" s="45">
        <f t="shared" si="32"/>
        <v>0</v>
      </c>
      <c r="F571" s="45">
        <f>SUM($C$2:C571)</f>
        <v>627</v>
      </c>
      <c r="G571" s="49" cm="1">
        <f t="array" aca="1" ref="G571" ca="1">IF(B571=0,"", SUMPRODUCT((Table1[SubscriptionStart]&lt;=A571)*(Table1[EffectiveEndDate]&gt;=A571)*Table1[Age]) / B571 )</f>
        <v>46.415584415584412</v>
      </c>
      <c r="H571" s="22">
        <f>SUMIF(Table1[SubscriptionStart],"&lt;="&amp;A571,Table1[TotalRevenue])</f>
        <v>129244.15000000015</v>
      </c>
      <c r="I571" s="50">
        <f t="shared" si="33"/>
        <v>45138</v>
      </c>
      <c r="J571" s="49">
        <f t="shared" ca="1" si="34"/>
        <v>386.93548387096774</v>
      </c>
      <c r="K571" s="45" cm="1">
        <f t="array" aca="1" ref="K571" ca="1">SUMPRODUCT((Table1[SubscriptionStart] &lt;= $A571) * (Table1[EffectiveEndDate] &gt;= $A571) * (Table1[Region] = "England"))</f>
        <v>104</v>
      </c>
      <c r="L571" s="45" cm="1">
        <f t="array" aca="1" ref="L571" ca="1">SUMPRODUCT((Table1[SubscriptionStart] &lt;= $A571) * (Table1[EffectiveEndDate] &gt;= $A571) * (Table1[Region] = "Scotland"))</f>
        <v>87</v>
      </c>
      <c r="M571" s="45" cm="1">
        <f t="array" aca="1" ref="M571" ca="1">SUMPRODUCT((Table1[SubscriptionStart] &lt;= $A571) * (Table1[EffectiveEndDate] &gt;= $A571) * (Table1[Region] = "Wales"))</f>
        <v>104</v>
      </c>
      <c r="N571" s="45" cm="1">
        <f t="array" aca="1" ref="N571" ca="1">SUMPRODUCT((Table1[SubscriptionStart] &lt;= $A571) * (Table1[EffectiveEndDate] &gt;= $A571) * (Table1[Region] = "Northern Ireland"))</f>
        <v>90</v>
      </c>
      <c r="O571" s="45" cm="1">
        <f t="array" aca="1" ref="O571" ca="1">SUMPRODUCT((Table1[Gender]="Male")*(Table1[SubscriptionStart]&lt;=A571)*(Table1[EffectiveEndDate]&gt;=A571))</f>
        <v>197</v>
      </c>
      <c r="P571" s="45" cm="1">
        <f t="array" aca="1" ref="P571" ca="1">SUMPRODUCT((Table1[Gender]="Female")*(Table1[SubscriptionStart]&lt;=A571)*(Table1[EffectiveEndDate]&gt;=A571))</f>
        <v>188</v>
      </c>
    </row>
    <row r="572" spans="1:16">
      <c r="A572" s="48">
        <f t="shared" si="35"/>
        <v>45132</v>
      </c>
      <c r="B572" s="45" cm="1">
        <f t="array" aca="1" ref="B572" ca="1">SUMPRODUCT((Table1[SubscriptionStart]&lt;=A572)*(Table1[EffectiveEndDate]&gt;=A572))</f>
        <v>386</v>
      </c>
      <c r="C572" s="45">
        <f>COUNTIFS(Table1[SubscriptionStart], A572)</f>
        <v>1</v>
      </c>
      <c r="D572" s="45">
        <f>COUNTIFS(Table1[CancellationDate], A572)</f>
        <v>1</v>
      </c>
      <c r="E572" s="45">
        <f t="shared" si="32"/>
        <v>0</v>
      </c>
      <c r="F572" s="45">
        <f>SUM($C$2:C572)</f>
        <v>628</v>
      </c>
      <c r="G572" s="49" cm="1">
        <f t="array" aca="1" ref="G572" ca="1">IF(B572=0,"", SUMPRODUCT((Table1[SubscriptionStart]&lt;=A572)*(Table1[EffectiveEndDate]&gt;=A572)*Table1[Age]) / B572 )</f>
        <v>46.365284974093264</v>
      </c>
      <c r="H572" s="22">
        <f>SUMIF(Table1[SubscriptionStart],"&lt;="&amp;A572,Table1[TotalRevenue])</f>
        <v>129284.65000000015</v>
      </c>
      <c r="I572" s="50">
        <f t="shared" si="33"/>
        <v>45138</v>
      </c>
      <c r="J572" s="49">
        <f t="shared" ca="1" si="34"/>
        <v>386.93548387096774</v>
      </c>
      <c r="K572" s="45" cm="1">
        <f t="array" aca="1" ref="K572" ca="1">SUMPRODUCT((Table1[SubscriptionStart] &lt;= $A572) * (Table1[EffectiveEndDate] &gt;= $A572) * (Table1[Region] = "England"))</f>
        <v>105</v>
      </c>
      <c r="L572" s="45" cm="1">
        <f t="array" aca="1" ref="L572" ca="1">SUMPRODUCT((Table1[SubscriptionStart] &lt;= $A572) * (Table1[EffectiveEndDate] &gt;= $A572) * (Table1[Region] = "Scotland"))</f>
        <v>87</v>
      </c>
      <c r="M572" s="45" cm="1">
        <f t="array" aca="1" ref="M572" ca="1">SUMPRODUCT((Table1[SubscriptionStart] &lt;= $A572) * (Table1[EffectiveEndDate] &gt;= $A572) * (Table1[Region] = "Wales"))</f>
        <v>104</v>
      </c>
      <c r="N572" s="45" cm="1">
        <f t="array" aca="1" ref="N572" ca="1">SUMPRODUCT((Table1[SubscriptionStart] &lt;= $A572) * (Table1[EffectiveEndDate] &gt;= $A572) * (Table1[Region] = "Northern Ireland"))</f>
        <v>90</v>
      </c>
      <c r="O572" s="45" cm="1">
        <f t="array" aca="1" ref="O572" ca="1">SUMPRODUCT((Table1[Gender]="Male")*(Table1[SubscriptionStart]&lt;=A572)*(Table1[EffectiveEndDate]&gt;=A572))</f>
        <v>198</v>
      </c>
      <c r="P572" s="45" cm="1">
        <f t="array" aca="1" ref="P572" ca="1">SUMPRODUCT((Table1[Gender]="Female")*(Table1[SubscriptionStart]&lt;=A572)*(Table1[EffectiveEndDate]&gt;=A572))</f>
        <v>188</v>
      </c>
    </row>
    <row r="573" spans="1:16">
      <c r="A573" s="48">
        <f t="shared" si="35"/>
        <v>45133</v>
      </c>
      <c r="B573" s="45" cm="1">
        <f t="array" aca="1" ref="B573" ca="1">SUMPRODUCT((Table1[SubscriptionStart]&lt;=A573)*(Table1[EffectiveEndDate]&gt;=A573))</f>
        <v>387</v>
      </c>
      <c r="C573" s="45">
        <f>COUNTIFS(Table1[SubscriptionStart], A573)</f>
        <v>2</v>
      </c>
      <c r="D573" s="45">
        <f>COUNTIFS(Table1[CancellationDate], A573)</f>
        <v>1</v>
      </c>
      <c r="E573" s="45">
        <f t="shared" si="32"/>
        <v>1</v>
      </c>
      <c r="F573" s="45">
        <f>SUM($C$2:C573)</f>
        <v>630</v>
      </c>
      <c r="G573" s="49" cm="1">
        <f t="array" aca="1" ref="G573" ca="1">IF(B573=0,"", SUMPRODUCT((Table1[SubscriptionStart]&lt;=A573)*(Table1[EffectiveEndDate]&gt;=A573)*Table1[Age]) / B573 )</f>
        <v>46.237726098191217</v>
      </c>
      <c r="H573" s="22">
        <f>SUMIF(Table1[SubscriptionStart],"&lt;="&amp;A573,Table1[TotalRevenue])</f>
        <v>129536.65000000015</v>
      </c>
      <c r="I573" s="50">
        <f t="shared" si="33"/>
        <v>45138</v>
      </c>
      <c r="J573" s="49">
        <f t="shared" ca="1" si="34"/>
        <v>386.93548387096774</v>
      </c>
      <c r="K573" s="45" cm="1">
        <f t="array" aca="1" ref="K573" ca="1">SUMPRODUCT((Table1[SubscriptionStart] &lt;= $A573) * (Table1[EffectiveEndDate] &gt;= $A573) * (Table1[Region] = "England"))</f>
        <v>105</v>
      </c>
      <c r="L573" s="45" cm="1">
        <f t="array" aca="1" ref="L573" ca="1">SUMPRODUCT((Table1[SubscriptionStart] &lt;= $A573) * (Table1[EffectiveEndDate] &gt;= $A573) * (Table1[Region] = "Scotland"))</f>
        <v>88</v>
      </c>
      <c r="M573" s="45" cm="1">
        <f t="array" aca="1" ref="M573" ca="1">SUMPRODUCT((Table1[SubscriptionStart] &lt;= $A573) * (Table1[EffectiveEndDate] &gt;= $A573) * (Table1[Region] = "Wales"))</f>
        <v>104</v>
      </c>
      <c r="N573" s="45" cm="1">
        <f t="array" aca="1" ref="N573" ca="1">SUMPRODUCT((Table1[SubscriptionStart] &lt;= $A573) * (Table1[EffectiveEndDate] &gt;= $A573) * (Table1[Region] = "Northern Ireland"))</f>
        <v>90</v>
      </c>
      <c r="O573" s="45" cm="1">
        <f t="array" aca="1" ref="O573" ca="1">SUMPRODUCT((Table1[Gender]="Male")*(Table1[SubscriptionStart]&lt;=A573)*(Table1[EffectiveEndDate]&gt;=A573))</f>
        <v>197</v>
      </c>
      <c r="P573" s="45" cm="1">
        <f t="array" aca="1" ref="P573" ca="1">SUMPRODUCT((Table1[Gender]="Female")*(Table1[SubscriptionStart]&lt;=A573)*(Table1[EffectiveEndDate]&gt;=A573))</f>
        <v>190</v>
      </c>
    </row>
    <row r="574" spans="1:16">
      <c r="A574" s="48">
        <f t="shared" si="35"/>
        <v>45134</v>
      </c>
      <c r="B574" s="45" cm="1">
        <f t="array" aca="1" ref="B574" ca="1">SUMPRODUCT((Table1[SubscriptionStart]&lt;=A574)*(Table1[EffectiveEndDate]&gt;=A574))</f>
        <v>388</v>
      </c>
      <c r="C574" s="45">
        <f>COUNTIFS(Table1[SubscriptionStart], A574)</f>
        <v>2</v>
      </c>
      <c r="D574" s="45">
        <f>COUNTIFS(Table1[CancellationDate], A574)</f>
        <v>0</v>
      </c>
      <c r="E574" s="45">
        <f t="shared" si="32"/>
        <v>2</v>
      </c>
      <c r="F574" s="45">
        <f>SUM($C$2:C574)</f>
        <v>632</v>
      </c>
      <c r="G574" s="49" cm="1">
        <f t="array" aca="1" ref="G574" ca="1">IF(B574=0,"", SUMPRODUCT((Table1[SubscriptionStart]&lt;=A574)*(Table1[EffectiveEndDate]&gt;=A574)*Table1[Age]) / B574 )</f>
        <v>46.208762886597938</v>
      </c>
      <c r="H574" s="22">
        <f>SUMIF(Table1[SubscriptionStart],"&lt;="&amp;A574,Table1[TotalRevenue])</f>
        <v>130188.65000000015</v>
      </c>
      <c r="I574" s="50">
        <f t="shared" si="33"/>
        <v>45138</v>
      </c>
      <c r="J574" s="49">
        <f t="shared" ca="1" si="34"/>
        <v>386.93548387096774</v>
      </c>
      <c r="K574" s="45" cm="1">
        <f t="array" aca="1" ref="K574" ca="1">SUMPRODUCT((Table1[SubscriptionStart] &lt;= $A574) * (Table1[EffectiveEndDate] &gt;= $A574) * (Table1[Region] = "England"))</f>
        <v>106</v>
      </c>
      <c r="L574" s="45" cm="1">
        <f t="array" aca="1" ref="L574" ca="1">SUMPRODUCT((Table1[SubscriptionStart] &lt;= $A574) * (Table1[EffectiveEndDate] &gt;= $A574) * (Table1[Region] = "Scotland"))</f>
        <v>88</v>
      </c>
      <c r="M574" s="45" cm="1">
        <f t="array" aca="1" ref="M574" ca="1">SUMPRODUCT((Table1[SubscriptionStart] &lt;= $A574) * (Table1[EffectiveEndDate] &gt;= $A574) * (Table1[Region] = "Wales"))</f>
        <v>104</v>
      </c>
      <c r="N574" s="45" cm="1">
        <f t="array" aca="1" ref="N574" ca="1">SUMPRODUCT((Table1[SubscriptionStart] &lt;= $A574) * (Table1[EffectiveEndDate] &gt;= $A574) * (Table1[Region] = "Northern Ireland"))</f>
        <v>90</v>
      </c>
      <c r="O574" s="45" cm="1">
        <f t="array" aca="1" ref="O574" ca="1">SUMPRODUCT((Table1[Gender]="Male")*(Table1[SubscriptionStart]&lt;=A574)*(Table1[EffectiveEndDate]&gt;=A574))</f>
        <v>198</v>
      </c>
      <c r="P574" s="45" cm="1">
        <f t="array" aca="1" ref="P574" ca="1">SUMPRODUCT((Table1[Gender]="Female")*(Table1[SubscriptionStart]&lt;=A574)*(Table1[EffectiveEndDate]&gt;=A574))</f>
        <v>190</v>
      </c>
    </row>
    <row r="575" spans="1:16">
      <c r="A575" s="48">
        <f t="shared" si="35"/>
        <v>45135</v>
      </c>
      <c r="B575" s="45" cm="1">
        <f t="array" aca="1" ref="B575" ca="1">SUMPRODUCT((Table1[SubscriptionStart]&lt;=A575)*(Table1[EffectiveEndDate]&gt;=A575))</f>
        <v>391</v>
      </c>
      <c r="C575" s="45">
        <f>COUNTIFS(Table1[SubscriptionStart], A575)</f>
        <v>3</v>
      </c>
      <c r="D575" s="45">
        <f>COUNTIFS(Table1[CancellationDate], A575)</f>
        <v>1</v>
      </c>
      <c r="E575" s="45">
        <f t="shared" si="32"/>
        <v>2</v>
      </c>
      <c r="F575" s="45">
        <f>SUM($C$2:C575)</f>
        <v>635</v>
      </c>
      <c r="G575" s="49" cm="1">
        <f t="array" aca="1" ref="G575" ca="1">IF(B575=0,"", SUMPRODUCT((Table1[SubscriptionStart]&lt;=A575)*(Table1[EffectiveEndDate]&gt;=A575)*Table1[Age]) / B575 )</f>
        <v>46.248081841432224</v>
      </c>
      <c r="H575" s="22">
        <f>SUMIF(Table1[SubscriptionStart],"&lt;="&amp;A575,Table1[TotalRevenue])</f>
        <v>131221.15000000014</v>
      </c>
      <c r="I575" s="50">
        <f t="shared" si="33"/>
        <v>45138</v>
      </c>
      <c r="J575" s="49">
        <f t="shared" ca="1" si="34"/>
        <v>386.93548387096774</v>
      </c>
      <c r="K575" s="45" cm="1">
        <f t="array" aca="1" ref="K575" ca="1">SUMPRODUCT((Table1[SubscriptionStart] &lt;= $A575) * (Table1[EffectiveEndDate] &gt;= $A575) * (Table1[Region] = "England"))</f>
        <v>106</v>
      </c>
      <c r="L575" s="45" cm="1">
        <f t="array" aca="1" ref="L575" ca="1">SUMPRODUCT((Table1[SubscriptionStart] &lt;= $A575) * (Table1[EffectiveEndDate] &gt;= $A575) * (Table1[Region] = "Scotland"))</f>
        <v>89</v>
      </c>
      <c r="M575" s="45" cm="1">
        <f t="array" aca="1" ref="M575" ca="1">SUMPRODUCT((Table1[SubscriptionStart] &lt;= $A575) * (Table1[EffectiveEndDate] &gt;= $A575) * (Table1[Region] = "Wales"))</f>
        <v>105</v>
      </c>
      <c r="N575" s="45" cm="1">
        <f t="array" aca="1" ref="N575" ca="1">SUMPRODUCT((Table1[SubscriptionStart] &lt;= $A575) * (Table1[EffectiveEndDate] &gt;= $A575) * (Table1[Region] = "Northern Ireland"))</f>
        <v>91</v>
      </c>
      <c r="O575" s="45" cm="1">
        <f t="array" aca="1" ref="O575" ca="1">SUMPRODUCT((Table1[Gender]="Male")*(Table1[SubscriptionStart]&lt;=A575)*(Table1[EffectiveEndDate]&gt;=A575))</f>
        <v>199</v>
      </c>
      <c r="P575" s="45" cm="1">
        <f t="array" aca="1" ref="P575" ca="1">SUMPRODUCT((Table1[Gender]="Female")*(Table1[SubscriptionStart]&lt;=A575)*(Table1[EffectiveEndDate]&gt;=A575))</f>
        <v>192</v>
      </c>
    </row>
    <row r="576" spans="1:16">
      <c r="A576" s="48">
        <f t="shared" si="35"/>
        <v>45136</v>
      </c>
      <c r="B576" s="45" cm="1">
        <f t="array" aca="1" ref="B576" ca="1">SUMPRODUCT((Table1[SubscriptionStart]&lt;=A576)*(Table1[EffectiveEndDate]&gt;=A576))</f>
        <v>394</v>
      </c>
      <c r="C576" s="45">
        <f>COUNTIFS(Table1[SubscriptionStart], A576)</f>
        <v>4</v>
      </c>
      <c r="D576" s="45">
        <f>COUNTIFS(Table1[CancellationDate], A576)</f>
        <v>0</v>
      </c>
      <c r="E576" s="45">
        <f t="shared" si="32"/>
        <v>4</v>
      </c>
      <c r="F576" s="45">
        <f>SUM($C$2:C576)</f>
        <v>639</v>
      </c>
      <c r="G576" s="49" cm="1">
        <f t="array" aca="1" ref="G576" ca="1">IF(B576=0,"", SUMPRODUCT((Table1[SubscriptionStart]&lt;=A576)*(Table1[EffectiveEndDate]&gt;=A576)*Table1[Age]) / B576 )</f>
        <v>46.294416243654823</v>
      </c>
      <c r="H576" s="22">
        <f>SUMIF(Table1[SubscriptionStart],"&lt;="&amp;A576,Table1[TotalRevenue])</f>
        <v>131795.05000000013</v>
      </c>
      <c r="I576" s="50">
        <f t="shared" si="33"/>
        <v>45138</v>
      </c>
      <c r="J576" s="49">
        <f t="shared" ca="1" si="34"/>
        <v>386.93548387096774</v>
      </c>
      <c r="K576" s="45" cm="1">
        <f t="array" aca="1" ref="K576" ca="1">SUMPRODUCT((Table1[SubscriptionStart] &lt;= $A576) * (Table1[EffectiveEndDate] &gt;= $A576) * (Table1[Region] = "England"))</f>
        <v>107</v>
      </c>
      <c r="L576" s="45" cm="1">
        <f t="array" aca="1" ref="L576" ca="1">SUMPRODUCT((Table1[SubscriptionStart] &lt;= $A576) * (Table1[EffectiveEndDate] &gt;= $A576) * (Table1[Region] = "Scotland"))</f>
        <v>89</v>
      </c>
      <c r="M576" s="45" cm="1">
        <f t="array" aca="1" ref="M576" ca="1">SUMPRODUCT((Table1[SubscriptionStart] &lt;= $A576) * (Table1[EffectiveEndDate] &gt;= $A576) * (Table1[Region] = "Wales"))</f>
        <v>107</v>
      </c>
      <c r="N576" s="45" cm="1">
        <f t="array" aca="1" ref="N576" ca="1">SUMPRODUCT((Table1[SubscriptionStart] &lt;= $A576) * (Table1[EffectiveEndDate] &gt;= $A576) * (Table1[Region] = "Northern Ireland"))</f>
        <v>91</v>
      </c>
      <c r="O576" s="45" cm="1">
        <f t="array" aca="1" ref="O576" ca="1">SUMPRODUCT((Table1[Gender]="Male")*(Table1[SubscriptionStart]&lt;=A576)*(Table1[EffectiveEndDate]&gt;=A576))</f>
        <v>200</v>
      </c>
      <c r="P576" s="45" cm="1">
        <f t="array" aca="1" ref="P576" ca="1">SUMPRODUCT((Table1[Gender]="Female")*(Table1[SubscriptionStart]&lt;=A576)*(Table1[EffectiveEndDate]&gt;=A576))</f>
        <v>194</v>
      </c>
    </row>
    <row r="577" spans="1:16">
      <c r="A577" s="48">
        <f t="shared" si="35"/>
        <v>45137</v>
      </c>
      <c r="B577" s="45" cm="1">
        <f t="array" aca="1" ref="B577" ca="1">SUMPRODUCT((Table1[SubscriptionStart]&lt;=A577)*(Table1[EffectiveEndDate]&gt;=A577))</f>
        <v>396</v>
      </c>
      <c r="C577" s="45">
        <f>COUNTIFS(Table1[SubscriptionStart], A577)</f>
        <v>2</v>
      </c>
      <c r="D577" s="45">
        <f>COUNTIFS(Table1[CancellationDate], A577)</f>
        <v>0</v>
      </c>
      <c r="E577" s="45">
        <f t="shared" si="32"/>
        <v>2</v>
      </c>
      <c r="F577" s="45">
        <f>SUM($C$2:C577)</f>
        <v>641</v>
      </c>
      <c r="G577" s="49" cm="1">
        <f t="array" aca="1" ref="G577" ca="1">IF(B577=0,"", SUMPRODUCT((Table1[SubscriptionStart]&lt;=A577)*(Table1[EffectiveEndDate]&gt;=A577)*Table1[Age]) / B577 )</f>
        <v>46.330808080808083</v>
      </c>
      <c r="H577" s="22">
        <f>SUMIF(Table1[SubscriptionStart],"&lt;="&amp;A577,Table1[TotalRevenue])</f>
        <v>131975.05000000013</v>
      </c>
      <c r="I577" s="50">
        <f t="shared" si="33"/>
        <v>45138</v>
      </c>
      <c r="J577" s="49">
        <f t="shared" ca="1" si="34"/>
        <v>386.93548387096774</v>
      </c>
      <c r="K577" s="45" cm="1">
        <f t="array" aca="1" ref="K577" ca="1">SUMPRODUCT((Table1[SubscriptionStart] &lt;= $A577) * (Table1[EffectiveEndDate] &gt;= $A577) * (Table1[Region] = "England"))</f>
        <v>108</v>
      </c>
      <c r="L577" s="45" cm="1">
        <f t="array" aca="1" ref="L577" ca="1">SUMPRODUCT((Table1[SubscriptionStart] &lt;= $A577) * (Table1[EffectiveEndDate] &gt;= $A577) * (Table1[Region] = "Scotland"))</f>
        <v>90</v>
      </c>
      <c r="M577" s="45" cm="1">
        <f t="array" aca="1" ref="M577" ca="1">SUMPRODUCT((Table1[SubscriptionStart] &lt;= $A577) * (Table1[EffectiveEndDate] &gt;= $A577) * (Table1[Region] = "Wales"))</f>
        <v>107</v>
      </c>
      <c r="N577" s="45" cm="1">
        <f t="array" aca="1" ref="N577" ca="1">SUMPRODUCT((Table1[SubscriptionStart] &lt;= $A577) * (Table1[EffectiveEndDate] &gt;= $A577) * (Table1[Region] = "Northern Ireland"))</f>
        <v>91</v>
      </c>
      <c r="O577" s="45" cm="1">
        <f t="array" aca="1" ref="O577" ca="1">SUMPRODUCT((Table1[Gender]="Male")*(Table1[SubscriptionStart]&lt;=A577)*(Table1[EffectiveEndDate]&gt;=A577))</f>
        <v>202</v>
      </c>
      <c r="P577" s="45" cm="1">
        <f t="array" aca="1" ref="P577" ca="1">SUMPRODUCT((Table1[Gender]="Female")*(Table1[SubscriptionStart]&lt;=A577)*(Table1[EffectiveEndDate]&gt;=A577))</f>
        <v>194</v>
      </c>
    </row>
    <row r="578" spans="1:16">
      <c r="A578" s="48">
        <f t="shared" si="35"/>
        <v>45138</v>
      </c>
      <c r="B578" s="45" cm="1">
        <f t="array" aca="1" ref="B578" ca="1">SUMPRODUCT((Table1[SubscriptionStart]&lt;=A578)*(Table1[EffectiveEndDate]&gt;=A578))</f>
        <v>396</v>
      </c>
      <c r="C578" s="45">
        <f>COUNTIFS(Table1[SubscriptionStart], A578)</f>
        <v>0</v>
      </c>
      <c r="D578" s="45">
        <f>COUNTIFS(Table1[CancellationDate], A578)</f>
        <v>1</v>
      </c>
      <c r="E578" s="45">
        <f t="shared" ref="E578:E641" si="36" xml:space="preserve"> C578 - D578</f>
        <v>-1</v>
      </c>
      <c r="F578" s="45">
        <f>SUM($C$2:C578)</f>
        <v>641</v>
      </c>
      <c r="G578" s="49" cm="1">
        <f t="array" aca="1" ref="G578" ca="1">IF(B578=0,"", SUMPRODUCT((Table1[SubscriptionStart]&lt;=A578)*(Table1[EffectiveEndDate]&gt;=A578)*Table1[Age]) / B578 )</f>
        <v>46.330808080808083</v>
      </c>
      <c r="H578" s="22">
        <f>SUMIF(Table1[SubscriptionStart],"&lt;="&amp;A578,Table1[TotalRevenue])</f>
        <v>131975.05000000013</v>
      </c>
      <c r="I578" s="50">
        <f t="shared" ref="I578:I641" si="37">EOMONTH(A578,0)</f>
        <v>45138</v>
      </c>
      <c r="J578" s="49">
        <f t="shared" ref="J578:J641" ca="1" si="38">AVERAGEIFS(B:B, I:I, I578)</f>
        <v>386.93548387096774</v>
      </c>
      <c r="K578" s="45" cm="1">
        <f t="array" aca="1" ref="K578" ca="1">SUMPRODUCT((Table1[SubscriptionStart] &lt;= $A578) * (Table1[EffectiveEndDate] &gt;= $A578) * (Table1[Region] = "England"))</f>
        <v>108</v>
      </c>
      <c r="L578" s="45" cm="1">
        <f t="array" aca="1" ref="L578" ca="1">SUMPRODUCT((Table1[SubscriptionStart] &lt;= $A578) * (Table1[EffectiveEndDate] &gt;= $A578) * (Table1[Region] = "Scotland"))</f>
        <v>90</v>
      </c>
      <c r="M578" s="45" cm="1">
        <f t="array" aca="1" ref="M578" ca="1">SUMPRODUCT((Table1[SubscriptionStart] &lt;= $A578) * (Table1[EffectiveEndDate] &gt;= $A578) * (Table1[Region] = "Wales"))</f>
        <v>107</v>
      </c>
      <c r="N578" s="45" cm="1">
        <f t="array" aca="1" ref="N578" ca="1">SUMPRODUCT((Table1[SubscriptionStart] &lt;= $A578) * (Table1[EffectiveEndDate] &gt;= $A578) * (Table1[Region] = "Northern Ireland"))</f>
        <v>91</v>
      </c>
      <c r="O578" s="45" cm="1">
        <f t="array" aca="1" ref="O578" ca="1">SUMPRODUCT((Table1[Gender]="Male")*(Table1[SubscriptionStart]&lt;=A578)*(Table1[EffectiveEndDate]&gt;=A578))</f>
        <v>202</v>
      </c>
      <c r="P578" s="45" cm="1">
        <f t="array" aca="1" ref="P578" ca="1">SUMPRODUCT((Table1[Gender]="Female")*(Table1[SubscriptionStart]&lt;=A578)*(Table1[EffectiveEndDate]&gt;=A578))</f>
        <v>194</v>
      </c>
    </row>
    <row r="579" spans="1:16">
      <c r="A579" s="48">
        <f t="shared" si="35"/>
        <v>45139</v>
      </c>
      <c r="B579" s="45" cm="1">
        <f t="array" aca="1" ref="B579" ca="1">SUMPRODUCT((Table1[SubscriptionStart]&lt;=A579)*(Table1[EffectiveEndDate]&gt;=A579))</f>
        <v>398</v>
      </c>
      <c r="C579" s="45">
        <f>COUNTIFS(Table1[SubscriptionStart], A579)</f>
        <v>3</v>
      </c>
      <c r="D579" s="45">
        <f>COUNTIFS(Table1[CancellationDate], A579)</f>
        <v>1</v>
      </c>
      <c r="E579" s="45">
        <f t="shared" si="36"/>
        <v>2</v>
      </c>
      <c r="F579" s="45">
        <f>SUM($C$2:C579)</f>
        <v>644</v>
      </c>
      <c r="G579" s="49" cm="1">
        <f t="array" aca="1" ref="G579" ca="1">IF(B579=0,"", SUMPRODUCT((Table1[SubscriptionStart]&lt;=A579)*(Table1[EffectiveEndDate]&gt;=A579)*Table1[Age]) / B579 )</f>
        <v>46.266331658291456</v>
      </c>
      <c r="H579" s="22">
        <f>SUMIF(Table1[SubscriptionStart],"&lt;="&amp;A579,Table1[TotalRevenue])</f>
        <v>132699.05000000013</v>
      </c>
      <c r="I579" s="50">
        <f t="shared" si="37"/>
        <v>45169</v>
      </c>
      <c r="J579" s="49">
        <f t="shared" ca="1" si="38"/>
        <v>401.12903225806451</v>
      </c>
      <c r="K579" s="45" cm="1">
        <f t="array" aca="1" ref="K579" ca="1">SUMPRODUCT((Table1[SubscriptionStart] &lt;= $A579) * (Table1[EffectiveEndDate] &gt;= $A579) * (Table1[Region] = "England"))</f>
        <v>109</v>
      </c>
      <c r="L579" s="45" cm="1">
        <f t="array" aca="1" ref="L579" ca="1">SUMPRODUCT((Table1[SubscriptionStart] &lt;= $A579) * (Table1[EffectiveEndDate] &gt;= $A579) * (Table1[Region] = "Scotland"))</f>
        <v>91</v>
      </c>
      <c r="M579" s="45" cm="1">
        <f t="array" aca="1" ref="M579" ca="1">SUMPRODUCT((Table1[SubscriptionStart] &lt;= $A579) * (Table1[EffectiveEndDate] &gt;= $A579) * (Table1[Region] = "Wales"))</f>
        <v>106</v>
      </c>
      <c r="N579" s="45" cm="1">
        <f t="array" aca="1" ref="N579" ca="1">SUMPRODUCT((Table1[SubscriptionStart] &lt;= $A579) * (Table1[EffectiveEndDate] &gt;= $A579) * (Table1[Region] = "Northern Ireland"))</f>
        <v>92</v>
      </c>
      <c r="O579" s="45" cm="1">
        <f t="array" aca="1" ref="O579" ca="1">SUMPRODUCT((Table1[Gender]="Male")*(Table1[SubscriptionStart]&lt;=A579)*(Table1[EffectiveEndDate]&gt;=A579))</f>
        <v>203</v>
      </c>
      <c r="P579" s="45" cm="1">
        <f t="array" aca="1" ref="P579" ca="1">SUMPRODUCT((Table1[Gender]="Female")*(Table1[SubscriptionStart]&lt;=A579)*(Table1[EffectiveEndDate]&gt;=A579))</f>
        <v>195</v>
      </c>
    </row>
    <row r="580" spans="1:16">
      <c r="A580" s="48">
        <f t="shared" ref="A580:A643" si="39">A579+1</f>
        <v>45140</v>
      </c>
      <c r="B580" s="45" cm="1">
        <f t="array" aca="1" ref="B580" ca="1">SUMPRODUCT((Table1[SubscriptionStart]&lt;=A580)*(Table1[EffectiveEndDate]&gt;=A580))</f>
        <v>398</v>
      </c>
      <c r="C580" s="45">
        <f>COUNTIFS(Table1[SubscriptionStart], A580)</f>
        <v>1</v>
      </c>
      <c r="D580" s="45">
        <f>COUNTIFS(Table1[CancellationDate], A580)</f>
        <v>0</v>
      </c>
      <c r="E580" s="45">
        <f t="shared" si="36"/>
        <v>1</v>
      </c>
      <c r="F580" s="45">
        <f>SUM($C$2:C580)</f>
        <v>645</v>
      </c>
      <c r="G580" s="49" cm="1">
        <f t="array" aca="1" ref="G580" ca="1">IF(B580=0,"", SUMPRODUCT((Table1[SubscriptionStart]&lt;=A580)*(Table1[EffectiveEndDate]&gt;=A580)*Table1[Age]) / B580 )</f>
        <v>46.133165829145732</v>
      </c>
      <c r="H580" s="22">
        <f>SUMIF(Table1[SubscriptionStart],"&lt;="&amp;A580,Table1[TotalRevenue])</f>
        <v>132699.05000000013</v>
      </c>
      <c r="I580" s="50">
        <f t="shared" si="37"/>
        <v>45169</v>
      </c>
      <c r="J580" s="49">
        <f t="shared" ca="1" si="38"/>
        <v>401.12903225806451</v>
      </c>
      <c r="K580" s="45" cm="1">
        <f t="array" aca="1" ref="K580" ca="1">SUMPRODUCT((Table1[SubscriptionStart] &lt;= $A580) * (Table1[EffectiveEndDate] &gt;= $A580) * (Table1[Region] = "England"))</f>
        <v>108</v>
      </c>
      <c r="L580" s="45" cm="1">
        <f t="array" aca="1" ref="L580" ca="1">SUMPRODUCT((Table1[SubscriptionStart] &lt;= $A580) * (Table1[EffectiveEndDate] &gt;= $A580) * (Table1[Region] = "Scotland"))</f>
        <v>92</v>
      </c>
      <c r="M580" s="45" cm="1">
        <f t="array" aca="1" ref="M580" ca="1">SUMPRODUCT((Table1[SubscriptionStart] &lt;= $A580) * (Table1[EffectiveEndDate] &gt;= $A580) * (Table1[Region] = "Wales"))</f>
        <v>106</v>
      </c>
      <c r="N580" s="45" cm="1">
        <f t="array" aca="1" ref="N580" ca="1">SUMPRODUCT((Table1[SubscriptionStart] &lt;= $A580) * (Table1[EffectiveEndDate] &gt;= $A580) * (Table1[Region] = "Northern Ireland"))</f>
        <v>92</v>
      </c>
      <c r="O580" s="45" cm="1">
        <f t="array" aca="1" ref="O580" ca="1">SUMPRODUCT((Table1[Gender]="Male")*(Table1[SubscriptionStart]&lt;=A580)*(Table1[EffectiveEndDate]&gt;=A580))</f>
        <v>202</v>
      </c>
      <c r="P580" s="45" cm="1">
        <f t="array" aca="1" ref="P580" ca="1">SUMPRODUCT((Table1[Gender]="Female")*(Table1[SubscriptionStart]&lt;=A580)*(Table1[EffectiveEndDate]&gt;=A580))</f>
        <v>196</v>
      </c>
    </row>
    <row r="581" spans="1:16">
      <c r="A581" s="48">
        <f t="shared" si="39"/>
        <v>45141</v>
      </c>
      <c r="B581" s="45" cm="1">
        <f t="array" aca="1" ref="B581" ca="1">SUMPRODUCT((Table1[SubscriptionStart]&lt;=A581)*(Table1[EffectiveEndDate]&gt;=A581))</f>
        <v>401</v>
      </c>
      <c r="C581" s="45">
        <f>COUNTIFS(Table1[SubscriptionStart], A581)</f>
        <v>3</v>
      </c>
      <c r="D581" s="45">
        <f>COUNTIFS(Table1[CancellationDate], A581)</f>
        <v>0</v>
      </c>
      <c r="E581" s="45">
        <f t="shared" si="36"/>
        <v>3</v>
      </c>
      <c r="F581" s="45">
        <f>SUM($C$2:C581)</f>
        <v>648</v>
      </c>
      <c r="G581" s="49" cm="1">
        <f t="array" aca="1" ref="G581" ca="1">IF(B581=0,"", SUMPRODUCT((Table1[SubscriptionStart]&lt;=A581)*(Table1[EffectiveEndDate]&gt;=A581)*Table1[Age]) / B581 )</f>
        <v>46.159600997506232</v>
      </c>
      <c r="H581" s="22">
        <f>SUMIF(Table1[SubscriptionStart],"&lt;="&amp;A581,Table1[TotalRevenue])</f>
        <v>133296.65000000014</v>
      </c>
      <c r="I581" s="50">
        <f t="shared" si="37"/>
        <v>45169</v>
      </c>
      <c r="J581" s="49">
        <f t="shared" ca="1" si="38"/>
        <v>401.12903225806451</v>
      </c>
      <c r="K581" s="45" cm="1">
        <f t="array" aca="1" ref="K581" ca="1">SUMPRODUCT((Table1[SubscriptionStart] &lt;= $A581) * (Table1[EffectiveEndDate] &gt;= $A581) * (Table1[Region] = "England"))</f>
        <v>108</v>
      </c>
      <c r="L581" s="45" cm="1">
        <f t="array" aca="1" ref="L581" ca="1">SUMPRODUCT((Table1[SubscriptionStart] &lt;= $A581) * (Table1[EffectiveEndDate] &gt;= $A581) * (Table1[Region] = "Scotland"))</f>
        <v>95</v>
      </c>
      <c r="M581" s="45" cm="1">
        <f t="array" aca="1" ref="M581" ca="1">SUMPRODUCT((Table1[SubscriptionStart] &lt;= $A581) * (Table1[EffectiveEndDate] &gt;= $A581) * (Table1[Region] = "Wales"))</f>
        <v>106</v>
      </c>
      <c r="N581" s="45" cm="1">
        <f t="array" aca="1" ref="N581" ca="1">SUMPRODUCT((Table1[SubscriptionStart] &lt;= $A581) * (Table1[EffectiveEndDate] &gt;= $A581) * (Table1[Region] = "Northern Ireland"))</f>
        <v>92</v>
      </c>
      <c r="O581" s="45" cm="1">
        <f t="array" aca="1" ref="O581" ca="1">SUMPRODUCT((Table1[Gender]="Male")*(Table1[SubscriptionStart]&lt;=A581)*(Table1[EffectiveEndDate]&gt;=A581))</f>
        <v>204</v>
      </c>
      <c r="P581" s="45" cm="1">
        <f t="array" aca="1" ref="P581" ca="1">SUMPRODUCT((Table1[Gender]="Female")*(Table1[SubscriptionStart]&lt;=A581)*(Table1[EffectiveEndDate]&gt;=A581))</f>
        <v>197</v>
      </c>
    </row>
    <row r="582" spans="1:16">
      <c r="A582" s="48">
        <f t="shared" si="39"/>
        <v>45142</v>
      </c>
      <c r="B582" s="45" cm="1">
        <f t="array" aca="1" ref="B582" ca="1">SUMPRODUCT((Table1[SubscriptionStart]&lt;=A582)*(Table1[EffectiveEndDate]&gt;=A582))</f>
        <v>403</v>
      </c>
      <c r="C582" s="45">
        <f>COUNTIFS(Table1[SubscriptionStart], A582)</f>
        <v>2</v>
      </c>
      <c r="D582" s="45">
        <f>COUNTIFS(Table1[CancellationDate], A582)</f>
        <v>1</v>
      </c>
      <c r="E582" s="45">
        <f t="shared" si="36"/>
        <v>1</v>
      </c>
      <c r="F582" s="45">
        <f>SUM($C$2:C582)</f>
        <v>650</v>
      </c>
      <c r="G582" s="49" cm="1">
        <f t="array" aca="1" ref="G582" ca="1">IF(B582=0,"", SUMPRODUCT((Table1[SubscriptionStart]&lt;=A582)*(Table1[EffectiveEndDate]&gt;=A582)*Table1[Age]) / B582 )</f>
        <v>46.178660049627794</v>
      </c>
      <c r="H582" s="22">
        <f>SUMIF(Table1[SubscriptionStart],"&lt;="&amp;A582,Table1[TotalRevenue])</f>
        <v>133834.85000000015</v>
      </c>
      <c r="I582" s="50">
        <f t="shared" si="37"/>
        <v>45169</v>
      </c>
      <c r="J582" s="49">
        <f t="shared" ca="1" si="38"/>
        <v>401.12903225806451</v>
      </c>
      <c r="K582" s="45" cm="1">
        <f t="array" aca="1" ref="K582" ca="1">SUMPRODUCT((Table1[SubscriptionStart] &lt;= $A582) * (Table1[EffectiveEndDate] &gt;= $A582) * (Table1[Region] = "England"))</f>
        <v>108</v>
      </c>
      <c r="L582" s="45" cm="1">
        <f t="array" aca="1" ref="L582" ca="1">SUMPRODUCT((Table1[SubscriptionStart] &lt;= $A582) * (Table1[EffectiveEndDate] &gt;= $A582) * (Table1[Region] = "Scotland"))</f>
        <v>95</v>
      </c>
      <c r="M582" s="45" cm="1">
        <f t="array" aca="1" ref="M582" ca="1">SUMPRODUCT((Table1[SubscriptionStart] &lt;= $A582) * (Table1[EffectiveEndDate] &gt;= $A582) * (Table1[Region] = "Wales"))</f>
        <v>106</v>
      </c>
      <c r="N582" s="45" cm="1">
        <f t="array" aca="1" ref="N582" ca="1">SUMPRODUCT((Table1[SubscriptionStart] &lt;= $A582) * (Table1[EffectiveEndDate] &gt;= $A582) * (Table1[Region] = "Northern Ireland"))</f>
        <v>94</v>
      </c>
      <c r="O582" s="45" cm="1">
        <f t="array" aca="1" ref="O582" ca="1">SUMPRODUCT((Table1[Gender]="Male")*(Table1[SubscriptionStart]&lt;=A582)*(Table1[EffectiveEndDate]&gt;=A582))</f>
        <v>204</v>
      </c>
      <c r="P582" s="45" cm="1">
        <f t="array" aca="1" ref="P582" ca="1">SUMPRODUCT((Table1[Gender]="Female")*(Table1[SubscriptionStart]&lt;=A582)*(Table1[EffectiveEndDate]&gt;=A582))</f>
        <v>199</v>
      </c>
    </row>
    <row r="583" spans="1:16">
      <c r="A583" s="48">
        <f t="shared" si="39"/>
        <v>45143</v>
      </c>
      <c r="B583" s="45" cm="1">
        <f t="array" aca="1" ref="B583" ca="1">SUMPRODUCT((Table1[SubscriptionStart]&lt;=A583)*(Table1[EffectiveEndDate]&gt;=A583))</f>
        <v>403</v>
      </c>
      <c r="C583" s="45">
        <f>COUNTIFS(Table1[SubscriptionStart], A583)</f>
        <v>1</v>
      </c>
      <c r="D583" s="45">
        <f>COUNTIFS(Table1[CancellationDate], A583)</f>
        <v>2</v>
      </c>
      <c r="E583" s="45">
        <f t="shared" si="36"/>
        <v>-1</v>
      </c>
      <c r="F583" s="45">
        <f>SUM($C$2:C583)</f>
        <v>651</v>
      </c>
      <c r="G583" s="49" cm="1">
        <f t="array" aca="1" ref="G583" ca="1">IF(B583=0,"", SUMPRODUCT((Table1[SubscriptionStart]&lt;=A583)*(Table1[EffectiveEndDate]&gt;=A583)*Table1[Age]) / B583 )</f>
        <v>46.161290322580648</v>
      </c>
      <c r="H583" s="22">
        <f>SUMIF(Table1[SubscriptionStart],"&lt;="&amp;A583,Table1[TotalRevenue])</f>
        <v>134014.85000000015</v>
      </c>
      <c r="I583" s="50">
        <f t="shared" si="37"/>
        <v>45169</v>
      </c>
      <c r="J583" s="49">
        <f t="shared" ca="1" si="38"/>
        <v>401.12903225806451</v>
      </c>
      <c r="K583" s="45" cm="1">
        <f t="array" aca="1" ref="K583" ca="1">SUMPRODUCT((Table1[SubscriptionStart] &lt;= $A583) * (Table1[EffectiveEndDate] &gt;= $A583) * (Table1[Region] = "England"))</f>
        <v>107</v>
      </c>
      <c r="L583" s="45" cm="1">
        <f t="array" aca="1" ref="L583" ca="1">SUMPRODUCT((Table1[SubscriptionStart] &lt;= $A583) * (Table1[EffectiveEndDate] &gt;= $A583) * (Table1[Region] = "Scotland"))</f>
        <v>95</v>
      </c>
      <c r="M583" s="45" cm="1">
        <f t="array" aca="1" ref="M583" ca="1">SUMPRODUCT((Table1[SubscriptionStart] &lt;= $A583) * (Table1[EffectiveEndDate] &gt;= $A583) * (Table1[Region] = "Wales"))</f>
        <v>107</v>
      </c>
      <c r="N583" s="45" cm="1">
        <f t="array" aca="1" ref="N583" ca="1">SUMPRODUCT((Table1[SubscriptionStart] &lt;= $A583) * (Table1[EffectiveEndDate] &gt;= $A583) * (Table1[Region] = "Northern Ireland"))</f>
        <v>94</v>
      </c>
      <c r="O583" s="45" cm="1">
        <f t="array" aca="1" ref="O583" ca="1">SUMPRODUCT((Table1[Gender]="Male")*(Table1[SubscriptionStart]&lt;=A583)*(Table1[EffectiveEndDate]&gt;=A583))</f>
        <v>204</v>
      </c>
      <c r="P583" s="45" cm="1">
        <f t="array" aca="1" ref="P583" ca="1">SUMPRODUCT((Table1[Gender]="Female")*(Table1[SubscriptionStart]&lt;=A583)*(Table1[EffectiveEndDate]&gt;=A583))</f>
        <v>199</v>
      </c>
    </row>
    <row r="584" spans="1:16">
      <c r="A584" s="48">
        <f t="shared" si="39"/>
        <v>45144</v>
      </c>
      <c r="B584" s="45" cm="1">
        <f t="array" aca="1" ref="B584" ca="1">SUMPRODUCT((Table1[SubscriptionStart]&lt;=A584)*(Table1[EffectiveEndDate]&gt;=A584))</f>
        <v>401</v>
      </c>
      <c r="C584" s="45">
        <f>COUNTIFS(Table1[SubscriptionStart], A584)</f>
        <v>0</v>
      </c>
      <c r="D584" s="45">
        <f>COUNTIFS(Table1[CancellationDate], A584)</f>
        <v>2</v>
      </c>
      <c r="E584" s="45">
        <f t="shared" si="36"/>
        <v>-2</v>
      </c>
      <c r="F584" s="45">
        <f>SUM($C$2:C584)</f>
        <v>651</v>
      </c>
      <c r="G584" s="49" cm="1">
        <f t="array" aca="1" ref="G584" ca="1">IF(B584=0,"", SUMPRODUCT((Table1[SubscriptionStart]&lt;=A584)*(Table1[EffectiveEndDate]&gt;=A584)*Table1[Age]) / B584 )</f>
        <v>46.134663341645883</v>
      </c>
      <c r="H584" s="22">
        <f>SUMIF(Table1[SubscriptionStart],"&lt;="&amp;A584,Table1[TotalRevenue])</f>
        <v>134014.85000000015</v>
      </c>
      <c r="I584" s="50">
        <f t="shared" si="37"/>
        <v>45169</v>
      </c>
      <c r="J584" s="49">
        <f t="shared" ca="1" si="38"/>
        <v>401.12903225806451</v>
      </c>
      <c r="K584" s="45" cm="1">
        <f t="array" aca="1" ref="K584" ca="1">SUMPRODUCT((Table1[SubscriptionStart] &lt;= $A584) * (Table1[EffectiveEndDate] &gt;= $A584) * (Table1[Region] = "England"))</f>
        <v>106</v>
      </c>
      <c r="L584" s="45" cm="1">
        <f t="array" aca="1" ref="L584" ca="1">SUMPRODUCT((Table1[SubscriptionStart] &lt;= $A584) * (Table1[EffectiveEndDate] &gt;= $A584) * (Table1[Region] = "Scotland"))</f>
        <v>95</v>
      </c>
      <c r="M584" s="45" cm="1">
        <f t="array" aca="1" ref="M584" ca="1">SUMPRODUCT((Table1[SubscriptionStart] &lt;= $A584) * (Table1[EffectiveEndDate] &gt;= $A584) * (Table1[Region] = "Wales"))</f>
        <v>106</v>
      </c>
      <c r="N584" s="45" cm="1">
        <f t="array" aca="1" ref="N584" ca="1">SUMPRODUCT((Table1[SubscriptionStart] &lt;= $A584) * (Table1[EffectiveEndDate] &gt;= $A584) * (Table1[Region] = "Northern Ireland"))</f>
        <v>94</v>
      </c>
      <c r="O584" s="45" cm="1">
        <f t="array" aca="1" ref="O584" ca="1">SUMPRODUCT((Table1[Gender]="Male")*(Table1[SubscriptionStart]&lt;=A584)*(Table1[EffectiveEndDate]&gt;=A584))</f>
        <v>204</v>
      </c>
      <c r="P584" s="45" cm="1">
        <f t="array" aca="1" ref="P584" ca="1">SUMPRODUCT((Table1[Gender]="Female")*(Table1[SubscriptionStart]&lt;=A584)*(Table1[EffectiveEndDate]&gt;=A584))</f>
        <v>197</v>
      </c>
    </row>
    <row r="585" spans="1:16">
      <c r="A585" s="48">
        <f t="shared" si="39"/>
        <v>45145</v>
      </c>
      <c r="B585" s="45" cm="1">
        <f t="array" aca="1" ref="B585" ca="1">SUMPRODUCT((Table1[SubscriptionStart]&lt;=A585)*(Table1[EffectiveEndDate]&gt;=A585))</f>
        <v>401</v>
      </c>
      <c r="C585" s="45">
        <f>COUNTIFS(Table1[SubscriptionStart], A585)</f>
        <v>2</v>
      </c>
      <c r="D585" s="45">
        <f>COUNTIFS(Table1[CancellationDate], A585)</f>
        <v>3</v>
      </c>
      <c r="E585" s="45">
        <f t="shared" si="36"/>
        <v>-1</v>
      </c>
      <c r="F585" s="45">
        <f>SUM($C$2:C585)</f>
        <v>653</v>
      </c>
      <c r="G585" s="49" cm="1">
        <f t="array" aca="1" ref="G585" ca="1">IF(B585=0,"", SUMPRODUCT((Table1[SubscriptionStart]&lt;=A585)*(Table1[EffectiveEndDate]&gt;=A585)*Table1[Age]) / B585 )</f>
        <v>46.119700748129674</v>
      </c>
      <c r="H585" s="22">
        <f>SUMIF(Table1[SubscriptionStart],"&lt;="&amp;A585,Table1[TotalRevenue])</f>
        <v>135079.95000000016</v>
      </c>
      <c r="I585" s="50">
        <f t="shared" si="37"/>
        <v>45169</v>
      </c>
      <c r="J585" s="49">
        <f t="shared" ca="1" si="38"/>
        <v>401.12903225806451</v>
      </c>
      <c r="K585" s="45" cm="1">
        <f t="array" aca="1" ref="K585" ca="1">SUMPRODUCT((Table1[SubscriptionStart] &lt;= $A585) * (Table1[EffectiveEndDate] &gt;= $A585) * (Table1[Region] = "England"))</f>
        <v>106</v>
      </c>
      <c r="L585" s="45" cm="1">
        <f t="array" aca="1" ref="L585" ca="1">SUMPRODUCT((Table1[SubscriptionStart] &lt;= $A585) * (Table1[EffectiveEndDate] &gt;= $A585) * (Table1[Region] = "Scotland"))</f>
        <v>96</v>
      </c>
      <c r="M585" s="45" cm="1">
        <f t="array" aca="1" ref="M585" ca="1">SUMPRODUCT((Table1[SubscriptionStart] &lt;= $A585) * (Table1[EffectiveEndDate] &gt;= $A585) * (Table1[Region] = "Wales"))</f>
        <v>106</v>
      </c>
      <c r="N585" s="45" cm="1">
        <f t="array" aca="1" ref="N585" ca="1">SUMPRODUCT((Table1[SubscriptionStart] &lt;= $A585) * (Table1[EffectiveEndDate] &gt;= $A585) * (Table1[Region] = "Northern Ireland"))</f>
        <v>93</v>
      </c>
      <c r="O585" s="45" cm="1">
        <f t="array" aca="1" ref="O585" ca="1">SUMPRODUCT((Table1[Gender]="Male")*(Table1[SubscriptionStart]&lt;=A585)*(Table1[EffectiveEndDate]&gt;=A585))</f>
        <v>204</v>
      </c>
      <c r="P585" s="45" cm="1">
        <f t="array" aca="1" ref="P585" ca="1">SUMPRODUCT((Table1[Gender]="Female")*(Table1[SubscriptionStart]&lt;=A585)*(Table1[EffectiveEndDate]&gt;=A585))</f>
        <v>197</v>
      </c>
    </row>
    <row r="586" spans="1:16">
      <c r="A586" s="48">
        <f t="shared" si="39"/>
        <v>45146</v>
      </c>
      <c r="B586" s="45" cm="1">
        <f t="array" aca="1" ref="B586" ca="1">SUMPRODUCT((Table1[SubscriptionStart]&lt;=A586)*(Table1[EffectiveEndDate]&gt;=A586))</f>
        <v>398</v>
      </c>
      <c r="C586" s="45">
        <f>COUNTIFS(Table1[SubscriptionStart], A586)</f>
        <v>0</v>
      </c>
      <c r="D586" s="45">
        <f>COUNTIFS(Table1[CancellationDate], A586)</f>
        <v>0</v>
      </c>
      <c r="E586" s="45">
        <f t="shared" si="36"/>
        <v>0</v>
      </c>
      <c r="F586" s="45">
        <f>SUM($C$2:C586)</f>
        <v>653</v>
      </c>
      <c r="G586" s="49" cm="1">
        <f t="array" aca="1" ref="G586" ca="1">IF(B586=0,"", SUMPRODUCT((Table1[SubscriptionStart]&lt;=A586)*(Table1[EffectiveEndDate]&gt;=A586)*Table1[Age]) / B586 )</f>
        <v>46.190954773869343</v>
      </c>
      <c r="H586" s="22">
        <f>SUMIF(Table1[SubscriptionStart],"&lt;="&amp;A586,Table1[TotalRevenue])</f>
        <v>135079.95000000016</v>
      </c>
      <c r="I586" s="50">
        <f t="shared" si="37"/>
        <v>45169</v>
      </c>
      <c r="J586" s="49">
        <f t="shared" ca="1" si="38"/>
        <v>401.12903225806451</v>
      </c>
      <c r="K586" s="45" cm="1">
        <f t="array" aca="1" ref="K586" ca="1">SUMPRODUCT((Table1[SubscriptionStart] &lt;= $A586) * (Table1[EffectiveEndDate] &gt;= $A586) * (Table1[Region] = "England"))</f>
        <v>104</v>
      </c>
      <c r="L586" s="45" cm="1">
        <f t="array" aca="1" ref="L586" ca="1">SUMPRODUCT((Table1[SubscriptionStart] &lt;= $A586) * (Table1[EffectiveEndDate] &gt;= $A586) * (Table1[Region] = "Scotland"))</f>
        <v>96</v>
      </c>
      <c r="M586" s="45" cm="1">
        <f t="array" aca="1" ref="M586" ca="1">SUMPRODUCT((Table1[SubscriptionStart] &lt;= $A586) * (Table1[EffectiveEndDate] &gt;= $A586) * (Table1[Region] = "Wales"))</f>
        <v>105</v>
      </c>
      <c r="N586" s="45" cm="1">
        <f t="array" aca="1" ref="N586" ca="1">SUMPRODUCT((Table1[SubscriptionStart] &lt;= $A586) * (Table1[EffectiveEndDate] &gt;= $A586) * (Table1[Region] = "Northern Ireland"))</f>
        <v>93</v>
      </c>
      <c r="O586" s="45" cm="1">
        <f t="array" aca="1" ref="O586" ca="1">SUMPRODUCT((Table1[Gender]="Male")*(Table1[SubscriptionStart]&lt;=A586)*(Table1[EffectiveEndDate]&gt;=A586))</f>
        <v>201</v>
      </c>
      <c r="P586" s="45" cm="1">
        <f t="array" aca="1" ref="P586" ca="1">SUMPRODUCT((Table1[Gender]="Female")*(Table1[SubscriptionStart]&lt;=A586)*(Table1[EffectiveEndDate]&gt;=A586))</f>
        <v>197</v>
      </c>
    </row>
    <row r="587" spans="1:16">
      <c r="A587" s="48">
        <f t="shared" si="39"/>
        <v>45147</v>
      </c>
      <c r="B587" s="45" cm="1">
        <f t="array" aca="1" ref="B587" ca="1">SUMPRODUCT((Table1[SubscriptionStart]&lt;=A587)*(Table1[EffectiveEndDate]&gt;=A587))</f>
        <v>398</v>
      </c>
      <c r="C587" s="45">
        <f>COUNTIFS(Table1[SubscriptionStart], A587)</f>
        <v>0</v>
      </c>
      <c r="D587" s="45">
        <f>COUNTIFS(Table1[CancellationDate], A587)</f>
        <v>3</v>
      </c>
      <c r="E587" s="45">
        <f t="shared" si="36"/>
        <v>-3</v>
      </c>
      <c r="F587" s="45">
        <f>SUM($C$2:C587)</f>
        <v>653</v>
      </c>
      <c r="G587" s="49" cm="1">
        <f t="array" aca="1" ref="G587" ca="1">IF(B587=0,"", SUMPRODUCT((Table1[SubscriptionStart]&lt;=A587)*(Table1[EffectiveEndDate]&gt;=A587)*Table1[Age]) / B587 )</f>
        <v>46.190954773869343</v>
      </c>
      <c r="H587" s="22">
        <f>SUMIF(Table1[SubscriptionStart],"&lt;="&amp;A587,Table1[TotalRevenue])</f>
        <v>135079.95000000016</v>
      </c>
      <c r="I587" s="50">
        <f t="shared" si="37"/>
        <v>45169</v>
      </c>
      <c r="J587" s="49">
        <f t="shared" ca="1" si="38"/>
        <v>401.12903225806451</v>
      </c>
      <c r="K587" s="45" cm="1">
        <f t="array" aca="1" ref="K587" ca="1">SUMPRODUCT((Table1[SubscriptionStart] &lt;= $A587) * (Table1[EffectiveEndDate] &gt;= $A587) * (Table1[Region] = "England"))</f>
        <v>104</v>
      </c>
      <c r="L587" s="45" cm="1">
        <f t="array" aca="1" ref="L587" ca="1">SUMPRODUCT((Table1[SubscriptionStart] &lt;= $A587) * (Table1[EffectiveEndDate] &gt;= $A587) * (Table1[Region] = "Scotland"))</f>
        <v>96</v>
      </c>
      <c r="M587" s="45" cm="1">
        <f t="array" aca="1" ref="M587" ca="1">SUMPRODUCT((Table1[SubscriptionStart] &lt;= $A587) * (Table1[EffectiveEndDate] &gt;= $A587) * (Table1[Region] = "Wales"))</f>
        <v>105</v>
      </c>
      <c r="N587" s="45" cm="1">
        <f t="array" aca="1" ref="N587" ca="1">SUMPRODUCT((Table1[SubscriptionStart] &lt;= $A587) * (Table1[EffectiveEndDate] &gt;= $A587) * (Table1[Region] = "Northern Ireland"))</f>
        <v>93</v>
      </c>
      <c r="O587" s="45" cm="1">
        <f t="array" aca="1" ref="O587" ca="1">SUMPRODUCT((Table1[Gender]="Male")*(Table1[SubscriptionStart]&lt;=A587)*(Table1[EffectiveEndDate]&gt;=A587))</f>
        <v>201</v>
      </c>
      <c r="P587" s="45" cm="1">
        <f t="array" aca="1" ref="P587" ca="1">SUMPRODUCT((Table1[Gender]="Female")*(Table1[SubscriptionStart]&lt;=A587)*(Table1[EffectiveEndDate]&gt;=A587))</f>
        <v>197</v>
      </c>
    </row>
    <row r="588" spans="1:16">
      <c r="A588" s="48">
        <f t="shared" si="39"/>
        <v>45148</v>
      </c>
      <c r="B588" s="45" cm="1">
        <f t="array" aca="1" ref="B588" ca="1">SUMPRODUCT((Table1[SubscriptionStart]&lt;=A588)*(Table1[EffectiveEndDate]&gt;=A588))</f>
        <v>396</v>
      </c>
      <c r="C588" s="45">
        <f>COUNTIFS(Table1[SubscriptionStart], A588)</f>
        <v>1</v>
      </c>
      <c r="D588" s="45">
        <f>COUNTIFS(Table1[CancellationDate], A588)</f>
        <v>0</v>
      </c>
      <c r="E588" s="45">
        <f t="shared" si="36"/>
        <v>1</v>
      </c>
      <c r="F588" s="45">
        <f>SUM($C$2:C588)</f>
        <v>654</v>
      </c>
      <c r="G588" s="49" cm="1">
        <f t="array" aca="1" ref="G588" ca="1">IF(B588=0,"", SUMPRODUCT((Table1[SubscriptionStart]&lt;=A588)*(Table1[EffectiveEndDate]&gt;=A588)*Table1[Age]) / B588 )</f>
        <v>46.186868686868685</v>
      </c>
      <c r="H588" s="22">
        <f>SUMIF(Table1[SubscriptionStart],"&lt;="&amp;A588,Table1[TotalRevenue])</f>
        <v>135151.95000000016</v>
      </c>
      <c r="I588" s="50">
        <f t="shared" si="37"/>
        <v>45169</v>
      </c>
      <c r="J588" s="49">
        <f t="shared" ca="1" si="38"/>
        <v>401.12903225806451</v>
      </c>
      <c r="K588" s="45" cm="1">
        <f t="array" aca="1" ref="K588" ca="1">SUMPRODUCT((Table1[SubscriptionStart] &lt;= $A588) * (Table1[EffectiveEndDate] &gt;= $A588) * (Table1[Region] = "England"))</f>
        <v>103</v>
      </c>
      <c r="L588" s="45" cm="1">
        <f t="array" aca="1" ref="L588" ca="1">SUMPRODUCT((Table1[SubscriptionStart] &lt;= $A588) * (Table1[EffectiveEndDate] &gt;= $A588) * (Table1[Region] = "Scotland"))</f>
        <v>95</v>
      </c>
      <c r="M588" s="45" cm="1">
        <f t="array" aca="1" ref="M588" ca="1">SUMPRODUCT((Table1[SubscriptionStart] &lt;= $A588) * (Table1[EffectiveEndDate] &gt;= $A588) * (Table1[Region] = "Wales"))</f>
        <v>104</v>
      </c>
      <c r="N588" s="45" cm="1">
        <f t="array" aca="1" ref="N588" ca="1">SUMPRODUCT((Table1[SubscriptionStart] &lt;= $A588) * (Table1[EffectiveEndDate] &gt;= $A588) * (Table1[Region] = "Northern Ireland"))</f>
        <v>94</v>
      </c>
      <c r="O588" s="45" cm="1">
        <f t="array" aca="1" ref="O588" ca="1">SUMPRODUCT((Table1[Gender]="Male")*(Table1[SubscriptionStart]&lt;=A588)*(Table1[EffectiveEndDate]&gt;=A588))</f>
        <v>200</v>
      </c>
      <c r="P588" s="45" cm="1">
        <f t="array" aca="1" ref="P588" ca="1">SUMPRODUCT((Table1[Gender]="Female")*(Table1[SubscriptionStart]&lt;=A588)*(Table1[EffectiveEndDate]&gt;=A588))</f>
        <v>196</v>
      </c>
    </row>
    <row r="589" spans="1:16">
      <c r="A589" s="48">
        <f t="shared" si="39"/>
        <v>45149</v>
      </c>
      <c r="B589" s="45" cm="1">
        <f t="array" aca="1" ref="B589" ca="1">SUMPRODUCT((Table1[SubscriptionStart]&lt;=A589)*(Table1[EffectiveEndDate]&gt;=A589))</f>
        <v>396</v>
      </c>
      <c r="C589" s="45">
        <f>COUNTIFS(Table1[SubscriptionStart], A589)</f>
        <v>0</v>
      </c>
      <c r="D589" s="45">
        <f>COUNTIFS(Table1[CancellationDate], A589)</f>
        <v>0</v>
      </c>
      <c r="E589" s="45">
        <f t="shared" si="36"/>
        <v>0</v>
      </c>
      <c r="F589" s="45">
        <f>SUM($C$2:C589)</f>
        <v>654</v>
      </c>
      <c r="G589" s="49" cm="1">
        <f t="array" aca="1" ref="G589" ca="1">IF(B589=0,"", SUMPRODUCT((Table1[SubscriptionStart]&lt;=A589)*(Table1[EffectiveEndDate]&gt;=A589)*Table1[Age]) / B589 )</f>
        <v>46.186868686868685</v>
      </c>
      <c r="H589" s="22">
        <f>SUMIF(Table1[SubscriptionStart],"&lt;="&amp;A589,Table1[TotalRevenue])</f>
        <v>135151.95000000016</v>
      </c>
      <c r="I589" s="50">
        <f t="shared" si="37"/>
        <v>45169</v>
      </c>
      <c r="J589" s="49">
        <f t="shared" ca="1" si="38"/>
        <v>401.12903225806451</v>
      </c>
      <c r="K589" s="45" cm="1">
        <f t="array" aca="1" ref="K589" ca="1">SUMPRODUCT((Table1[SubscriptionStart] &lt;= $A589) * (Table1[EffectiveEndDate] &gt;= $A589) * (Table1[Region] = "England"))</f>
        <v>103</v>
      </c>
      <c r="L589" s="45" cm="1">
        <f t="array" aca="1" ref="L589" ca="1">SUMPRODUCT((Table1[SubscriptionStart] &lt;= $A589) * (Table1[EffectiveEndDate] &gt;= $A589) * (Table1[Region] = "Scotland"))</f>
        <v>95</v>
      </c>
      <c r="M589" s="45" cm="1">
        <f t="array" aca="1" ref="M589" ca="1">SUMPRODUCT((Table1[SubscriptionStart] &lt;= $A589) * (Table1[EffectiveEndDate] &gt;= $A589) * (Table1[Region] = "Wales"))</f>
        <v>104</v>
      </c>
      <c r="N589" s="45" cm="1">
        <f t="array" aca="1" ref="N589" ca="1">SUMPRODUCT((Table1[SubscriptionStart] &lt;= $A589) * (Table1[EffectiveEndDate] &gt;= $A589) * (Table1[Region] = "Northern Ireland"))</f>
        <v>94</v>
      </c>
      <c r="O589" s="45" cm="1">
        <f t="array" aca="1" ref="O589" ca="1">SUMPRODUCT((Table1[Gender]="Male")*(Table1[SubscriptionStart]&lt;=A589)*(Table1[EffectiveEndDate]&gt;=A589))</f>
        <v>200</v>
      </c>
      <c r="P589" s="45" cm="1">
        <f t="array" aca="1" ref="P589" ca="1">SUMPRODUCT((Table1[Gender]="Female")*(Table1[SubscriptionStart]&lt;=A589)*(Table1[EffectiveEndDate]&gt;=A589))</f>
        <v>196</v>
      </c>
    </row>
    <row r="590" spans="1:16">
      <c r="A590" s="48">
        <f t="shared" si="39"/>
        <v>45150</v>
      </c>
      <c r="B590" s="45" cm="1">
        <f t="array" aca="1" ref="B590" ca="1">SUMPRODUCT((Table1[SubscriptionStart]&lt;=A590)*(Table1[EffectiveEndDate]&gt;=A590))</f>
        <v>399</v>
      </c>
      <c r="C590" s="45">
        <f>COUNTIFS(Table1[SubscriptionStart], A590)</f>
        <v>3</v>
      </c>
      <c r="D590" s="45">
        <f>COUNTIFS(Table1[CancellationDate], A590)</f>
        <v>1</v>
      </c>
      <c r="E590" s="45">
        <f t="shared" si="36"/>
        <v>2</v>
      </c>
      <c r="F590" s="45">
        <f>SUM($C$2:C590)</f>
        <v>657</v>
      </c>
      <c r="G590" s="49" cm="1">
        <f t="array" aca="1" ref="G590" ca="1">IF(B590=0,"", SUMPRODUCT((Table1[SubscriptionStart]&lt;=A590)*(Table1[EffectiveEndDate]&gt;=A590)*Table1[Age]) / B590 )</f>
        <v>46.182957393483711</v>
      </c>
      <c r="H590" s="22">
        <f>SUMIF(Table1[SubscriptionStart],"&lt;="&amp;A590,Table1[TotalRevenue])</f>
        <v>135944.35000000015</v>
      </c>
      <c r="I590" s="50">
        <f t="shared" si="37"/>
        <v>45169</v>
      </c>
      <c r="J590" s="49">
        <f t="shared" ca="1" si="38"/>
        <v>401.12903225806451</v>
      </c>
      <c r="K590" s="45" cm="1">
        <f t="array" aca="1" ref="K590" ca="1">SUMPRODUCT((Table1[SubscriptionStart] &lt;= $A590) * (Table1[EffectiveEndDate] &gt;= $A590) * (Table1[Region] = "England"))</f>
        <v>104</v>
      </c>
      <c r="L590" s="45" cm="1">
        <f t="array" aca="1" ref="L590" ca="1">SUMPRODUCT((Table1[SubscriptionStart] &lt;= $A590) * (Table1[EffectiveEndDate] &gt;= $A590) * (Table1[Region] = "Scotland"))</f>
        <v>96</v>
      </c>
      <c r="M590" s="45" cm="1">
        <f t="array" aca="1" ref="M590" ca="1">SUMPRODUCT((Table1[SubscriptionStart] &lt;= $A590) * (Table1[EffectiveEndDate] &gt;= $A590) * (Table1[Region] = "Wales"))</f>
        <v>105</v>
      </c>
      <c r="N590" s="45" cm="1">
        <f t="array" aca="1" ref="N590" ca="1">SUMPRODUCT((Table1[SubscriptionStart] &lt;= $A590) * (Table1[EffectiveEndDate] &gt;= $A590) * (Table1[Region] = "Northern Ireland"))</f>
        <v>94</v>
      </c>
      <c r="O590" s="45" cm="1">
        <f t="array" aca="1" ref="O590" ca="1">SUMPRODUCT((Table1[Gender]="Male")*(Table1[SubscriptionStart]&lt;=A590)*(Table1[EffectiveEndDate]&gt;=A590))</f>
        <v>202</v>
      </c>
      <c r="P590" s="45" cm="1">
        <f t="array" aca="1" ref="P590" ca="1">SUMPRODUCT((Table1[Gender]="Female")*(Table1[SubscriptionStart]&lt;=A590)*(Table1[EffectiveEndDate]&gt;=A590))</f>
        <v>197</v>
      </c>
    </row>
    <row r="591" spans="1:16">
      <c r="A591" s="48">
        <f t="shared" si="39"/>
        <v>45151</v>
      </c>
      <c r="B591" s="45" cm="1">
        <f t="array" aca="1" ref="B591" ca="1">SUMPRODUCT((Table1[SubscriptionStart]&lt;=A591)*(Table1[EffectiveEndDate]&gt;=A591))</f>
        <v>398</v>
      </c>
      <c r="C591" s="45">
        <f>COUNTIFS(Table1[SubscriptionStart], A591)</f>
        <v>0</v>
      </c>
      <c r="D591" s="45">
        <f>COUNTIFS(Table1[CancellationDate], A591)</f>
        <v>0</v>
      </c>
      <c r="E591" s="45">
        <f t="shared" si="36"/>
        <v>0</v>
      </c>
      <c r="F591" s="45">
        <f>SUM($C$2:C591)</f>
        <v>657</v>
      </c>
      <c r="G591" s="49" cm="1">
        <f t="array" aca="1" ref="G591" ca="1">IF(B591=0,"", SUMPRODUCT((Table1[SubscriptionStart]&lt;=A591)*(Table1[EffectiveEndDate]&gt;=A591)*Table1[Age]) / B591 )</f>
        <v>46.155778894472363</v>
      </c>
      <c r="H591" s="22">
        <f>SUMIF(Table1[SubscriptionStart],"&lt;="&amp;A591,Table1[TotalRevenue])</f>
        <v>135944.35000000015</v>
      </c>
      <c r="I591" s="50">
        <f t="shared" si="37"/>
        <v>45169</v>
      </c>
      <c r="J591" s="49">
        <f t="shared" ca="1" si="38"/>
        <v>401.12903225806451</v>
      </c>
      <c r="K591" s="45" cm="1">
        <f t="array" aca="1" ref="K591" ca="1">SUMPRODUCT((Table1[SubscriptionStart] &lt;= $A591) * (Table1[EffectiveEndDate] &gt;= $A591) * (Table1[Region] = "England"))</f>
        <v>103</v>
      </c>
      <c r="L591" s="45" cm="1">
        <f t="array" aca="1" ref="L591" ca="1">SUMPRODUCT((Table1[SubscriptionStart] &lt;= $A591) * (Table1[EffectiveEndDate] &gt;= $A591) * (Table1[Region] = "Scotland"))</f>
        <v>96</v>
      </c>
      <c r="M591" s="45" cm="1">
        <f t="array" aca="1" ref="M591" ca="1">SUMPRODUCT((Table1[SubscriptionStart] &lt;= $A591) * (Table1[EffectiveEndDate] &gt;= $A591) * (Table1[Region] = "Wales"))</f>
        <v>105</v>
      </c>
      <c r="N591" s="45" cm="1">
        <f t="array" aca="1" ref="N591" ca="1">SUMPRODUCT((Table1[SubscriptionStart] &lt;= $A591) * (Table1[EffectiveEndDate] &gt;= $A591) * (Table1[Region] = "Northern Ireland"))</f>
        <v>94</v>
      </c>
      <c r="O591" s="45" cm="1">
        <f t="array" aca="1" ref="O591" ca="1">SUMPRODUCT((Table1[Gender]="Male")*(Table1[SubscriptionStart]&lt;=A591)*(Table1[EffectiveEndDate]&gt;=A591))</f>
        <v>201</v>
      </c>
      <c r="P591" s="45" cm="1">
        <f t="array" aca="1" ref="P591" ca="1">SUMPRODUCT((Table1[Gender]="Female")*(Table1[SubscriptionStart]&lt;=A591)*(Table1[EffectiveEndDate]&gt;=A591))</f>
        <v>197</v>
      </c>
    </row>
    <row r="592" spans="1:16">
      <c r="A592" s="48">
        <f t="shared" si="39"/>
        <v>45152</v>
      </c>
      <c r="B592" s="45" cm="1">
        <f t="array" aca="1" ref="B592" ca="1">SUMPRODUCT((Table1[SubscriptionStart]&lt;=A592)*(Table1[EffectiveEndDate]&gt;=A592))</f>
        <v>399</v>
      </c>
      <c r="C592" s="45">
        <f>COUNTIFS(Table1[SubscriptionStart], A592)</f>
        <v>1</v>
      </c>
      <c r="D592" s="45">
        <f>COUNTIFS(Table1[CancellationDate], A592)</f>
        <v>1</v>
      </c>
      <c r="E592" s="45">
        <f t="shared" si="36"/>
        <v>0</v>
      </c>
      <c r="F592" s="45">
        <f>SUM($C$2:C592)</f>
        <v>658</v>
      </c>
      <c r="G592" s="49" cm="1">
        <f t="array" aca="1" ref="G592" ca="1">IF(B592=0,"", SUMPRODUCT((Table1[SubscriptionStart]&lt;=A592)*(Table1[EffectiveEndDate]&gt;=A592)*Table1[Age]) / B592 )</f>
        <v>46.225563909774436</v>
      </c>
      <c r="H592" s="22">
        <f>SUMIF(Table1[SubscriptionStart],"&lt;="&amp;A592,Table1[TotalRevenue])</f>
        <v>136333.15000000014</v>
      </c>
      <c r="I592" s="50">
        <f t="shared" si="37"/>
        <v>45169</v>
      </c>
      <c r="J592" s="49">
        <f t="shared" ca="1" si="38"/>
        <v>401.12903225806451</v>
      </c>
      <c r="K592" s="45" cm="1">
        <f t="array" aca="1" ref="K592" ca="1">SUMPRODUCT((Table1[SubscriptionStart] &lt;= $A592) * (Table1[EffectiveEndDate] &gt;= $A592) * (Table1[Region] = "England"))</f>
        <v>103</v>
      </c>
      <c r="L592" s="45" cm="1">
        <f t="array" aca="1" ref="L592" ca="1">SUMPRODUCT((Table1[SubscriptionStart] &lt;= $A592) * (Table1[EffectiveEndDate] &gt;= $A592) * (Table1[Region] = "Scotland"))</f>
        <v>96</v>
      </c>
      <c r="M592" s="45" cm="1">
        <f t="array" aca="1" ref="M592" ca="1">SUMPRODUCT((Table1[SubscriptionStart] &lt;= $A592) * (Table1[EffectiveEndDate] &gt;= $A592) * (Table1[Region] = "Wales"))</f>
        <v>106</v>
      </c>
      <c r="N592" s="45" cm="1">
        <f t="array" aca="1" ref="N592" ca="1">SUMPRODUCT((Table1[SubscriptionStart] &lt;= $A592) * (Table1[EffectiveEndDate] &gt;= $A592) * (Table1[Region] = "Northern Ireland"))</f>
        <v>94</v>
      </c>
      <c r="O592" s="45" cm="1">
        <f t="array" aca="1" ref="O592" ca="1">SUMPRODUCT((Table1[Gender]="Male")*(Table1[SubscriptionStart]&lt;=A592)*(Table1[EffectiveEndDate]&gt;=A592))</f>
        <v>201</v>
      </c>
      <c r="P592" s="45" cm="1">
        <f t="array" aca="1" ref="P592" ca="1">SUMPRODUCT((Table1[Gender]="Female")*(Table1[SubscriptionStart]&lt;=A592)*(Table1[EffectiveEndDate]&gt;=A592))</f>
        <v>198</v>
      </c>
    </row>
    <row r="593" spans="1:16">
      <c r="A593" s="48">
        <f t="shared" si="39"/>
        <v>45153</v>
      </c>
      <c r="B593" s="45" cm="1">
        <f t="array" aca="1" ref="B593" ca="1">SUMPRODUCT((Table1[SubscriptionStart]&lt;=A593)*(Table1[EffectiveEndDate]&gt;=A593))</f>
        <v>401</v>
      </c>
      <c r="C593" s="45">
        <f>COUNTIFS(Table1[SubscriptionStart], A593)</f>
        <v>3</v>
      </c>
      <c r="D593" s="45">
        <f>COUNTIFS(Table1[CancellationDate], A593)</f>
        <v>1</v>
      </c>
      <c r="E593" s="45">
        <f t="shared" si="36"/>
        <v>2</v>
      </c>
      <c r="F593" s="45">
        <f>SUM($C$2:C593)</f>
        <v>661</v>
      </c>
      <c r="G593" s="49" cm="1">
        <f t="array" aca="1" ref="G593" ca="1">IF(B593=0,"", SUMPRODUCT((Table1[SubscriptionStart]&lt;=A593)*(Table1[EffectiveEndDate]&gt;=A593)*Table1[Age]) / B593 )</f>
        <v>46.114713216957604</v>
      </c>
      <c r="H593" s="22">
        <f>SUMIF(Table1[SubscriptionStart],"&lt;="&amp;A593,Table1[TotalRevenue])</f>
        <v>137030.20000000016</v>
      </c>
      <c r="I593" s="50">
        <f t="shared" si="37"/>
        <v>45169</v>
      </c>
      <c r="J593" s="49">
        <f t="shared" ca="1" si="38"/>
        <v>401.12903225806451</v>
      </c>
      <c r="K593" s="45" cm="1">
        <f t="array" aca="1" ref="K593" ca="1">SUMPRODUCT((Table1[SubscriptionStart] &lt;= $A593) * (Table1[EffectiveEndDate] &gt;= $A593) * (Table1[Region] = "England"))</f>
        <v>104</v>
      </c>
      <c r="L593" s="45" cm="1">
        <f t="array" aca="1" ref="L593" ca="1">SUMPRODUCT((Table1[SubscriptionStart] &lt;= $A593) * (Table1[EffectiveEndDate] &gt;= $A593) * (Table1[Region] = "Scotland"))</f>
        <v>96</v>
      </c>
      <c r="M593" s="45" cm="1">
        <f t="array" aca="1" ref="M593" ca="1">SUMPRODUCT((Table1[SubscriptionStart] &lt;= $A593) * (Table1[EffectiveEndDate] &gt;= $A593) * (Table1[Region] = "Wales"))</f>
        <v>107</v>
      </c>
      <c r="N593" s="45" cm="1">
        <f t="array" aca="1" ref="N593" ca="1">SUMPRODUCT((Table1[SubscriptionStart] &lt;= $A593) * (Table1[EffectiveEndDate] &gt;= $A593) * (Table1[Region] = "Northern Ireland"))</f>
        <v>94</v>
      </c>
      <c r="O593" s="45" cm="1">
        <f t="array" aca="1" ref="O593" ca="1">SUMPRODUCT((Table1[Gender]="Male")*(Table1[SubscriptionStart]&lt;=A593)*(Table1[EffectiveEndDate]&gt;=A593))</f>
        <v>202</v>
      </c>
      <c r="P593" s="45" cm="1">
        <f t="array" aca="1" ref="P593" ca="1">SUMPRODUCT((Table1[Gender]="Female")*(Table1[SubscriptionStart]&lt;=A593)*(Table1[EffectiveEndDate]&gt;=A593))</f>
        <v>199</v>
      </c>
    </row>
    <row r="594" spans="1:16">
      <c r="A594" s="48">
        <f t="shared" si="39"/>
        <v>45154</v>
      </c>
      <c r="B594" s="45" cm="1">
        <f t="array" aca="1" ref="B594" ca="1">SUMPRODUCT((Table1[SubscriptionStart]&lt;=A594)*(Table1[EffectiveEndDate]&gt;=A594))</f>
        <v>400</v>
      </c>
      <c r="C594" s="45">
        <f>COUNTIFS(Table1[SubscriptionStart], A594)</f>
        <v>0</v>
      </c>
      <c r="D594" s="45">
        <f>COUNTIFS(Table1[CancellationDate], A594)</f>
        <v>0</v>
      </c>
      <c r="E594" s="45">
        <f t="shared" si="36"/>
        <v>0</v>
      </c>
      <c r="F594" s="45">
        <f>SUM($C$2:C594)</f>
        <v>661</v>
      </c>
      <c r="G594" s="49" cm="1">
        <f t="array" aca="1" ref="G594" ca="1">IF(B594=0,"", SUMPRODUCT((Table1[SubscriptionStart]&lt;=A594)*(Table1[EffectiveEndDate]&gt;=A594)*Table1[Age]) / B594 )</f>
        <v>46.092500000000001</v>
      </c>
      <c r="H594" s="22">
        <f>SUMIF(Table1[SubscriptionStart],"&lt;="&amp;A594,Table1[TotalRevenue])</f>
        <v>137030.20000000016</v>
      </c>
      <c r="I594" s="50">
        <f t="shared" si="37"/>
        <v>45169</v>
      </c>
      <c r="J594" s="49">
        <f t="shared" ca="1" si="38"/>
        <v>401.12903225806451</v>
      </c>
      <c r="K594" s="45" cm="1">
        <f t="array" aca="1" ref="K594" ca="1">SUMPRODUCT((Table1[SubscriptionStart] &lt;= $A594) * (Table1[EffectiveEndDate] &gt;= $A594) * (Table1[Region] = "England"))</f>
        <v>104</v>
      </c>
      <c r="L594" s="45" cm="1">
        <f t="array" aca="1" ref="L594" ca="1">SUMPRODUCT((Table1[SubscriptionStart] &lt;= $A594) * (Table1[EffectiveEndDate] &gt;= $A594) * (Table1[Region] = "Scotland"))</f>
        <v>96</v>
      </c>
      <c r="M594" s="45" cm="1">
        <f t="array" aca="1" ref="M594" ca="1">SUMPRODUCT((Table1[SubscriptionStart] &lt;= $A594) * (Table1[EffectiveEndDate] &gt;= $A594) * (Table1[Region] = "Wales"))</f>
        <v>106</v>
      </c>
      <c r="N594" s="45" cm="1">
        <f t="array" aca="1" ref="N594" ca="1">SUMPRODUCT((Table1[SubscriptionStart] &lt;= $A594) * (Table1[EffectiveEndDate] &gt;= $A594) * (Table1[Region] = "Northern Ireland"))</f>
        <v>94</v>
      </c>
      <c r="O594" s="45" cm="1">
        <f t="array" aca="1" ref="O594" ca="1">SUMPRODUCT((Table1[Gender]="Male")*(Table1[SubscriptionStart]&lt;=A594)*(Table1[EffectiveEndDate]&gt;=A594))</f>
        <v>202</v>
      </c>
      <c r="P594" s="45" cm="1">
        <f t="array" aca="1" ref="P594" ca="1">SUMPRODUCT((Table1[Gender]="Female")*(Table1[SubscriptionStart]&lt;=A594)*(Table1[EffectiveEndDate]&gt;=A594))</f>
        <v>198</v>
      </c>
    </row>
    <row r="595" spans="1:16">
      <c r="A595" s="48">
        <f t="shared" si="39"/>
        <v>45155</v>
      </c>
      <c r="B595" s="45" cm="1">
        <f t="array" aca="1" ref="B595" ca="1">SUMPRODUCT((Table1[SubscriptionStart]&lt;=A595)*(Table1[EffectiveEndDate]&gt;=A595))</f>
        <v>400</v>
      </c>
      <c r="C595" s="45">
        <f>COUNTIFS(Table1[SubscriptionStart], A595)</f>
        <v>0</v>
      </c>
      <c r="D595" s="45">
        <f>COUNTIFS(Table1[CancellationDate], A595)</f>
        <v>2</v>
      </c>
      <c r="E595" s="45">
        <f t="shared" si="36"/>
        <v>-2</v>
      </c>
      <c r="F595" s="45">
        <f>SUM($C$2:C595)</f>
        <v>661</v>
      </c>
      <c r="G595" s="49" cm="1">
        <f t="array" aca="1" ref="G595" ca="1">IF(B595=0,"", SUMPRODUCT((Table1[SubscriptionStart]&lt;=A595)*(Table1[EffectiveEndDate]&gt;=A595)*Table1[Age]) / B595 )</f>
        <v>46.092500000000001</v>
      </c>
      <c r="H595" s="22">
        <f>SUMIF(Table1[SubscriptionStart],"&lt;="&amp;A595,Table1[TotalRevenue])</f>
        <v>137030.20000000016</v>
      </c>
      <c r="I595" s="50">
        <f t="shared" si="37"/>
        <v>45169</v>
      </c>
      <c r="J595" s="49">
        <f t="shared" ca="1" si="38"/>
        <v>401.12903225806451</v>
      </c>
      <c r="K595" s="45" cm="1">
        <f t="array" aca="1" ref="K595" ca="1">SUMPRODUCT((Table1[SubscriptionStart] &lt;= $A595) * (Table1[EffectiveEndDate] &gt;= $A595) * (Table1[Region] = "England"))</f>
        <v>104</v>
      </c>
      <c r="L595" s="45" cm="1">
        <f t="array" aca="1" ref="L595" ca="1">SUMPRODUCT((Table1[SubscriptionStart] &lt;= $A595) * (Table1[EffectiveEndDate] &gt;= $A595) * (Table1[Region] = "Scotland"))</f>
        <v>96</v>
      </c>
      <c r="M595" s="45" cm="1">
        <f t="array" aca="1" ref="M595" ca="1">SUMPRODUCT((Table1[SubscriptionStart] &lt;= $A595) * (Table1[EffectiveEndDate] &gt;= $A595) * (Table1[Region] = "Wales"))</f>
        <v>106</v>
      </c>
      <c r="N595" s="45" cm="1">
        <f t="array" aca="1" ref="N595" ca="1">SUMPRODUCT((Table1[SubscriptionStart] &lt;= $A595) * (Table1[EffectiveEndDate] &gt;= $A595) * (Table1[Region] = "Northern Ireland"))</f>
        <v>94</v>
      </c>
      <c r="O595" s="45" cm="1">
        <f t="array" aca="1" ref="O595" ca="1">SUMPRODUCT((Table1[Gender]="Male")*(Table1[SubscriptionStart]&lt;=A595)*(Table1[EffectiveEndDate]&gt;=A595))</f>
        <v>202</v>
      </c>
      <c r="P595" s="45" cm="1">
        <f t="array" aca="1" ref="P595" ca="1">SUMPRODUCT((Table1[Gender]="Female")*(Table1[SubscriptionStart]&lt;=A595)*(Table1[EffectiveEndDate]&gt;=A595))</f>
        <v>198</v>
      </c>
    </row>
    <row r="596" spans="1:16">
      <c r="A596" s="48">
        <f t="shared" si="39"/>
        <v>45156</v>
      </c>
      <c r="B596" s="45" cm="1">
        <f t="array" aca="1" ref="B596" ca="1">SUMPRODUCT((Table1[SubscriptionStart]&lt;=A596)*(Table1[EffectiveEndDate]&gt;=A596))</f>
        <v>398</v>
      </c>
      <c r="C596" s="45">
        <f>COUNTIFS(Table1[SubscriptionStart], A596)</f>
        <v>0</v>
      </c>
      <c r="D596" s="45">
        <f>COUNTIFS(Table1[CancellationDate], A596)</f>
        <v>1</v>
      </c>
      <c r="E596" s="45">
        <f t="shared" si="36"/>
        <v>-1</v>
      </c>
      <c r="F596" s="45">
        <f>SUM($C$2:C596)</f>
        <v>661</v>
      </c>
      <c r="G596" s="49" cm="1">
        <f t="array" aca="1" ref="G596" ca="1">IF(B596=0,"", SUMPRODUCT((Table1[SubscriptionStart]&lt;=A596)*(Table1[EffectiveEndDate]&gt;=A596)*Table1[Age]) / B596 )</f>
        <v>46.035175879396988</v>
      </c>
      <c r="H596" s="22">
        <f>SUMIF(Table1[SubscriptionStart],"&lt;="&amp;A596,Table1[TotalRevenue])</f>
        <v>137030.20000000016</v>
      </c>
      <c r="I596" s="50">
        <f t="shared" si="37"/>
        <v>45169</v>
      </c>
      <c r="J596" s="49">
        <f t="shared" ca="1" si="38"/>
        <v>401.12903225806451</v>
      </c>
      <c r="K596" s="45" cm="1">
        <f t="array" aca="1" ref="K596" ca="1">SUMPRODUCT((Table1[SubscriptionStart] &lt;= $A596) * (Table1[EffectiveEndDate] &gt;= $A596) * (Table1[Region] = "England"))</f>
        <v>104</v>
      </c>
      <c r="L596" s="45" cm="1">
        <f t="array" aca="1" ref="L596" ca="1">SUMPRODUCT((Table1[SubscriptionStart] &lt;= $A596) * (Table1[EffectiveEndDate] &gt;= $A596) * (Table1[Region] = "Scotland"))</f>
        <v>96</v>
      </c>
      <c r="M596" s="45" cm="1">
        <f t="array" aca="1" ref="M596" ca="1">SUMPRODUCT((Table1[SubscriptionStart] &lt;= $A596) * (Table1[EffectiveEndDate] &gt;= $A596) * (Table1[Region] = "Wales"))</f>
        <v>106</v>
      </c>
      <c r="N596" s="45" cm="1">
        <f t="array" aca="1" ref="N596" ca="1">SUMPRODUCT((Table1[SubscriptionStart] &lt;= $A596) * (Table1[EffectiveEndDate] &gt;= $A596) * (Table1[Region] = "Northern Ireland"))</f>
        <v>92</v>
      </c>
      <c r="O596" s="45" cm="1">
        <f t="array" aca="1" ref="O596" ca="1">SUMPRODUCT((Table1[Gender]="Male")*(Table1[SubscriptionStart]&lt;=A596)*(Table1[EffectiveEndDate]&gt;=A596))</f>
        <v>201</v>
      </c>
      <c r="P596" s="45" cm="1">
        <f t="array" aca="1" ref="P596" ca="1">SUMPRODUCT((Table1[Gender]="Female")*(Table1[SubscriptionStart]&lt;=A596)*(Table1[EffectiveEndDate]&gt;=A596))</f>
        <v>197</v>
      </c>
    </row>
    <row r="597" spans="1:16">
      <c r="A597" s="48">
        <f t="shared" si="39"/>
        <v>45157</v>
      </c>
      <c r="B597" s="45" cm="1">
        <f t="array" aca="1" ref="B597" ca="1">SUMPRODUCT((Table1[SubscriptionStart]&lt;=A597)*(Table1[EffectiveEndDate]&gt;=A597))</f>
        <v>397</v>
      </c>
      <c r="C597" s="45">
        <f>COUNTIFS(Table1[SubscriptionStart], A597)</f>
        <v>0</v>
      </c>
      <c r="D597" s="45">
        <f>COUNTIFS(Table1[CancellationDate], A597)</f>
        <v>0</v>
      </c>
      <c r="E597" s="45">
        <f t="shared" si="36"/>
        <v>0</v>
      </c>
      <c r="F597" s="45">
        <f>SUM($C$2:C597)</f>
        <v>661</v>
      </c>
      <c r="G597" s="49" cm="1">
        <f t="array" aca="1" ref="G597" ca="1">IF(B597=0,"", SUMPRODUCT((Table1[SubscriptionStart]&lt;=A597)*(Table1[EffectiveEndDate]&gt;=A597)*Table1[Age]) / B597 )</f>
        <v>46.020151133501258</v>
      </c>
      <c r="H597" s="22">
        <f>SUMIF(Table1[SubscriptionStart],"&lt;="&amp;A597,Table1[TotalRevenue])</f>
        <v>137030.20000000016</v>
      </c>
      <c r="I597" s="50">
        <f t="shared" si="37"/>
        <v>45169</v>
      </c>
      <c r="J597" s="49">
        <f t="shared" ca="1" si="38"/>
        <v>401.12903225806451</v>
      </c>
      <c r="K597" s="45" cm="1">
        <f t="array" aca="1" ref="K597" ca="1">SUMPRODUCT((Table1[SubscriptionStart] &lt;= $A597) * (Table1[EffectiveEndDate] &gt;= $A597) * (Table1[Region] = "England"))</f>
        <v>104</v>
      </c>
      <c r="L597" s="45" cm="1">
        <f t="array" aca="1" ref="L597" ca="1">SUMPRODUCT((Table1[SubscriptionStart] &lt;= $A597) * (Table1[EffectiveEndDate] &gt;= $A597) * (Table1[Region] = "Scotland"))</f>
        <v>95</v>
      </c>
      <c r="M597" s="45" cm="1">
        <f t="array" aca="1" ref="M597" ca="1">SUMPRODUCT((Table1[SubscriptionStart] &lt;= $A597) * (Table1[EffectiveEndDate] &gt;= $A597) * (Table1[Region] = "Wales"))</f>
        <v>106</v>
      </c>
      <c r="N597" s="45" cm="1">
        <f t="array" aca="1" ref="N597" ca="1">SUMPRODUCT((Table1[SubscriptionStart] &lt;= $A597) * (Table1[EffectiveEndDate] &gt;= $A597) * (Table1[Region] = "Northern Ireland"))</f>
        <v>92</v>
      </c>
      <c r="O597" s="45" cm="1">
        <f t="array" aca="1" ref="O597" ca="1">SUMPRODUCT((Table1[Gender]="Male")*(Table1[SubscriptionStart]&lt;=A597)*(Table1[EffectiveEndDate]&gt;=A597))</f>
        <v>200</v>
      </c>
      <c r="P597" s="45" cm="1">
        <f t="array" aca="1" ref="P597" ca="1">SUMPRODUCT((Table1[Gender]="Female")*(Table1[SubscriptionStart]&lt;=A597)*(Table1[EffectiveEndDate]&gt;=A597))</f>
        <v>197</v>
      </c>
    </row>
    <row r="598" spans="1:16">
      <c r="A598" s="48">
        <f t="shared" si="39"/>
        <v>45158</v>
      </c>
      <c r="B598" s="45" cm="1">
        <f t="array" aca="1" ref="B598" ca="1">SUMPRODUCT((Table1[SubscriptionStart]&lt;=A598)*(Table1[EffectiveEndDate]&gt;=A598))</f>
        <v>399</v>
      </c>
      <c r="C598" s="45">
        <f>COUNTIFS(Table1[SubscriptionStart], A598)</f>
        <v>2</v>
      </c>
      <c r="D598" s="45">
        <f>COUNTIFS(Table1[CancellationDate], A598)</f>
        <v>1</v>
      </c>
      <c r="E598" s="45">
        <f t="shared" si="36"/>
        <v>1</v>
      </c>
      <c r="F598" s="45">
        <f>SUM($C$2:C598)</f>
        <v>663</v>
      </c>
      <c r="G598" s="49" cm="1">
        <f t="array" aca="1" ref="G598" ca="1">IF(B598=0,"", SUMPRODUCT((Table1[SubscriptionStart]&lt;=A598)*(Table1[EffectiveEndDate]&gt;=A598)*Table1[Age]) / B598 )</f>
        <v>45.969924812030072</v>
      </c>
      <c r="H598" s="22">
        <f>SUMIF(Table1[SubscriptionStart],"&lt;="&amp;A598,Table1[TotalRevenue])</f>
        <v>137390.45000000016</v>
      </c>
      <c r="I598" s="50">
        <f t="shared" si="37"/>
        <v>45169</v>
      </c>
      <c r="J598" s="49">
        <f t="shared" ca="1" si="38"/>
        <v>401.12903225806451</v>
      </c>
      <c r="K598" s="45" cm="1">
        <f t="array" aca="1" ref="K598" ca="1">SUMPRODUCT((Table1[SubscriptionStart] &lt;= $A598) * (Table1[EffectiveEndDate] &gt;= $A598) * (Table1[Region] = "England"))</f>
        <v>104</v>
      </c>
      <c r="L598" s="45" cm="1">
        <f t="array" aca="1" ref="L598" ca="1">SUMPRODUCT((Table1[SubscriptionStart] &lt;= $A598) * (Table1[EffectiveEndDate] &gt;= $A598) * (Table1[Region] = "Scotland"))</f>
        <v>95</v>
      </c>
      <c r="M598" s="45" cm="1">
        <f t="array" aca="1" ref="M598" ca="1">SUMPRODUCT((Table1[SubscriptionStart] &lt;= $A598) * (Table1[EffectiveEndDate] &gt;= $A598) * (Table1[Region] = "Wales"))</f>
        <v>108</v>
      </c>
      <c r="N598" s="45" cm="1">
        <f t="array" aca="1" ref="N598" ca="1">SUMPRODUCT((Table1[SubscriptionStart] &lt;= $A598) * (Table1[EffectiveEndDate] &gt;= $A598) * (Table1[Region] = "Northern Ireland"))</f>
        <v>92</v>
      </c>
      <c r="O598" s="45" cm="1">
        <f t="array" aca="1" ref="O598" ca="1">SUMPRODUCT((Table1[Gender]="Male")*(Table1[SubscriptionStart]&lt;=A598)*(Table1[EffectiveEndDate]&gt;=A598))</f>
        <v>200</v>
      </c>
      <c r="P598" s="45" cm="1">
        <f t="array" aca="1" ref="P598" ca="1">SUMPRODUCT((Table1[Gender]="Female")*(Table1[SubscriptionStart]&lt;=A598)*(Table1[EffectiveEndDate]&gt;=A598))</f>
        <v>199</v>
      </c>
    </row>
    <row r="599" spans="1:16">
      <c r="A599" s="48">
        <f t="shared" si="39"/>
        <v>45159</v>
      </c>
      <c r="B599" s="45" cm="1">
        <f t="array" aca="1" ref="B599" ca="1">SUMPRODUCT((Table1[SubscriptionStart]&lt;=A599)*(Table1[EffectiveEndDate]&gt;=A599))</f>
        <v>398</v>
      </c>
      <c r="C599" s="45">
        <f>COUNTIFS(Table1[SubscriptionStart], A599)</f>
        <v>0</v>
      </c>
      <c r="D599" s="45">
        <f>COUNTIFS(Table1[CancellationDate], A599)</f>
        <v>0</v>
      </c>
      <c r="E599" s="45">
        <f t="shared" si="36"/>
        <v>0</v>
      </c>
      <c r="F599" s="45">
        <f>SUM($C$2:C599)</f>
        <v>663</v>
      </c>
      <c r="G599" s="49" cm="1">
        <f t="array" aca="1" ref="G599" ca="1">IF(B599=0,"", SUMPRODUCT((Table1[SubscriptionStart]&lt;=A599)*(Table1[EffectiveEndDate]&gt;=A599)*Table1[Age]) / B599 )</f>
        <v>46.017587939698494</v>
      </c>
      <c r="H599" s="22">
        <f>SUMIF(Table1[SubscriptionStart],"&lt;="&amp;A599,Table1[TotalRevenue])</f>
        <v>137390.45000000016</v>
      </c>
      <c r="I599" s="50">
        <f t="shared" si="37"/>
        <v>45169</v>
      </c>
      <c r="J599" s="49">
        <f t="shared" ca="1" si="38"/>
        <v>401.12903225806451</v>
      </c>
      <c r="K599" s="45" cm="1">
        <f t="array" aca="1" ref="K599" ca="1">SUMPRODUCT((Table1[SubscriptionStart] &lt;= $A599) * (Table1[EffectiveEndDate] &gt;= $A599) * (Table1[Region] = "England"))</f>
        <v>104</v>
      </c>
      <c r="L599" s="45" cm="1">
        <f t="array" aca="1" ref="L599" ca="1">SUMPRODUCT((Table1[SubscriptionStart] &lt;= $A599) * (Table1[EffectiveEndDate] &gt;= $A599) * (Table1[Region] = "Scotland"))</f>
        <v>95</v>
      </c>
      <c r="M599" s="45" cm="1">
        <f t="array" aca="1" ref="M599" ca="1">SUMPRODUCT((Table1[SubscriptionStart] &lt;= $A599) * (Table1[EffectiveEndDate] &gt;= $A599) * (Table1[Region] = "Wales"))</f>
        <v>107</v>
      </c>
      <c r="N599" s="45" cm="1">
        <f t="array" aca="1" ref="N599" ca="1">SUMPRODUCT((Table1[SubscriptionStart] &lt;= $A599) * (Table1[EffectiveEndDate] &gt;= $A599) * (Table1[Region] = "Northern Ireland"))</f>
        <v>92</v>
      </c>
      <c r="O599" s="45" cm="1">
        <f t="array" aca="1" ref="O599" ca="1">SUMPRODUCT((Table1[Gender]="Male")*(Table1[SubscriptionStart]&lt;=A599)*(Table1[EffectiveEndDate]&gt;=A599))</f>
        <v>200</v>
      </c>
      <c r="P599" s="45" cm="1">
        <f t="array" aca="1" ref="P599" ca="1">SUMPRODUCT((Table1[Gender]="Female")*(Table1[SubscriptionStart]&lt;=A599)*(Table1[EffectiveEndDate]&gt;=A599))</f>
        <v>198</v>
      </c>
    </row>
    <row r="600" spans="1:16">
      <c r="A600" s="48">
        <f t="shared" si="39"/>
        <v>45160</v>
      </c>
      <c r="B600" s="45" cm="1">
        <f t="array" aca="1" ref="B600" ca="1">SUMPRODUCT((Table1[SubscriptionStart]&lt;=A600)*(Table1[EffectiveEndDate]&gt;=A600))</f>
        <v>401</v>
      </c>
      <c r="C600" s="45">
        <f>COUNTIFS(Table1[SubscriptionStart], A600)</f>
        <v>3</v>
      </c>
      <c r="D600" s="45">
        <f>COUNTIFS(Table1[CancellationDate], A600)</f>
        <v>0</v>
      </c>
      <c r="E600" s="45">
        <f t="shared" si="36"/>
        <v>3</v>
      </c>
      <c r="F600" s="45">
        <f>SUM($C$2:C600)</f>
        <v>666</v>
      </c>
      <c r="G600" s="49" cm="1">
        <f t="array" aca="1" ref="G600" ca="1">IF(B600=0,"", SUMPRODUCT((Table1[SubscriptionStart]&lt;=A600)*(Table1[EffectiveEndDate]&gt;=A600)*Table1[Age]) / B600 )</f>
        <v>46.019950124688279</v>
      </c>
      <c r="H600" s="22">
        <f>SUMIF(Table1[SubscriptionStart],"&lt;="&amp;A600,Table1[TotalRevenue])</f>
        <v>137575.85000000015</v>
      </c>
      <c r="I600" s="50">
        <f t="shared" si="37"/>
        <v>45169</v>
      </c>
      <c r="J600" s="49">
        <f t="shared" ca="1" si="38"/>
        <v>401.12903225806451</v>
      </c>
      <c r="K600" s="45" cm="1">
        <f t="array" aca="1" ref="K600" ca="1">SUMPRODUCT((Table1[SubscriptionStart] &lt;= $A600) * (Table1[EffectiveEndDate] &gt;= $A600) * (Table1[Region] = "England"))</f>
        <v>106</v>
      </c>
      <c r="L600" s="45" cm="1">
        <f t="array" aca="1" ref="L600" ca="1">SUMPRODUCT((Table1[SubscriptionStart] &lt;= $A600) * (Table1[EffectiveEndDate] &gt;= $A600) * (Table1[Region] = "Scotland"))</f>
        <v>96</v>
      </c>
      <c r="M600" s="45" cm="1">
        <f t="array" aca="1" ref="M600" ca="1">SUMPRODUCT((Table1[SubscriptionStart] &lt;= $A600) * (Table1[EffectiveEndDate] &gt;= $A600) * (Table1[Region] = "Wales"))</f>
        <v>107</v>
      </c>
      <c r="N600" s="45" cm="1">
        <f t="array" aca="1" ref="N600" ca="1">SUMPRODUCT((Table1[SubscriptionStart] &lt;= $A600) * (Table1[EffectiveEndDate] &gt;= $A600) * (Table1[Region] = "Northern Ireland"))</f>
        <v>92</v>
      </c>
      <c r="O600" s="45" cm="1">
        <f t="array" aca="1" ref="O600" ca="1">SUMPRODUCT((Table1[Gender]="Male")*(Table1[SubscriptionStart]&lt;=A600)*(Table1[EffectiveEndDate]&gt;=A600))</f>
        <v>201</v>
      </c>
      <c r="P600" s="45" cm="1">
        <f t="array" aca="1" ref="P600" ca="1">SUMPRODUCT((Table1[Gender]="Female")*(Table1[SubscriptionStart]&lt;=A600)*(Table1[EffectiveEndDate]&gt;=A600))</f>
        <v>200</v>
      </c>
    </row>
    <row r="601" spans="1:16">
      <c r="A601" s="48">
        <f t="shared" si="39"/>
        <v>45161</v>
      </c>
      <c r="B601" s="45" cm="1">
        <f t="array" aca="1" ref="B601" ca="1">SUMPRODUCT((Table1[SubscriptionStart]&lt;=A601)*(Table1[EffectiveEndDate]&gt;=A601))</f>
        <v>403</v>
      </c>
      <c r="C601" s="45">
        <f>COUNTIFS(Table1[SubscriptionStart], A601)</f>
        <v>2</v>
      </c>
      <c r="D601" s="45">
        <f>COUNTIFS(Table1[CancellationDate], A601)</f>
        <v>2</v>
      </c>
      <c r="E601" s="45">
        <f t="shared" si="36"/>
        <v>0</v>
      </c>
      <c r="F601" s="45">
        <f>SUM($C$2:C601)</f>
        <v>668</v>
      </c>
      <c r="G601" s="49" cm="1">
        <f t="array" aca="1" ref="G601" ca="1">IF(B601=0,"", SUMPRODUCT((Table1[SubscriptionStart]&lt;=A601)*(Table1[EffectiveEndDate]&gt;=A601)*Table1[Age]) / B601 )</f>
        <v>45.955334987593055</v>
      </c>
      <c r="H601" s="22">
        <f>SUMIF(Table1[SubscriptionStart],"&lt;="&amp;A601,Table1[TotalRevenue])</f>
        <v>138123.05000000016</v>
      </c>
      <c r="I601" s="50">
        <f t="shared" si="37"/>
        <v>45169</v>
      </c>
      <c r="J601" s="49">
        <f t="shared" ca="1" si="38"/>
        <v>401.12903225806451</v>
      </c>
      <c r="K601" s="45" cm="1">
        <f t="array" aca="1" ref="K601" ca="1">SUMPRODUCT((Table1[SubscriptionStart] &lt;= $A601) * (Table1[EffectiveEndDate] &gt;= $A601) * (Table1[Region] = "England"))</f>
        <v>106</v>
      </c>
      <c r="L601" s="45" cm="1">
        <f t="array" aca="1" ref="L601" ca="1">SUMPRODUCT((Table1[SubscriptionStart] &lt;= $A601) * (Table1[EffectiveEndDate] &gt;= $A601) * (Table1[Region] = "Scotland"))</f>
        <v>96</v>
      </c>
      <c r="M601" s="45" cm="1">
        <f t="array" aca="1" ref="M601" ca="1">SUMPRODUCT((Table1[SubscriptionStart] &lt;= $A601) * (Table1[EffectiveEndDate] &gt;= $A601) * (Table1[Region] = "Wales"))</f>
        <v>107</v>
      </c>
      <c r="N601" s="45" cm="1">
        <f t="array" aca="1" ref="N601" ca="1">SUMPRODUCT((Table1[SubscriptionStart] &lt;= $A601) * (Table1[EffectiveEndDate] &gt;= $A601) * (Table1[Region] = "Northern Ireland"))</f>
        <v>94</v>
      </c>
      <c r="O601" s="45" cm="1">
        <f t="array" aca="1" ref="O601" ca="1">SUMPRODUCT((Table1[Gender]="Male")*(Table1[SubscriptionStart]&lt;=A601)*(Table1[EffectiveEndDate]&gt;=A601))</f>
        <v>201</v>
      </c>
      <c r="P601" s="45" cm="1">
        <f t="array" aca="1" ref="P601" ca="1">SUMPRODUCT((Table1[Gender]="Female")*(Table1[SubscriptionStart]&lt;=A601)*(Table1[EffectiveEndDate]&gt;=A601))</f>
        <v>202</v>
      </c>
    </row>
    <row r="602" spans="1:16">
      <c r="A602" s="48">
        <f t="shared" si="39"/>
        <v>45162</v>
      </c>
      <c r="B602" s="45" cm="1">
        <f t="array" aca="1" ref="B602" ca="1">SUMPRODUCT((Table1[SubscriptionStart]&lt;=A602)*(Table1[EffectiveEndDate]&gt;=A602))</f>
        <v>402</v>
      </c>
      <c r="C602" s="45">
        <f>COUNTIFS(Table1[SubscriptionStart], A602)</f>
        <v>1</v>
      </c>
      <c r="D602" s="45">
        <f>COUNTIFS(Table1[CancellationDate], A602)</f>
        <v>0</v>
      </c>
      <c r="E602" s="45">
        <f t="shared" si="36"/>
        <v>1</v>
      </c>
      <c r="F602" s="45">
        <f>SUM($C$2:C602)</f>
        <v>669</v>
      </c>
      <c r="G602" s="49" cm="1">
        <f t="array" aca="1" ref="G602" ca="1">IF(B602=0,"", SUMPRODUCT((Table1[SubscriptionStart]&lt;=A602)*(Table1[EffectiveEndDate]&gt;=A602)*Table1[Age]) / B602 )</f>
        <v>45.868159203980099</v>
      </c>
      <c r="H602" s="22">
        <f>SUMIF(Table1[SubscriptionStart],"&lt;="&amp;A602,Table1[TotalRevenue])</f>
        <v>138339.05000000016</v>
      </c>
      <c r="I602" s="50">
        <f t="shared" si="37"/>
        <v>45169</v>
      </c>
      <c r="J602" s="49">
        <f t="shared" ca="1" si="38"/>
        <v>401.12903225806451</v>
      </c>
      <c r="K602" s="45" cm="1">
        <f t="array" aca="1" ref="K602" ca="1">SUMPRODUCT((Table1[SubscriptionStart] &lt;= $A602) * (Table1[EffectiveEndDate] &gt;= $A602) * (Table1[Region] = "England"))</f>
        <v>106</v>
      </c>
      <c r="L602" s="45" cm="1">
        <f t="array" aca="1" ref="L602" ca="1">SUMPRODUCT((Table1[SubscriptionStart] &lt;= $A602) * (Table1[EffectiveEndDate] &gt;= $A602) * (Table1[Region] = "Scotland"))</f>
        <v>97</v>
      </c>
      <c r="M602" s="45" cm="1">
        <f t="array" aca="1" ref="M602" ca="1">SUMPRODUCT((Table1[SubscriptionStart] &lt;= $A602) * (Table1[EffectiveEndDate] &gt;= $A602) * (Table1[Region] = "Wales"))</f>
        <v>107</v>
      </c>
      <c r="N602" s="45" cm="1">
        <f t="array" aca="1" ref="N602" ca="1">SUMPRODUCT((Table1[SubscriptionStart] &lt;= $A602) * (Table1[EffectiveEndDate] &gt;= $A602) * (Table1[Region] = "Northern Ireland"))</f>
        <v>92</v>
      </c>
      <c r="O602" s="45" cm="1">
        <f t="array" aca="1" ref="O602" ca="1">SUMPRODUCT((Table1[Gender]="Male")*(Table1[SubscriptionStart]&lt;=A602)*(Table1[EffectiveEndDate]&gt;=A602))</f>
        <v>202</v>
      </c>
      <c r="P602" s="45" cm="1">
        <f t="array" aca="1" ref="P602" ca="1">SUMPRODUCT((Table1[Gender]="Female")*(Table1[SubscriptionStart]&lt;=A602)*(Table1[EffectiveEndDate]&gt;=A602))</f>
        <v>200</v>
      </c>
    </row>
    <row r="603" spans="1:16">
      <c r="A603" s="48">
        <f t="shared" si="39"/>
        <v>45163</v>
      </c>
      <c r="B603" s="45" cm="1">
        <f t="array" aca="1" ref="B603" ca="1">SUMPRODUCT((Table1[SubscriptionStart]&lt;=A603)*(Table1[EffectiveEndDate]&gt;=A603))</f>
        <v>405</v>
      </c>
      <c r="C603" s="45">
        <f>COUNTIFS(Table1[SubscriptionStart], A603)</f>
        <v>3</v>
      </c>
      <c r="D603" s="45">
        <f>COUNTIFS(Table1[CancellationDate], A603)</f>
        <v>0</v>
      </c>
      <c r="E603" s="45">
        <f t="shared" si="36"/>
        <v>3</v>
      </c>
      <c r="F603" s="45">
        <f>SUM($C$2:C603)</f>
        <v>672</v>
      </c>
      <c r="G603" s="49" cm="1">
        <f t="array" aca="1" ref="G603" ca="1">IF(B603=0,"", SUMPRODUCT((Table1[SubscriptionStart]&lt;=A603)*(Table1[EffectiveEndDate]&gt;=A603)*Table1[Age]) / B603 )</f>
        <v>45.970370370370368</v>
      </c>
      <c r="H603" s="22">
        <f>SUMIF(Table1[SubscriptionStart],"&lt;="&amp;A603,Table1[TotalRevenue])</f>
        <v>138540.65000000017</v>
      </c>
      <c r="I603" s="50">
        <f t="shared" si="37"/>
        <v>45169</v>
      </c>
      <c r="J603" s="49">
        <f t="shared" ca="1" si="38"/>
        <v>401.12903225806451</v>
      </c>
      <c r="K603" s="45" cm="1">
        <f t="array" aca="1" ref="K603" ca="1">SUMPRODUCT((Table1[SubscriptionStart] &lt;= $A603) * (Table1[EffectiveEndDate] &gt;= $A603) * (Table1[Region] = "England"))</f>
        <v>107</v>
      </c>
      <c r="L603" s="45" cm="1">
        <f t="array" aca="1" ref="L603" ca="1">SUMPRODUCT((Table1[SubscriptionStart] &lt;= $A603) * (Table1[EffectiveEndDate] &gt;= $A603) * (Table1[Region] = "Scotland"))</f>
        <v>98</v>
      </c>
      <c r="M603" s="45" cm="1">
        <f t="array" aca="1" ref="M603" ca="1">SUMPRODUCT((Table1[SubscriptionStart] &lt;= $A603) * (Table1[EffectiveEndDate] &gt;= $A603) * (Table1[Region] = "Wales"))</f>
        <v>107</v>
      </c>
      <c r="N603" s="45" cm="1">
        <f t="array" aca="1" ref="N603" ca="1">SUMPRODUCT((Table1[SubscriptionStart] &lt;= $A603) * (Table1[EffectiveEndDate] &gt;= $A603) * (Table1[Region] = "Northern Ireland"))</f>
        <v>93</v>
      </c>
      <c r="O603" s="45" cm="1">
        <f t="array" aca="1" ref="O603" ca="1">SUMPRODUCT((Table1[Gender]="Male")*(Table1[SubscriptionStart]&lt;=A603)*(Table1[EffectiveEndDate]&gt;=A603))</f>
        <v>205</v>
      </c>
      <c r="P603" s="45" cm="1">
        <f t="array" aca="1" ref="P603" ca="1">SUMPRODUCT((Table1[Gender]="Female")*(Table1[SubscriptionStart]&lt;=A603)*(Table1[EffectiveEndDate]&gt;=A603))</f>
        <v>200</v>
      </c>
    </row>
    <row r="604" spans="1:16">
      <c r="A604" s="48">
        <f t="shared" si="39"/>
        <v>45164</v>
      </c>
      <c r="B604" s="45" cm="1">
        <f t="array" aca="1" ref="B604" ca="1">SUMPRODUCT((Table1[SubscriptionStart]&lt;=A604)*(Table1[EffectiveEndDate]&gt;=A604))</f>
        <v>407</v>
      </c>
      <c r="C604" s="45">
        <f>COUNTIFS(Table1[SubscriptionStart], A604)</f>
        <v>2</v>
      </c>
      <c r="D604" s="45">
        <f>COUNTIFS(Table1[CancellationDate], A604)</f>
        <v>1</v>
      </c>
      <c r="E604" s="45">
        <f t="shared" si="36"/>
        <v>1</v>
      </c>
      <c r="F604" s="45">
        <f>SUM($C$2:C604)</f>
        <v>674</v>
      </c>
      <c r="G604" s="49" cm="1">
        <f t="array" aca="1" ref="G604" ca="1">IF(B604=0,"", SUMPRODUCT((Table1[SubscriptionStart]&lt;=A604)*(Table1[EffectiveEndDate]&gt;=A604)*Table1[Age]) / B604 )</f>
        <v>46.051597051597049</v>
      </c>
      <c r="H604" s="22">
        <f>SUMIF(Table1[SubscriptionStart],"&lt;="&amp;A604,Table1[TotalRevenue])</f>
        <v>139509.45000000016</v>
      </c>
      <c r="I604" s="50">
        <f t="shared" si="37"/>
        <v>45169</v>
      </c>
      <c r="J604" s="49">
        <f t="shared" ca="1" si="38"/>
        <v>401.12903225806451</v>
      </c>
      <c r="K604" s="45" cm="1">
        <f t="array" aca="1" ref="K604" ca="1">SUMPRODUCT((Table1[SubscriptionStart] &lt;= $A604) * (Table1[EffectiveEndDate] &gt;= $A604) * (Table1[Region] = "England"))</f>
        <v>107</v>
      </c>
      <c r="L604" s="45" cm="1">
        <f t="array" aca="1" ref="L604" ca="1">SUMPRODUCT((Table1[SubscriptionStart] &lt;= $A604) * (Table1[EffectiveEndDate] &gt;= $A604) * (Table1[Region] = "Scotland"))</f>
        <v>99</v>
      </c>
      <c r="M604" s="45" cm="1">
        <f t="array" aca="1" ref="M604" ca="1">SUMPRODUCT((Table1[SubscriptionStart] &lt;= $A604) * (Table1[EffectiveEndDate] &gt;= $A604) * (Table1[Region] = "Wales"))</f>
        <v>108</v>
      </c>
      <c r="N604" s="45" cm="1">
        <f t="array" aca="1" ref="N604" ca="1">SUMPRODUCT((Table1[SubscriptionStart] &lt;= $A604) * (Table1[EffectiveEndDate] &gt;= $A604) * (Table1[Region] = "Northern Ireland"))</f>
        <v>93</v>
      </c>
      <c r="O604" s="45" cm="1">
        <f t="array" aca="1" ref="O604" ca="1">SUMPRODUCT((Table1[Gender]="Male")*(Table1[SubscriptionStart]&lt;=A604)*(Table1[EffectiveEndDate]&gt;=A604))</f>
        <v>206</v>
      </c>
      <c r="P604" s="45" cm="1">
        <f t="array" aca="1" ref="P604" ca="1">SUMPRODUCT((Table1[Gender]="Female")*(Table1[SubscriptionStart]&lt;=A604)*(Table1[EffectiveEndDate]&gt;=A604))</f>
        <v>201</v>
      </c>
    </row>
    <row r="605" spans="1:16">
      <c r="A605" s="48">
        <f t="shared" si="39"/>
        <v>45165</v>
      </c>
      <c r="B605" s="45" cm="1">
        <f t="array" aca="1" ref="B605" ca="1">SUMPRODUCT((Table1[SubscriptionStart]&lt;=A605)*(Table1[EffectiveEndDate]&gt;=A605))</f>
        <v>408</v>
      </c>
      <c r="C605" s="45">
        <f>COUNTIFS(Table1[SubscriptionStart], A605)</f>
        <v>2</v>
      </c>
      <c r="D605" s="45">
        <f>COUNTIFS(Table1[CancellationDate], A605)</f>
        <v>2</v>
      </c>
      <c r="E605" s="45">
        <f t="shared" si="36"/>
        <v>0</v>
      </c>
      <c r="F605" s="45">
        <f>SUM($C$2:C605)</f>
        <v>676</v>
      </c>
      <c r="G605" s="49" cm="1">
        <f t="array" aca="1" ref="G605" ca="1">IF(B605=0,"", SUMPRODUCT((Table1[SubscriptionStart]&lt;=A605)*(Table1[EffectiveEndDate]&gt;=A605)*Table1[Age]) / B605 )</f>
        <v>46.051470588235297</v>
      </c>
      <c r="H605" s="22">
        <f>SUMIF(Table1[SubscriptionStart],"&lt;="&amp;A605,Table1[TotalRevenue])</f>
        <v>139790.70000000016</v>
      </c>
      <c r="I605" s="50">
        <f t="shared" si="37"/>
        <v>45169</v>
      </c>
      <c r="J605" s="49">
        <f t="shared" ca="1" si="38"/>
        <v>401.12903225806451</v>
      </c>
      <c r="K605" s="45" cm="1">
        <f t="array" aca="1" ref="K605" ca="1">SUMPRODUCT((Table1[SubscriptionStart] &lt;= $A605) * (Table1[EffectiveEndDate] &gt;= $A605) * (Table1[Region] = "England"))</f>
        <v>107</v>
      </c>
      <c r="L605" s="45" cm="1">
        <f t="array" aca="1" ref="L605" ca="1">SUMPRODUCT((Table1[SubscriptionStart] &lt;= $A605) * (Table1[EffectiveEndDate] &gt;= $A605) * (Table1[Region] = "Scotland"))</f>
        <v>99</v>
      </c>
      <c r="M605" s="45" cm="1">
        <f t="array" aca="1" ref="M605" ca="1">SUMPRODUCT((Table1[SubscriptionStart] &lt;= $A605) * (Table1[EffectiveEndDate] &gt;= $A605) * (Table1[Region] = "Wales"))</f>
        <v>109</v>
      </c>
      <c r="N605" s="45" cm="1">
        <f t="array" aca="1" ref="N605" ca="1">SUMPRODUCT((Table1[SubscriptionStart] &lt;= $A605) * (Table1[EffectiveEndDate] &gt;= $A605) * (Table1[Region] = "Northern Ireland"))</f>
        <v>93</v>
      </c>
      <c r="O605" s="45" cm="1">
        <f t="array" aca="1" ref="O605" ca="1">SUMPRODUCT((Table1[Gender]="Male")*(Table1[SubscriptionStart]&lt;=A605)*(Table1[EffectiveEndDate]&gt;=A605))</f>
        <v>207</v>
      </c>
      <c r="P605" s="45" cm="1">
        <f t="array" aca="1" ref="P605" ca="1">SUMPRODUCT((Table1[Gender]="Female")*(Table1[SubscriptionStart]&lt;=A605)*(Table1[EffectiveEndDate]&gt;=A605))</f>
        <v>201</v>
      </c>
    </row>
    <row r="606" spans="1:16">
      <c r="A606" s="48">
        <f t="shared" si="39"/>
        <v>45166</v>
      </c>
      <c r="B606" s="45" cm="1">
        <f t="array" aca="1" ref="B606" ca="1">SUMPRODUCT((Table1[SubscriptionStart]&lt;=A606)*(Table1[EffectiveEndDate]&gt;=A606))</f>
        <v>406</v>
      </c>
      <c r="C606" s="45">
        <f>COUNTIFS(Table1[SubscriptionStart], A606)</f>
        <v>0</v>
      </c>
      <c r="D606" s="45">
        <f>COUNTIFS(Table1[CancellationDate], A606)</f>
        <v>2</v>
      </c>
      <c r="E606" s="45">
        <f t="shared" si="36"/>
        <v>-2</v>
      </c>
      <c r="F606" s="45">
        <f>SUM($C$2:C606)</f>
        <v>676</v>
      </c>
      <c r="G606" s="49" cm="1">
        <f t="array" aca="1" ref="G606" ca="1">IF(B606=0,"", SUMPRODUCT((Table1[SubscriptionStart]&lt;=A606)*(Table1[EffectiveEndDate]&gt;=A606)*Table1[Age]) / B606 )</f>
        <v>45.926108374384235</v>
      </c>
      <c r="H606" s="22">
        <f>SUMIF(Table1[SubscriptionStart],"&lt;="&amp;A606,Table1[TotalRevenue])</f>
        <v>139790.70000000016</v>
      </c>
      <c r="I606" s="50">
        <f t="shared" si="37"/>
        <v>45169</v>
      </c>
      <c r="J606" s="49">
        <f t="shared" ca="1" si="38"/>
        <v>401.12903225806451</v>
      </c>
      <c r="K606" s="45" cm="1">
        <f t="array" aca="1" ref="K606" ca="1">SUMPRODUCT((Table1[SubscriptionStart] &lt;= $A606) * (Table1[EffectiveEndDate] &gt;= $A606) * (Table1[Region] = "England"))</f>
        <v>107</v>
      </c>
      <c r="L606" s="45" cm="1">
        <f t="array" aca="1" ref="L606" ca="1">SUMPRODUCT((Table1[SubscriptionStart] &lt;= $A606) * (Table1[EffectiveEndDate] &gt;= $A606) * (Table1[Region] = "Scotland"))</f>
        <v>99</v>
      </c>
      <c r="M606" s="45" cm="1">
        <f t="array" aca="1" ref="M606" ca="1">SUMPRODUCT((Table1[SubscriptionStart] &lt;= $A606) * (Table1[EffectiveEndDate] &gt;= $A606) * (Table1[Region] = "Wales"))</f>
        <v>107</v>
      </c>
      <c r="N606" s="45" cm="1">
        <f t="array" aca="1" ref="N606" ca="1">SUMPRODUCT((Table1[SubscriptionStart] &lt;= $A606) * (Table1[EffectiveEndDate] &gt;= $A606) * (Table1[Region] = "Northern Ireland"))</f>
        <v>93</v>
      </c>
      <c r="O606" s="45" cm="1">
        <f t="array" aca="1" ref="O606" ca="1">SUMPRODUCT((Table1[Gender]="Male")*(Table1[SubscriptionStart]&lt;=A606)*(Table1[EffectiveEndDate]&gt;=A606))</f>
        <v>207</v>
      </c>
      <c r="P606" s="45" cm="1">
        <f t="array" aca="1" ref="P606" ca="1">SUMPRODUCT((Table1[Gender]="Female")*(Table1[SubscriptionStart]&lt;=A606)*(Table1[EffectiveEndDate]&gt;=A606))</f>
        <v>199</v>
      </c>
    </row>
    <row r="607" spans="1:16">
      <c r="A607" s="48">
        <f t="shared" si="39"/>
        <v>45167</v>
      </c>
      <c r="B607" s="45" cm="1">
        <f t="array" aca="1" ref="B607" ca="1">SUMPRODUCT((Table1[SubscriptionStart]&lt;=A607)*(Table1[EffectiveEndDate]&gt;=A607))</f>
        <v>407</v>
      </c>
      <c r="C607" s="45">
        <f>COUNTIFS(Table1[SubscriptionStart], A607)</f>
        <v>3</v>
      </c>
      <c r="D607" s="45">
        <f>COUNTIFS(Table1[CancellationDate], A607)</f>
        <v>2</v>
      </c>
      <c r="E607" s="45">
        <f t="shared" si="36"/>
        <v>1</v>
      </c>
      <c r="F607" s="45">
        <f>SUM($C$2:C607)</f>
        <v>679</v>
      </c>
      <c r="G607" s="49" cm="1">
        <f t="array" aca="1" ref="G607" ca="1">IF(B607=0,"", SUMPRODUCT((Table1[SubscriptionStart]&lt;=A607)*(Table1[EffectiveEndDate]&gt;=A607)*Table1[Age]) / B607 )</f>
        <v>46.017199017199019</v>
      </c>
      <c r="H607" s="22">
        <f>SUMIF(Table1[SubscriptionStart],"&lt;="&amp;A607,Table1[TotalRevenue])</f>
        <v>140121.70000000016</v>
      </c>
      <c r="I607" s="50">
        <f t="shared" si="37"/>
        <v>45169</v>
      </c>
      <c r="J607" s="49">
        <f t="shared" ca="1" si="38"/>
        <v>401.12903225806451</v>
      </c>
      <c r="K607" s="45" cm="1">
        <f t="array" aca="1" ref="K607" ca="1">SUMPRODUCT((Table1[SubscriptionStart] &lt;= $A607) * (Table1[EffectiveEndDate] &gt;= $A607) * (Table1[Region] = "England"))</f>
        <v>106</v>
      </c>
      <c r="L607" s="45" cm="1">
        <f t="array" aca="1" ref="L607" ca="1">SUMPRODUCT((Table1[SubscriptionStart] &lt;= $A607) * (Table1[EffectiveEndDate] &gt;= $A607) * (Table1[Region] = "Scotland"))</f>
        <v>100</v>
      </c>
      <c r="M607" s="45" cm="1">
        <f t="array" aca="1" ref="M607" ca="1">SUMPRODUCT((Table1[SubscriptionStart] &lt;= $A607) * (Table1[EffectiveEndDate] &gt;= $A607) * (Table1[Region] = "Wales"))</f>
        <v>108</v>
      </c>
      <c r="N607" s="45" cm="1">
        <f t="array" aca="1" ref="N607" ca="1">SUMPRODUCT((Table1[SubscriptionStart] &lt;= $A607) * (Table1[EffectiveEndDate] &gt;= $A607) * (Table1[Region] = "Northern Ireland"))</f>
        <v>93</v>
      </c>
      <c r="O607" s="45" cm="1">
        <f t="array" aca="1" ref="O607" ca="1">SUMPRODUCT((Table1[Gender]="Male")*(Table1[SubscriptionStart]&lt;=A607)*(Table1[EffectiveEndDate]&gt;=A607))</f>
        <v>208</v>
      </c>
      <c r="P607" s="45" cm="1">
        <f t="array" aca="1" ref="P607" ca="1">SUMPRODUCT((Table1[Gender]="Female")*(Table1[SubscriptionStart]&lt;=A607)*(Table1[EffectiveEndDate]&gt;=A607))</f>
        <v>199</v>
      </c>
    </row>
    <row r="608" spans="1:16">
      <c r="A608" s="48">
        <f t="shared" si="39"/>
        <v>45168</v>
      </c>
      <c r="B608" s="45" cm="1">
        <f t="array" aca="1" ref="B608" ca="1">SUMPRODUCT((Table1[SubscriptionStart]&lt;=A608)*(Table1[EffectiveEndDate]&gt;=A608))</f>
        <v>407</v>
      </c>
      <c r="C608" s="45">
        <f>COUNTIFS(Table1[SubscriptionStart], A608)</f>
        <v>2</v>
      </c>
      <c r="D608" s="45">
        <f>COUNTIFS(Table1[CancellationDate], A608)</f>
        <v>0</v>
      </c>
      <c r="E608" s="45">
        <f t="shared" si="36"/>
        <v>2</v>
      </c>
      <c r="F608" s="45">
        <f>SUM($C$2:C608)</f>
        <v>681</v>
      </c>
      <c r="G608" s="49" cm="1">
        <f t="array" aca="1" ref="G608" ca="1">IF(B608=0,"", SUMPRODUCT((Table1[SubscriptionStart]&lt;=A608)*(Table1[EffectiveEndDate]&gt;=A608)*Table1[Age]) / B608 )</f>
        <v>46.009828009828013</v>
      </c>
      <c r="H608" s="22">
        <f>SUMIF(Table1[SubscriptionStart],"&lt;="&amp;A608,Table1[TotalRevenue])</f>
        <v>140263.45000000016</v>
      </c>
      <c r="I608" s="50">
        <f t="shared" si="37"/>
        <v>45169</v>
      </c>
      <c r="J608" s="49">
        <f t="shared" ca="1" si="38"/>
        <v>401.12903225806451</v>
      </c>
      <c r="K608" s="45" cm="1">
        <f t="array" aca="1" ref="K608" ca="1">SUMPRODUCT((Table1[SubscriptionStart] &lt;= $A608) * (Table1[EffectiveEndDate] &gt;= $A608) * (Table1[Region] = "England"))</f>
        <v>107</v>
      </c>
      <c r="L608" s="45" cm="1">
        <f t="array" aca="1" ref="L608" ca="1">SUMPRODUCT((Table1[SubscriptionStart] &lt;= $A608) * (Table1[EffectiveEndDate] &gt;= $A608) * (Table1[Region] = "Scotland"))</f>
        <v>100</v>
      </c>
      <c r="M608" s="45" cm="1">
        <f t="array" aca="1" ref="M608" ca="1">SUMPRODUCT((Table1[SubscriptionStart] &lt;= $A608) * (Table1[EffectiveEndDate] &gt;= $A608) * (Table1[Region] = "Wales"))</f>
        <v>107</v>
      </c>
      <c r="N608" s="45" cm="1">
        <f t="array" aca="1" ref="N608" ca="1">SUMPRODUCT((Table1[SubscriptionStart] &lt;= $A608) * (Table1[EffectiveEndDate] &gt;= $A608) * (Table1[Region] = "Northern Ireland"))</f>
        <v>93</v>
      </c>
      <c r="O608" s="45" cm="1">
        <f t="array" aca="1" ref="O608" ca="1">SUMPRODUCT((Table1[Gender]="Male")*(Table1[SubscriptionStart]&lt;=A608)*(Table1[EffectiveEndDate]&gt;=A608))</f>
        <v>207</v>
      </c>
      <c r="P608" s="45" cm="1">
        <f t="array" aca="1" ref="P608" ca="1">SUMPRODUCT((Table1[Gender]="Female")*(Table1[SubscriptionStart]&lt;=A608)*(Table1[EffectiveEndDate]&gt;=A608))</f>
        <v>200</v>
      </c>
    </row>
    <row r="609" spans="1:16">
      <c r="A609" s="48">
        <f t="shared" si="39"/>
        <v>45169</v>
      </c>
      <c r="B609" s="45" cm="1">
        <f t="array" aca="1" ref="B609" ca="1">SUMPRODUCT((Table1[SubscriptionStart]&lt;=A609)*(Table1[EffectiveEndDate]&gt;=A609))</f>
        <v>407</v>
      </c>
      <c r="C609" s="45">
        <f>COUNTIFS(Table1[SubscriptionStart], A609)</f>
        <v>0</v>
      </c>
      <c r="D609" s="45">
        <f>COUNTIFS(Table1[CancellationDate], A609)</f>
        <v>0</v>
      </c>
      <c r="E609" s="45">
        <f t="shared" si="36"/>
        <v>0</v>
      </c>
      <c r="F609" s="45">
        <f>SUM($C$2:C609)</f>
        <v>681</v>
      </c>
      <c r="G609" s="49" cm="1">
        <f t="array" aca="1" ref="G609" ca="1">IF(B609=0,"", SUMPRODUCT((Table1[SubscriptionStart]&lt;=A609)*(Table1[EffectiveEndDate]&gt;=A609)*Table1[Age]) / B609 )</f>
        <v>46.009828009828013</v>
      </c>
      <c r="H609" s="22">
        <f>SUMIF(Table1[SubscriptionStart],"&lt;="&amp;A609,Table1[TotalRevenue])</f>
        <v>140263.45000000016</v>
      </c>
      <c r="I609" s="50">
        <f t="shared" si="37"/>
        <v>45169</v>
      </c>
      <c r="J609" s="49">
        <f t="shared" ca="1" si="38"/>
        <v>401.12903225806451</v>
      </c>
      <c r="K609" s="45" cm="1">
        <f t="array" aca="1" ref="K609" ca="1">SUMPRODUCT((Table1[SubscriptionStart] &lt;= $A609) * (Table1[EffectiveEndDate] &gt;= $A609) * (Table1[Region] = "England"))</f>
        <v>107</v>
      </c>
      <c r="L609" s="45" cm="1">
        <f t="array" aca="1" ref="L609" ca="1">SUMPRODUCT((Table1[SubscriptionStart] &lt;= $A609) * (Table1[EffectiveEndDate] &gt;= $A609) * (Table1[Region] = "Scotland"))</f>
        <v>100</v>
      </c>
      <c r="M609" s="45" cm="1">
        <f t="array" aca="1" ref="M609" ca="1">SUMPRODUCT((Table1[SubscriptionStart] &lt;= $A609) * (Table1[EffectiveEndDate] &gt;= $A609) * (Table1[Region] = "Wales"))</f>
        <v>107</v>
      </c>
      <c r="N609" s="45" cm="1">
        <f t="array" aca="1" ref="N609" ca="1">SUMPRODUCT((Table1[SubscriptionStart] &lt;= $A609) * (Table1[EffectiveEndDate] &gt;= $A609) * (Table1[Region] = "Northern Ireland"))</f>
        <v>93</v>
      </c>
      <c r="O609" s="45" cm="1">
        <f t="array" aca="1" ref="O609" ca="1">SUMPRODUCT((Table1[Gender]="Male")*(Table1[SubscriptionStart]&lt;=A609)*(Table1[EffectiveEndDate]&gt;=A609))</f>
        <v>207</v>
      </c>
      <c r="P609" s="45" cm="1">
        <f t="array" aca="1" ref="P609" ca="1">SUMPRODUCT((Table1[Gender]="Female")*(Table1[SubscriptionStart]&lt;=A609)*(Table1[EffectiveEndDate]&gt;=A609))</f>
        <v>200</v>
      </c>
    </row>
    <row r="610" spans="1:16">
      <c r="A610" s="48">
        <f t="shared" si="39"/>
        <v>45170</v>
      </c>
      <c r="B610" s="45" cm="1">
        <f t="array" aca="1" ref="B610" ca="1">SUMPRODUCT((Table1[SubscriptionStart]&lt;=A610)*(Table1[EffectiveEndDate]&gt;=A610))</f>
        <v>408</v>
      </c>
      <c r="C610" s="45">
        <f>COUNTIFS(Table1[SubscriptionStart], A610)</f>
        <v>1</v>
      </c>
      <c r="D610" s="45">
        <f>COUNTIFS(Table1[CancellationDate], A610)</f>
        <v>1</v>
      </c>
      <c r="E610" s="45">
        <f t="shared" si="36"/>
        <v>0</v>
      </c>
      <c r="F610" s="45">
        <f>SUM($C$2:C610)</f>
        <v>682</v>
      </c>
      <c r="G610" s="49" cm="1">
        <f t="array" aca="1" ref="G610" ca="1">IF(B610=0,"", SUMPRODUCT((Table1[SubscriptionStart]&lt;=A610)*(Table1[EffectiveEndDate]&gt;=A610)*Table1[Age]) / B610 )</f>
        <v>45.965686274509807</v>
      </c>
      <c r="H610" s="22">
        <f>SUMIF(Table1[SubscriptionStart],"&lt;="&amp;A610,Table1[TotalRevenue])</f>
        <v>140443.45000000016</v>
      </c>
      <c r="I610" s="50">
        <f t="shared" si="37"/>
        <v>45199</v>
      </c>
      <c r="J610" s="49">
        <f t="shared" ca="1" si="38"/>
        <v>399.53333333333336</v>
      </c>
      <c r="K610" s="45" cm="1">
        <f t="array" aca="1" ref="K610" ca="1">SUMPRODUCT((Table1[SubscriptionStart] &lt;= $A610) * (Table1[EffectiveEndDate] &gt;= $A610) * (Table1[Region] = "England"))</f>
        <v>107</v>
      </c>
      <c r="L610" s="45" cm="1">
        <f t="array" aca="1" ref="L610" ca="1">SUMPRODUCT((Table1[SubscriptionStart] &lt;= $A610) * (Table1[EffectiveEndDate] &gt;= $A610) * (Table1[Region] = "Scotland"))</f>
        <v>101</v>
      </c>
      <c r="M610" s="45" cm="1">
        <f t="array" aca="1" ref="M610" ca="1">SUMPRODUCT((Table1[SubscriptionStart] &lt;= $A610) * (Table1[EffectiveEndDate] &gt;= $A610) * (Table1[Region] = "Wales"))</f>
        <v>107</v>
      </c>
      <c r="N610" s="45" cm="1">
        <f t="array" aca="1" ref="N610" ca="1">SUMPRODUCT((Table1[SubscriptionStart] &lt;= $A610) * (Table1[EffectiveEndDate] &gt;= $A610) * (Table1[Region] = "Northern Ireland"))</f>
        <v>93</v>
      </c>
      <c r="O610" s="45" cm="1">
        <f t="array" aca="1" ref="O610" ca="1">SUMPRODUCT((Table1[Gender]="Male")*(Table1[SubscriptionStart]&lt;=A610)*(Table1[EffectiveEndDate]&gt;=A610))</f>
        <v>207</v>
      </c>
      <c r="P610" s="45" cm="1">
        <f t="array" aca="1" ref="P610" ca="1">SUMPRODUCT((Table1[Gender]="Female")*(Table1[SubscriptionStart]&lt;=A610)*(Table1[EffectiveEndDate]&gt;=A610))</f>
        <v>201</v>
      </c>
    </row>
    <row r="611" spans="1:16">
      <c r="A611" s="48">
        <f t="shared" si="39"/>
        <v>45171</v>
      </c>
      <c r="B611" s="45" cm="1">
        <f t="array" aca="1" ref="B611" ca="1">SUMPRODUCT((Table1[SubscriptionStart]&lt;=A611)*(Table1[EffectiveEndDate]&gt;=A611))</f>
        <v>407</v>
      </c>
      <c r="C611" s="45">
        <f>COUNTIFS(Table1[SubscriptionStart], A611)</f>
        <v>0</v>
      </c>
      <c r="D611" s="45">
        <f>COUNTIFS(Table1[CancellationDate], A611)</f>
        <v>2</v>
      </c>
      <c r="E611" s="45">
        <f t="shared" si="36"/>
        <v>-2</v>
      </c>
      <c r="F611" s="45">
        <f>SUM($C$2:C611)</f>
        <v>682</v>
      </c>
      <c r="G611" s="49" cm="1">
        <f t="array" aca="1" ref="G611" ca="1">IF(B611=0,"", SUMPRODUCT((Table1[SubscriptionStart]&lt;=A611)*(Table1[EffectiveEndDate]&gt;=A611)*Table1[Age]) / B611 )</f>
        <v>46.024570024570025</v>
      </c>
      <c r="H611" s="22">
        <f>SUMIF(Table1[SubscriptionStart],"&lt;="&amp;A611,Table1[TotalRevenue])</f>
        <v>140443.45000000016</v>
      </c>
      <c r="I611" s="50">
        <f t="shared" si="37"/>
        <v>45199</v>
      </c>
      <c r="J611" s="49">
        <f t="shared" ca="1" si="38"/>
        <v>399.53333333333336</v>
      </c>
      <c r="K611" s="45" cm="1">
        <f t="array" aca="1" ref="K611" ca="1">SUMPRODUCT((Table1[SubscriptionStart] &lt;= $A611) * (Table1[EffectiveEndDate] &gt;= $A611) * (Table1[Region] = "England"))</f>
        <v>107</v>
      </c>
      <c r="L611" s="45" cm="1">
        <f t="array" aca="1" ref="L611" ca="1">SUMPRODUCT((Table1[SubscriptionStart] &lt;= $A611) * (Table1[EffectiveEndDate] &gt;= $A611) * (Table1[Region] = "Scotland"))</f>
        <v>100</v>
      </c>
      <c r="M611" s="45" cm="1">
        <f t="array" aca="1" ref="M611" ca="1">SUMPRODUCT((Table1[SubscriptionStart] &lt;= $A611) * (Table1[EffectiveEndDate] &gt;= $A611) * (Table1[Region] = "Wales"))</f>
        <v>107</v>
      </c>
      <c r="N611" s="45" cm="1">
        <f t="array" aca="1" ref="N611" ca="1">SUMPRODUCT((Table1[SubscriptionStart] &lt;= $A611) * (Table1[EffectiveEndDate] &gt;= $A611) * (Table1[Region] = "Northern Ireland"))</f>
        <v>93</v>
      </c>
      <c r="O611" s="45" cm="1">
        <f t="array" aca="1" ref="O611" ca="1">SUMPRODUCT((Table1[Gender]="Male")*(Table1[SubscriptionStart]&lt;=A611)*(Table1[EffectiveEndDate]&gt;=A611))</f>
        <v>207</v>
      </c>
      <c r="P611" s="45" cm="1">
        <f t="array" aca="1" ref="P611" ca="1">SUMPRODUCT((Table1[Gender]="Female")*(Table1[SubscriptionStart]&lt;=A611)*(Table1[EffectiveEndDate]&gt;=A611))</f>
        <v>200</v>
      </c>
    </row>
    <row r="612" spans="1:16">
      <c r="A612" s="48">
        <f t="shared" si="39"/>
        <v>45172</v>
      </c>
      <c r="B612" s="45" cm="1">
        <f t="array" aca="1" ref="B612" ca="1">SUMPRODUCT((Table1[SubscriptionStart]&lt;=A612)*(Table1[EffectiveEndDate]&gt;=A612))</f>
        <v>405</v>
      </c>
      <c r="C612" s="45">
        <f>COUNTIFS(Table1[SubscriptionStart], A612)</f>
        <v>0</v>
      </c>
      <c r="D612" s="45">
        <f>COUNTIFS(Table1[CancellationDate], A612)</f>
        <v>1</v>
      </c>
      <c r="E612" s="45">
        <f t="shared" si="36"/>
        <v>-1</v>
      </c>
      <c r="F612" s="45">
        <f>SUM($C$2:C612)</f>
        <v>682</v>
      </c>
      <c r="G612" s="49" cm="1">
        <f t="array" aca="1" ref="G612" ca="1">IF(B612=0,"", SUMPRODUCT((Table1[SubscriptionStart]&lt;=A612)*(Table1[EffectiveEndDate]&gt;=A612)*Table1[Age]) / B612 )</f>
        <v>46.007407407407406</v>
      </c>
      <c r="H612" s="22">
        <f>SUMIF(Table1[SubscriptionStart],"&lt;="&amp;A612,Table1[TotalRevenue])</f>
        <v>140443.45000000016</v>
      </c>
      <c r="I612" s="50">
        <f t="shared" si="37"/>
        <v>45199</v>
      </c>
      <c r="J612" s="49">
        <f t="shared" ca="1" si="38"/>
        <v>399.53333333333336</v>
      </c>
      <c r="K612" s="45" cm="1">
        <f t="array" aca="1" ref="K612" ca="1">SUMPRODUCT((Table1[SubscriptionStart] &lt;= $A612) * (Table1[EffectiveEndDate] &gt;= $A612) * (Table1[Region] = "England"))</f>
        <v>107</v>
      </c>
      <c r="L612" s="45" cm="1">
        <f t="array" aca="1" ref="L612" ca="1">SUMPRODUCT((Table1[SubscriptionStart] &lt;= $A612) * (Table1[EffectiveEndDate] &gt;= $A612) * (Table1[Region] = "Scotland"))</f>
        <v>99</v>
      </c>
      <c r="M612" s="45" cm="1">
        <f t="array" aca="1" ref="M612" ca="1">SUMPRODUCT((Table1[SubscriptionStart] &lt;= $A612) * (Table1[EffectiveEndDate] &gt;= $A612) * (Table1[Region] = "Wales"))</f>
        <v>106</v>
      </c>
      <c r="N612" s="45" cm="1">
        <f t="array" aca="1" ref="N612" ca="1">SUMPRODUCT((Table1[SubscriptionStart] &lt;= $A612) * (Table1[EffectiveEndDate] &gt;= $A612) * (Table1[Region] = "Northern Ireland"))</f>
        <v>93</v>
      </c>
      <c r="O612" s="45" cm="1">
        <f t="array" aca="1" ref="O612" ca="1">SUMPRODUCT((Table1[Gender]="Male")*(Table1[SubscriptionStart]&lt;=A612)*(Table1[EffectiveEndDate]&gt;=A612))</f>
        <v>205</v>
      </c>
      <c r="P612" s="45" cm="1">
        <f t="array" aca="1" ref="P612" ca="1">SUMPRODUCT((Table1[Gender]="Female")*(Table1[SubscriptionStart]&lt;=A612)*(Table1[EffectiveEndDate]&gt;=A612))</f>
        <v>200</v>
      </c>
    </row>
    <row r="613" spans="1:16">
      <c r="A613" s="48">
        <f t="shared" si="39"/>
        <v>45173</v>
      </c>
      <c r="B613" s="45" cm="1">
        <f t="array" aca="1" ref="B613" ca="1">SUMPRODUCT((Table1[SubscriptionStart]&lt;=A613)*(Table1[EffectiveEndDate]&gt;=A613))</f>
        <v>404</v>
      </c>
      <c r="C613" s="45">
        <f>COUNTIFS(Table1[SubscriptionStart], A613)</f>
        <v>0</v>
      </c>
      <c r="D613" s="45">
        <f>COUNTIFS(Table1[CancellationDate], A613)</f>
        <v>2</v>
      </c>
      <c r="E613" s="45">
        <f t="shared" si="36"/>
        <v>-2</v>
      </c>
      <c r="F613" s="45">
        <f>SUM($C$2:C613)</f>
        <v>682</v>
      </c>
      <c r="G613" s="49" cm="1">
        <f t="array" aca="1" ref="G613" ca="1">IF(B613=0,"", SUMPRODUCT((Table1[SubscriptionStart]&lt;=A613)*(Table1[EffectiveEndDate]&gt;=A613)*Table1[Age]) / B613 )</f>
        <v>45.955445544554458</v>
      </c>
      <c r="H613" s="22">
        <f>SUMIF(Table1[SubscriptionStart],"&lt;="&amp;A613,Table1[TotalRevenue])</f>
        <v>140443.45000000016</v>
      </c>
      <c r="I613" s="50">
        <f t="shared" si="37"/>
        <v>45199</v>
      </c>
      <c r="J613" s="49">
        <f t="shared" ca="1" si="38"/>
        <v>399.53333333333336</v>
      </c>
      <c r="K613" s="45" cm="1">
        <f t="array" aca="1" ref="K613" ca="1">SUMPRODUCT((Table1[SubscriptionStart] &lt;= $A613) * (Table1[EffectiveEndDate] &gt;= $A613) * (Table1[Region] = "England"))</f>
        <v>107</v>
      </c>
      <c r="L613" s="45" cm="1">
        <f t="array" aca="1" ref="L613" ca="1">SUMPRODUCT((Table1[SubscriptionStart] &lt;= $A613) * (Table1[EffectiveEndDate] &gt;= $A613) * (Table1[Region] = "Scotland"))</f>
        <v>98</v>
      </c>
      <c r="M613" s="45" cm="1">
        <f t="array" aca="1" ref="M613" ca="1">SUMPRODUCT((Table1[SubscriptionStart] &lt;= $A613) * (Table1[EffectiveEndDate] &gt;= $A613) * (Table1[Region] = "Wales"))</f>
        <v>106</v>
      </c>
      <c r="N613" s="45" cm="1">
        <f t="array" aca="1" ref="N613" ca="1">SUMPRODUCT((Table1[SubscriptionStart] &lt;= $A613) * (Table1[EffectiveEndDate] &gt;= $A613) * (Table1[Region] = "Northern Ireland"))</f>
        <v>93</v>
      </c>
      <c r="O613" s="45" cm="1">
        <f t="array" aca="1" ref="O613" ca="1">SUMPRODUCT((Table1[Gender]="Male")*(Table1[SubscriptionStart]&lt;=A613)*(Table1[EffectiveEndDate]&gt;=A613))</f>
        <v>204</v>
      </c>
      <c r="P613" s="45" cm="1">
        <f t="array" aca="1" ref="P613" ca="1">SUMPRODUCT((Table1[Gender]="Female")*(Table1[SubscriptionStart]&lt;=A613)*(Table1[EffectiveEndDate]&gt;=A613))</f>
        <v>200</v>
      </c>
    </row>
    <row r="614" spans="1:16">
      <c r="A614" s="48">
        <f t="shared" si="39"/>
        <v>45174</v>
      </c>
      <c r="B614" s="45" cm="1">
        <f t="array" aca="1" ref="B614" ca="1">SUMPRODUCT((Table1[SubscriptionStart]&lt;=A614)*(Table1[EffectiveEndDate]&gt;=A614))</f>
        <v>402</v>
      </c>
      <c r="C614" s="45">
        <f>COUNTIFS(Table1[SubscriptionStart], A614)</f>
        <v>0</v>
      </c>
      <c r="D614" s="45">
        <f>COUNTIFS(Table1[CancellationDate], A614)</f>
        <v>0</v>
      </c>
      <c r="E614" s="45">
        <f t="shared" si="36"/>
        <v>0</v>
      </c>
      <c r="F614" s="45">
        <f>SUM($C$2:C614)</f>
        <v>682</v>
      </c>
      <c r="G614" s="49" cm="1">
        <f t="array" aca="1" ref="G614" ca="1">IF(B614=0,"", SUMPRODUCT((Table1[SubscriptionStart]&lt;=A614)*(Table1[EffectiveEndDate]&gt;=A614)*Table1[Age]) / B614 )</f>
        <v>46.002487562189053</v>
      </c>
      <c r="H614" s="22">
        <f>SUMIF(Table1[SubscriptionStart],"&lt;="&amp;A614,Table1[TotalRevenue])</f>
        <v>140443.45000000016</v>
      </c>
      <c r="I614" s="50">
        <f t="shared" si="37"/>
        <v>45199</v>
      </c>
      <c r="J614" s="49">
        <f t="shared" ca="1" si="38"/>
        <v>399.53333333333336</v>
      </c>
      <c r="K614" s="45" cm="1">
        <f t="array" aca="1" ref="K614" ca="1">SUMPRODUCT((Table1[SubscriptionStart] &lt;= $A614) * (Table1[EffectiveEndDate] &gt;= $A614) * (Table1[Region] = "England"))</f>
        <v>106</v>
      </c>
      <c r="L614" s="45" cm="1">
        <f t="array" aca="1" ref="L614" ca="1">SUMPRODUCT((Table1[SubscriptionStart] &lt;= $A614) * (Table1[EffectiveEndDate] &gt;= $A614) * (Table1[Region] = "Scotland"))</f>
        <v>97</v>
      </c>
      <c r="M614" s="45" cm="1">
        <f t="array" aca="1" ref="M614" ca="1">SUMPRODUCT((Table1[SubscriptionStart] &lt;= $A614) * (Table1[EffectiveEndDate] &gt;= $A614) * (Table1[Region] = "Wales"))</f>
        <v>106</v>
      </c>
      <c r="N614" s="45" cm="1">
        <f t="array" aca="1" ref="N614" ca="1">SUMPRODUCT((Table1[SubscriptionStart] &lt;= $A614) * (Table1[EffectiveEndDate] &gt;= $A614) * (Table1[Region] = "Northern Ireland"))</f>
        <v>93</v>
      </c>
      <c r="O614" s="45" cm="1">
        <f t="array" aca="1" ref="O614" ca="1">SUMPRODUCT((Table1[Gender]="Male")*(Table1[SubscriptionStart]&lt;=A614)*(Table1[EffectiveEndDate]&gt;=A614))</f>
        <v>203</v>
      </c>
      <c r="P614" s="45" cm="1">
        <f t="array" aca="1" ref="P614" ca="1">SUMPRODUCT((Table1[Gender]="Female")*(Table1[SubscriptionStart]&lt;=A614)*(Table1[EffectiveEndDate]&gt;=A614))</f>
        <v>199</v>
      </c>
    </row>
    <row r="615" spans="1:16">
      <c r="A615" s="48">
        <f t="shared" si="39"/>
        <v>45175</v>
      </c>
      <c r="B615" s="45" cm="1">
        <f t="array" aca="1" ref="B615" ca="1">SUMPRODUCT((Table1[SubscriptionStart]&lt;=A615)*(Table1[EffectiveEndDate]&gt;=A615))</f>
        <v>403</v>
      </c>
      <c r="C615" s="45">
        <f>COUNTIFS(Table1[SubscriptionStart], A615)</f>
        <v>1</v>
      </c>
      <c r="D615" s="45">
        <f>COUNTIFS(Table1[CancellationDate], A615)</f>
        <v>1</v>
      </c>
      <c r="E615" s="45">
        <f t="shared" si="36"/>
        <v>0</v>
      </c>
      <c r="F615" s="45">
        <f>SUM($C$2:C615)</f>
        <v>683</v>
      </c>
      <c r="G615" s="49" cm="1">
        <f t="array" aca="1" ref="G615" ca="1">IF(B615=0,"", SUMPRODUCT((Table1[SubscriptionStart]&lt;=A615)*(Table1[EffectiveEndDate]&gt;=A615)*Table1[Age]) / B615 )</f>
        <v>46.069478908188586</v>
      </c>
      <c r="H615" s="22">
        <f>SUMIF(Table1[SubscriptionStart],"&lt;="&amp;A615,Table1[TotalRevenue])</f>
        <v>140573.05000000016</v>
      </c>
      <c r="I615" s="50">
        <f t="shared" si="37"/>
        <v>45199</v>
      </c>
      <c r="J615" s="49">
        <f t="shared" ca="1" si="38"/>
        <v>399.53333333333336</v>
      </c>
      <c r="K615" s="45" cm="1">
        <f t="array" aca="1" ref="K615" ca="1">SUMPRODUCT((Table1[SubscriptionStart] &lt;= $A615) * (Table1[EffectiveEndDate] &gt;= $A615) * (Table1[Region] = "England"))</f>
        <v>107</v>
      </c>
      <c r="L615" s="45" cm="1">
        <f t="array" aca="1" ref="L615" ca="1">SUMPRODUCT((Table1[SubscriptionStart] &lt;= $A615) * (Table1[EffectiveEndDate] &gt;= $A615) * (Table1[Region] = "Scotland"))</f>
        <v>97</v>
      </c>
      <c r="M615" s="45" cm="1">
        <f t="array" aca="1" ref="M615" ca="1">SUMPRODUCT((Table1[SubscriptionStart] &lt;= $A615) * (Table1[EffectiveEndDate] &gt;= $A615) * (Table1[Region] = "Wales"))</f>
        <v>106</v>
      </c>
      <c r="N615" s="45" cm="1">
        <f t="array" aca="1" ref="N615" ca="1">SUMPRODUCT((Table1[SubscriptionStart] &lt;= $A615) * (Table1[EffectiveEndDate] &gt;= $A615) * (Table1[Region] = "Northern Ireland"))</f>
        <v>93</v>
      </c>
      <c r="O615" s="45" cm="1">
        <f t="array" aca="1" ref="O615" ca="1">SUMPRODUCT((Table1[Gender]="Male")*(Table1[SubscriptionStart]&lt;=A615)*(Table1[EffectiveEndDate]&gt;=A615))</f>
        <v>204</v>
      </c>
      <c r="P615" s="45" cm="1">
        <f t="array" aca="1" ref="P615" ca="1">SUMPRODUCT((Table1[Gender]="Female")*(Table1[SubscriptionStart]&lt;=A615)*(Table1[EffectiveEndDate]&gt;=A615))</f>
        <v>199</v>
      </c>
    </row>
    <row r="616" spans="1:16">
      <c r="A616" s="48">
        <f t="shared" si="39"/>
        <v>45176</v>
      </c>
      <c r="B616" s="45" cm="1">
        <f t="array" aca="1" ref="B616" ca="1">SUMPRODUCT((Table1[SubscriptionStart]&lt;=A616)*(Table1[EffectiveEndDate]&gt;=A616))</f>
        <v>402</v>
      </c>
      <c r="C616" s="45">
        <f>COUNTIFS(Table1[SubscriptionStart], A616)</f>
        <v>0</v>
      </c>
      <c r="D616" s="45">
        <f>COUNTIFS(Table1[CancellationDate], A616)</f>
        <v>2</v>
      </c>
      <c r="E616" s="45">
        <f t="shared" si="36"/>
        <v>-2</v>
      </c>
      <c r="F616" s="45">
        <f>SUM($C$2:C616)</f>
        <v>683</v>
      </c>
      <c r="G616" s="49" cm="1">
        <f t="array" aca="1" ref="G616" ca="1">IF(B616=0,"", SUMPRODUCT((Table1[SubscriptionStart]&lt;=A616)*(Table1[EffectiveEndDate]&gt;=A616)*Table1[Age]) / B616 )</f>
        <v>46.129353233830848</v>
      </c>
      <c r="H616" s="22">
        <f>SUMIF(Table1[SubscriptionStart],"&lt;="&amp;A616,Table1[TotalRevenue])</f>
        <v>140573.05000000016</v>
      </c>
      <c r="I616" s="50">
        <f t="shared" si="37"/>
        <v>45199</v>
      </c>
      <c r="J616" s="49">
        <f t="shared" ca="1" si="38"/>
        <v>399.53333333333336</v>
      </c>
      <c r="K616" s="45" cm="1">
        <f t="array" aca="1" ref="K616" ca="1">SUMPRODUCT((Table1[SubscriptionStart] &lt;= $A616) * (Table1[EffectiveEndDate] &gt;= $A616) * (Table1[Region] = "England"))</f>
        <v>106</v>
      </c>
      <c r="L616" s="45" cm="1">
        <f t="array" aca="1" ref="L616" ca="1">SUMPRODUCT((Table1[SubscriptionStart] &lt;= $A616) * (Table1[EffectiveEndDate] &gt;= $A616) * (Table1[Region] = "Scotland"))</f>
        <v>97</v>
      </c>
      <c r="M616" s="45" cm="1">
        <f t="array" aca="1" ref="M616" ca="1">SUMPRODUCT((Table1[SubscriptionStart] &lt;= $A616) * (Table1[EffectiveEndDate] &gt;= $A616) * (Table1[Region] = "Wales"))</f>
        <v>106</v>
      </c>
      <c r="N616" s="45" cm="1">
        <f t="array" aca="1" ref="N616" ca="1">SUMPRODUCT((Table1[SubscriptionStart] &lt;= $A616) * (Table1[EffectiveEndDate] &gt;= $A616) * (Table1[Region] = "Northern Ireland"))</f>
        <v>93</v>
      </c>
      <c r="O616" s="45" cm="1">
        <f t="array" aca="1" ref="O616" ca="1">SUMPRODUCT((Table1[Gender]="Male")*(Table1[SubscriptionStart]&lt;=A616)*(Table1[EffectiveEndDate]&gt;=A616))</f>
        <v>203</v>
      </c>
      <c r="P616" s="45" cm="1">
        <f t="array" aca="1" ref="P616" ca="1">SUMPRODUCT((Table1[Gender]="Female")*(Table1[SubscriptionStart]&lt;=A616)*(Table1[EffectiveEndDate]&gt;=A616))</f>
        <v>199</v>
      </c>
    </row>
    <row r="617" spans="1:16">
      <c r="A617" s="48">
        <f t="shared" si="39"/>
        <v>45177</v>
      </c>
      <c r="B617" s="45" cm="1">
        <f t="array" aca="1" ref="B617" ca="1">SUMPRODUCT((Table1[SubscriptionStart]&lt;=A617)*(Table1[EffectiveEndDate]&gt;=A617))</f>
        <v>400</v>
      </c>
      <c r="C617" s="45">
        <f>COUNTIFS(Table1[SubscriptionStart], A617)</f>
        <v>0</v>
      </c>
      <c r="D617" s="45">
        <f>COUNTIFS(Table1[CancellationDate], A617)</f>
        <v>0</v>
      </c>
      <c r="E617" s="45">
        <f t="shared" si="36"/>
        <v>0</v>
      </c>
      <c r="F617" s="45">
        <f>SUM($C$2:C617)</f>
        <v>683</v>
      </c>
      <c r="G617" s="49" cm="1">
        <f t="array" aca="1" ref="G617" ca="1">IF(B617=0,"", SUMPRODUCT((Table1[SubscriptionStart]&lt;=A617)*(Table1[EffectiveEndDate]&gt;=A617)*Table1[Age]) / B617 )</f>
        <v>46.237499999999997</v>
      </c>
      <c r="H617" s="22">
        <f>SUMIF(Table1[SubscriptionStart],"&lt;="&amp;A617,Table1[TotalRevenue])</f>
        <v>140573.05000000016</v>
      </c>
      <c r="I617" s="50">
        <f t="shared" si="37"/>
        <v>45199</v>
      </c>
      <c r="J617" s="49">
        <f t="shared" ca="1" si="38"/>
        <v>399.53333333333336</v>
      </c>
      <c r="K617" s="45" cm="1">
        <f t="array" aca="1" ref="K617" ca="1">SUMPRODUCT((Table1[SubscriptionStart] &lt;= $A617) * (Table1[EffectiveEndDate] &gt;= $A617) * (Table1[Region] = "England"))</f>
        <v>105</v>
      </c>
      <c r="L617" s="45" cm="1">
        <f t="array" aca="1" ref="L617" ca="1">SUMPRODUCT((Table1[SubscriptionStart] &lt;= $A617) * (Table1[EffectiveEndDate] &gt;= $A617) * (Table1[Region] = "Scotland"))</f>
        <v>97</v>
      </c>
      <c r="M617" s="45" cm="1">
        <f t="array" aca="1" ref="M617" ca="1">SUMPRODUCT((Table1[SubscriptionStart] &lt;= $A617) * (Table1[EffectiveEndDate] &gt;= $A617) * (Table1[Region] = "Wales"))</f>
        <v>106</v>
      </c>
      <c r="N617" s="45" cm="1">
        <f t="array" aca="1" ref="N617" ca="1">SUMPRODUCT((Table1[SubscriptionStart] &lt;= $A617) * (Table1[EffectiveEndDate] &gt;= $A617) * (Table1[Region] = "Northern Ireland"))</f>
        <v>92</v>
      </c>
      <c r="O617" s="45" cm="1">
        <f t="array" aca="1" ref="O617" ca="1">SUMPRODUCT((Table1[Gender]="Male")*(Table1[SubscriptionStart]&lt;=A617)*(Table1[EffectiveEndDate]&gt;=A617))</f>
        <v>203</v>
      </c>
      <c r="P617" s="45" cm="1">
        <f t="array" aca="1" ref="P617" ca="1">SUMPRODUCT((Table1[Gender]="Female")*(Table1[SubscriptionStart]&lt;=A617)*(Table1[EffectiveEndDate]&gt;=A617))</f>
        <v>197</v>
      </c>
    </row>
    <row r="618" spans="1:16">
      <c r="A618" s="48">
        <f t="shared" si="39"/>
        <v>45178</v>
      </c>
      <c r="B618" s="45" cm="1">
        <f t="array" aca="1" ref="B618" ca="1">SUMPRODUCT((Table1[SubscriptionStart]&lt;=A618)*(Table1[EffectiveEndDate]&gt;=A618))</f>
        <v>400</v>
      </c>
      <c r="C618" s="45">
        <f>COUNTIFS(Table1[SubscriptionStart], A618)</f>
        <v>0</v>
      </c>
      <c r="D618" s="45">
        <f>COUNTIFS(Table1[CancellationDate], A618)</f>
        <v>1</v>
      </c>
      <c r="E618" s="45">
        <f t="shared" si="36"/>
        <v>-1</v>
      </c>
      <c r="F618" s="45">
        <f>SUM($C$2:C618)</f>
        <v>683</v>
      </c>
      <c r="G618" s="49" cm="1">
        <f t="array" aca="1" ref="G618" ca="1">IF(B618=0,"", SUMPRODUCT((Table1[SubscriptionStart]&lt;=A618)*(Table1[EffectiveEndDate]&gt;=A618)*Table1[Age]) / B618 )</f>
        <v>46.237499999999997</v>
      </c>
      <c r="H618" s="22">
        <f>SUMIF(Table1[SubscriptionStart],"&lt;="&amp;A618,Table1[TotalRevenue])</f>
        <v>140573.05000000016</v>
      </c>
      <c r="I618" s="50">
        <f t="shared" si="37"/>
        <v>45199</v>
      </c>
      <c r="J618" s="49">
        <f t="shared" ca="1" si="38"/>
        <v>399.53333333333336</v>
      </c>
      <c r="K618" s="45" cm="1">
        <f t="array" aca="1" ref="K618" ca="1">SUMPRODUCT((Table1[SubscriptionStart] &lt;= $A618) * (Table1[EffectiveEndDate] &gt;= $A618) * (Table1[Region] = "England"))</f>
        <v>105</v>
      </c>
      <c r="L618" s="45" cm="1">
        <f t="array" aca="1" ref="L618" ca="1">SUMPRODUCT((Table1[SubscriptionStart] &lt;= $A618) * (Table1[EffectiveEndDate] &gt;= $A618) * (Table1[Region] = "Scotland"))</f>
        <v>97</v>
      </c>
      <c r="M618" s="45" cm="1">
        <f t="array" aca="1" ref="M618" ca="1">SUMPRODUCT((Table1[SubscriptionStart] &lt;= $A618) * (Table1[EffectiveEndDate] &gt;= $A618) * (Table1[Region] = "Wales"))</f>
        <v>106</v>
      </c>
      <c r="N618" s="45" cm="1">
        <f t="array" aca="1" ref="N618" ca="1">SUMPRODUCT((Table1[SubscriptionStart] &lt;= $A618) * (Table1[EffectiveEndDate] &gt;= $A618) * (Table1[Region] = "Northern Ireland"))</f>
        <v>92</v>
      </c>
      <c r="O618" s="45" cm="1">
        <f t="array" aca="1" ref="O618" ca="1">SUMPRODUCT((Table1[Gender]="Male")*(Table1[SubscriptionStart]&lt;=A618)*(Table1[EffectiveEndDate]&gt;=A618))</f>
        <v>203</v>
      </c>
      <c r="P618" s="45" cm="1">
        <f t="array" aca="1" ref="P618" ca="1">SUMPRODUCT((Table1[Gender]="Female")*(Table1[SubscriptionStart]&lt;=A618)*(Table1[EffectiveEndDate]&gt;=A618))</f>
        <v>197</v>
      </c>
    </row>
    <row r="619" spans="1:16">
      <c r="A619" s="48">
        <f t="shared" si="39"/>
        <v>45179</v>
      </c>
      <c r="B619" s="45" cm="1">
        <f t="array" aca="1" ref="B619" ca="1">SUMPRODUCT((Table1[SubscriptionStart]&lt;=A619)*(Table1[EffectiveEndDate]&gt;=A619))</f>
        <v>400</v>
      </c>
      <c r="C619" s="45">
        <f>COUNTIFS(Table1[SubscriptionStart], A619)</f>
        <v>1</v>
      </c>
      <c r="D619" s="45">
        <f>COUNTIFS(Table1[CancellationDate], A619)</f>
        <v>2</v>
      </c>
      <c r="E619" s="45">
        <f t="shared" si="36"/>
        <v>-1</v>
      </c>
      <c r="F619" s="45">
        <f>SUM($C$2:C619)</f>
        <v>684</v>
      </c>
      <c r="G619" s="49" cm="1">
        <f t="array" aca="1" ref="G619" ca="1">IF(B619=0,"", SUMPRODUCT((Table1[SubscriptionStart]&lt;=A619)*(Table1[EffectiveEndDate]&gt;=A619)*Table1[Age]) / B619 )</f>
        <v>46.27</v>
      </c>
      <c r="H619" s="22">
        <f>SUMIF(Table1[SubscriptionStart],"&lt;="&amp;A619,Table1[TotalRevenue])</f>
        <v>140645.05000000016</v>
      </c>
      <c r="I619" s="50">
        <f t="shared" si="37"/>
        <v>45199</v>
      </c>
      <c r="J619" s="49">
        <f t="shared" ca="1" si="38"/>
        <v>399.53333333333336</v>
      </c>
      <c r="K619" s="45" cm="1">
        <f t="array" aca="1" ref="K619" ca="1">SUMPRODUCT((Table1[SubscriptionStart] &lt;= $A619) * (Table1[EffectiveEndDate] &gt;= $A619) * (Table1[Region] = "England"))</f>
        <v>105</v>
      </c>
      <c r="L619" s="45" cm="1">
        <f t="array" aca="1" ref="L619" ca="1">SUMPRODUCT((Table1[SubscriptionStart] &lt;= $A619) * (Table1[EffectiveEndDate] &gt;= $A619) * (Table1[Region] = "Scotland"))</f>
        <v>96</v>
      </c>
      <c r="M619" s="45" cm="1">
        <f t="array" aca="1" ref="M619" ca="1">SUMPRODUCT((Table1[SubscriptionStart] &lt;= $A619) * (Table1[EffectiveEndDate] &gt;= $A619) * (Table1[Region] = "Wales"))</f>
        <v>107</v>
      </c>
      <c r="N619" s="45" cm="1">
        <f t="array" aca="1" ref="N619" ca="1">SUMPRODUCT((Table1[SubscriptionStart] &lt;= $A619) * (Table1[EffectiveEndDate] &gt;= $A619) * (Table1[Region] = "Northern Ireland"))</f>
        <v>92</v>
      </c>
      <c r="O619" s="45" cm="1">
        <f t="array" aca="1" ref="O619" ca="1">SUMPRODUCT((Table1[Gender]="Male")*(Table1[SubscriptionStart]&lt;=A619)*(Table1[EffectiveEndDate]&gt;=A619))</f>
        <v>202</v>
      </c>
      <c r="P619" s="45" cm="1">
        <f t="array" aca="1" ref="P619" ca="1">SUMPRODUCT((Table1[Gender]="Female")*(Table1[SubscriptionStart]&lt;=A619)*(Table1[EffectiveEndDate]&gt;=A619))</f>
        <v>198</v>
      </c>
    </row>
    <row r="620" spans="1:16">
      <c r="A620" s="48">
        <f t="shared" si="39"/>
        <v>45180</v>
      </c>
      <c r="B620" s="45" cm="1">
        <f t="array" aca="1" ref="B620" ca="1">SUMPRODUCT((Table1[SubscriptionStart]&lt;=A620)*(Table1[EffectiveEndDate]&gt;=A620))</f>
        <v>398</v>
      </c>
      <c r="C620" s="45">
        <f>COUNTIFS(Table1[SubscriptionStart], A620)</f>
        <v>0</v>
      </c>
      <c r="D620" s="45">
        <f>COUNTIFS(Table1[CancellationDate], A620)</f>
        <v>0</v>
      </c>
      <c r="E620" s="45">
        <f t="shared" si="36"/>
        <v>0</v>
      </c>
      <c r="F620" s="45">
        <f>SUM($C$2:C620)</f>
        <v>684</v>
      </c>
      <c r="G620" s="49" cm="1">
        <f t="array" aca="1" ref="G620" ca="1">IF(B620=0,"", SUMPRODUCT((Table1[SubscriptionStart]&lt;=A620)*(Table1[EffectiveEndDate]&gt;=A620)*Table1[Age]) / B620 )</f>
        <v>46.1356783919598</v>
      </c>
      <c r="H620" s="22">
        <f>SUMIF(Table1[SubscriptionStart],"&lt;="&amp;A620,Table1[TotalRevenue])</f>
        <v>140645.05000000016</v>
      </c>
      <c r="I620" s="50">
        <f t="shared" si="37"/>
        <v>45199</v>
      </c>
      <c r="J620" s="49">
        <f t="shared" ca="1" si="38"/>
        <v>399.53333333333336</v>
      </c>
      <c r="K620" s="45" cm="1">
        <f t="array" aca="1" ref="K620" ca="1">SUMPRODUCT((Table1[SubscriptionStart] &lt;= $A620) * (Table1[EffectiveEndDate] &gt;= $A620) * (Table1[Region] = "England"))</f>
        <v>105</v>
      </c>
      <c r="L620" s="45" cm="1">
        <f t="array" aca="1" ref="L620" ca="1">SUMPRODUCT((Table1[SubscriptionStart] &lt;= $A620) * (Table1[EffectiveEndDate] &gt;= $A620) * (Table1[Region] = "Scotland"))</f>
        <v>95</v>
      </c>
      <c r="M620" s="45" cm="1">
        <f t="array" aca="1" ref="M620" ca="1">SUMPRODUCT((Table1[SubscriptionStart] &lt;= $A620) * (Table1[EffectiveEndDate] &gt;= $A620) * (Table1[Region] = "Wales"))</f>
        <v>107</v>
      </c>
      <c r="N620" s="45" cm="1">
        <f t="array" aca="1" ref="N620" ca="1">SUMPRODUCT((Table1[SubscriptionStart] &lt;= $A620) * (Table1[EffectiveEndDate] &gt;= $A620) * (Table1[Region] = "Northern Ireland"))</f>
        <v>91</v>
      </c>
      <c r="O620" s="45" cm="1">
        <f t="array" aca="1" ref="O620" ca="1">SUMPRODUCT((Table1[Gender]="Male")*(Table1[SubscriptionStart]&lt;=A620)*(Table1[EffectiveEndDate]&gt;=A620))</f>
        <v>201</v>
      </c>
      <c r="P620" s="45" cm="1">
        <f t="array" aca="1" ref="P620" ca="1">SUMPRODUCT((Table1[Gender]="Female")*(Table1[SubscriptionStart]&lt;=A620)*(Table1[EffectiveEndDate]&gt;=A620))</f>
        <v>197</v>
      </c>
    </row>
    <row r="621" spans="1:16">
      <c r="A621" s="48">
        <f t="shared" si="39"/>
        <v>45181</v>
      </c>
      <c r="B621" s="45" cm="1">
        <f t="array" aca="1" ref="B621" ca="1">SUMPRODUCT((Table1[SubscriptionStart]&lt;=A621)*(Table1[EffectiveEndDate]&gt;=A621))</f>
        <v>398</v>
      </c>
      <c r="C621" s="45">
        <f>COUNTIFS(Table1[SubscriptionStart], A621)</f>
        <v>0</v>
      </c>
      <c r="D621" s="45">
        <f>COUNTIFS(Table1[CancellationDate], A621)</f>
        <v>1</v>
      </c>
      <c r="E621" s="45">
        <f t="shared" si="36"/>
        <v>-1</v>
      </c>
      <c r="F621" s="45">
        <f>SUM($C$2:C621)</f>
        <v>684</v>
      </c>
      <c r="G621" s="49" cm="1">
        <f t="array" aca="1" ref="G621" ca="1">IF(B621=0,"", SUMPRODUCT((Table1[SubscriptionStart]&lt;=A621)*(Table1[EffectiveEndDate]&gt;=A621)*Table1[Age]) / B621 )</f>
        <v>46.1356783919598</v>
      </c>
      <c r="H621" s="22">
        <f>SUMIF(Table1[SubscriptionStart],"&lt;="&amp;A621,Table1[TotalRevenue])</f>
        <v>140645.05000000016</v>
      </c>
      <c r="I621" s="50">
        <f t="shared" si="37"/>
        <v>45199</v>
      </c>
      <c r="J621" s="49">
        <f t="shared" ca="1" si="38"/>
        <v>399.53333333333336</v>
      </c>
      <c r="K621" s="45" cm="1">
        <f t="array" aca="1" ref="K621" ca="1">SUMPRODUCT((Table1[SubscriptionStart] &lt;= $A621) * (Table1[EffectiveEndDate] &gt;= $A621) * (Table1[Region] = "England"))</f>
        <v>105</v>
      </c>
      <c r="L621" s="45" cm="1">
        <f t="array" aca="1" ref="L621" ca="1">SUMPRODUCT((Table1[SubscriptionStart] &lt;= $A621) * (Table1[EffectiveEndDate] &gt;= $A621) * (Table1[Region] = "Scotland"))</f>
        <v>95</v>
      </c>
      <c r="M621" s="45" cm="1">
        <f t="array" aca="1" ref="M621" ca="1">SUMPRODUCT((Table1[SubscriptionStart] &lt;= $A621) * (Table1[EffectiveEndDate] &gt;= $A621) * (Table1[Region] = "Wales"))</f>
        <v>107</v>
      </c>
      <c r="N621" s="45" cm="1">
        <f t="array" aca="1" ref="N621" ca="1">SUMPRODUCT((Table1[SubscriptionStart] &lt;= $A621) * (Table1[EffectiveEndDate] &gt;= $A621) * (Table1[Region] = "Northern Ireland"))</f>
        <v>91</v>
      </c>
      <c r="O621" s="45" cm="1">
        <f t="array" aca="1" ref="O621" ca="1">SUMPRODUCT((Table1[Gender]="Male")*(Table1[SubscriptionStart]&lt;=A621)*(Table1[EffectiveEndDate]&gt;=A621))</f>
        <v>201</v>
      </c>
      <c r="P621" s="45" cm="1">
        <f t="array" aca="1" ref="P621" ca="1">SUMPRODUCT((Table1[Gender]="Female")*(Table1[SubscriptionStart]&lt;=A621)*(Table1[EffectiveEndDate]&gt;=A621))</f>
        <v>197</v>
      </c>
    </row>
    <row r="622" spans="1:16">
      <c r="A622" s="48">
        <f t="shared" si="39"/>
        <v>45182</v>
      </c>
      <c r="B622" s="45" cm="1">
        <f t="array" aca="1" ref="B622" ca="1">SUMPRODUCT((Table1[SubscriptionStart]&lt;=A622)*(Table1[EffectiveEndDate]&gt;=A622))</f>
        <v>397</v>
      </c>
      <c r="C622" s="45">
        <f>COUNTIFS(Table1[SubscriptionStart], A622)</f>
        <v>0</v>
      </c>
      <c r="D622" s="45">
        <f>COUNTIFS(Table1[CancellationDate], A622)</f>
        <v>1</v>
      </c>
      <c r="E622" s="45">
        <f t="shared" si="36"/>
        <v>-1</v>
      </c>
      <c r="F622" s="45">
        <f>SUM($C$2:C622)</f>
        <v>684</v>
      </c>
      <c r="G622" s="49" cm="1">
        <f t="array" aca="1" ref="G622" ca="1">IF(B622=0,"", SUMPRODUCT((Table1[SubscriptionStart]&lt;=A622)*(Table1[EffectiveEndDate]&gt;=A622)*Table1[Age]) / B622 )</f>
        <v>46.171284634760703</v>
      </c>
      <c r="H622" s="22">
        <f>SUMIF(Table1[SubscriptionStart],"&lt;="&amp;A622,Table1[TotalRevenue])</f>
        <v>140645.05000000016</v>
      </c>
      <c r="I622" s="50">
        <f t="shared" si="37"/>
        <v>45199</v>
      </c>
      <c r="J622" s="49">
        <f t="shared" ca="1" si="38"/>
        <v>399.53333333333336</v>
      </c>
      <c r="K622" s="45" cm="1">
        <f t="array" aca="1" ref="K622" ca="1">SUMPRODUCT((Table1[SubscriptionStart] &lt;= $A622) * (Table1[EffectiveEndDate] &gt;= $A622) * (Table1[Region] = "England"))</f>
        <v>104</v>
      </c>
      <c r="L622" s="45" cm="1">
        <f t="array" aca="1" ref="L622" ca="1">SUMPRODUCT((Table1[SubscriptionStart] &lt;= $A622) * (Table1[EffectiveEndDate] &gt;= $A622) * (Table1[Region] = "Scotland"))</f>
        <v>95</v>
      </c>
      <c r="M622" s="45" cm="1">
        <f t="array" aca="1" ref="M622" ca="1">SUMPRODUCT((Table1[SubscriptionStart] &lt;= $A622) * (Table1[EffectiveEndDate] &gt;= $A622) * (Table1[Region] = "Wales"))</f>
        <v>107</v>
      </c>
      <c r="N622" s="45" cm="1">
        <f t="array" aca="1" ref="N622" ca="1">SUMPRODUCT((Table1[SubscriptionStart] &lt;= $A622) * (Table1[EffectiveEndDate] &gt;= $A622) * (Table1[Region] = "Northern Ireland"))</f>
        <v>91</v>
      </c>
      <c r="O622" s="45" cm="1">
        <f t="array" aca="1" ref="O622" ca="1">SUMPRODUCT((Table1[Gender]="Male")*(Table1[SubscriptionStart]&lt;=A622)*(Table1[EffectiveEndDate]&gt;=A622))</f>
        <v>201</v>
      </c>
      <c r="P622" s="45" cm="1">
        <f t="array" aca="1" ref="P622" ca="1">SUMPRODUCT((Table1[Gender]="Female")*(Table1[SubscriptionStart]&lt;=A622)*(Table1[EffectiveEndDate]&gt;=A622))</f>
        <v>196</v>
      </c>
    </row>
    <row r="623" spans="1:16">
      <c r="A623" s="48">
        <f t="shared" si="39"/>
        <v>45183</v>
      </c>
      <c r="B623" s="45" cm="1">
        <f t="array" aca="1" ref="B623" ca="1">SUMPRODUCT((Table1[SubscriptionStart]&lt;=A623)*(Table1[EffectiveEndDate]&gt;=A623))</f>
        <v>397</v>
      </c>
      <c r="C623" s="45">
        <f>COUNTIFS(Table1[SubscriptionStart], A623)</f>
        <v>1</v>
      </c>
      <c r="D623" s="45">
        <f>COUNTIFS(Table1[CancellationDate], A623)</f>
        <v>0</v>
      </c>
      <c r="E623" s="45">
        <f t="shared" si="36"/>
        <v>1</v>
      </c>
      <c r="F623" s="45">
        <f>SUM($C$2:C623)</f>
        <v>685</v>
      </c>
      <c r="G623" s="49" cm="1">
        <f t="array" aca="1" ref="G623" ca="1">IF(B623=0,"", SUMPRODUCT((Table1[SubscriptionStart]&lt;=A623)*(Table1[EffectiveEndDate]&gt;=A623)*Table1[Age]) / B623 )</f>
        <v>46.193954659949625</v>
      </c>
      <c r="H623" s="22">
        <f>SUMIF(Table1[SubscriptionStart],"&lt;="&amp;A623,Table1[TotalRevenue])</f>
        <v>140717.05000000016</v>
      </c>
      <c r="I623" s="50">
        <f t="shared" si="37"/>
        <v>45199</v>
      </c>
      <c r="J623" s="49">
        <f t="shared" ca="1" si="38"/>
        <v>399.53333333333336</v>
      </c>
      <c r="K623" s="45" cm="1">
        <f t="array" aca="1" ref="K623" ca="1">SUMPRODUCT((Table1[SubscriptionStart] &lt;= $A623) * (Table1[EffectiveEndDate] &gt;= $A623) * (Table1[Region] = "England"))</f>
        <v>104</v>
      </c>
      <c r="L623" s="45" cm="1">
        <f t="array" aca="1" ref="L623" ca="1">SUMPRODUCT((Table1[SubscriptionStart] &lt;= $A623) * (Table1[EffectiveEndDate] &gt;= $A623) * (Table1[Region] = "Scotland"))</f>
        <v>94</v>
      </c>
      <c r="M623" s="45" cm="1">
        <f t="array" aca="1" ref="M623" ca="1">SUMPRODUCT((Table1[SubscriptionStart] &lt;= $A623) * (Table1[EffectiveEndDate] &gt;= $A623) * (Table1[Region] = "Wales"))</f>
        <v>108</v>
      </c>
      <c r="N623" s="45" cm="1">
        <f t="array" aca="1" ref="N623" ca="1">SUMPRODUCT((Table1[SubscriptionStart] &lt;= $A623) * (Table1[EffectiveEndDate] &gt;= $A623) * (Table1[Region] = "Northern Ireland"))</f>
        <v>91</v>
      </c>
      <c r="O623" s="45" cm="1">
        <f t="array" aca="1" ref="O623" ca="1">SUMPRODUCT((Table1[Gender]="Male")*(Table1[SubscriptionStart]&lt;=A623)*(Table1[EffectiveEndDate]&gt;=A623))</f>
        <v>202</v>
      </c>
      <c r="P623" s="45" cm="1">
        <f t="array" aca="1" ref="P623" ca="1">SUMPRODUCT((Table1[Gender]="Female")*(Table1[SubscriptionStart]&lt;=A623)*(Table1[EffectiveEndDate]&gt;=A623))</f>
        <v>195</v>
      </c>
    </row>
    <row r="624" spans="1:16">
      <c r="A624" s="48">
        <f t="shared" si="39"/>
        <v>45184</v>
      </c>
      <c r="B624" s="45" cm="1">
        <f t="array" aca="1" ref="B624" ca="1">SUMPRODUCT((Table1[SubscriptionStart]&lt;=A624)*(Table1[EffectiveEndDate]&gt;=A624))</f>
        <v>397</v>
      </c>
      <c r="C624" s="45">
        <f>COUNTIFS(Table1[SubscriptionStart], A624)</f>
        <v>0</v>
      </c>
      <c r="D624" s="45">
        <f>COUNTIFS(Table1[CancellationDate], A624)</f>
        <v>1</v>
      </c>
      <c r="E624" s="45">
        <f t="shared" si="36"/>
        <v>-1</v>
      </c>
      <c r="F624" s="45">
        <f>SUM($C$2:C624)</f>
        <v>685</v>
      </c>
      <c r="G624" s="49" cm="1">
        <f t="array" aca="1" ref="G624" ca="1">IF(B624=0,"", SUMPRODUCT((Table1[SubscriptionStart]&lt;=A624)*(Table1[EffectiveEndDate]&gt;=A624)*Table1[Age]) / B624 )</f>
        <v>46.193954659949625</v>
      </c>
      <c r="H624" s="22">
        <f>SUMIF(Table1[SubscriptionStart],"&lt;="&amp;A624,Table1[TotalRevenue])</f>
        <v>140717.05000000016</v>
      </c>
      <c r="I624" s="50">
        <f t="shared" si="37"/>
        <v>45199</v>
      </c>
      <c r="J624" s="49">
        <f t="shared" ca="1" si="38"/>
        <v>399.53333333333336</v>
      </c>
      <c r="K624" s="45" cm="1">
        <f t="array" aca="1" ref="K624" ca="1">SUMPRODUCT((Table1[SubscriptionStart] &lt;= $A624) * (Table1[EffectiveEndDate] &gt;= $A624) * (Table1[Region] = "England"))</f>
        <v>104</v>
      </c>
      <c r="L624" s="45" cm="1">
        <f t="array" aca="1" ref="L624" ca="1">SUMPRODUCT((Table1[SubscriptionStart] &lt;= $A624) * (Table1[EffectiveEndDate] &gt;= $A624) * (Table1[Region] = "Scotland"))</f>
        <v>94</v>
      </c>
      <c r="M624" s="45" cm="1">
        <f t="array" aca="1" ref="M624" ca="1">SUMPRODUCT((Table1[SubscriptionStart] &lt;= $A624) * (Table1[EffectiveEndDate] &gt;= $A624) * (Table1[Region] = "Wales"))</f>
        <v>108</v>
      </c>
      <c r="N624" s="45" cm="1">
        <f t="array" aca="1" ref="N624" ca="1">SUMPRODUCT((Table1[SubscriptionStart] &lt;= $A624) * (Table1[EffectiveEndDate] &gt;= $A624) * (Table1[Region] = "Northern Ireland"))</f>
        <v>91</v>
      </c>
      <c r="O624" s="45" cm="1">
        <f t="array" aca="1" ref="O624" ca="1">SUMPRODUCT((Table1[Gender]="Male")*(Table1[SubscriptionStart]&lt;=A624)*(Table1[EffectiveEndDate]&gt;=A624))</f>
        <v>202</v>
      </c>
      <c r="P624" s="45" cm="1">
        <f t="array" aca="1" ref="P624" ca="1">SUMPRODUCT((Table1[Gender]="Female")*(Table1[SubscriptionStart]&lt;=A624)*(Table1[EffectiveEndDate]&gt;=A624))</f>
        <v>195</v>
      </c>
    </row>
    <row r="625" spans="1:16">
      <c r="A625" s="48">
        <f t="shared" si="39"/>
        <v>45185</v>
      </c>
      <c r="B625" s="45" cm="1">
        <f t="array" aca="1" ref="B625" ca="1">SUMPRODUCT((Table1[SubscriptionStart]&lt;=A625)*(Table1[EffectiveEndDate]&gt;=A625))</f>
        <v>397</v>
      </c>
      <c r="C625" s="45">
        <f>COUNTIFS(Table1[SubscriptionStart], A625)</f>
        <v>1</v>
      </c>
      <c r="D625" s="45">
        <f>COUNTIFS(Table1[CancellationDate], A625)</f>
        <v>2</v>
      </c>
      <c r="E625" s="45">
        <f t="shared" si="36"/>
        <v>-1</v>
      </c>
      <c r="F625" s="45">
        <f>SUM($C$2:C625)</f>
        <v>686</v>
      </c>
      <c r="G625" s="49" cm="1">
        <f t="array" aca="1" ref="G625" ca="1">IF(B625=0,"", SUMPRODUCT((Table1[SubscriptionStart]&lt;=A625)*(Table1[EffectiveEndDate]&gt;=A625)*Table1[Age]) / B625 )</f>
        <v>46.224181360201513</v>
      </c>
      <c r="H625" s="22">
        <f>SUMIF(Table1[SubscriptionStart],"&lt;="&amp;A625,Table1[TotalRevenue])</f>
        <v>141134.65000000017</v>
      </c>
      <c r="I625" s="50">
        <f t="shared" si="37"/>
        <v>45199</v>
      </c>
      <c r="J625" s="49">
        <f t="shared" ca="1" si="38"/>
        <v>399.53333333333336</v>
      </c>
      <c r="K625" s="45" cm="1">
        <f t="array" aca="1" ref="K625" ca="1">SUMPRODUCT((Table1[SubscriptionStart] &lt;= $A625) * (Table1[EffectiveEndDate] &gt;= $A625) * (Table1[Region] = "England"))</f>
        <v>105</v>
      </c>
      <c r="L625" s="45" cm="1">
        <f t="array" aca="1" ref="L625" ca="1">SUMPRODUCT((Table1[SubscriptionStart] &lt;= $A625) * (Table1[EffectiveEndDate] &gt;= $A625) * (Table1[Region] = "Scotland"))</f>
        <v>93</v>
      </c>
      <c r="M625" s="45" cm="1">
        <f t="array" aca="1" ref="M625" ca="1">SUMPRODUCT((Table1[SubscriptionStart] &lt;= $A625) * (Table1[EffectiveEndDate] &gt;= $A625) * (Table1[Region] = "Wales"))</f>
        <v>108</v>
      </c>
      <c r="N625" s="45" cm="1">
        <f t="array" aca="1" ref="N625" ca="1">SUMPRODUCT((Table1[SubscriptionStart] &lt;= $A625) * (Table1[EffectiveEndDate] &gt;= $A625) * (Table1[Region] = "Northern Ireland"))</f>
        <v>91</v>
      </c>
      <c r="O625" s="45" cm="1">
        <f t="array" aca="1" ref="O625" ca="1">SUMPRODUCT((Table1[Gender]="Male")*(Table1[SubscriptionStart]&lt;=A625)*(Table1[EffectiveEndDate]&gt;=A625))</f>
        <v>202</v>
      </c>
      <c r="P625" s="45" cm="1">
        <f t="array" aca="1" ref="P625" ca="1">SUMPRODUCT((Table1[Gender]="Female")*(Table1[SubscriptionStart]&lt;=A625)*(Table1[EffectiveEndDate]&gt;=A625))</f>
        <v>195</v>
      </c>
    </row>
    <row r="626" spans="1:16">
      <c r="A626" s="48">
        <f t="shared" si="39"/>
        <v>45186</v>
      </c>
      <c r="B626" s="45" cm="1">
        <f t="array" aca="1" ref="B626" ca="1">SUMPRODUCT((Table1[SubscriptionStart]&lt;=A626)*(Table1[EffectiveEndDate]&gt;=A626))</f>
        <v>397</v>
      </c>
      <c r="C626" s="45">
        <f>COUNTIFS(Table1[SubscriptionStart], A626)</f>
        <v>2</v>
      </c>
      <c r="D626" s="45">
        <f>COUNTIFS(Table1[CancellationDate], A626)</f>
        <v>1</v>
      </c>
      <c r="E626" s="45">
        <f t="shared" si="36"/>
        <v>1</v>
      </c>
      <c r="F626" s="45">
        <f>SUM($C$2:C626)</f>
        <v>688</v>
      </c>
      <c r="G626" s="49" cm="1">
        <f t="array" aca="1" ref="G626" ca="1">IF(B626=0,"", SUMPRODUCT((Table1[SubscriptionStart]&lt;=A626)*(Table1[EffectiveEndDate]&gt;=A626)*Table1[Age]) / B626 )</f>
        <v>46.307304785894203</v>
      </c>
      <c r="H626" s="22">
        <f>SUMIF(Table1[SubscriptionStart],"&lt;="&amp;A626,Table1[TotalRevenue])</f>
        <v>141336.25000000017</v>
      </c>
      <c r="I626" s="50">
        <f t="shared" si="37"/>
        <v>45199</v>
      </c>
      <c r="J626" s="49">
        <f t="shared" ca="1" si="38"/>
        <v>399.53333333333336</v>
      </c>
      <c r="K626" s="45" cm="1">
        <f t="array" aca="1" ref="K626" ca="1">SUMPRODUCT((Table1[SubscriptionStart] &lt;= $A626) * (Table1[EffectiveEndDate] &gt;= $A626) * (Table1[Region] = "England"))</f>
        <v>105</v>
      </c>
      <c r="L626" s="45" cm="1">
        <f t="array" aca="1" ref="L626" ca="1">SUMPRODUCT((Table1[SubscriptionStart] &lt;= $A626) * (Table1[EffectiveEndDate] &gt;= $A626) * (Table1[Region] = "Scotland"))</f>
        <v>92</v>
      </c>
      <c r="M626" s="45" cm="1">
        <f t="array" aca="1" ref="M626" ca="1">SUMPRODUCT((Table1[SubscriptionStart] &lt;= $A626) * (Table1[EffectiveEndDate] &gt;= $A626) * (Table1[Region] = "Wales"))</f>
        <v>107</v>
      </c>
      <c r="N626" s="45" cm="1">
        <f t="array" aca="1" ref="N626" ca="1">SUMPRODUCT((Table1[SubscriptionStart] &lt;= $A626) * (Table1[EffectiveEndDate] &gt;= $A626) * (Table1[Region] = "Northern Ireland"))</f>
        <v>93</v>
      </c>
      <c r="O626" s="45" cm="1">
        <f t="array" aca="1" ref="O626" ca="1">SUMPRODUCT((Table1[Gender]="Male")*(Table1[SubscriptionStart]&lt;=A626)*(Table1[EffectiveEndDate]&gt;=A626))</f>
        <v>201</v>
      </c>
      <c r="P626" s="45" cm="1">
        <f t="array" aca="1" ref="P626" ca="1">SUMPRODUCT((Table1[Gender]="Female")*(Table1[SubscriptionStart]&lt;=A626)*(Table1[EffectiveEndDate]&gt;=A626))</f>
        <v>196</v>
      </c>
    </row>
    <row r="627" spans="1:16">
      <c r="A627" s="48">
        <f t="shared" si="39"/>
        <v>45187</v>
      </c>
      <c r="B627" s="45" cm="1">
        <f t="array" aca="1" ref="B627" ca="1">SUMPRODUCT((Table1[SubscriptionStart]&lt;=A627)*(Table1[EffectiveEndDate]&gt;=A627))</f>
        <v>396</v>
      </c>
      <c r="C627" s="45">
        <f>COUNTIFS(Table1[SubscriptionStart], A627)</f>
        <v>0</v>
      </c>
      <c r="D627" s="45">
        <f>COUNTIFS(Table1[CancellationDate], A627)</f>
        <v>0</v>
      </c>
      <c r="E627" s="45">
        <f t="shared" si="36"/>
        <v>0</v>
      </c>
      <c r="F627" s="45">
        <f>SUM($C$2:C627)</f>
        <v>688</v>
      </c>
      <c r="G627" s="49" cm="1">
        <f t="array" aca="1" ref="G627" ca="1">IF(B627=0,"", SUMPRODUCT((Table1[SubscriptionStart]&lt;=A627)*(Table1[EffectiveEndDate]&gt;=A627)*Table1[Age]) / B627 )</f>
        <v>46.358585858585862</v>
      </c>
      <c r="H627" s="22">
        <f>SUMIF(Table1[SubscriptionStart],"&lt;="&amp;A627,Table1[TotalRevenue])</f>
        <v>141336.25000000017</v>
      </c>
      <c r="I627" s="50">
        <f t="shared" si="37"/>
        <v>45199</v>
      </c>
      <c r="J627" s="49">
        <f t="shared" ca="1" si="38"/>
        <v>399.53333333333336</v>
      </c>
      <c r="K627" s="45" cm="1">
        <f t="array" aca="1" ref="K627" ca="1">SUMPRODUCT((Table1[SubscriptionStart] &lt;= $A627) * (Table1[EffectiveEndDate] &gt;= $A627) * (Table1[Region] = "England"))</f>
        <v>104</v>
      </c>
      <c r="L627" s="45" cm="1">
        <f t="array" aca="1" ref="L627" ca="1">SUMPRODUCT((Table1[SubscriptionStart] &lt;= $A627) * (Table1[EffectiveEndDate] &gt;= $A627) * (Table1[Region] = "Scotland"))</f>
        <v>92</v>
      </c>
      <c r="M627" s="45" cm="1">
        <f t="array" aca="1" ref="M627" ca="1">SUMPRODUCT((Table1[SubscriptionStart] &lt;= $A627) * (Table1[EffectiveEndDate] &gt;= $A627) * (Table1[Region] = "Wales"))</f>
        <v>107</v>
      </c>
      <c r="N627" s="45" cm="1">
        <f t="array" aca="1" ref="N627" ca="1">SUMPRODUCT((Table1[SubscriptionStart] &lt;= $A627) * (Table1[EffectiveEndDate] &gt;= $A627) * (Table1[Region] = "Northern Ireland"))</f>
        <v>93</v>
      </c>
      <c r="O627" s="45" cm="1">
        <f t="array" aca="1" ref="O627" ca="1">SUMPRODUCT((Table1[Gender]="Male")*(Table1[SubscriptionStart]&lt;=A627)*(Table1[EffectiveEndDate]&gt;=A627))</f>
        <v>201</v>
      </c>
      <c r="P627" s="45" cm="1">
        <f t="array" aca="1" ref="P627" ca="1">SUMPRODUCT((Table1[Gender]="Female")*(Table1[SubscriptionStart]&lt;=A627)*(Table1[EffectiveEndDate]&gt;=A627))</f>
        <v>195</v>
      </c>
    </row>
    <row r="628" spans="1:16">
      <c r="A628" s="48">
        <f t="shared" si="39"/>
        <v>45188</v>
      </c>
      <c r="B628" s="45" cm="1">
        <f t="array" aca="1" ref="B628" ca="1">SUMPRODUCT((Table1[SubscriptionStart]&lt;=A628)*(Table1[EffectiveEndDate]&gt;=A628))</f>
        <v>398</v>
      </c>
      <c r="C628" s="45">
        <f>COUNTIFS(Table1[SubscriptionStart], A628)</f>
        <v>2</v>
      </c>
      <c r="D628" s="45">
        <f>COUNTIFS(Table1[CancellationDate], A628)</f>
        <v>0</v>
      </c>
      <c r="E628" s="45">
        <f t="shared" si="36"/>
        <v>2</v>
      </c>
      <c r="F628" s="45">
        <f>SUM($C$2:C628)</f>
        <v>690</v>
      </c>
      <c r="G628" s="49" cm="1">
        <f t="array" aca="1" ref="G628" ca="1">IF(B628=0,"", SUMPRODUCT((Table1[SubscriptionStart]&lt;=A628)*(Table1[EffectiveEndDate]&gt;=A628)*Table1[Age]) / B628 )</f>
        <v>46.336683417085425</v>
      </c>
      <c r="H628" s="22">
        <f>SUMIF(Table1[SubscriptionStart],"&lt;="&amp;A628,Table1[TotalRevenue])</f>
        <v>141538.75000000017</v>
      </c>
      <c r="I628" s="50">
        <f t="shared" si="37"/>
        <v>45199</v>
      </c>
      <c r="J628" s="49">
        <f t="shared" ca="1" si="38"/>
        <v>399.53333333333336</v>
      </c>
      <c r="K628" s="45" cm="1">
        <f t="array" aca="1" ref="K628" ca="1">SUMPRODUCT((Table1[SubscriptionStart] &lt;= $A628) * (Table1[EffectiveEndDate] &gt;= $A628) * (Table1[Region] = "England"))</f>
        <v>104</v>
      </c>
      <c r="L628" s="45" cm="1">
        <f t="array" aca="1" ref="L628" ca="1">SUMPRODUCT((Table1[SubscriptionStart] &lt;= $A628) * (Table1[EffectiveEndDate] &gt;= $A628) * (Table1[Region] = "Scotland"))</f>
        <v>92</v>
      </c>
      <c r="M628" s="45" cm="1">
        <f t="array" aca="1" ref="M628" ca="1">SUMPRODUCT((Table1[SubscriptionStart] &lt;= $A628) * (Table1[EffectiveEndDate] &gt;= $A628) * (Table1[Region] = "Wales"))</f>
        <v>108</v>
      </c>
      <c r="N628" s="45" cm="1">
        <f t="array" aca="1" ref="N628" ca="1">SUMPRODUCT((Table1[SubscriptionStart] &lt;= $A628) * (Table1[EffectiveEndDate] &gt;= $A628) * (Table1[Region] = "Northern Ireland"))</f>
        <v>94</v>
      </c>
      <c r="O628" s="45" cm="1">
        <f t="array" aca="1" ref="O628" ca="1">SUMPRODUCT((Table1[Gender]="Male")*(Table1[SubscriptionStart]&lt;=A628)*(Table1[EffectiveEndDate]&gt;=A628))</f>
        <v>202</v>
      </c>
      <c r="P628" s="45" cm="1">
        <f t="array" aca="1" ref="P628" ca="1">SUMPRODUCT((Table1[Gender]="Female")*(Table1[SubscriptionStart]&lt;=A628)*(Table1[EffectiveEndDate]&gt;=A628))</f>
        <v>196</v>
      </c>
    </row>
    <row r="629" spans="1:16">
      <c r="A629" s="48">
        <f t="shared" si="39"/>
        <v>45189</v>
      </c>
      <c r="B629" s="45" cm="1">
        <f t="array" aca="1" ref="B629" ca="1">SUMPRODUCT((Table1[SubscriptionStart]&lt;=A629)*(Table1[EffectiveEndDate]&gt;=A629))</f>
        <v>398</v>
      </c>
      <c r="C629" s="45">
        <f>COUNTIFS(Table1[SubscriptionStart], A629)</f>
        <v>0</v>
      </c>
      <c r="D629" s="45">
        <f>COUNTIFS(Table1[CancellationDate], A629)</f>
        <v>1</v>
      </c>
      <c r="E629" s="45">
        <f t="shared" si="36"/>
        <v>-1</v>
      </c>
      <c r="F629" s="45">
        <f>SUM($C$2:C629)</f>
        <v>690</v>
      </c>
      <c r="G629" s="49" cm="1">
        <f t="array" aca="1" ref="G629" ca="1">IF(B629=0,"", SUMPRODUCT((Table1[SubscriptionStart]&lt;=A629)*(Table1[EffectiveEndDate]&gt;=A629)*Table1[Age]) / B629 )</f>
        <v>46.336683417085425</v>
      </c>
      <c r="H629" s="22">
        <f>SUMIF(Table1[SubscriptionStart],"&lt;="&amp;A629,Table1[TotalRevenue])</f>
        <v>141538.75000000017</v>
      </c>
      <c r="I629" s="50">
        <f t="shared" si="37"/>
        <v>45199</v>
      </c>
      <c r="J629" s="49">
        <f t="shared" ca="1" si="38"/>
        <v>399.53333333333336</v>
      </c>
      <c r="K629" s="45" cm="1">
        <f t="array" aca="1" ref="K629" ca="1">SUMPRODUCT((Table1[SubscriptionStart] &lt;= $A629) * (Table1[EffectiveEndDate] &gt;= $A629) * (Table1[Region] = "England"))</f>
        <v>104</v>
      </c>
      <c r="L629" s="45" cm="1">
        <f t="array" aca="1" ref="L629" ca="1">SUMPRODUCT((Table1[SubscriptionStart] &lt;= $A629) * (Table1[EffectiveEndDate] &gt;= $A629) * (Table1[Region] = "Scotland"))</f>
        <v>92</v>
      </c>
      <c r="M629" s="45" cm="1">
        <f t="array" aca="1" ref="M629" ca="1">SUMPRODUCT((Table1[SubscriptionStart] &lt;= $A629) * (Table1[EffectiveEndDate] &gt;= $A629) * (Table1[Region] = "Wales"))</f>
        <v>108</v>
      </c>
      <c r="N629" s="45" cm="1">
        <f t="array" aca="1" ref="N629" ca="1">SUMPRODUCT((Table1[SubscriptionStart] &lt;= $A629) * (Table1[EffectiveEndDate] &gt;= $A629) * (Table1[Region] = "Northern Ireland"))</f>
        <v>94</v>
      </c>
      <c r="O629" s="45" cm="1">
        <f t="array" aca="1" ref="O629" ca="1">SUMPRODUCT((Table1[Gender]="Male")*(Table1[SubscriptionStart]&lt;=A629)*(Table1[EffectiveEndDate]&gt;=A629))</f>
        <v>202</v>
      </c>
      <c r="P629" s="45" cm="1">
        <f t="array" aca="1" ref="P629" ca="1">SUMPRODUCT((Table1[Gender]="Female")*(Table1[SubscriptionStart]&lt;=A629)*(Table1[EffectiveEndDate]&gt;=A629))</f>
        <v>196</v>
      </c>
    </row>
    <row r="630" spans="1:16">
      <c r="A630" s="48">
        <f t="shared" si="39"/>
        <v>45190</v>
      </c>
      <c r="B630" s="45" cm="1">
        <f t="array" aca="1" ref="B630" ca="1">SUMPRODUCT((Table1[SubscriptionStart]&lt;=A630)*(Table1[EffectiveEndDate]&gt;=A630))</f>
        <v>398</v>
      </c>
      <c r="C630" s="45">
        <f>COUNTIFS(Table1[SubscriptionStart], A630)</f>
        <v>1</v>
      </c>
      <c r="D630" s="45">
        <f>COUNTIFS(Table1[CancellationDate], A630)</f>
        <v>2</v>
      </c>
      <c r="E630" s="45">
        <f t="shared" si="36"/>
        <v>-1</v>
      </c>
      <c r="F630" s="45">
        <f>SUM($C$2:C630)</f>
        <v>691</v>
      </c>
      <c r="G630" s="49" cm="1">
        <f t="array" aca="1" ref="G630" ca="1">IF(B630=0,"", SUMPRODUCT((Table1[SubscriptionStart]&lt;=A630)*(Table1[EffectiveEndDate]&gt;=A630)*Table1[Age]) / B630 )</f>
        <v>46.246231155778894</v>
      </c>
      <c r="H630" s="22">
        <f>SUMIF(Table1[SubscriptionStart],"&lt;="&amp;A630,Table1[TotalRevenue])</f>
        <v>141754.75000000017</v>
      </c>
      <c r="I630" s="50">
        <f t="shared" si="37"/>
        <v>45199</v>
      </c>
      <c r="J630" s="49">
        <f t="shared" ca="1" si="38"/>
        <v>399.53333333333336</v>
      </c>
      <c r="K630" s="45" cm="1">
        <f t="array" aca="1" ref="K630" ca="1">SUMPRODUCT((Table1[SubscriptionStart] &lt;= $A630) * (Table1[EffectiveEndDate] &gt;= $A630) * (Table1[Region] = "England"))</f>
        <v>104</v>
      </c>
      <c r="L630" s="45" cm="1">
        <f t="array" aca="1" ref="L630" ca="1">SUMPRODUCT((Table1[SubscriptionStart] &lt;= $A630) * (Table1[EffectiveEndDate] &gt;= $A630) * (Table1[Region] = "Scotland"))</f>
        <v>92</v>
      </c>
      <c r="M630" s="45" cm="1">
        <f t="array" aca="1" ref="M630" ca="1">SUMPRODUCT((Table1[SubscriptionStart] &lt;= $A630) * (Table1[EffectiveEndDate] &gt;= $A630) * (Table1[Region] = "Wales"))</f>
        <v>108</v>
      </c>
      <c r="N630" s="45" cm="1">
        <f t="array" aca="1" ref="N630" ca="1">SUMPRODUCT((Table1[SubscriptionStart] &lt;= $A630) * (Table1[EffectiveEndDate] &gt;= $A630) * (Table1[Region] = "Northern Ireland"))</f>
        <v>94</v>
      </c>
      <c r="O630" s="45" cm="1">
        <f t="array" aca="1" ref="O630" ca="1">SUMPRODUCT((Table1[Gender]="Male")*(Table1[SubscriptionStart]&lt;=A630)*(Table1[EffectiveEndDate]&gt;=A630))</f>
        <v>201</v>
      </c>
      <c r="P630" s="45" cm="1">
        <f t="array" aca="1" ref="P630" ca="1">SUMPRODUCT((Table1[Gender]="Female")*(Table1[SubscriptionStart]&lt;=A630)*(Table1[EffectiveEndDate]&gt;=A630))</f>
        <v>197</v>
      </c>
    </row>
    <row r="631" spans="1:16">
      <c r="A631" s="48">
        <f t="shared" si="39"/>
        <v>45191</v>
      </c>
      <c r="B631" s="45" cm="1">
        <f t="array" aca="1" ref="B631" ca="1">SUMPRODUCT((Table1[SubscriptionStart]&lt;=A631)*(Table1[EffectiveEndDate]&gt;=A631))</f>
        <v>397</v>
      </c>
      <c r="C631" s="45">
        <f>COUNTIFS(Table1[SubscriptionStart], A631)</f>
        <v>1</v>
      </c>
      <c r="D631" s="45">
        <f>COUNTIFS(Table1[CancellationDate], A631)</f>
        <v>0</v>
      </c>
      <c r="E631" s="45">
        <f t="shared" si="36"/>
        <v>1</v>
      </c>
      <c r="F631" s="45">
        <f>SUM($C$2:C631)</f>
        <v>692</v>
      </c>
      <c r="G631" s="49" cm="1">
        <f t="array" aca="1" ref="G631" ca="1">IF(B631=0,"", SUMPRODUCT((Table1[SubscriptionStart]&lt;=A631)*(Table1[EffectiveEndDate]&gt;=A631)*Table1[Age]) / B631 )</f>
        <v>46.304785894206546</v>
      </c>
      <c r="H631" s="22">
        <f>SUMIF(Table1[SubscriptionStart],"&lt;="&amp;A631,Table1[TotalRevenue])</f>
        <v>141754.75000000017</v>
      </c>
      <c r="I631" s="50">
        <f t="shared" si="37"/>
        <v>45199</v>
      </c>
      <c r="J631" s="49">
        <f t="shared" ca="1" si="38"/>
        <v>399.53333333333336</v>
      </c>
      <c r="K631" s="45" cm="1">
        <f t="array" aca="1" ref="K631" ca="1">SUMPRODUCT((Table1[SubscriptionStart] &lt;= $A631) * (Table1[EffectiveEndDate] &gt;= $A631) * (Table1[Region] = "England"))</f>
        <v>103</v>
      </c>
      <c r="L631" s="45" cm="1">
        <f t="array" aca="1" ref="L631" ca="1">SUMPRODUCT((Table1[SubscriptionStart] &lt;= $A631) * (Table1[EffectiveEndDate] &gt;= $A631) * (Table1[Region] = "Scotland"))</f>
        <v>91</v>
      </c>
      <c r="M631" s="45" cm="1">
        <f t="array" aca="1" ref="M631" ca="1">SUMPRODUCT((Table1[SubscriptionStart] &lt;= $A631) * (Table1[EffectiveEndDate] &gt;= $A631) * (Table1[Region] = "Wales"))</f>
        <v>108</v>
      </c>
      <c r="N631" s="45" cm="1">
        <f t="array" aca="1" ref="N631" ca="1">SUMPRODUCT((Table1[SubscriptionStart] &lt;= $A631) * (Table1[EffectiveEndDate] &gt;= $A631) * (Table1[Region] = "Northern Ireland"))</f>
        <v>95</v>
      </c>
      <c r="O631" s="45" cm="1">
        <f t="array" aca="1" ref="O631" ca="1">SUMPRODUCT((Table1[Gender]="Male")*(Table1[SubscriptionStart]&lt;=A631)*(Table1[EffectiveEndDate]&gt;=A631))</f>
        <v>200</v>
      </c>
      <c r="P631" s="45" cm="1">
        <f t="array" aca="1" ref="P631" ca="1">SUMPRODUCT((Table1[Gender]="Female")*(Table1[SubscriptionStart]&lt;=A631)*(Table1[EffectiveEndDate]&gt;=A631))</f>
        <v>197</v>
      </c>
    </row>
    <row r="632" spans="1:16">
      <c r="A632" s="48">
        <f t="shared" si="39"/>
        <v>45192</v>
      </c>
      <c r="B632" s="45" cm="1">
        <f t="array" aca="1" ref="B632" ca="1">SUMPRODUCT((Table1[SubscriptionStart]&lt;=A632)*(Table1[EffectiveEndDate]&gt;=A632))</f>
        <v>399</v>
      </c>
      <c r="C632" s="45">
        <f>COUNTIFS(Table1[SubscriptionStart], A632)</f>
        <v>2</v>
      </c>
      <c r="D632" s="45">
        <f>COUNTIFS(Table1[CancellationDate], A632)</f>
        <v>0</v>
      </c>
      <c r="E632" s="45">
        <f t="shared" si="36"/>
        <v>2</v>
      </c>
      <c r="F632" s="45">
        <f>SUM($C$2:C632)</f>
        <v>694</v>
      </c>
      <c r="G632" s="49" cm="1">
        <f t="array" aca="1" ref="G632" ca="1">IF(B632=0,"", SUMPRODUCT((Table1[SubscriptionStart]&lt;=A632)*(Table1[EffectiveEndDate]&gt;=A632)*Table1[Age]) / B632 )</f>
        <v>46.426065162907271</v>
      </c>
      <c r="H632" s="22">
        <f>SUMIF(Table1[SubscriptionStart],"&lt;="&amp;A632,Table1[TotalRevenue])</f>
        <v>141898.75000000017</v>
      </c>
      <c r="I632" s="50">
        <f t="shared" si="37"/>
        <v>45199</v>
      </c>
      <c r="J632" s="49">
        <f t="shared" ca="1" si="38"/>
        <v>399.53333333333336</v>
      </c>
      <c r="K632" s="45" cm="1">
        <f t="array" aca="1" ref="K632" ca="1">SUMPRODUCT((Table1[SubscriptionStart] &lt;= $A632) * (Table1[EffectiveEndDate] &gt;= $A632) * (Table1[Region] = "England"))</f>
        <v>103</v>
      </c>
      <c r="L632" s="45" cm="1">
        <f t="array" aca="1" ref="L632" ca="1">SUMPRODUCT((Table1[SubscriptionStart] &lt;= $A632) * (Table1[EffectiveEndDate] &gt;= $A632) * (Table1[Region] = "Scotland"))</f>
        <v>92</v>
      </c>
      <c r="M632" s="45" cm="1">
        <f t="array" aca="1" ref="M632" ca="1">SUMPRODUCT((Table1[SubscriptionStart] &lt;= $A632) * (Table1[EffectiveEndDate] &gt;= $A632) * (Table1[Region] = "Wales"))</f>
        <v>109</v>
      </c>
      <c r="N632" s="45" cm="1">
        <f t="array" aca="1" ref="N632" ca="1">SUMPRODUCT((Table1[SubscriptionStart] &lt;= $A632) * (Table1[EffectiveEndDate] &gt;= $A632) * (Table1[Region] = "Northern Ireland"))</f>
        <v>95</v>
      </c>
      <c r="O632" s="45" cm="1">
        <f t="array" aca="1" ref="O632" ca="1">SUMPRODUCT((Table1[Gender]="Male")*(Table1[SubscriptionStart]&lt;=A632)*(Table1[EffectiveEndDate]&gt;=A632))</f>
        <v>200</v>
      </c>
      <c r="P632" s="45" cm="1">
        <f t="array" aca="1" ref="P632" ca="1">SUMPRODUCT((Table1[Gender]="Female")*(Table1[SubscriptionStart]&lt;=A632)*(Table1[EffectiveEndDate]&gt;=A632))</f>
        <v>199</v>
      </c>
    </row>
    <row r="633" spans="1:16">
      <c r="A633" s="48">
        <f t="shared" si="39"/>
        <v>45193</v>
      </c>
      <c r="B633" s="45" cm="1">
        <f t="array" aca="1" ref="B633" ca="1">SUMPRODUCT((Table1[SubscriptionStart]&lt;=A633)*(Table1[EffectiveEndDate]&gt;=A633))</f>
        <v>400</v>
      </c>
      <c r="C633" s="45">
        <f>COUNTIFS(Table1[SubscriptionStart], A633)</f>
        <v>1</v>
      </c>
      <c r="D633" s="45">
        <f>COUNTIFS(Table1[CancellationDate], A633)</f>
        <v>2</v>
      </c>
      <c r="E633" s="45">
        <f t="shared" si="36"/>
        <v>-1</v>
      </c>
      <c r="F633" s="45">
        <f>SUM($C$2:C633)</f>
        <v>695</v>
      </c>
      <c r="G633" s="49" cm="1">
        <f t="array" aca="1" ref="G633" ca="1">IF(B633=0,"", SUMPRODUCT((Table1[SubscriptionStart]&lt;=A633)*(Table1[EffectiveEndDate]&gt;=A633)*Table1[Age]) / B633 )</f>
        <v>46.372500000000002</v>
      </c>
      <c r="H633" s="22">
        <f>SUMIF(Table1[SubscriptionStart],"&lt;="&amp;A633,Table1[TotalRevenue])</f>
        <v>141970.75000000017</v>
      </c>
      <c r="I633" s="50">
        <f t="shared" si="37"/>
        <v>45199</v>
      </c>
      <c r="J633" s="49">
        <f t="shared" ca="1" si="38"/>
        <v>399.53333333333336</v>
      </c>
      <c r="K633" s="45" cm="1">
        <f t="array" aca="1" ref="K633" ca="1">SUMPRODUCT((Table1[SubscriptionStart] &lt;= $A633) * (Table1[EffectiveEndDate] &gt;= $A633) * (Table1[Region] = "England"))</f>
        <v>103</v>
      </c>
      <c r="L633" s="45" cm="1">
        <f t="array" aca="1" ref="L633" ca="1">SUMPRODUCT((Table1[SubscriptionStart] &lt;= $A633) * (Table1[EffectiveEndDate] &gt;= $A633) * (Table1[Region] = "Scotland"))</f>
        <v>92</v>
      </c>
      <c r="M633" s="45" cm="1">
        <f t="array" aca="1" ref="M633" ca="1">SUMPRODUCT((Table1[SubscriptionStart] &lt;= $A633) * (Table1[EffectiveEndDate] &gt;= $A633) * (Table1[Region] = "Wales"))</f>
        <v>110</v>
      </c>
      <c r="N633" s="45" cm="1">
        <f t="array" aca="1" ref="N633" ca="1">SUMPRODUCT((Table1[SubscriptionStart] &lt;= $A633) * (Table1[EffectiveEndDate] &gt;= $A633) * (Table1[Region] = "Northern Ireland"))</f>
        <v>95</v>
      </c>
      <c r="O633" s="45" cm="1">
        <f t="array" aca="1" ref="O633" ca="1">SUMPRODUCT((Table1[Gender]="Male")*(Table1[SubscriptionStart]&lt;=A633)*(Table1[EffectiveEndDate]&gt;=A633))</f>
        <v>201</v>
      </c>
      <c r="P633" s="45" cm="1">
        <f t="array" aca="1" ref="P633" ca="1">SUMPRODUCT((Table1[Gender]="Female")*(Table1[SubscriptionStart]&lt;=A633)*(Table1[EffectiveEndDate]&gt;=A633))</f>
        <v>199</v>
      </c>
    </row>
    <row r="634" spans="1:16">
      <c r="A634" s="48">
        <f t="shared" si="39"/>
        <v>45194</v>
      </c>
      <c r="B634" s="45" cm="1">
        <f t="array" aca="1" ref="B634" ca="1">SUMPRODUCT((Table1[SubscriptionStart]&lt;=A634)*(Table1[EffectiveEndDate]&gt;=A634))</f>
        <v>398</v>
      </c>
      <c r="C634" s="45">
        <f>COUNTIFS(Table1[SubscriptionStart], A634)</f>
        <v>0</v>
      </c>
      <c r="D634" s="45">
        <f>COUNTIFS(Table1[CancellationDate], A634)</f>
        <v>1</v>
      </c>
      <c r="E634" s="45">
        <f t="shared" si="36"/>
        <v>-1</v>
      </c>
      <c r="F634" s="45">
        <f>SUM($C$2:C634)</f>
        <v>695</v>
      </c>
      <c r="G634" s="49" cm="1">
        <f t="array" aca="1" ref="G634" ca="1">IF(B634=0,"", SUMPRODUCT((Table1[SubscriptionStart]&lt;=A634)*(Table1[EffectiveEndDate]&gt;=A634)*Table1[Age]) / B634 )</f>
        <v>46.371859296482413</v>
      </c>
      <c r="H634" s="22">
        <f>SUMIF(Table1[SubscriptionStart],"&lt;="&amp;A634,Table1[TotalRevenue])</f>
        <v>141970.75000000017</v>
      </c>
      <c r="I634" s="50">
        <f t="shared" si="37"/>
        <v>45199</v>
      </c>
      <c r="J634" s="49">
        <f t="shared" ca="1" si="38"/>
        <v>399.53333333333336</v>
      </c>
      <c r="K634" s="45" cm="1">
        <f t="array" aca="1" ref="K634" ca="1">SUMPRODUCT((Table1[SubscriptionStart] &lt;= $A634) * (Table1[EffectiveEndDate] &gt;= $A634) * (Table1[Region] = "England"))</f>
        <v>103</v>
      </c>
      <c r="L634" s="45" cm="1">
        <f t="array" aca="1" ref="L634" ca="1">SUMPRODUCT((Table1[SubscriptionStart] &lt;= $A634) * (Table1[EffectiveEndDate] &gt;= $A634) * (Table1[Region] = "Scotland"))</f>
        <v>91</v>
      </c>
      <c r="M634" s="45" cm="1">
        <f t="array" aca="1" ref="M634" ca="1">SUMPRODUCT((Table1[SubscriptionStart] &lt;= $A634) * (Table1[EffectiveEndDate] &gt;= $A634) * (Table1[Region] = "Wales"))</f>
        <v>110</v>
      </c>
      <c r="N634" s="45" cm="1">
        <f t="array" aca="1" ref="N634" ca="1">SUMPRODUCT((Table1[SubscriptionStart] &lt;= $A634) * (Table1[EffectiveEndDate] &gt;= $A634) * (Table1[Region] = "Northern Ireland"))</f>
        <v>94</v>
      </c>
      <c r="O634" s="45" cm="1">
        <f t="array" aca="1" ref="O634" ca="1">SUMPRODUCT((Table1[Gender]="Male")*(Table1[SubscriptionStart]&lt;=A634)*(Table1[EffectiveEndDate]&gt;=A634))</f>
        <v>200</v>
      </c>
      <c r="P634" s="45" cm="1">
        <f t="array" aca="1" ref="P634" ca="1">SUMPRODUCT((Table1[Gender]="Female")*(Table1[SubscriptionStart]&lt;=A634)*(Table1[EffectiveEndDate]&gt;=A634))</f>
        <v>198</v>
      </c>
    </row>
    <row r="635" spans="1:16">
      <c r="A635" s="48">
        <f t="shared" si="39"/>
        <v>45195</v>
      </c>
      <c r="B635" s="45" cm="1">
        <f t="array" aca="1" ref="B635" ca="1">SUMPRODUCT((Table1[SubscriptionStart]&lt;=A635)*(Table1[EffectiveEndDate]&gt;=A635))</f>
        <v>397</v>
      </c>
      <c r="C635" s="45">
        <f>COUNTIFS(Table1[SubscriptionStart], A635)</f>
        <v>0</v>
      </c>
      <c r="D635" s="45">
        <f>COUNTIFS(Table1[CancellationDate], A635)</f>
        <v>1</v>
      </c>
      <c r="E635" s="45">
        <f t="shared" si="36"/>
        <v>-1</v>
      </c>
      <c r="F635" s="45">
        <f>SUM($C$2:C635)</f>
        <v>695</v>
      </c>
      <c r="G635" s="49" cm="1">
        <f t="array" aca="1" ref="G635" ca="1">IF(B635=0,"", SUMPRODUCT((Table1[SubscriptionStart]&lt;=A635)*(Table1[EffectiveEndDate]&gt;=A635)*Table1[Age]) / B635 )</f>
        <v>46.307304785894203</v>
      </c>
      <c r="H635" s="22">
        <f>SUMIF(Table1[SubscriptionStart],"&lt;="&amp;A635,Table1[TotalRevenue])</f>
        <v>141970.75000000017</v>
      </c>
      <c r="I635" s="50">
        <f t="shared" si="37"/>
        <v>45199</v>
      </c>
      <c r="J635" s="49">
        <f t="shared" ca="1" si="38"/>
        <v>399.53333333333336</v>
      </c>
      <c r="K635" s="45" cm="1">
        <f t="array" aca="1" ref="K635" ca="1">SUMPRODUCT((Table1[SubscriptionStart] &lt;= $A635) * (Table1[EffectiveEndDate] &gt;= $A635) * (Table1[Region] = "England"))</f>
        <v>102</v>
      </c>
      <c r="L635" s="45" cm="1">
        <f t="array" aca="1" ref="L635" ca="1">SUMPRODUCT((Table1[SubscriptionStart] &lt;= $A635) * (Table1[EffectiveEndDate] &gt;= $A635) * (Table1[Region] = "Scotland"))</f>
        <v>91</v>
      </c>
      <c r="M635" s="45" cm="1">
        <f t="array" aca="1" ref="M635" ca="1">SUMPRODUCT((Table1[SubscriptionStart] &lt;= $A635) * (Table1[EffectiveEndDate] &gt;= $A635) * (Table1[Region] = "Wales"))</f>
        <v>110</v>
      </c>
      <c r="N635" s="45" cm="1">
        <f t="array" aca="1" ref="N635" ca="1">SUMPRODUCT((Table1[SubscriptionStart] &lt;= $A635) * (Table1[EffectiveEndDate] &gt;= $A635) * (Table1[Region] = "Northern Ireland"))</f>
        <v>94</v>
      </c>
      <c r="O635" s="45" cm="1">
        <f t="array" aca="1" ref="O635" ca="1">SUMPRODUCT((Table1[Gender]="Male")*(Table1[SubscriptionStart]&lt;=A635)*(Table1[EffectiveEndDate]&gt;=A635))</f>
        <v>200</v>
      </c>
      <c r="P635" s="45" cm="1">
        <f t="array" aca="1" ref="P635" ca="1">SUMPRODUCT((Table1[Gender]="Female")*(Table1[SubscriptionStart]&lt;=A635)*(Table1[EffectiveEndDate]&gt;=A635))</f>
        <v>197</v>
      </c>
    </row>
    <row r="636" spans="1:16">
      <c r="A636" s="48">
        <f t="shared" si="39"/>
        <v>45196</v>
      </c>
      <c r="B636" s="45" cm="1">
        <f t="array" aca="1" ref="B636" ca="1">SUMPRODUCT((Table1[SubscriptionStart]&lt;=A636)*(Table1[EffectiveEndDate]&gt;=A636))</f>
        <v>396</v>
      </c>
      <c r="C636" s="45">
        <f>COUNTIFS(Table1[SubscriptionStart], A636)</f>
        <v>0</v>
      </c>
      <c r="D636" s="45">
        <f>COUNTIFS(Table1[CancellationDate], A636)</f>
        <v>0</v>
      </c>
      <c r="E636" s="45">
        <f t="shared" si="36"/>
        <v>0</v>
      </c>
      <c r="F636" s="45">
        <f>SUM($C$2:C636)</f>
        <v>695</v>
      </c>
      <c r="G636" s="49" cm="1">
        <f t="array" aca="1" ref="G636" ca="1">IF(B636=0,"", SUMPRODUCT((Table1[SubscriptionStart]&lt;=A636)*(Table1[EffectiveEndDate]&gt;=A636)*Table1[Age]) / B636 )</f>
        <v>46.345959595959599</v>
      </c>
      <c r="H636" s="22">
        <f>SUMIF(Table1[SubscriptionStart],"&lt;="&amp;A636,Table1[TotalRevenue])</f>
        <v>141970.75000000017</v>
      </c>
      <c r="I636" s="50">
        <f t="shared" si="37"/>
        <v>45199</v>
      </c>
      <c r="J636" s="49">
        <f t="shared" ca="1" si="38"/>
        <v>399.53333333333336</v>
      </c>
      <c r="K636" s="45" cm="1">
        <f t="array" aca="1" ref="K636" ca="1">SUMPRODUCT((Table1[SubscriptionStart] &lt;= $A636) * (Table1[EffectiveEndDate] &gt;= $A636) * (Table1[Region] = "England"))</f>
        <v>102</v>
      </c>
      <c r="L636" s="45" cm="1">
        <f t="array" aca="1" ref="L636" ca="1">SUMPRODUCT((Table1[SubscriptionStart] &lt;= $A636) * (Table1[EffectiveEndDate] &gt;= $A636) * (Table1[Region] = "Scotland"))</f>
        <v>90</v>
      </c>
      <c r="M636" s="45" cm="1">
        <f t="array" aca="1" ref="M636" ca="1">SUMPRODUCT((Table1[SubscriptionStart] &lt;= $A636) * (Table1[EffectiveEndDate] &gt;= $A636) * (Table1[Region] = "Wales"))</f>
        <v>110</v>
      </c>
      <c r="N636" s="45" cm="1">
        <f t="array" aca="1" ref="N636" ca="1">SUMPRODUCT((Table1[SubscriptionStart] &lt;= $A636) * (Table1[EffectiveEndDate] &gt;= $A636) * (Table1[Region] = "Northern Ireland"))</f>
        <v>94</v>
      </c>
      <c r="O636" s="45" cm="1">
        <f t="array" aca="1" ref="O636" ca="1">SUMPRODUCT((Table1[Gender]="Male")*(Table1[SubscriptionStart]&lt;=A636)*(Table1[EffectiveEndDate]&gt;=A636))</f>
        <v>200</v>
      </c>
      <c r="P636" s="45" cm="1">
        <f t="array" aca="1" ref="P636" ca="1">SUMPRODUCT((Table1[Gender]="Female")*(Table1[SubscriptionStart]&lt;=A636)*(Table1[EffectiveEndDate]&gt;=A636))</f>
        <v>196</v>
      </c>
    </row>
    <row r="637" spans="1:16">
      <c r="A637" s="48">
        <f t="shared" si="39"/>
        <v>45197</v>
      </c>
      <c r="B637" s="45" cm="1">
        <f t="array" aca="1" ref="B637" ca="1">SUMPRODUCT((Table1[SubscriptionStart]&lt;=A637)*(Table1[EffectiveEndDate]&gt;=A637))</f>
        <v>398</v>
      </c>
      <c r="C637" s="45">
        <f>COUNTIFS(Table1[SubscriptionStart], A637)</f>
        <v>2</v>
      </c>
      <c r="D637" s="45">
        <f>COUNTIFS(Table1[CancellationDate], A637)</f>
        <v>2</v>
      </c>
      <c r="E637" s="45">
        <f t="shared" si="36"/>
        <v>0</v>
      </c>
      <c r="F637" s="45">
        <f>SUM($C$2:C637)</f>
        <v>697</v>
      </c>
      <c r="G637" s="49" cm="1">
        <f t="array" aca="1" ref="G637" ca="1">IF(B637=0,"", SUMPRODUCT((Table1[SubscriptionStart]&lt;=A637)*(Table1[EffectiveEndDate]&gt;=A637)*Table1[Age]) / B637 )</f>
        <v>46.231155778894475</v>
      </c>
      <c r="H637" s="22">
        <f>SUMIF(Table1[SubscriptionStart],"&lt;="&amp;A637,Table1[TotalRevenue])</f>
        <v>142280.35000000018</v>
      </c>
      <c r="I637" s="50">
        <f t="shared" si="37"/>
        <v>45199</v>
      </c>
      <c r="J637" s="49">
        <f t="shared" ca="1" si="38"/>
        <v>399.53333333333336</v>
      </c>
      <c r="K637" s="45" cm="1">
        <f t="array" aca="1" ref="K637" ca="1">SUMPRODUCT((Table1[SubscriptionStart] &lt;= $A637) * (Table1[EffectiveEndDate] &gt;= $A637) * (Table1[Region] = "England"))</f>
        <v>102</v>
      </c>
      <c r="L637" s="45" cm="1">
        <f t="array" aca="1" ref="L637" ca="1">SUMPRODUCT((Table1[SubscriptionStart] &lt;= $A637) * (Table1[EffectiveEndDate] &gt;= $A637) * (Table1[Region] = "Scotland"))</f>
        <v>91</v>
      </c>
      <c r="M637" s="45" cm="1">
        <f t="array" aca="1" ref="M637" ca="1">SUMPRODUCT((Table1[SubscriptionStart] &lt;= $A637) * (Table1[EffectiveEndDate] &gt;= $A637) * (Table1[Region] = "Wales"))</f>
        <v>110</v>
      </c>
      <c r="N637" s="45" cm="1">
        <f t="array" aca="1" ref="N637" ca="1">SUMPRODUCT((Table1[SubscriptionStart] &lt;= $A637) * (Table1[EffectiveEndDate] &gt;= $A637) * (Table1[Region] = "Northern Ireland"))</f>
        <v>95</v>
      </c>
      <c r="O637" s="45" cm="1">
        <f t="array" aca="1" ref="O637" ca="1">SUMPRODUCT((Table1[Gender]="Male")*(Table1[SubscriptionStart]&lt;=A637)*(Table1[EffectiveEndDate]&gt;=A637))</f>
        <v>202</v>
      </c>
      <c r="P637" s="45" cm="1">
        <f t="array" aca="1" ref="P637" ca="1">SUMPRODUCT((Table1[Gender]="Female")*(Table1[SubscriptionStart]&lt;=A637)*(Table1[EffectiveEndDate]&gt;=A637))</f>
        <v>196</v>
      </c>
    </row>
    <row r="638" spans="1:16">
      <c r="A638" s="48">
        <f t="shared" si="39"/>
        <v>45198</v>
      </c>
      <c r="B638" s="45" cm="1">
        <f t="array" aca="1" ref="B638" ca="1">SUMPRODUCT((Table1[SubscriptionStart]&lt;=A638)*(Table1[EffectiveEndDate]&gt;=A638))</f>
        <v>398</v>
      </c>
      <c r="C638" s="45">
        <f>COUNTIFS(Table1[SubscriptionStart], A638)</f>
        <v>2</v>
      </c>
      <c r="D638" s="45">
        <f>COUNTIFS(Table1[CancellationDate], A638)</f>
        <v>0</v>
      </c>
      <c r="E638" s="45">
        <f t="shared" si="36"/>
        <v>2</v>
      </c>
      <c r="F638" s="45">
        <f>SUM($C$2:C638)</f>
        <v>699</v>
      </c>
      <c r="G638" s="49" cm="1">
        <f t="array" aca="1" ref="G638" ca="1">IF(B638=0,"", SUMPRODUCT((Table1[SubscriptionStart]&lt;=A638)*(Table1[EffectiveEndDate]&gt;=A638)*Table1[Age]) / B638 )</f>
        <v>46.206030150753769</v>
      </c>
      <c r="H638" s="22">
        <f>SUMIF(Table1[SubscriptionStart],"&lt;="&amp;A638,Table1[TotalRevenue])</f>
        <v>142533.25000000017</v>
      </c>
      <c r="I638" s="50">
        <f t="shared" si="37"/>
        <v>45199</v>
      </c>
      <c r="J638" s="49">
        <f t="shared" ca="1" si="38"/>
        <v>399.53333333333336</v>
      </c>
      <c r="K638" s="45" cm="1">
        <f t="array" aca="1" ref="K638" ca="1">SUMPRODUCT((Table1[SubscriptionStart] &lt;= $A638) * (Table1[EffectiveEndDate] &gt;= $A638) * (Table1[Region] = "England"))</f>
        <v>103</v>
      </c>
      <c r="L638" s="45" cm="1">
        <f t="array" aca="1" ref="L638" ca="1">SUMPRODUCT((Table1[SubscriptionStart] &lt;= $A638) * (Table1[EffectiveEndDate] &gt;= $A638) * (Table1[Region] = "Scotland"))</f>
        <v>89</v>
      </c>
      <c r="M638" s="45" cm="1">
        <f t="array" aca="1" ref="M638" ca="1">SUMPRODUCT((Table1[SubscriptionStart] &lt;= $A638) * (Table1[EffectiveEndDate] &gt;= $A638) * (Table1[Region] = "Wales"))</f>
        <v>110</v>
      </c>
      <c r="N638" s="45" cm="1">
        <f t="array" aca="1" ref="N638" ca="1">SUMPRODUCT((Table1[SubscriptionStart] &lt;= $A638) * (Table1[EffectiveEndDate] &gt;= $A638) * (Table1[Region] = "Northern Ireland"))</f>
        <v>96</v>
      </c>
      <c r="O638" s="45" cm="1">
        <f t="array" aca="1" ref="O638" ca="1">SUMPRODUCT((Table1[Gender]="Male")*(Table1[SubscriptionStart]&lt;=A638)*(Table1[EffectiveEndDate]&gt;=A638))</f>
        <v>202</v>
      </c>
      <c r="P638" s="45" cm="1">
        <f t="array" aca="1" ref="P638" ca="1">SUMPRODUCT((Table1[Gender]="Female")*(Table1[SubscriptionStart]&lt;=A638)*(Table1[EffectiveEndDate]&gt;=A638))</f>
        <v>196</v>
      </c>
    </row>
    <row r="639" spans="1:16">
      <c r="A639" s="48">
        <f t="shared" si="39"/>
        <v>45199</v>
      </c>
      <c r="B639" s="45" cm="1">
        <f t="array" aca="1" ref="B639" ca="1">SUMPRODUCT((Table1[SubscriptionStart]&lt;=A639)*(Table1[EffectiveEndDate]&gt;=A639))</f>
        <v>401</v>
      </c>
      <c r="C639" s="45">
        <f>COUNTIFS(Table1[SubscriptionStart], A639)</f>
        <v>3</v>
      </c>
      <c r="D639" s="45">
        <f>COUNTIFS(Table1[CancellationDate], A639)</f>
        <v>2</v>
      </c>
      <c r="E639" s="45">
        <f t="shared" si="36"/>
        <v>1</v>
      </c>
      <c r="F639" s="45">
        <f>SUM($C$2:C639)</f>
        <v>702</v>
      </c>
      <c r="G639" s="49" cm="1">
        <f t="array" aca="1" ref="G639" ca="1">IF(B639=0,"", SUMPRODUCT((Table1[SubscriptionStart]&lt;=A639)*(Table1[EffectiveEndDate]&gt;=A639)*Table1[Age]) / B639 )</f>
        <v>46.18952618453865</v>
      </c>
      <c r="H639" s="22">
        <f>SUMIF(Table1[SubscriptionStart],"&lt;="&amp;A639,Table1[TotalRevenue])</f>
        <v>143014.25000000017</v>
      </c>
      <c r="I639" s="50">
        <f t="shared" si="37"/>
        <v>45199</v>
      </c>
      <c r="J639" s="49">
        <f t="shared" ca="1" si="38"/>
        <v>399.53333333333336</v>
      </c>
      <c r="K639" s="45" cm="1">
        <f t="array" aca="1" ref="K639" ca="1">SUMPRODUCT((Table1[SubscriptionStart] &lt;= $A639) * (Table1[EffectiveEndDate] &gt;= $A639) * (Table1[Region] = "England"))</f>
        <v>105</v>
      </c>
      <c r="L639" s="45" cm="1">
        <f t="array" aca="1" ref="L639" ca="1">SUMPRODUCT((Table1[SubscriptionStart] &lt;= $A639) * (Table1[EffectiveEndDate] &gt;= $A639) * (Table1[Region] = "Scotland"))</f>
        <v>89</v>
      </c>
      <c r="M639" s="45" cm="1">
        <f t="array" aca="1" ref="M639" ca="1">SUMPRODUCT((Table1[SubscriptionStart] &lt;= $A639) * (Table1[EffectiveEndDate] &gt;= $A639) * (Table1[Region] = "Wales"))</f>
        <v>110</v>
      </c>
      <c r="N639" s="45" cm="1">
        <f t="array" aca="1" ref="N639" ca="1">SUMPRODUCT((Table1[SubscriptionStart] &lt;= $A639) * (Table1[EffectiveEndDate] &gt;= $A639) * (Table1[Region] = "Northern Ireland"))</f>
        <v>97</v>
      </c>
      <c r="O639" s="45" cm="1">
        <f t="array" aca="1" ref="O639" ca="1">SUMPRODUCT((Table1[Gender]="Male")*(Table1[SubscriptionStart]&lt;=A639)*(Table1[EffectiveEndDate]&gt;=A639))</f>
        <v>203</v>
      </c>
      <c r="P639" s="45" cm="1">
        <f t="array" aca="1" ref="P639" ca="1">SUMPRODUCT((Table1[Gender]="Female")*(Table1[SubscriptionStart]&lt;=A639)*(Table1[EffectiveEndDate]&gt;=A639))</f>
        <v>198</v>
      </c>
    </row>
    <row r="640" spans="1:16">
      <c r="A640" s="48">
        <f t="shared" si="39"/>
        <v>45200</v>
      </c>
      <c r="B640" s="45" cm="1">
        <f t="array" aca="1" ref="B640" ca="1">SUMPRODUCT((Table1[SubscriptionStart]&lt;=A640)*(Table1[EffectiveEndDate]&gt;=A640))</f>
        <v>400</v>
      </c>
      <c r="C640" s="45">
        <f>COUNTIFS(Table1[SubscriptionStart], A640)</f>
        <v>1</v>
      </c>
      <c r="D640" s="45">
        <f>COUNTIFS(Table1[CancellationDate], A640)</f>
        <v>0</v>
      </c>
      <c r="E640" s="45">
        <f t="shared" si="36"/>
        <v>1</v>
      </c>
      <c r="F640" s="45">
        <f>SUM($C$2:C640)</f>
        <v>703</v>
      </c>
      <c r="G640" s="49" cm="1">
        <f t="array" aca="1" ref="G640" ca="1">IF(B640=0,"", SUMPRODUCT((Table1[SubscriptionStart]&lt;=A640)*(Table1[EffectiveEndDate]&gt;=A640)*Table1[Age]) / B640 )</f>
        <v>46.14</v>
      </c>
      <c r="H640" s="22">
        <f>SUMIF(Table1[SubscriptionStart],"&lt;="&amp;A640,Table1[TotalRevenue])</f>
        <v>143054.75000000017</v>
      </c>
      <c r="I640" s="50">
        <f t="shared" si="37"/>
        <v>45230</v>
      </c>
      <c r="J640" s="49">
        <f t="shared" ca="1" si="38"/>
        <v>407</v>
      </c>
      <c r="K640" s="45" cm="1">
        <f t="array" aca="1" ref="K640" ca="1">SUMPRODUCT((Table1[SubscriptionStart] &lt;= $A640) * (Table1[EffectiveEndDate] &gt;= $A640) * (Table1[Region] = "England"))</f>
        <v>105</v>
      </c>
      <c r="L640" s="45" cm="1">
        <f t="array" aca="1" ref="L640" ca="1">SUMPRODUCT((Table1[SubscriptionStart] &lt;= $A640) * (Table1[EffectiveEndDate] &gt;= $A640) * (Table1[Region] = "Scotland"))</f>
        <v>87</v>
      </c>
      <c r="M640" s="45" cm="1">
        <f t="array" aca="1" ref="M640" ca="1">SUMPRODUCT((Table1[SubscriptionStart] &lt;= $A640) * (Table1[EffectiveEndDate] &gt;= $A640) * (Table1[Region] = "Wales"))</f>
        <v>110</v>
      </c>
      <c r="N640" s="45" cm="1">
        <f t="array" aca="1" ref="N640" ca="1">SUMPRODUCT((Table1[SubscriptionStart] &lt;= $A640) * (Table1[EffectiveEndDate] &gt;= $A640) * (Table1[Region] = "Northern Ireland"))</f>
        <v>98</v>
      </c>
      <c r="O640" s="45" cm="1">
        <f t="array" aca="1" ref="O640" ca="1">SUMPRODUCT((Table1[Gender]="Male")*(Table1[SubscriptionStart]&lt;=A640)*(Table1[EffectiveEndDate]&gt;=A640))</f>
        <v>202</v>
      </c>
      <c r="P640" s="45" cm="1">
        <f t="array" aca="1" ref="P640" ca="1">SUMPRODUCT((Table1[Gender]="Female")*(Table1[SubscriptionStart]&lt;=A640)*(Table1[EffectiveEndDate]&gt;=A640))</f>
        <v>198</v>
      </c>
    </row>
    <row r="641" spans="1:16">
      <c r="A641" s="48">
        <f t="shared" si="39"/>
        <v>45201</v>
      </c>
      <c r="B641" s="45" cm="1">
        <f t="array" aca="1" ref="B641" ca="1">SUMPRODUCT((Table1[SubscriptionStart]&lt;=A641)*(Table1[EffectiveEndDate]&gt;=A641))</f>
        <v>402</v>
      </c>
      <c r="C641" s="45">
        <f>COUNTIFS(Table1[SubscriptionStart], A641)</f>
        <v>2</v>
      </c>
      <c r="D641" s="45">
        <f>COUNTIFS(Table1[CancellationDate], A641)</f>
        <v>0</v>
      </c>
      <c r="E641" s="45">
        <f t="shared" si="36"/>
        <v>2</v>
      </c>
      <c r="F641" s="45">
        <f>SUM($C$2:C641)</f>
        <v>705</v>
      </c>
      <c r="G641" s="49" cm="1">
        <f t="array" aca="1" ref="G641" ca="1">IF(B641=0,"", SUMPRODUCT((Table1[SubscriptionStart]&lt;=A641)*(Table1[EffectiveEndDate]&gt;=A641)*Table1[Age]) / B641 )</f>
        <v>46.069651741293534</v>
      </c>
      <c r="H641" s="22">
        <f>SUMIF(Table1[SubscriptionStart],"&lt;="&amp;A641,Table1[TotalRevenue])</f>
        <v>143832.25000000017</v>
      </c>
      <c r="I641" s="50">
        <f t="shared" si="37"/>
        <v>45230</v>
      </c>
      <c r="J641" s="49">
        <f t="shared" ca="1" si="38"/>
        <v>407</v>
      </c>
      <c r="K641" s="45" cm="1">
        <f t="array" aca="1" ref="K641" ca="1">SUMPRODUCT((Table1[SubscriptionStart] &lt;= $A641) * (Table1[EffectiveEndDate] &gt;= $A641) * (Table1[Region] = "England"))</f>
        <v>105</v>
      </c>
      <c r="L641" s="45" cm="1">
        <f t="array" aca="1" ref="L641" ca="1">SUMPRODUCT((Table1[SubscriptionStart] &lt;= $A641) * (Table1[EffectiveEndDate] &gt;= $A641) * (Table1[Region] = "Scotland"))</f>
        <v>87</v>
      </c>
      <c r="M641" s="45" cm="1">
        <f t="array" aca="1" ref="M641" ca="1">SUMPRODUCT((Table1[SubscriptionStart] &lt;= $A641) * (Table1[EffectiveEndDate] &gt;= $A641) * (Table1[Region] = "Wales"))</f>
        <v>112</v>
      </c>
      <c r="N641" s="45" cm="1">
        <f t="array" aca="1" ref="N641" ca="1">SUMPRODUCT((Table1[SubscriptionStart] &lt;= $A641) * (Table1[EffectiveEndDate] &gt;= $A641) * (Table1[Region] = "Northern Ireland"))</f>
        <v>98</v>
      </c>
      <c r="O641" s="45" cm="1">
        <f t="array" aca="1" ref="O641" ca="1">SUMPRODUCT((Table1[Gender]="Male")*(Table1[SubscriptionStart]&lt;=A641)*(Table1[EffectiveEndDate]&gt;=A641))</f>
        <v>203</v>
      </c>
      <c r="P641" s="45" cm="1">
        <f t="array" aca="1" ref="P641" ca="1">SUMPRODUCT((Table1[Gender]="Female")*(Table1[SubscriptionStart]&lt;=A641)*(Table1[EffectiveEndDate]&gt;=A641))</f>
        <v>199</v>
      </c>
    </row>
    <row r="642" spans="1:16">
      <c r="A642" s="48">
        <f t="shared" si="39"/>
        <v>45202</v>
      </c>
      <c r="B642" s="45" cm="1">
        <f t="array" aca="1" ref="B642" ca="1">SUMPRODUCT((Table1[SubscriptionStart]&lt;=A642)*(Table1[EffectiveEndDate]&gt;=A642))</f>
        <v>402</v>
      </c>
      <c r="C642" s="45">
        <f>COUNTIFS(Table1[SubscriptionStart], A642)</f>
        <v>0</v>
      </c>
      <c r="D642" s="45">
        <f>COUNTIFS(Table1[CancellationDate], A642)</f>
        <v>1</v>
      </c>
      <c r="E642" s="45">
        <f t="shared" ref="E642:E705" si="40" xml:space="preserve"> C642 - D642</f>
        <v>-1</v>
      </c>
      <c r="F642" s="45">
        <f>SUM($C$2:C642)</f>
        <v>705</v>
      </c>
      <c r="G642" s="49" cm="1">
        <f t="array" aca="1" ref="G642" ca="1">IF(B642=0,"", SUMPRODUCT((Table1[SubscriptionStart]&lt;=A642)*(Table1[EffectiveEndDate]&gt;=A642)*Table1[Age]) / B642 )</f>
        <v>46.069651741293534</v>
      </c>
      <c r="H642" s="22">
        <f>SUMIF(Table1[SubscriptionStart],"&lt;="&amp;A642,Table1[TotalRevenue])</f>
        <v>143832.25000000017</v>
      </c>
      <c r="I642" s="50">
        <f t="shared" ref="I642:I705" si="41">EOMONTH(A642,0)</f>
        <v>45230</v>
      </c>
      <c r="J642" s="49">
        <f t="shared" ref="J642:J705" ca="1" si="42">AVERAGEIFS(B:B, I:I, I642)</f>
        <v>407</v>
      </c>
      <c r="K642" s="45" cm="1">
        <f t="array" aca="1" ref="K642" ca="1">SUMPRODUCT((Table1[SubscriptionStart] &lt;= $A642) * (Table1[EffectiveEndDate] &gt;= $A642) * (Table1[Region] = "England"))</f>
        <v>105</v>
      </c>
      <c r="L642" s="45" cm="1">
        <f t="array" aca="1" ref="L642" ca="1">SUMPRODUCT((Table1[SubscriptionStart] &lt;= $A642) * (Table1[EffectiveEndDate] &gt;= $A642) * (Table1[Region] = "Scotland"))</f>
        <v>87</v>
      </c>
      <c r="M642" s="45" cm="1">
        <f t="array" aca="1" ref="M642" ca="1">SUMPRODUCT((Table1[SubscriptionStart] &lt;= $A642) * (Table1[EffectiveEndDate] &gt;= $A642) * (Table1[Region] = "Wales"))</f>
        <v>112</v>
      </c>
      <c r="N642" s="45" cm="1">
        <f t="array" aca="1" ref="N642" ca="1">SUMPRODUCT((Table1[SubscriptionStart] &lt;= $A642) * (Table1[EffectiveEndDate] &gt;= $A642) * (Table1[Region] = "Northern Ireland"))</f>
        <v>98</v>
      </c>
      <c r="O642" s="45" cm="1">
        <f t="array" aca="1" ref="O642" ca="1">SUMPRODUCT((Table1[Gender]="Male")*(Table1[SubscriptionStart]&lt;=A642)*(Table1[EffectiveEndDate]&gt;=A642))</f>
        <v>203</v>
      </c>
      <c r="P642" s="45" cm="1">
        <f t="array" aca="1" ref="P642" ca="1">SUMPRODUCT((Table1[Gender]="Female")*(Table1[SubscriptionStart]&lt;=A642)*(Table1[EffectiveEndDate]&gt;=A642))</f>
        <v>199</v>
      </c>
    </row>
    <row r="643" spans="1:16">
      <c r="A643" s="48">
        <f t="shared" si="39"/>
        <v>45203</v>
      </c>
      <c r="B643" s="45" cm="1">
        <f t="array" aca="1" ref="B643" ca="1">SUMPRODUCT((Table1[SubscriptionStart]&lt;=A643)*(Table1[EffectiveEndDate]&gt;=A643))</f>
        <v>402</v>
      </c>
      <c r="C643" s="45">
        <f>COUNTIFS(Table1[SubscriptionStart], A643)</f>
        <v>1</v>
      </c>
      <c r="D643" s="45">
        <f>COUNTIFS(Table1[CancellationDate], A643)</f>
        <v>0</v>
      </c>
      <c r="E643" s="45">
        <f t="shared" si="40"/>
        <v>1</v>
      </c>
      <c r="F643" s="45">
        <f>SUM($C$2:C643)</f>
        <v>706</v>
      </c>
      <c r="G643" s="49" cm="1">
        <f t="array" aca="1" ref="G643" ca="1">IF(B643=0,"", SUMPRODUCT((Table1[SubscriptionStart]&lt;=A643)*(Table1[EffectiveEndDate]&gt;=A643)*Table1[Age]) / B643 )</f>
        <v>46.134328358208954</v>
      </c>
      <c r="H643" s="22">
        <f>SUMIF(Table1[SubscriptionStart],"&lt;="&amp;A643,Table1[TotalRevenue])</f>
        <v>143832.25000000017</v>
      </c>
      <c r="I643" s="50">
        <f t="shared" si="41"/>
        <v>45230</v>
      </c>
      <c r="J643" s="49">
        <f t="shared" ca="1" si="42"/>
        <v>407</v>
      </c>
      <c r="K643" s="45" cm="1">
        <f t="array" aca="1" ref="K643" ca="1">SUMPRODUCT((Table1[SubscriptionStart] &lt;= $A643) * (Table1[EffectiveEndDate] &gt;= $A643) * (Table1[Region] = "England"))</f>
        <v>104</v>
      </c>
      <c r="L643" s="45" cm="1">
        <f t="array" aca="1" ref="L643" ca="1">SUMPRODUCT((Table1[SubscriptionStart] &lt;= $A643) * (Table1[EffectiveEndDate] &gt;= $A643) * (Table1[Region] = "Scotland"))</f>
        <v>87</v>
      </c>
      <c r="M643" s="45" cm="1">
        <f t="array" aca="1" ref="M643" ca="1">SUMPRODUCT((Table1[SubscriptionStart] &lt;= $A643) * (Table1[EffectiveEndDate] &gt;= $A643) * (Table1[Region] = "Wales"))</f>
        <v>113</v>
      </c>
      <c r="N643" s="45" cm="1">
        <f t="array" aca="1" ref="N643" ca="1">SUMPRODUCT((Table1[SubscriptionStart] &lt;= $A643) * (Table1[EffectiveEndDate] &gt;= $A643) * (Table1[Region] = "Northern Ireland"))</f>
        <v>98</v>
      </c>
      <c r="O643" s="45" cm="1">
        <f t="array" aca="1" ref="O643" ca="1">SUMPRODUCT((Table1[Gender]="Male")*(Table1[SubscriptionStart]&lt;=A643)*(Table1[EffectiveEndDate]&gt;=A643))</f>
        <v>203</v>
      </c>
      <c r="P643" s="45" cm="1">
        <f t="array" aca="1" ref="P643" ca="1">SUMPRODUCT((Table1[Gender]="Female")*(Table1[SubscriptionStart]&lt;=A643)*(Table1[EffectiveEndDate]&gt;=A643))</f>
        <v>199</v>
      </c>
    </row>
    <row r="644" spans="1:16">
      <c r="A644" s="48">
        <f t="shared" ref="A644:A707" si="43">A643+1</f>
        <v>45204</v>
      </c>
      <c r="B644" s="45" cm="1">
        <f t="array" aca="1" ref="B644" ca="1">SUMPRODUCT((Table1[SubscriptionStart]&lt;=A644)*(Table1[EffectiveEndDate]&gt;=A644))</f>
        <v>404</v>
      </c>
      <c r="C644" s="45">
        <f>COUNTIFS(Table1[SubscriptionStart], A644)</f>
        <v>2</v>
      </c>
      <c r="D644" s="45">
        <f>COUNTIFS(Table1[CancellationDate], A644)</f>
        <v>1</v>
      </c>
      <c r="E644" s="45">
        <f t="shared" si="40"/>
        <v>1</v>
      </c>
      <c r="F644" s="45">
        <f>SUM($C$2:C644)</f>
        <v>708</v>
      </c>
      <c r="G644" s="49" cm="1">
        <f t="array" aca="1" ref="G644" ca="1">IF(B644=0,"", SUMPRODUCT((Table1[SubscriptionStart]&lt;=A644)*(Table1[EffectiveEndDate]&gt;=A644)*Table1[Age]) / B644 )</f>
        <v>46.193069306930695</v>
      </c>
      <c r="H644" s="22">
        <f>SUMIF(Table1[SubscriptionStart],"&lt;="&amp;A644,Table1[TotalRevenue])</f>
        <v>143976.25000000017</v>
      </c>
      <c r="I644" s="50">
        <f t="shared" si="41"/>
        <v>45230</v>
      </c>
      <c r="J644" s="49">
        <f t="shared" ca="1" si="42"/>
        <v>407</v>
      </c>
      <c r="K644" s="45" cm="1">
        <f t="array" aca="1" ref="K644" ca="1">SUMPRODUCT((Table1[SubscriptionStart] &lt;= $A644) * (Table1[EffectiveEndDate] &gt;= $A644) * (Table1[Region] = "England"))</f>
        <v>104</v>
      </c>
      <c r="L644" s="45" cm="1">
        <f t="array" aca="1" ref="L644" ca="1">SUMPRODUCT((Table1[SubscriptionStart] &lt;= $A644) * (Table1[EffectiveEndDate] &gt;= $A644) * (Table1[Region] = "Scotland"))</f>
        <v>88</v>
      </c>
      <c r="M644" s="45" cm="1">
        <f t="array" aca="1" ref="M644" ca="1">SUMPRODUCT((Table1[SubscriptionStart] &lt;= $A644) * (Table1[EffectiveEndDate] &gt;= $A644) * (Table1[Region] = "Wales"))</f>
        <v>113</v>
      </c>
      <c r="N644" s="45" cm="1">
        <f t="array" aca="1" ref="N644" ca="1">SUMPRODUCT((Table1[SubscriptionStart] &lt;= $A644) * (Table1[EffectiveEndDate] &gt;= $A644) * (Table1[Region] = "Northern Ireland"))</f>
        <v>99</v>
      </c>
      <c r="O644" s="45" cm="1">
        <f t="array" aca="1" ref="O644" ca="1">SUMPRODUCT((Table1[Gender]="Male")*(Table1[SubscriptionStart]&lt;=A644)*(Table1[EffectiveEndDate]&gt;=A644))</f>
        <v>204</v>
      </c>
      <c r="P644" s="45" cm="1">
        <f t="array" aca="1" ref="P644" ca="1">SUMPRODUCT((Table1[Gender]="Female")*(Table1[SubscriptionStart]&lt;=A644)*(Table1[EffectiveEndDate]&gt;=A644))</f>
        <v>200</v>
      </c>
    </row>
    <row r="645" spans="1:16">
      <c r="A645" s="48">
        <f t="shared" si="43"/>
        <v>45205</v>
      </c>
      <c r="B645" s="45" cm="1">
        <f t="array" aca="1" ref="B645" ca="1">SUMPRODUCT((Table1[SubscriptionStart]&lt;=A645)*(Table1[EffectiveEndDate]&gt;=A645))</f>
        <v>405</v>
      </c>
      <c r="C645" s="45">
        <f>COUNTIFS(Table1[SubscriptionStart], A645)</f>
        <v>2</v>
      </c>
      <c r="D645" s="45">
        <f>COUNTIFS(Table1[CancellationDate], A645)</f>
        <v>2</v>
      </c>
      <c r="E645" s="45">
        <f t="shared" si="40"/>
        <v>0</v>
      </c>
      <c r="F645" s="45">
        <f>SUM($C$2:C645)</f>
        <v>710</v>
      </c>
      <c r="G645" s="49" cm="1">
        <f t="array" aca="1" ref="G645" ca="1">IF(B645=0,"", SUMPRODUCT((Table1[SubscriptionStart]&lt;=A645)*(Table1[EffectiveEndDate]&gt;=A645)*Table1[Age]) / B645 )</f>
        <v>46.303703703703704</v>
      </c>
      <c r="H645" s="22">
        <f>SUMIF(Table1[SubscriptionStart],"&lt;="&amp;A645,Table1[TotalRevenue])</f>
        <v>144478.45000000019</v>
      </c>
      <c r="I645" s="50">
        <f t="shared" si="41"/>
        <v>45230</v>
      </c>
      <c r="J645" s="49">
        <f t="shared" ca="1" si="42"/>
        <v>407</v>
      </c>
      <c r="K645" s="45" cm="1">
        <f t="array" aca="1" ref="K645" ca="1">SUMPRODUCT((Table1[SubscriptionStart] &lt;= $A645) * (Table1[EffectiveEndDate] &gt;= $A645) * (Table1[Region] = "England"))</f>
        <v>104</v>
      </c>
      <c r="L645" s="45" cm="1">
        <f t="array" aca="1" ref="L645" ca="1">SUMPRODUCT((Table1[SubscriptionStart] &lt;= $A645) * (Table1[EffectiveEndDate] &gt;= $A645) * (Table1[Region] = "Scotland"))</f>
        <v>88</v>
      </c>
      <c r="M645" s="45" cm="1">
        <f t="array" aca="1" ref="M645" ca="1">SUMPRODUCT((Table1[SubscriptionStart] &lt;= $A645) * (Table1[EffectiveEndDate] &gt;= $A645) * (Table1[Region] = "Wales"))</f>
        <v>114</v>
      </c>
      <c r="N645" s="45" cm="1">
        <f t="array" aca="1" ref="N645" ca="1">SUMPRODUCT((Table1[SubscriptionStart] &lt;= $A645) * (Table1[EffectiveEndDate] &gt;= $A645) * (Table1[Region] = "Northern Ireland"))</f>
        <v>99</v>
      </c>
      <c r="O645" s="45" cm="1">
        <f t="array" aca="1" ref="O645" ca="1">SUMPRODUCT((Table1[Gender]="Male")*(Table1[SubscriptionStart]&lt;=A645)*(Table1[EffectiveEndDate]&gt;=A645))</f>
        <v>206</v>
      </c>
      <c r="P645" s="45" cm="1">
        <f t="array" aca="1" ref="P645" ca="1">SUMPRODUCT((Table1[Gender]="Female")*(Table1[SubscriptionStart]&lt;=A645)*(Table1[EffectiveEndDate]&gt;=A645))</f>
        <v>199</v>
      </c>
    </row>
    <row r="646" spans="1:16">
      <c r="A646" s="48">
        <f t="shared" si="43"/>
        <v>45206</v>
      </c>
      <c r="B646" s="45" cm="1">
        <f t="array" aca="1" ref="B646" ca="1">SUMPRODUCT((Table1[SubscriptionStart]&lt;=A646)*(Table1[EffectiveEndDate]&gt;=A646))</f>
        <v>403</v>
      </c>
      <c r="C646" s="45">
        <f>COUNTIFS(Table1[SubscriptionStart], A646)</f>
        <v>0</v>
      </c>
      <c r="D646" s="45">
        <f>COUNTIFS(Table1[CancellationDate], A646)</f>
        <v>1</v>
      </c>
      <c r="E646" s="45">
        <f t="shared" si="40"/>
        <v>-1</v>
      </c>
      <c r="F646" s="45">
        <f>SUM($C$2:C646)</f>
        <v>710</v>
      </c>
      <c r="G646" s="49" cm="1">
        <f t="array" aca="1" ref="G646" ca="1">IF(B646=0,"", SUMPRODUCT((Table1[SubscriptionStart]&lt;=A646)*(Table1[EffectiveEndDate]&gt;=A646)*Table1[Age]) / B646 )</f>
        <v>46.270471464019849</v>
      </c>
      <c r="H646" s="22">
        <f>SUMIF(Table1[SubscriptionStart],"&lt;="&amp;A646,Table1[TotalRevenue])</f>
        <v>144478.45000000019</v>
      </c>
      <c r="I646" s="50">
        <f t="shared" si="41"/>
        <v>45230</v>
      </c>
      <c r="J646" s="49">
        <f t="shared" ca="1" si="42"/>
        <v>407</v>
      </c>
      <c r="K646" s="45" cm="1">
        <f t="array" aca="1" ref="K646" ca="1">SUMPRODUCT((Table1[SubscriptionStart] &lt;= $A646) * (Table1[EffectiveEndDate] &gt;= $A646) * (Table1[Region] = "England"))</f>
        <v>104</v>
      </c>
      <c r="L646" s="45" cm="1">
        <f t="array" aca="1" ref="L646" ca="1">SUMPRODUCT((Table1[SubscriptionStart] &lt;= $A646) * (Table1[EffectiveEndDate] &gt;= $A646) * (Table1[Region] = "Scotland"))</f>
        <v>87</v>
      </c>
      <c r="M646" s="45" cm="1">
        <f t="array" aca="1" ref="M646" ca="1">SUMPRODUCT((Table1[SubscriptionStart] &lt;= $A646) * (Table1[EffectiveEndDate] &gt;= $A646) * (Table1[Region] = "Wales"))</f>
        <v>113</v>
      </c>
      <c r="N646" s="45" cm="1">
        <f t="array" aca="1" ref="N646" ca="1">SUMPRODUCT((Table1[SubscriptionStart] &lt;= $A646) * (Table1[EffectiveEndDate] &gt;= $A646) * (Table1[Region] = "Northern Ireland"))</f>
        <v>99</v>
      </c>
      <c r="O646" s="45" cm="1">
        <f t="array" aca="1" ref="O646" ca="1">SUMPRODUCT((Table1[Gender]="Male")*(Table1[SubscriptionStart]&lt;=A646)*(Table1[EffectiveEndDate]&gt;=A646))</f>
        <v>205</v>
      </c>
      <c r="P646" s="45" cm="1">
        <f t="array" aca="1" ref="P646" ca="1">SUMPRODUCT((Table1[Gender]="Female")*(Table1[SubscriptionStart]&lt;=A646)*(Table1[EffectiveEndDate]&gt;=A646))</f>
        <v>198</v>
      </c>
    </row>
    <row r="647" spans="1:16">
      <c r="A647" s="48">
        <f t="shared" si="43"/>
        <v>45207</v>
      </c>
      <c r="B647" s="45" cm="1">
        <f t="array" aca="1" ref="B647" ca="1">SUMPRODUCT((Table1[SubscriptionStart]&lt;=A647)*(Table1[EffectiveEndDate]&gt;=A647))</f>
        <v>402</v>
      </c>
      <c r="C647" s="45">
        <f>COUNTIFS(Table1[SubscriptionStart], A647)</f>
        <v>0</v>
      </c>
      <c r="D647" s="45">
        <f>COUNTIFS(Table1[CancellationDate], A647)</f>
        <v>1</v>
      </c>
      <c r="E647" s="45">
        <f t="shared" si="40"/>
        <v>-1</v>
      </c>
      <c r="F647" s="45">
        <f>SUM($C$2:C647)</f>
        <v>710</v>
      </c>
      <c r="G647" s="49" cm="1">
        <f t="array" aca="1" ref="G647" ca="1">IF(B647=0,"", SUMPRODUCT((Table1[SubscriptionStart]&lt;=A647)*(Table1[EffectiveEndDate]&gt;=A647)*Table1[Age]) / B647 )</f>
        <v>46.338308457711442</v>
      </c>
      <c r="H647" s="22">
        <f>SUMIF(Table1[SubscriptionStart],"&lt;="&amp;A647,Table1[TotalRevenue])</f>
        <v>144478.45000000019</v>
      </c>
      <c r="I647" s="50">
        <f t="shared" si="41"/>
        <v>45230</v>
      </c>
      <c r="J647" s="49">
        <f t="shared" ca="1" si="42"/>
        <v>407</v>
      </c>
      <c r="K647" s="45" cm="1">
        <f t="array" aca="1" ref="K647" ca="1">SUMPRODUCT((Table1[SubscriptionStart] &lt;= $A647) * (Table1[EffectiveEndDate] &gt;= $A647) * (Table1[Region] = "England"))</f>
        <v>103</v>
      </c>
      <c r="L647" s="45" cm="1">
        <f t="array" aca="1" ref="L647" ca="1">SUMPRODUCT((Table1[SubscriptionStart] &lt;= $A647) * (Table1[EffectiveEndDate] &gt;= $A647) * (Table1[Region] = "Scotland"))</f>
        <v>87</v>
      </c>
      <c r="M647" s="45" cm="1">
        <f t="array" aca="1" ref="M647" ca="1">SUMPRODUCT((Table1[SubscriptionStart] &lt;= $A647) * (Table1[EffectiveEndDate] &gt;= $A647) * (Table1[Region] = "Wales"))</f>
        <v>113</v>
      </c>
      <c r="N647" s="45" cm="1">
        <f t="array" aca="1" ref="N647" ca="1">SUMPRODUCT((Table1[SubscriptionStart] &lt;= $A647) * (Table1[EffectiveEndDate] &gt;= $A647) * (Table1[Region] = "Northern Ireland"))</f>
        <v>99</v>
      </c>
      <c r="O647" s="45" cm="1">
        <f t="array" aca="1" ref="O647" ca="1">SUMPRODUCT((Table1[Gender]="Male")*(Table1[SubscriptionStart]&lt;=A647)*(Table1[EffectiveEndDate]&gt;=A647))</f>
        <v>205</v>
      </c>
      <c r="P647" s="45" cm="1">
        <f t="array" aca="1" ref="P647" ca="1">SUMPRODUCT((Table1[Gender]="Female")*(Table1[SubscriptionStart]&lt;=A647)*(Table1[EffectiveEndDate]&gt;=A647))</f>
        <v>197</v>
      </c>
    </row>
    <row r="648" spans="1:16">
      <c r="A648" s="48">
        <f t="shared" si="43"/>
        <v>45208</v>
      </c>
      <c r="B648" s="45" cm="1">
        <f t="array" aca="1" ref="B648" ca="1">SUMPRODUCT((Table1[SubscriptionStart]&lt;=A648)*(Table1[EffectiveEndDate]&gt;=A648))</f>
        <v>402</v>
      </c>
      <c r="C648" s="45">
        <f>COUNTIFS(Table1[SubscriptionStart], A648)</f>
        <v>1</v>
      </c>
      <c r="D648" s="45">
        <f>COUNTIFS(Table1[CancellationDate], A648)</f>
        <v>1</v>
      </c>
      <c r="E648" s="45">
        <f t="shared" si="40"/>
        <v>0</v>
      </c>
      <c r="F648" s="45">
        <f>SUM($C$2:C648)</f>
        <v>711</v>
      </c>
      <c r="G648" s="49" cm="1">
        <f t="array" aca="1" ref="G648" ca="1">IF(B648=0,"", SUMPRODUCT((Table1[SubscriptionStart]&lt;=A648)*(Table1[EffectiveEndDate]&gt;=A648)*Table1[Age]) / B648 )</f>
        <v>46.32587064676617</v>
      </c>
      <c r="H648" s="22">
        <f>SUMIF(Table1[SubscriptionStart],"&lt;="&amp;A648,Table1[TotalRevenue])</f>
        <v>144478.45000000019</v>
      </c>
      <c r="I648" s="50">
        <f t="shared" si="41"/>
        <v>45230</v>
      </c>
      <c r="J648" s="49">
        <f t="shared" ca="1" si="42"/>
        <v>407</v>
      </c>
      <c r="K648" s="45" cm="1">
        <f t="array" aca="1" ref="K648" ca="1">SUMPRODUCT((Table1[SubscriptionStart] &lt;= $A648) * (Table1[EffectiveEndDate] &gt;= $A648) * (Table1[Region] = "England"))</f>
        <v>103</v>
      </c>
      <c r="L648" s="45" cm="1">
        <f t="array" aca="1" ref="L648" ca="1">SUMPRODUCT((Table1[SubscriptionStart] &lt;= $A648) * (Table1[EffectiveEndDate] &gt;= $A648) * (Table1[Region] = "Scotland"))</f>
        <v>87</v>
      </c>
      <c r="M648" s="45" cm="1">
        <f t="array" aca="1" ref="M648" ca="1">SUMPRODUCT((Table1[SubscriptionStart] &lt;= $A648) * (Table1[EffectiveEndDate] &gt;= $A648) * (Table1[Region] = "Wales"))</f>
        <v>113</v>
      </c>
      <c r="N648" s="45" cm="1">
        <f t="array" aca="1" ref="N648" ca="1">SUMPRODUCT((Table1[SubscriptionStart] &lt;= $A648) * (Table1[EffectiveEndDate] &gt;= $A648) * (Table1[Region] = "Northern Ireland"))</f>
        <v>99</v>
      </c>
      <c r="O648" s="45" cm="1">
        <f t="array" aca="1" ref="O648" ca="1">SUMPRODUCT((Table1[Gender]="Male")*(Table1[SubscriptionStart]&lt;=A648)*(Table1[EffectiveEndDate]&gt;=A648))</f>
        <v>204</v>
      </c>
      <c r="P648" s="45" cm="1">
        <f t="array" aca="1" ref="P648" ca="1">SUMPRODUCT((Table1[Gender]="Female")*(Table1[SubscriptionStart]&lt;=A648)*(Table1[EffectiveEndDate]&gt;=A648))</f>
        <v>198</v>
      </c>
    </row>
    <row r="649" spans="1:16">
      <c r="A649" s="48">
        <f t="shared" si="43"/>
        <v>45209</v>
      </c>
      <c r="B649" s="45" cm="1">
        <f t="array" aca="1" ref="B649" ca="1">SUMPRODUCT((Table1[SubscriptionStart]&lt;=A649)*(Table1[EffectiveEndDate]&gt;=A649))</f>
        <v>402</v>
      </c>
      <c r="C649" s="45">
        <f>COUNTIFS(Table1[SubscriptionStart], A649)</f>
        <v>1</v>
      </c>
      <c r="D649" s="45">
        <f>COUNTIFS(Table1[CancellationDate], A649)</f>
        <v>0</v>
      </c>
      <c r="E649" s="45">
        <f t="shared" si="40"/>
        <v>1</v>
      </c>
      <c r="F649" s="45">
        <f>SUM($C$2:C649)</f>
        <v>712</v>
      </c>
      <c r="G649" s="49" cm="1">
        <f t="array" aca="1" ref="G649" ca="1">IF(B649=0,"", SUMPRODUCT((Table1[SubscriptionStart]&lt;=A649)*(Table1[EffectiveEndDate]&gt;=A649)*Table1[Age]) / B649 )</f>
        <v>46.28358208955224</v>
      </c>
      <c r="H649" s="22">
        <f>SUMIF(Table1[SubscriptionStart],"&lt;="&amp;A649,Table1[TotalRevenue])</f>
        <v>144550.45000000019</v>
      </c>
      <c r="I649" s="50">
        <f t="shared" si="41"/>
        <v>45230</v>
      </c>
      <c r="J649" s="49">
        <f t="shared" ca="1" si="42"/>
        <v>407</v>
      </c>
      <c r="K649" s="45" cm="1">
        <f t="array" aca="1" ref="K649" ca="1">SUMPRODUCT((Table1[SubscriptionStart] &lt;= $A649) * (Table1[EffectiveEndDate] &gt;= $A649) * (Table1[Region] = "England"))</f>
        <v>103</v>
      </c>
      <c r="L649" s="45" cm="1">
        <f t="array" aca="1" ref="L649" ca="1">SUMPRODUCT((Table1[SubscriptionStart] &lt;= $A649) * (Table1[EffectiveEndDate] &gt;= $A649) * (Table1[Region] = "Scotland"))</f>
        <v>87</v>
      </c>
      <c r="M649" s="45" cm="1">
        <f t="array" aca="1" ref="M649" ca="1">SUMPRODUCT((Table1[SubscriptionStart] &lt;= $A649) * (Table1[EffectiveEndDate] &gt;= $A649) * (Table1[Region] = "Wales"))</f>
        <v>113</v>
      </c>
      <c r="N649" s="45" cm="1">
        <f t="array" aca="1" ref="N649" ca="1">SUMPRODUCT((Table1[SubscriptionStart] &lt;= $A649) * (Table1[EffectiveEndDate] &gt;= $A649) * (Table1[Region] = "Northern Ireland"))</f>
        <v>99</v>
      </c>
      <c r="O649" s="45" cm="1">
        <f t="array" aca="1" ref="O649" ca="1">SUMPRODUCT((Table1[Gender]="Male")*(Table1[SubscriptionStart]&lt;=A649)*(Table1[EffectiveEndDate]&gt;=A649))</f>
        <v>204</v>
      </c>
      <c r="P649" s="45" cm="1">
        <f t="array" aca="1" ref="P649" ca="1">SUMPRODUCT((Table1[Gender]="Female")*(Table1[SubscriptionStart]&lt;=A649)*(Table1[EffectiveEndDate]&gt;=A649))</f>
        <v>198</v>
      </c>
    </row>
    <row r="650" spans="1:16">
      <c r="A650" s="48">
        <f t="shared" si="43"/>
        <v>45210</v>
      </c>
      <c r="B650" s="45" cm="1">
        <f t="array" aca="1" ref="B650" ca="1">SUMPRODUCT((Table1[SubscriptionStart]&lt;=A650)*(Table1[EffectiveEndDate]&gt;=A650))</f>
        <v>403</v>
      </c>
      <c r="C650" s="45">
        <f>COUNTIFS(Table1[SubscriptionStart], A650)</f>
        <v>1</v>
      </c>
      <c r="D650" s="45">
        <f>COUNTIFS(Table1[CancellationDate], A650)</f>
        <v>0</v>
      </c>
      <c r="E650" s="45">
        <f t="shared" si="40"/>
        <v>1</v>
      </c>
      <c r="F650" s="45">
        <f>SUM($C$2:C650)</f>
        <v>713</v>
      </c>
      <c r="G650" s="49" cm="1">
        <f t="array" aca="1" ref="G650" ca="1">IF(B650=0,"", SUMPRODUCT((Table1[SubscriptionStart]&lt;=A650)*(Table1[EffectiveEndDate]&gt;=A650)*Table1[Age]) / B650 )</f>
        <v>46.354838709677416</v>
      </c>
      <c r="H650" s="22">
        <f>SUMIF(Table1[SubscriptionStart],"&lt;="&amp;A650,Table1[TotalRevenue])</f>
        <v>144968.05000000019</v>
      </c>
      <c r="I650" s="50">
        <f t="shared" si="41"/>
        <v>45230</v>
      </c>
      <c r="J650" s="49">
        <f t="shared" ca="1" si="42"/>
        <v>407</v>
      </c>
      <c r="K650" s="45" cm="1">
        <f t="array" aca="1" ref="K650" ca="1">SUMPRODUCT((Table1[SubscriptionStart] &lt;= $A650) * (Table1[EffectiveEndDate] &gt;= $A650) * (Table1[Region] = "England"))</f>
        <v>103</v>
      </c>
      <c r="L650" s="45" cm="1">
        <f t="array" aca="1" ref="L650" ca="1">SUMPRODUCT((Table1[SubscriptionStart] &lt;= $A650) * (Table1[EffectiveEndDate] &gt;= $A650) * (Table1[Region] = "Scotland"))</f>
        <v>87</v>
      </c>
      <c r="M650" s="45" cm="1">
        <f t="array" aca="1" ref="M650" ca="1">SUMPRODUCT((Table1[SubscriptionStart] &lt;= $A650) * (Table1[EffectiveEndDate] &gt;= $A650) * (Table1[Region] = "Wales"))</f>
        <v>113</v>
      </c>
      <c r="N650" s="45" cm="1">
        <f t="array" aca="1" ref="N650" ca="1">SUMPRODUCT((Table1[SubscriptionStart] &lt;= $A650) * (Table1[EffectiveEndDate] &gt;= $A650) * (Table1[Region] = "Northern Ireland"))</f>
        <v>100</v>
      </c>
      <c r="O650" s="45" cm="1">
        <f t="array" aca="1" ref="O650" ca="1">SUMPRODUCT((Table1[Gender]="Male")*(Table1[SubscriptionStart]&lt;=A650)*(Table1[EffectiveEndDate]&gt;=A650))</f>
        <v>204</v>
      </c>
      <c r="P650" s="45" cm="1">
        <f t="array" aca="1" ref="P650" ca="1">SUMPRODUCT((Table1[Gender]="Female")*(Table1[SubscriptionStart]&lt;=A650)*(Table1[EffectiveEndDate]&gt;=A650))</f>
        <v>199</v>
      </c>
    </row>
    <row r="651" spans="1:16">
      <c r="A651" s="48">
        <f t="shared" si="43"/>
        <v>45211</v>
      </c>
      <c r="B651" s="45" cm="1">
        <f t="array" aca="1" ref="B651" ca="1">SUMPRODUCT((Table1[SubscriptionStart]&lt;=A651)*(Table1[EffectiveEndDate]&gt;=A651))</f>
        <v>404</v>
      </c>
      <c r="C651" s="45">
        <f>COUNTIFS(Table1[SubscriptionStart], A651)</f>
        <v>1</v>
      </c>
      <c r="D651" s="45">
        <f>COUNTIFS(Table1[CancellationDate], A651)</f>
        <v>1</v>
      </c>
      <c r="E651" s="45">
        <f t="shared" si="40"/>
        <v>0</v>
      </c>
      <c r="F651" s="45">
        <f>SUM($C$2:C651)</f>
        <v>714</v>
      </c>
      <c r="G651" s="49" cm="1">
        <f t="array" aca="1" ref="G651" ca="1">IF(B651=0,"", SUMPRODUCT((Table1[SubscriptionStart]&lt;=A651)*(Table1[EffectiveEndDate]&gt;=A651)*Table1[Age]) / B651 )</f>
        <v>46.398514851485146</v>
      </c>
      <c r="H651" s="22">
        <f>SUMIF(Table1[SubscriptionStart],"&lt;="&amp;A651,Table1[TotalRevenue])</f>
        <v>145097.6500000002</v>
      </c>
      <c r="I651" s="50">
        <f t="shared" si="41"/>
        <v>45230</v>
      </c>
      <c r="J651" s="49">
        <f t="shared" ca="1" si="42"/>
        <v>407</v>
      </c>
      <c r="K651" s="45" cm="1">
        <f t="array" aca="1" ref="K651" ca="1">SUMPRODUCT((Table1[SubscriptionStart] &lt;= $A651) * (Table1[EffectiveEndDate] &gt;= $A651) * (Table1[Region] = "England"))</f>
        <v>103</v>
      </c>
      <c r="L651" s="45" cm="1">
        <f t="array" aca="1" ref="L651" ca="1">SUMPRODUCT((Table1[SubscriptionStart] &lt;= $A651) * (Table1[EffectiveEndDate] &gt;= $A651) * (Table1[Region] = "Scotland"))</f>
        <v>88</v>
      </c>
      <c r="M651" s="45" cm="1">
        <f t="array" aca="1" ref="M651" ca="1">SUMPRODUCT((Table1[SubscriptionStart] &lt;= $A651) * (Table1[EffectiveEndDate] &gt;= $A651) * (Table1[Region] = "Wales"))</f>
        <v>113</v>
      </c>
      <c r="N651" s="45" cm="1">
        <f t="array" aca="1" ref="N651" ca="1">SUMPRODUCT((Table1[SubscriptionStart] &lt;= $A651) * (Table1[EffectiveEndDate] &gt;= $A651) * (Table1[Region] = "Northern Ireland"))</f>
        <v>100</v>
      </c>
      <c r="O651" s="45" cm="1">
        <f t="array" aca="1" ref="O651" ca="1">SUMPRODUCT((Table1[Gender]="Male")*(Table1[SubscriptionStart]&lt;=A651)*(Table1[EffectiveEndDate]&gt;=A651))</f>
        <v>204</v>
      </c>
      <c r="P651" s="45" cm="1">
        <f t="array" aca="1" ref="P651" ca="1">SUMPRODUCT((Table1[Gender]="Female")*(Table1[SubscriptionStart]&lt;=A651)*(Table1[EffectiveEndDate]&gt;=A651))</f>
        <v>200</v>
      </c>
    </row>
    <row r="652" spans="1:16">
      <c r="A652" s="48">
        <f t="shared" si="43"/>
        <v>45212</v>
      </c>
      <c r="B652" s="45" cm="1">
        <f t="array" aca="1" ref="B652" ca="1">SUMPRODUCT((Table1[SubscriptionStart]&lt;=A652)*(Table1[EffectiveEndDate]&gt;=A652))</f>
        <v>403</v>
      </c>
      <c r="C652" s="45">
        <f>COUNTIFS(Table1[SubscriptionStart], A652)</f>
        <v>0</v>
      </c>
      <c r="D652" s="45">
        <f>COUNTIFS(Table1[CancellationDate], A652)</f>
        <v>0</v>
      </c>
      <c r="E652" s="45">
        <f t="shared" si="40"/>
        <v>0</v>
      </c>
      <c r="F652" s="45">
        <f>SUM($C$2:C652)</f>
        <v>714</v>
      </c>
      <c r="G652" s="49" cm="1">
        <f t="array" aca="1" ref="G652" ca="1">IF(B652=0,"", SUMPRODUCT((Table1[SubscriptionStart]&lt;=A652)*(Table1[EffectiveEndDate]&gt;=A652)*Table1[Age]) / B652 )</f>
        <v>46.464019851116625</v>
      </c>
      <c r="H652" s="22">
        <f>SUMIF(Table1[SubscriptionStart],"&lt;="&amp;A652,Table1[TotalRevenue])</f>
        <v>145097.6500000002</v>
      </c>
      <c r="I652" s="50">
        <f t="shared" si="41"/>
        <v>45230</v>
      </c>
      <c r="J652" s="49">
        <f t="shared" ca="1" si="42"/>
        <v>407</v>
      </c>
      <c r="K652" s="45" cm="1">
        <f t="array" aca="1" ref="K652" ca="1">SUMPRODUCT((Table1[SubscriptionStart] &lt;= $A652) * (Table1[EffectiveEndDate] &gt;= $A652) * (Table1[Region] = "England"))</f>
        <v>103</v>
      </c>
      <c r="L652" s="45" cm="1">
        <f t="array" aca="1" ref="L652" ca="1">SUMPRODUCT((Table1[SubscriptionStart] &lt;= $A652) * (Table1[EffectiveEndDate] &gt;= $A652) * (Table1[Region] = "Scotland"))</f>
        <v>88</v>
      </c>
      <c r="M652" s="45" cm="1">
        <f t="array" aca="1" ref="M652" ca="1">SUMPRODUCT((Table1[SubscriptionStart] &lt;= $A652) * (Table1[EffectiveEndDate] &gt;= $A652) * (Table1[Region] = "Wales"))</f>
        <v>113</v>
      </c>
      <c r="N652" s="45" cm="1">
        <f t="array" aca="1" ref="N652" ca="1">SUMPRODUCT((Table1[SubscriptionStart] &lt;= $A652) * (Table1[EffectiveEndDate] &gt;= $A652) * (Table1[Region] = "Northern Ireland"))</f>
        <v>99</v>
      </c>
      <c r="O652" s="45" cm="1">
        <f t="array" aca="1" ref="O652" ca="1">SUMPRODUCT((Table1[Gender]="Male")*(Table1[SubscriptionStart]&lt;=A652)*(Table1[EffectiveEndDate]&gt;=A652))</f>
        <v>204</v>
      </c>
      <c r="P652" s="45" cm="1">
        <f t="array" aca="1" ref="P652" ca="1">SUMPRODUCT((Table1[Gender]="Female")*(Table1[SubscriptionStart]&lt;=A652)*(Table1[EffectiveEndDate]&gt;=A652))</f>
        <v>199</v>
      </c>
    </row>
    <row r="653" spans="1:16">
      <c r="A653" s="48">
        <f t="shared" si="43"/>
        <v>45213</v>
      </c>
      <c r="B653" s="45" cm="1">
        <f t="array" aca="1" ref="B653" ca="1">SUMPRODUCT((Table1[SubscriptionStart]&lt;=A653)*(Table1[EffectiveEndDate]&gt;=A653))</f>
        <v>404</v>
      </c>
      <c r="C653" s="45">
        <f>COUNTIFS(Table1[SubscriptionStart], A653)</f>
        <v>1</v>
      </c>
      <c r="D653" s="45">
        <f>COUNTIFS(Table1[CancellationDate], A653)</f>
        <v>0</v>
      </c>
      <c r="E653" s="45">
        <f t="shared" si="40"/>
        <v>1</v>
      </c>
      <c r="F653" s="45">
        <f>SUM($C$2:C653)</f>
        <v>715</v>
      </c>
      <c r="G653" s="49" cm="1">
        <f t="array" aca="1" ref="G653" ca="1">IF(B653=0,"", SUMPRODUCT((Table1[SubscriptionStart]&lt;=A653)*(Table1[EffectiveEndDate]&gt;=A653)*Table1[Age]) / B653 )</f>
        <v>46.50247524752475</v>
      </c>
      <c r="H653" s="22">
        <f>SUMIF(Table1[SubscriptionStart],"&lt;="&amp;A653,Table1[TotalRevenue])</f>
        <v>145169.6500000002</v>
      </c>
      <c r="I653" s="50">
        <f t="shared" si="41"/>
        <v>45230</v>
      </c>
      <c r="J653" s="49">
        <f t="shared" ca="1" si="42"/>
        <v>407</v>
      </c>
      <c r="K653" s="45" cm="1">
        <f t="array" aca="1" ref="K653" ca="1">SUMPRODUCT((Table1[SubscriptionStart] &lt;= $A653) * (Table1[EffectiveEndDate] &gt;= $A653) * (Table1[Region] = "England"))</f>
        <v>103</v>
      </c>
      <c r="L653" s="45" cm="1">
        <f t="array" aca="1" ref="L653" ca="1">SUMPRODUCT((Table1[SubscriptionStart] &lt;= $A653) * (Table1[EffectiveEndDate] &gt;= $A653) * (Table1[Region] = "Scotland"))</f>
        <v>89</v>
      </c>
      <c r="M653" s="45" cm="1">
        <f t="array" aca="1" ref="M653" ca="1">SUMPRODUCT((Table1[SubscriptionStart] &lt;= $A653) * (Table1[EffectiveEndDate] &gt;= $A653) * (Table1[Region] = "Wales"))</f>
        <v>113</v>
      </c>
      <c r="N653" s="45" cm="1">
        <f t="array" aca="1" ref="N653" ca="1">SUMPRODUCT((Table1[SubscriptionStart] &lt;= $A653) * (Table1[EffectiveEndDate] &gt;= $A653) * (Table1[Region] = "Northern Ireland"))</f>
        <v>99</v>
      </c>
      <c r="O653" s="45" cm="1">
        <f t="array" aca="1" ref="O653" ca="1">SUMPRODUCT((Table1[Gender]="Male")*(Table1[SubscriptionStart]&lt;=A653)*(Table1[EffectiveEndDate]&gt;=A653))</f>
        <v>205</v>
      </c>
      <c r="P653" s="45" cm="1">
        <f t="array" aca="1" ref="P653" ca="1">SUMPRODUCT((Table1[Gender]="Female")*(Table1[SubscriptionStart]&lt;=A653)*(Table1[EffectiveEndDate]&gt;=A653))</f>
        <v>199</v>
      </c>
    </row>
    <row r="654" spans="1:16">
      <c r="A654" s="48">
        <f t="shared" si="43"/>
        <v>45214</v>
      </c>
      <c r="B654" s="45" cm="1">
        <f t="array" aca="1" ref="B654" ca="1">SUMPRODUCT((Table1[SubscriptionStart]&lt;=A654)*(Table1[EffectiveEndDate]&gt;=A654))</f>
        <v>405</v>
      </c>
      <c r="C654" s="45">
        <f>COUNTIFS(Table1[SubscriptionStart], A654)</f>
        <v>1</v>
      </c>
      <c r="D654" s="45">
        <f>COUNTIFS(Table1[CancellationDate], A654)</f>
        <v>1</v>
      </c>
      <c r="E654" s="45">
        <f t="shared" si="40"/>
        <v>0</v>
      </c>
      <c r="F654" s="45">
        <f>SUM($C$2:C654)</f>
        <v>716</v>
      </c>
      <c r="G654" s="49" cm="1">
        <f t="array" aca="1" ref="G654" ca="1">IF(B654=0,"", SUMPRODUCT((Table1[SubscriptionStart]&lt;=A654)*(Table1[EffectiveEndDate]&gt;=A654)*Table1[Age]) / B654 )</f>
        <v>46.553086419753086</v>
      </c>
      <c r="H654" s="22">
        <f>SUMIF(Table1[SubscriptionStart],"&lt;="&amp;A654,Table1[TotalRevenue])</f>
        <v>145408.6500000002</v>
      </c>
      <c r="I654" s="50">
        <f t="shared" si="41"/>
        <v>45230</v>
      </c>
      <c r="J654" s="49">
        <f t="shared" ca="1" si="42"/>
        <v>407</v>
      </c>
      <c r="K654" s="45" cm="1">
        <f t="array" aca="1" ref="K654" ca="1">SUMPRODUCT((Table1[SubscriptionStart] &lt;= $A654) * (Table1[EffectiveEndDate] &gt;= $A654) * (Table1[Region] = "England"))</f>
        <v>103</v>
      </c>
      <c r="L654" s="45" cm="1">
        <f t="array" aca="1" ref="L654" ca="1">SUMPRODUCT((Table1[SubscriptionStart] &lt;= $A654) * (Table1[EffectiveEndDate] &gt;= $A654) * (Table1[Region] = "Scotland"))</f>
        <v>90</v>
      </c>
      <c r="M654" s="45" cm="1">
        <f t="array" aca="1" ref="M654" ca="1">SUMPRODUCT((Table1[SubscriptionStart] &lt;= $A654) * (Table1[EffectiveEndDate] &gt;= $A654) * (Table1[Region] = "Wales"))</f>
        <v>113</v>
      </c>
      <c r="N654" s="45" cm="1">
        <f t="array" aca="1" ref="N654" ca="1">SUMPRODUCT((Table1[SubscriptionStart] &lt;= $A654) * (Table1[EffectiveEndDate] &gt;= $A654) * (Table1[Region] = "Northern Ireland"))</f>
        <v>99</v>
      </c>
      <c r="O654" s="45" cm="1">
        <f t="array" aca="1" ref="O654" ca="1">SUMPRODUCT((Table1[Gender]="Male")*(Table1[SubscriptionStart]&lt;=A654)*(Table1[EffectiveEndDate]&gt;=A654))</f>
        <v>205</v>
      </c>
      <c r="P654" s="45" cm="1">
        <f t="array" aca="1" ref="P654" ca="1">SUMPRODUCT((Table1[Gender]="Female")*(Table1[SubscriptionStart]&lt;=A654)*(Table1[EffectiveEndDate]&gt;=A654))</f>
        <v>200</v>
      </c>
    </row>
    <row r="655" spans="1:16">
      <c r="A655" s="48">
        <f t="shared" si="43"/>
        <v>45215</v>
      </c>
      <c r="B655" s="45" cm="1">
        <f t="array" aca="1" ref="B655" ca="1">SUMPRODUCT((Table1[SubscriptionStart]&lt;=A655)*(Table1[EffectiveEndDate]&gt;=A655))</f>
        <v>406</v>
      </c>
      <c r="C655" s="45">
        <f>COUNTIFS(Table1[SubscriptionStart], A655)</f>
        <v>2</v>
      </c>
      <c r="D655" s="45">
        <f>COUNTIFS(Table1[CancellationDate], A655)</f>
        <v>1</v>
      </c>
      <c r="E655" s="45">
        <f t="shared" si="40"/>
        <v>1</v>
      </c>
      <c r="F655" s="45">
        <f>SUM($C$2:C655)</f>
        <v>718</v>
      </c>
      <c r="G655" s="49" cm="1">
        <f t="array" aca="1" ref="G655" ca="1">IF(B655=0,"", SUMPRODUCT((Table1[SubscriptionStart]&lt;=A655)*(Table1[EffectiveEndDate]&gt;=A655)*Table1[Age]) / B655 )</f>
        <v>46.593596059113302</v>
      </c>
      <c r="H655" s="22">
        <f>SUMIF(Table1[SubscriptionStart],"&lt;="&amp;A655,Table1[TotalRevenue])</f>
        <v>145827.6500000002</v>
      </c>
      <c r="I655" s="50">
        <f t="shared" si="41"/>
        <v>45230</v>
      </c>
      <c r="J655" s="49">
        <f t="shared" ca="1" si="42"/>
        <v>407</v>
      </c>
      <c r="K655" s="45" cm="1">
        <f t="array" aca="1" ref="K655" ca="1">SUMPRODUCT((Table1[SubscriptionStart] &lt;= $A655) * (Table1[EffectiveEndDate] &gt;= $A655) * (Table1[Region] = "England"))</f>
        <v>102</v>
      </c>
      <c r="L655" s="45" cm="1">
        <f t="array" aca="1" ref="L655" ca="1">SUMPRODUCT((Table1[SubscriptionStart] &lt;= $A655) * (Table1[EffectiveEndDate] &gt;= $A655) * (Table1[Region] = "Scotland"))</f>
        <v>90</v>
      </c>
      <c r="M655" s="45" cm="1">
        <f t="array" aca="1" ref="M655" ca="1">SUMPRODUCT((Table1[SubscriptionStart] &lt;= $A655) * (Table1[EffectiveEndDate] &gt;= $A655) * (Table1[Region] = "Wales"))</f>
        <v>115</v>
      </c>
      <c r="N655" s="45" cm="1">
        <f t="array" aca="1" ref="N655" ca="1">SUMPRODUCT((Table1[SubscriptionStart] &lt;= $A655) * (Table1[EffectiveEndDate] &gt;= $A655) * (Table1[Region] = "Northern Ireland"))</f>
        <v>99</v>
      </c>
      <c r="O655" s="45" cm="1">
        <f t="array" aca="1" ref="O655" ca="1">SUMPRODUCT((Table1[Gender]="Male")*(Table1[SubscriptionStart]&lt;=A655)*(Table1[EffectiveEndDate]&gt;=A655))</f>
        <v>207</v>
      </c>
      <c r="P655" s="45" cm="1">
        <f t="array" aca="1" ref="P655" ca="1">SUMPRODUCT((Table1[Gender]="Female")*(Table1[SubscriptionStart]&lt;=A655)*(Table1[EffectiveEndDate]&gt;=A655))</f>
        <v>199</v>
      </c>
    </row>
    <row r="656" spans="1:16">
      <c r="A656" s="48">
        <f t="shared" si="43"/>
        <v>45216</v>
      </c>
      <c r="B656" s="45" cm="1">
        <f t="array" aca="1" ref="B656" ca="1">SUMPRODUCT((Table1[SubscriptionStart]&lt;=A656)*(Table1[EffectiveEndDate]&gt;=A656))</f>
        <v>407</v>
      </c>
      <c r="C656" s="45">
        <f>COUNTIFS(Table1[SubscriptionStart], A656)</f>
        <v>2</v>
      </c>
      <c r="D656" s="45">
        <f>COUNTIFS(Table1[CancellationDate], A656)</f>
        <v>1</v>
      </c>
      <c r="E656" s="45">
        <f t="shared" si="40"/>
        <v>1</v>
      </c>
      <c r="F656" s="45">
        <f>SUM($C$2:C656)</f>
        <v>720</v>
      </c>
      <c r="G656" s="49" cm="1">
        <f t="array" aca="1" ref="G656" ca="1">IF(B656=0,"", SUMPRODUCT((Table1[SubscriptionStart]&lt;=A656)*(Table1[EffectiveEndDate]&gt;=A656)*Table1[Age]) / B656 )</f>
        <v>46.658476658476658</v>
      </c>
      <c r="H656" s="22">
        <f>SUMIF(Table1[SubscriptionStart],"&lt;="&amp;A656,Table1[TotalRevenue])</f>
        <v>145928.9000000002</v>
      </c>
      <c r="I656" s="50">
        <f t="shared" si="41"/>
        <v>45230</v>
      </c>
      <c r="J656" s="49">
        <f t="shared" ca="1" si="42"/>
        <v>407</v>
      </c>
      <c r="K656" s="45" cm="1">
        <f t="array" aca="1" ref="K656" ca="1">SUMPRODUCT((Table1[SubscriptionStart] &lt;= $A656) * (Table1[EffectiveEndDate] &gt;= $A656) * (Table1[Region] = "England"))</f>
        <v>102</v>
      </c>
      <c r="L656" s="45" cm="1">
        <f t="array" aca="1" ref="L656" ca="1">SUMPRODUCT((Table1[SubscriptionStart] &lt;= $A656) * (Table1[EffectiveEndDate] &gt;= $A656) * (Table1[Region] = "Scotland"))</f>
        <v>90</v>
      </c>
      <c r="M656" s="45" cm="1">
        <f t="array" aca="1" ref="M656" ca="1">SUMPRODUCT((Table1[SubscriptionStart] &lt;= $A656) * (Table1[EffectiveEndDate] &gt;= $A656) * (Table1[Region] = "Wales"))</f>
        <v>115</v>
      </c>
      <c r="N656" s="45" cm="1">
        <f t="array" aca="1" ref="N656" ca="1">SUMPRODUCT((Table1[SubscriptionStart] &lt;= $A656) * (Table1[EffectiveEndDate] &gt;= $A656) * (Table1[Region] = "Northern Ireland"))</f>
        <v>100</v>
      </c>
      <c r="O656" s="45" cm="1">
        <f t="array" aca="1" ref="O656" ca="1">SUMPRODUCT((Table1[Gender]="Male")*(Table1[SubscriptionStart]&lt;=A656)*(Table1[EffectiveEndDate]&gt;=A656))</f>
        <v>206</v>
      </c>
      <c r="P656" s="45" cm="1">
        <f t="array" aca="1" ref="P656" ca="1">SUMPRODUCT((Table1[Gender]="Female")*(Table1[SubscriptionStart]&lt;=A656)*(Table1[EffectiveEndDate]&gt;=A656))</f>
        <v>201</v>
      </c>
    </row>
    <row r="657" spans="1:16">
      <c r="A657" s="48">
        <f t="shared" si="43"/>
        <v>45217</v>
      </c>
      <c r="B657" s="45" cm="1">
        <f t="array" aca="1" ref="B657" ca="1">SUMPRODUCT((Table1[SubscriptionStart]&lt;=A657)*(Table1[EffectiveEndDate]&gt;=A657))</f>
        <v>407</v>
      </c>
      <c r="C657" s="45">
        <f>COUNTIFS(Table1[SubscriptionStart], A657)</f>
        <v>1</v>
      </c>
      <c r="D657" s="45">
        <f>COUNTIFS(Table1[CancellationDate], A657)</f>
        <v>1</v>
      </c>
      <c r="E657" s="45">
        <f t="shared" si="40"/>
        <v>0</v>
      </c>
      <c r="F657" s="45">
        <f>SUM($C$2:C657)</f>
        <v>721</v>
      </c>
      <c r="G657" s="49" cm="1">
        <f t="array" aca="1" ref="G657" ca="1">IF(B657=0,"", SUMPRODUCT((Table1[SubscriptionStart]&lt;=A657)*(Table1[EffectiveEndDate]&gt;=A657)*Table1[Age]) / B657 )</f>
        <v>46.72235872235872</v>
      </c>
      <c r="H657" s="22">
        <f>SUMIF(Table1[SubscriptionStart],"&lt;="&amp;A657,Table1[TotalRevenue])</f>
        <v>145928.9000000002</v>
      </c>
      <c r="I657" s="50">
        <f t="shared" si="41"/>
        <v>45230</v>
      </c>
      <c r="J657" s="49">
        <f t="shared" ca="1" si="42"/>
        <v>407</v>
      </c>
      <c r="K657" s="45" cm="1">
        <f t="array" aca="1" ref="K657" ca="1">SUMPRODUCT((Table1[SubscriptionStart] &lt;= $A657) * (Table1[EffectiveEndDate] &gt;= $A657) * (Table1[Region] = "England"))</f>
        <v>103</v>
      </c>
      <c r="L657" s="45" cm="1">
        <f t="array" aca="1" ref="L657" ca="1">SUMPRODUCT((Table1[SubscriptionStart] &lt;= $A657) * (Table1[EffectiveEndDate] &gt;= $A657) * (Table1[Region] = "Scotland"))</f>
        <v>90</v>
      </c>
      <c r="M657" s="45" cm="1">
        <f t="array" aca="1" ref="M657" ca="1">SUMPRODUCT((Table1[SubscriptionStart] &lt;= $A657) * (Table1[EffectiveEndDate] &gt;= $A657) * (Table1[Region] = "Wales"))</f>
        <v>115</v>
      </c>
      <c r="N657" s="45" cm="1">
        <f t="array" aca="1" ref="N657" ca="1">SUMPRODUCT((Table1[SubscriptionStart] &lt;= $A657) * (Table1[EffectiveEndDate] &gt;= $A657) * (Table1[Region] = "Northern Ireland"))</f>
        <v>99</v>
      </c>
      <c r="O657" s="45" cm="1">
        <f t="array" aca="1" ref="O657" ca="1">SUMPRODUCT((Table1[Gender]="Male")*(Table1[SubscriptionStart]&lt;=A657)*(Table1[EffectiveEndDate]&gt;=A657))</f>
        <v>206</v>
      </c>
      <c r="P657" s="45" cm="1">
        <f t="array" aca="1" ref="P657" ca="1">SUMPRODUCT((Table1[Gender]="Female")*(Table1[SubscriptionStart]&lt;=A657)*(Table1[EffectiveEndDate]&gt;=A657))</f>
        <v>201</v>
      </c>
    </row>
    <row r="658" spans="1:16">
      <c r="A658" s="48">
        <f t="shared" si="43"/>
        <v>45218</v>
      </c>
      <c r="B658" s="45" cm="1">
        <f t="array" aca="1" ref="B658" ca="1">SUMPRODUCT((Table1[SubscriptionStart]&lt;=A658)*(Table1[EffectiveEndDate]&gt;=A658))</f>
        <v>407</v>
      </c>
      <c r="C658" s="45">
        <f>COUNTIFS(Table1[SubscriptionStart], A658)</f>
        <v>1</v>
      </c>
      <c r="D658" s="45">
        <f>COUNTIFS(Table1[CancellationDate], A658)</f>
        <v>1</v>
      </c>
      <c r="E658" s="45">
        <f t="shared" si="40"/>
        <v>0</v>
      </c>
      <c r="F658" s="45">
        <f>SUM($C$2:C658)</f>
        <v>722</v>
      </c>
      <c r="G658" s="49" cm="1">
        <f t="array" aca="1" ref="G658" ca="1">IF(B658=0,"", SUMPRODUCT((Table1[SubscriptionStart]&lt;=A658)*(Table1[EffectiveEndDate]&gt;=A658)*Table1[Age]) / B658 )</f>
        <v>46.766584766584764</v>
      </c>
      <c r="H658" s="22">
        <f>SUMIF(Table1[SubscriptionStart],"&lt;="&amp;A658,Table1[TotalRevenue])</f>
        <v>146108.9000000002</v>
      </c>
      <c r="I658" s="50">
        <f t="shared" si="41"/>
        <v>45230</v>
      </c>
      <c r="J658" s="49">
        <f t="shared" ca="1" si="42"/>
        <v>407</v>
      </c>
      <c r="K658" s="45" cm="1">
        <f t="array" aca="1" ref="K658" ca="1">SUMPRODUCT((Table1[SubscriptionStart] &lt;= $A658) * (Table1[EffectiveEndDate] &gt;= $A658) * (Table1[Region] = "England"))</f>
        <v>103</v>
      </c>
      <c r="L658" s="45" cm="1">
        <f t="array" aca="1" ref="L658" ca="1">SUMPRODUCT((Table1[SubscriptionStart] &lt;= $A658) * (Table1[EffectiveEndDate] &gt;= $A658) * (Table1[Region] = "Scotland"))</f>
        <v>89</v>
      </c>
      <c r="M658" s="45" cm="1">
        <f t="array" aca="1" ref="M658" ca="1">SUMPRODUCT((Table1[SubscriptionStart] &lt;= $A658) * (Table1[EffectiveEndDate] &gt;= $A658) * (Table1[Region] = "Wales"))</f>
        <v>115</v>
      </c>
      <c r="N658" s="45" cm="1">
        <f t="array" aca="1" ref="N658" ca="1">SUMPRODUCT((Table1[SubscriptionStart] &lt;= $A658) * (Table1[EffectiveEndDate] &gt;= $A658) * (Table1[Region] = "Northern Ireland"))</f>
        <v>100</v>
      </c>
      <c r="O658" s="45" cm="1">
        <f t="array" aca="1" ref="O658" ca="1">SUMPRODUCT((Table1[Gender]="Male")*(Table1[SubscriptionStart]&lt;=A658)*(Table1[EffectiveEndDate]&gt;=A658))</f>
        <v>206</v>
      </c>
      <c r="P658" s="45" cm="1">
        <f t="array" aca="1" ref="P658" ca="1">SUMPRODUCT((Table1[Gender]="Female")*(Table1[SubscriptionStart]&lt;=A658)*(Table1[EffectiveEndDate]&gt;=A658))</f>
        <v>201</v>
      </c>
    </row>
    <row r="659" spans="1:16">
      <c r="A659" s="48">
        <f t="shared" si="43"/>
        <v>45219</v>
      </c>
      <c r="B659" s="45" cm="1">
        <f t="array" aca="1" ref="B659" ca="1">SUMPRODUCT((Table1[SubscriptionStart]&lt;=A659)*(Table1[EffectiveEndDate]&gt;=A659))</f>
        <v>407</v>
      </c>
      <c r="C659" s="45">
        <f>COUNTIFS(Table1[SubscriptionStart], A659)</f>
        <v>1</v>
      </c>
      <c r="D659" s="45">
        <f>COUNTIFS(Table1[CancellationDate], A659)</f>
        <v>0</v>
      </c>
      <c r="E659" s="45">
        <f t="shared" si="40"/>
        <v>1</v>
      </c>
      <c r="F659" s="45">
        <f>SUM($C$2:C659)</f>
        <v>723</v>
      </c>
      <c r="G659" s="49" cm="1">
        <f t="array" aca="1" ref="G659" ca="1">IF(B659=0,"", SUMPRODUCT((Table1[SubscriptionStart]&lt;=A659)*(Table1[EffectiveEndDate]&gt;=A659)*Table1[Age]) / B659 )</f>
        <v>46.810810810810814</v>
      </c>
      <c r="H659" s="22">
        <f>SUMIF(Table1[SubscriptionStart],"&lt;="&amp;A659,Table1[TotalRevenue])</f>
        <v>146180.9000000002</v>
      </c>
      <c r="I659" s="50">
        <f t="shared" si="41"/>
        <v>45230</v>
      </c>
      <c r="J659" s="49">
        <f t="shared" ca="1" si="42"/>
        <v>407</v>
      </c>
      <c r="K659" s="45" cm="1">
        <f t="array" aca="1" ref="K659" ca="1">SUMPRODUCT((Table1[SubscriptionStart] &lt;= $A659) * (Table1[EffectiveEndDate] &gt;= $A659) * (Table1[Region] = "England"))</f>
        <v>103</v>
      </c>
      <c r="L659" s="45" cm="1">
        <f t="array" aca="1" ref="L659" ca="1">SUMPRODUCT((Table1[SubscriptionStart] &lt;= $A659) * (Table1[EffectiveEndDate] &gt;= $A659) * (Table1[Region] = "Scotland"))</f>
        <v>89</v>
      </c>
      <c r="M659" s="45" cm="1">
        <f t="array" aca="1" ref="M659" ca="1">SUMPRODUCT((Table1[SubscriptionStart] &lt;= $A659) * (Table1[EffectiveEndDate] &gt;= $A659) * (Table1[Region] = "Wales"))</f>
        <v>115</v>
      </c>
      <c r="N659" s="45" cm="1">
        <f t="array" aca="1" ref="N659" ca="1">SUMPRODUCT((Table1[SubscriptionStart] &lt;= $A659) * (Table1[EffectiveEndDate] &gt;= $A659) * (Table1[Region] = "Northern Ireland"))</f>
        <v>100</v>
      </c>
      <c r="O659" s="45" cm="1">
        <f t="array" aca="1" ref="O659" ca="1">SUMPRODUCT((Table1[Gender]="Male")*(Table1[SubscriptionStart]&lt;=A659)*(Table1[EffectiveEndDate]&gt;=A659))</f>
        <v>206</v>
      </c>
      <c r="P659" s="45" cm="1">
        <f t="array" aca="1" ref="P659" ca="1">SUMPRODUCT((Table1[Gender]="Female")*(Table1[SubscriptionStart]&lt;=A659)*(Table1[EffectiveEndDate]&gt;=A659))</f>
        <v>201</v>
      </c>
    </row>
    <row r="660" spans="1:16">
      <c r="A660" s="48">
        <f t="shared" si="43"/>
        <v>45220</v>
      </c>
      <c r="B660" s="45" cm="1">
        <f t="array" aca="1" ref="B660" ca="1">SUMPRODUCT((Table1[SubscriptionStart]&lt;=A660)*(Table1[EffectiveEndDate]&gt;=A660))</f>
        <v>408</v>
      </c>
      <c r="C660" s="45">
        <f>COUNTIFS(Table1[SubscriptionStart], A660)</f>
        <v>1</v>
      </c>
      <c r="D660" s="45">
        <f>COUNTIFS(Table1[CancellationDate], A660)</f>
        <v>0</v>
      </c>
      <c r="E660" s="45">
        <f t="shared" si="40"/>
        <v>1</v>
      </c>
      <c r="F660" s="45">
        <f>SUM($C$2:C660)</f>
        <v>724</v>
      </c>
      <c r="G660" s="49" cm="1">
        <f t="array" aca="1" ref="G660" ca="1">IF(B660=0,"", SUMPRODUCT((Table1[SubscriptionStart]&lt;=A660)*(Table1[EffectiveEndDate]&gt;=A660)*Table1[Age]) / B660 )</f>
        <v>46.879901960784316</v>
      </c>
      <c r="H660" s="22">
        <f>SUMIF(Table1[SubscriptionStart],"&lt;="&amp;A660,Table1[TotalRevenue])</f>
        <v>146360.9000000002</v>
      </c>
      <c r="I660" s="50">
        <f t="shared" si="41"/>
        <v>45230</v>
      </c>
      <c r="J660" s="49">
        <f t="shared" ca="1" si="42"/>
        <v>407</v>
      </c>
      <c r="K660" s="45" cm="1">
        <f t="array" aca="1" ref="K660" ca="1">SUMPRODUCT((Table1[SubscriptionStart] &lt;= $A660) * (Table1[EffectiveEndDate] &gt;= $A660) * (Table1[Region] = "England"))</f>
        <v>103</v>
      </c>
      <c r="L660" s="45" cm="1">
        <f t="array" aca="1" ref="L660" ca="1">SUMPRODUCT((Table1[SubscriptionStart] &lt;= $A660) * (Table1[EffectiveEndDate] &gt;= $A660) * (Table1[Region] = "Scotland"))</f>
        <v>89</v>
      </c>
      <c r="M660" s="45" cm="1">
        <f t="array" aca="1" ref="M660" ca="1">SUMPRODUCT((Table1[SubscriptionStart] &lt;= $A660) * (Table1[EffectiveEndDate] &gt;= $A660) * (Table1[Region] = "Wales"))</f>
        <v>116</v>
      </c>
      <c r="N660" s="45" cm="1">
        <f t="array" aca="1" ref="N660" ca="1">SUMPRODUCT((Table1[SubscriptionStart] &lt;= $A660) * (Table1[EffectiveEndDate] &gt;= $A660) * (Table1[Region] = "Northern Ireland"))</f>
        <v>100</v>
      </c>
      <c r="O660" s="45" cm="1">
        <f t="array" aca="1" ref="O660" ca="1">SUMPRODUCT((Table1[Gender]="Male")*(Table1[SubscriptionStart]&lt;=A660)*(Table1[EffectiveEndDate]&gt;=A660))</f>
        <v>207</v>
      </c>
      <c r="P660" s="45" cm="1">
        <f t="array" aca="1" ref="P660" ca="1">SUMPRODUCT((Table1[Gender]="Female")*(Table1[SubscriptionStart]&lt;=A660)*(Table1[EffectiveEndDate]&gt;=A660))</f>
        <v>201</v>
      </c>
    </row>
    <row r="661" spans="1:16">
      <c r="A661" s="48">
        <f t="shared" si="43"/>
        <v>45221</v>
      </c>
      <c r="B661" s="45" cm="1">
        <f t="array" aca="1" ref="B661" ca="1">SUMPRODUCT((Table1[SubscriptionStart]&lt;=A661)*(Table1[EffectiveEndDate]&gt;=A661))</f>
        <v>410</v>
      </c>
      <c r="C661" s="45">
        <f>COUNTIFS(Table1[SubscriptionStart], A661)</f>
        <v>2</v>
      </c>
      <c r="D661" s="45">
        <f>COUNTIFS(Table1[CancellationDate], A661)</f>
        <v>1</v>
      </c>
      <c r="E661" s="45">
        <f t="shared" si="40"/>
        <v>1</v>
      </c>
      <c r="F661" s="45">
        <f>SUM($C$2:C661)</f>
        <v>726</v>
      </c>
      <c r="G661" s="49" cm="1">
        <f t="array" aca="1" ref="G661" ca="1">IF(B661=0,"", SUMPRODUCT((Table1[SubscriptionStart]&lt;=A661)*(Table1[EffectiveEndDate]&gt;=A661)*Table1[Age]) / B661 )</f>
        <v>46.897560975609757</v>
      </c>
      <c r="H661" s="22">
        <f>SUMIF(Table1[SubscriptionStart],"&lt;="&amp;A661,Table1[TotalRevenue])</f>
        <v>146540.9000000002</v>
      </c>
      <c r="I661" s="50">
        <f t="shared" si="41"/>
        <v>45230</v>
      </c>
      <c r="J661" s="49">
        <f t="shared" ca="1" si="42"/>
        <v>407</v>
      </c>
      <c r="K661" s="45" cm="1">
        <f t="array" aca="1" ref="K661" ca="1">SUMPRODUCT((Table1[SubscriptionStart] &lt;= $A661) * (Table1[EffectiveEndDate] &gt;= $A661) * (Table1[Region] = "England"))</f>
        <v>103</v>
      </c>
      <c r="L661" s="45" cm="1">
        <f t="array" aca="1" ref="L661" ca="1">SUMPRODUCT((Table1[SubscriptionStart] &lt;= $A661) * (Table1[EffectiveEndDate] &gt;= $A661) * (Table1[Region] = "Scotland"))</f>
        <v>90</v>
      </c>
      <c r="M661" s="45" cm="1">
        <f t="array" aca="1" ref="M661" ca="1">SUMPRODUCT((Table1[SubscriptionStart] &lt;= $A661) * (Table1[EffectiveEndDate] &gt;= $A661) * (Table1[Region] = "Wales"))</f>
        <v>117</v>
      </c>
      <c r="N661" s="45" cm="1">
        <f t="array" aca="1" ref="N661" ca="1">SUMPRODUCT((Table1[SubscriptionStart] &lt;= $A661) * (Table1[EffectiveEndDate] &gt;= $A661) * (Table1[Region] = "Northern Ireland"))</f>
        <v>100</v>
      </c>
      <c r="O661" s="45" cm="1">
        <f t="array" aca="1" ref="O661" ca="1">SUMPRODUCT((Table1[Gender]="Male")*(Table1[SubscriptionStart]&lt;=A661)*(Table1[EffectiveEndDate]&gt;=A661))</f>
        <v>207</v>
      </c>
      <c r="P661" s="45" cm="1">
        <f t="array" aca="1" ref="P661" ca="1">SUMPRODUCT((Table1[Gender]="Female")*(Table1[SubscriptionStart]&lt;=A661)*(Table1[EffectiveEndDate]&gt;=A661))</f>
        <v>203</v>
      </c>
    </row>
    <row r="662" spans="1:16">
      <c r="A662" s="48">
        <f t="shared" si="43"/>
        <v>45222</v>
      </c>
      <c r="B662" s="45" cm="1">
        <f t="array" aca="1" ref="B662" ca="1">SUMPRODUCT((Table1[SubscriptionStart]&lt;=A662)*(Table1[EffectiveEndDate]&gt;=A662))</f>
        <v>412</v>
      </c>
      <c r="C662" s="45">
        <f>COUNTIFS(Table1[SubscriptionStart], A662)</f>
        <v>3</v>
      </c>
      <c r="D662" s="45">
        <f>COUNTIFS(Table1[CancellationDate], A662)</f>
        <v>0</v>
      </c>
      <c r="E662" s="45">
        <f t="shared" si="40"/>
        <v>3</v>
      </c>
      <c r="F662" s="45">
        <f>SUM($C$2:C662)</f>
        <v>729</v>
      </c>
      <c r="G662" s="49" cm="1">
        <f t="array" aca="1" ref="G662" ca="1">IF(B662=0,"", SUMPRODUCT((Table1[SubscriptionStart]&lt;=A662)*(Table1[EffectiveEndDate]&gt;=A662)*Table1[Age]) / B662 )</f>
        <v>46.936893203883493</v>
      </c>
      <c r="H662" s="22">
        <f>SUMIF(Table1[SubscriptionStart],"&lt;="&amp;A662,Table1[TotalRevenue])</f>
        <v>146742.5000000002</v>
      </c>
      <c r="I662" s="50">
        <f t="shared" si="41"/>
        <v>45230</v>
      </c>
      <c r="J662" s="49">
        <f t="shared" ca="1" si="42"/>
        <v>407</v>
      </c>
      <c r="K662" s="45" cm="1">
        <f t="array" aca="1" ref="K662" ca="1">SUMPRODUCT((Table1[SubscriptionStart] &lt;= $A662) * (Table1[EffectiveEndDate] &gt;= $A662) * (Table1[Region] = "England"))</f>
        <v>105</v>
      </c>
      <c r="L662" s="45" cm="1">
        <f t="array" aca="1" ref="L662" ca="1">SUMPRODUCT((Table1[SubscriptionStart] &lt;= $A662) * (Table1[EffectiveEndDate] &gt;= $A662) * (Table1[Region] = "Scotland"))</f>
        <v>90</v>
      </c>
      <c r="M662" s="45" cm="1">
        <f t="array" aca="1" ref="M662" ca="1">SUMPRODUCT((Table1[SubscriptionStart] &lt;= $A662) * (Table1[EffectiveEndDate] &gt;= $A662) * (Table1[Region] = "Wales"))</f>
        <v>118</v>
      </c>
      <c r="N662" s="45" cm="1">
        <f t="array" aca="1" ref="N662" ca="1">SUMPRODUCT((Table1[SubscriptionStart] &lt;= $A662) * (Table1[EffectiveEndDate] &gt;= $A662) * (Table1[Region] = "Northern Ireland"))</f>
        <v>99</v>
      </c>
      <c r="O662" s="45" cm="1">
        <f t="array" aca="1" ref="O662" ca="1">SUMPRODUCT((Table1[Gender]="Male")*(Table1[SubscriptionStart]&lt;=A662)*(Table1[EffectiveEndDate]&gt;=A662))</f>
        <v>210</v>
      </c>
      <c r="P662" s="45" cm="1">
        <f t="array" aca="1" ref="P662" ca="1">SUMPRODUCT((Table1[Gender]="Female")*(Table1[SubscriptionStart]&lt;=A662)*(Table1[EffectiveEndDate]&gt;=A662))</f>
        <v>202</v>
      </c>
    </row>
    <row r="663" spans="1:16">
      <c r="A663" s="48">
        <f t="shared" si="43"/>
        <v>45223</v>
      </c>
      <c r="B663" s="45" cm="1">
        <f t="array" aca="1" ref="B663" ca="1">SUMPRODUCT((Table1[SubscriptionStart]&lt;=A663)*(Table1[EffectiveEndDate]&gt;=A663))</f>
        <v>412</v>
      </c>
      <c r="C663" s="45">
        <f>COUNTIFS(Table1[SubscriptionStart], A663)</f>
        <v>0</v>
      </c>
      <c r="D663" s="45">
        <f>COUNTIFS(Table1[CancellationDate], A663)</f>
        <v>1</v>
      </c>
      <c r="E663" s="45">
        <f t="shared" si="40"/>
        <v>-1</v>
      </c>
      <c r="F663" s="45">
        <f>SUM($C$2:C663)</f>
        <v>729</v>
      </c>
      <c r="G663" s="49" cm="1">
        <f t="array" aca="1" ref="G663" ca="1">IF(B663=0,"", SUMPRODUCT((Table1[SubscriptionStart]&lt;=A663)*(Table1[EffectiveEndDate]&gt;=A663)*Table1[Age]) / B663 )</f>
        <v>46.936893203883493</v>
      </c>
      <c r="H663" s="22">
        <f>SUMIF(Table1[SubscriptionStart],"&lt;="&amp;A663,Table1[TotalRevenue])</f>
        <v>146742.5000000002</v>
      </c>
      <c r="I663" s="50">
        <f t="shared" si="41"/>
        <v>45230</v>
      </c>
      <c r="J663" s="49">
        <f t="shared" ca="1" si="42"/>
        <v>407</v>
      </c>
      <c r="K663" s="45" cm="1">
        <f t="array" aca="1" ref="K663" ca="1">SUMPRODUCT((Table1[SubscriptionStart] &lt;= $A663) * (Table1[EffectiveEndDate] &gt;= $A663) * (Table1[Region] = "England"))</f>
        <v>105</v>
      </c>
      <c r="L663" s="45" cm="1">
        <f t="array" aca="1" ref="L663" ca="1">SUMPRODUCT((Table1[SubscriptionStart] &lt;= $A663) * (Table1[EffectiveEndDate] &gt;= $A663) * (Table1[Region] = "Scotland"))</f>
        <v>90</v>
      </c>
      <c r="M663" s="45" cm="1">
        <f t="array" aca="1" ref="M663" ca="1">SUMPRODUCT((Table1[SubscriptionStart] &lt;= $A663) * (Table1[EffectiveEndDate] &gt;= $A663) * (Table1[Region] = "Wales"))</f>
        <v>118</v>
      </c>
      <c r="N663" s="45" cm="1">
        <f t="array" aca="1" ref="N663" ca="1">SUMPRODUCT((Table1[SubscriptionStart] &lt;= $A663) * (Table1[EffectiveEndDate] &gt;= $A663) * (Table1[Region] = "Northern Ireland"))</f>
        <v>99</v>
      </c>
      <c r="O663" s="45" cm="1">
        <f t="array" aca="1" ref="O663" ca="1">SUMPRODUCT((Table1[Gender]="Male")*(Table1[SubscriptionStart]&lt;=A663)*(Table1[EffectiveEndDate]&gt;=A663))</f>
        <v>210</v>
      </c>
      <c r="P663" s="45" cm="1">
        <f t="array" aca="1" ref="P663" ca="1">SUMPRODUCT((Table1[Gender]="Female")*(Table1[SubscriptionStart]&lt;=A663)*(Table1[EffectiveEndDate]&gt;=A663))</f>
        <v>202</v>
      </c>
    </row>
    <row r="664" spans="1:16">
      <c r="A664" s="48">
        <f t="shared" si="43"/>
        <v>45224</v>
      </c>
      <c r="B664" s="45" cm="1">
        <f t="array" aca="1" ref="B664" ca="1">SUMPRODUCT((Table1[SubscriptionStart]&lt;=A664)*(Table1[EffectiveEndDate]&gt;=A664))</f>
        <v>411</v>
      </c>
      <c r="C664" s="45">
        <f>COUNTIFS(Table1[SubscriptionStart], A664)</f>
        <v>0</v>
      </c>
      <c r="D664" s="45">
        <f>COUNTIFS(Table1[CancellationDate], A664)</f>
        <v>1</v>
      </c>
      <c r="E664" s="45">
        <f t="shared" si="40"/>
        <v>-1</v>
      </c>
      <c r="F664" s="45">
        <f>SUM($C$2:C664)</f>
        <v>729</v>
      </c>
      <c r="G664" s="49" cm="1">
        <f t="array" aca="1" ref="G664" ca="1">IF(B664=0,"", SUMPRODUCT((Table1[SubscriptionStart]&lt;=A664)*(Table1[EffectiveEndDate]&gt;=A664)*Table1[Age]) / B664 )</f>
        <v>46.978102189781019</v>
      </c>
      <c r="H664" s="22">
        <f>SUMIF(Table1[SubscriptionStart],"&lt;="&amp;A664,Table1[TotalRevenue])</f>
        <v>146742.5000000002</v>
      </c>
      <c r="I664" s="50">
        <f t="shared" si="41"/>
        <v>45230</v>
      </c>
      <c r="J664" s="49">
        <f t="shared" ca="1" si="42"/>
        <v>407</v>
      </c>
      <c r="K664" s="45" cm="1">
        <f t="array" aca="1" ref="K664" ca="1">SUMPRODUCT((Table1[SubscriptionStart] &lt;= $A664) * (Table1[EffectiveEndDate] &gt;= $A664) * (Table1[Region] = "England"))</f>
        <v>104</v>
      </c>
      <c r="L664" s="45" cm="1">
        <f t="array" aca="1" ref="L664" ca="1">SUMPRODUCT((Table1[SubscriptionStart] &lt;= $A664) * (Table1[EffectiveEndDate] &gt;= $A664) * (Table1[Region] = "Scotland"))</f>
        <v>90</v>
      </c>
      <c r="M664" s="45" cm="1">
        <f t="array" aca="1" ref="M664" ca="1">SUMPRODUCT((Table1[SubscriptionStart] &lt;= $A664) * (Table1[EffectiveEndDate] &gt;= $A664) * (Table1[Region] = "Wales"))</f>
        <v>118</v>
      </c>
      <c r="N664" s="45" cm="1">
        <f t="array" aca="1" ref="N664" ca="1">SUMPRODUCT((Table1[SubscriptionStart] &lt;= $A664) * (Table1[EffectiveEndDate] &gt;= $A664) * (Table1[Region] = "Northern Ireland"))</f>
        <v>99</v>
      </c>
      <c r="O664" s="45" cm="1">
        <f t="array" aca="1" ref="O664" ca="1">SUMPRODUCT((Table1[Gender]="Male")*(Table1[SubscriptionStart]&lt;=A664)*(Table1[EffectiveEndDate]&gt;=A664))</f>
        <v>210</v>
      </c>
      <c r="P664" s="45" cm="1">
        <f t="array" aca="1" ref="P664" ca="1">SUMPRODUCT((Table1[Gender]="Female")*(Table1[SubscriptionStart]&lt;=A664)*(Table1[EffectiveEndDate]&gt;=A664))</f>
        <v>201</v>
      </c>
    </row>
    <row r="665" spans="1:16">
      <c r="A665" s="48">
        <f t="shared" si="43"/>
        <v>45225</v>
      </c>
      <c r="B665" s="45" cm="1">
        <f t="array" aca="1" ref="B665" ca="1">SUMPRODUCT((Table1[SubscriptionStart]&lt;=A665)*(Table1[EffectiveEndDate]&gt;=A665))</f>
        <v>411</v>
      </c>
      <c r="C665" s="45">
        <f>COUNTIFS(Table1[SubscriptionStart], A665)</f>
        <v>1</v>
      </c>
      <c r="D665" s="45">
        <f>COUNTIFS(Table1[CancellationDate], A665)</f>
        <v>0</v>
      </c>
      <c r="E665" s="45">
        <f t="shared" si="40"/>
        <v>1</v>
      </c>
      <c r="F665" s="45">
        <f>SUM($C$2:C665)</f>
        <v>730</v>
      </c>
      <c r="G665" s="49" cm="1">
        <f t="array" aca="1" ref="G665" ca="1">IF(B665=0,"", SUMPRODUCT((Table1[SubscriptionStart]&lt;=A665)*(Table1[EffectiveEndDate]&gt;=A665)*Table1[Age]) / B665 )</f>
        <v>46.907542579075425</v>
      </c>
      <c r="H665" s="22">
        <f>SUMIF(Table1[SubscriptionStart],"&lt;="&amp;A665,Table1[TotalRevenue])</f>
        <v>146815.4000000002</v>
      </c>
      <c r="I665" s="50">
        <f t="shared" si="41"/>
        <v>45230</v>
      </c>
      <c r="J665" s="49">
        <f t="shared" ca="1" si="42"/>
        <v>407</v>
      </c>
      <c r="K665" s="45" cm="1">
        <f t="array" aca="1" ref="K665" ca="1">SUMPRODUCT((Table1[SubscriptionStart] &lt;= $A665) * (Table1[EffectiveEndDate] &gt;= $A665) * (Table1[Region] = "England"))</f>
        <v>103</v>
      </c>
      <c r="L665" s="45" cm="1">
        <f t="array" aca="1" ref="L665" ca="1">SUMPRODUCT((Table1[SubscriptionStart] &lt;= $A665) * (Table1[EffectiveEndDate] &gt;= $A665) * (Table1[Region] = "Scotland"))</f>
        <v>90</v>
      </c>
      <c r="M665" s="45" cm="1">
        <f t="array" aca="1" ref="M665" ca="1">SUMPRODUCT((Table1[SubscriptionStart] &lt;= $A665) * (Table1[EffectiveEndDate] &gt;= $A665) * (Table1[Region] = "Wales"))</f>
        <v>119</v>
      </c>
      <c r="N665" s="45" cm="1">
        <f t="array" aca="1" ref="N665" ca="1">SUMPRODUCT((Table1[SubscriptionStart] &lt;= $A665) * (Table1[EffectiveEndDate] &gt;= $A665) * (Table1[Region] = "Northern Ireland"))</f>
        <v>99</v>
      </c>
      <c r="O665" s="45" cm="1">
        <f t="array" aca="1" ref="O665" ca="1">SUMPRODUCT((Table1[Gender]="Male")*(Table1[SubscriptionStart]&lt;=A665)*(Table1[EffectiveEndDate]&gt;=A665))</f>
        <v>210</v>
      </c>
      <c r="P665" s="45" cm="1">
        <f t="array" aca="1" ref="P665" ca="1">SUMPRODUCT((Table1[Gender]="Female")*(Table1[SubscriptionStart]&lt;=A665)*(Table1[EffectiveEndDate]&gt;=A665))</f>
        <v>201</v>
      </c>
    </row>
    <row r="666" spans="1:16">
      <c r="A666" s="48">
        <f t="shared" si="43"/>
        <v>45226</v>
      </c>
      <c r="B666" s="45" cm="1">
        <f t="array" aca="1" ref="B666" ca="1">SUMPRODUCT((Table1[SubscriptionStart]&lt;=A666)*(Table1[EffectiveEndDate]&gt;=A666))</f>
        <v>414</v>
      </c>
      <c r="C666" s="45">
        <f>COUNTIFS(Table1[SubscriptionStart], A666)</f>
        <v>3</v>
      </c>
      <c r="D666" s="45">
        <f>COUNTIFS(Table1[CancellationDate], A666)</f>
        <v>2</v>
      </c>
      <c r="E666" s="45">
        <f t="shared" si="40"/>
        <v>1</v>
      </c>
      <c r="F666" s="45">
        <f>SUM($C$2:C666)</f>
        <v>733</v>
      </c>
      <c r="G666" s="49" cm="1">
        <f t="array" aca="1" ref="G666" ca="1">IF(B666=0,"", SUMPRODUCT((Table1[SubscriptionStart]&lt;=A666)*(Table1[EffectiveEndDate]&gt;=A666)*Table1[Age]) / B666 )</f>
        <v>46.915458937198068</v>
      </c>
      <c r="H666" s="22">
        <f>SUMIF(Table1[SubscriptionStart],"&lt;="&amp;A666,Table1[TotalRevenue])</f>
        <v>147290.60000000021</v>
      </c>
      <c r="I666" s="50">
        <f t="shared" si="41"/>
        <v>45230</v>
      </c>
      <c r="J666" s="49">
        <f t="shared" ca="1" si="42"/>
        <v>407</v>
      </c>
      <c r="K666" s="45" cm="1">
        <f t="array" aca="1" ref="K666" ca="1">SUMPRODUCT((Table1[SubscriptionStart] &lt;= $A666) * (Table1[EffectiveEndDate] &gt;= $A666) * (Table1[Region] = "England"))</f>
        <v>104</v>
      </c>
      <c r="L666" s="45" cm="1">
        <f t="array" aca="1" ref="L666" ca="1">SUMPRODUCT((Table1[SubscriptionStart] &lt;= $A666) * (Table1[EffectiveEndDate] &gt;= $A666) * (Table1[Region] = "Scotland"))</f>
        <v>91</v>
      </c>
      <c r="M666" s="45" cm="1">
        <f t="array" aca="1" ref="M666" ca="1">SUMPRODUCT((Table1[SubscriptionStart] &lt;= $A666) * (Table1[EffectiveEndDate] &gt;= $A666) * (Table1[Region] = "Wales"))</f>
        <v>120</v>
      </c>
      <c r="N666" s="45" cm="1">
        <f t="array" aca="1" ref="N666" ca="1">SUMPRODUCT((Table1[SubscriptionStart] &lt;= $A666) * (Table1[EffectiveEndDate] &gt;= $A666) * (Table1[Region] = "Northern Ireland"))</f>
        <v>99</v>
      </c>
      <c r="O666" s="45" cm="1">
        <f t="array" aca="1" ref="O666" ca="1">SUMPRODUCT((Table1[Gender]="Male")*(Table1[SubscriptionStart]&lt;=A666)*(Table1[EffectiveEndDate]&gt;=A666))</f>
        <v>210</v>
      </c>
      <c r="P666" s="45" cm="1">
        <f t="array" aca="1" ref="P666" ca="1">SUMPRODUCT((Table1[Gender]="Female")*(Table1[SubscriptionStart]&lt;=A666)*(Table1[EffectiveEndDate]&gt;=A666))</f>
        <v>204</v>
      </c>
    </row>
    <row r="667" spans="1:16">
      <c r="A667" s="48">
        <f t="shared" si="43"/>
        <v>45227</v>
      </c>
      <c r="B667" s="45" cm="1">
        <f t="array" aca="1" ref="B667" ca="1">SUMPRODUCT((Table1[SubscriptionStart]&lt;=A667)*(Table1[EffectiveEndDate]&gt;=A667))</f>
        <v>413</v>
      </c>
      <c r="C667" s="45">
        <f>COUNTIFS(Table1[SubscriptionStart], A667)</f>
        <v>1</v>
      </c>
      <c r="D667" s="45">
        <f>COUNTIFS(Table1[CancellationDate], A667)</f>
        <v>1</v>
      </c>
      <c r="E667" s="45">
        <f t="shared" si="40"/>
        <v>0</v>
      </c>
      <c r="F667" s="45">
        <f>SUM($C$2:C667)</f>
        <v>734</v>
      </c>
      <c r="G667" s="49" cm="1">
        <f t="array" aca="1" ref="G667" ca="1">IF(B667=0,"", SUMPRODUCT((Table1[SubscriptionStart]&lt;=A667)*(Table1[EffectiveEndDate]&gt;=A667)*Table1[Age]) / B667 )</f>
        <v>47.009685230024211</v>
      </c>
      <c r="H667" s="22">
        <f>SUMIF(Table1[SubscriptionStart],"&lt;="&amp;A667,Table1[TotalRevenue])</f>
        <v>147290.60000000021</v>
      </c>
      <c r="I667" s="50">
        <f t="shared" si="41"/>
        <v>45230</v>
      </c>
      <c r="J667" s="49">
        <f t="shared" ca="1" si="42"/>
        <v>407</v>
      </c>
      <c r="K667" s="45" cm="1">
        <f t="array" aca="1" ref="K667" ca="1">SUMPRODUCT((Table1[SubscriptionStart] &lt;= $A667) * (Table1[EffectiveEndDate] &gt;= $A667) * (Table1[Region] = "England"))</f>
        <v>103</v>
      </c>
      <c r="L667" s="45" cm="1">
        <f t="array" aca="1" ref="L667" ca="1">SUMPRODUCT((Table1[SubscriptionStart] &lt;= $A667) * (Table1[EffectiveEndDate] &gt;= $A667) * (Table1[Region] = "Scotland"))</f>
        <v>91</v>
      </c>
      <c r="M667" s="45" cm="1">
        <f t="array" aca="1" ref="M667" ca="1">SUMPRODUCT((Table1[SubscriptionStart] &lt;= $A667) * (Table1[EffectiveEndDate] &gt;= $A667) * (Table1[Region] = "Wales"))</f>
        <v>120</v>
      </c>
      <c r="N667" s="45" cm="1">
        <f t="array" aca="1" ref="N667" ca="1">SUMPRODUCT((Table1[SubscriptionStart] &lt;= $A667) * (Table1[EffectiveEndDate] &gt;= $A667) * (Table1[Region] = "Northern Ireland"))</f>
        <v>99</v>
      </c>
      <c r="O667" s="45" cm="1">
        <f t="array" aca="1" ref="O667" ca="1">SUMPRODUCT((Table1[Gender]="Male")*(Table1[SubscriptionStart]&lt;=A667)*(Table1[EffectiveEndDate]&gt;=A667))</f>
        <v>210</v>
      </c>
      <c r="P667" s="45" cm="1">
        <f t="array" aca="1" ref="P667" ca="1">SUMPRODUCT((Table1[Gender]="Female")*(Table1[SubscriptionStart]&lt;=A667)*(Table1[EffectiveEndDate]&gt;=A667))</f>
        <v>203</v>
      </c>
    </row>
    <row r="668" spans="1:16">
      <c r="A668" s="48">
        <f t="shared" si="43"/>
        <v>45228</v>
      </c>
      <c r="B668" s="45" cm="1">
        <f t="array" aca="1" ref="B668" ca="1">SUMPRODUCT((Table1[SubscriptionStart]&lt;=A668)*(Table1[EffectiveEndDate]&gt;=A668))</f>
        <v>414</v>
      </c>
      <c r="C668" s="45">
        <f>COUNTIFS(Table1[SubscriptionStart], A668)</f>
        <v>2</v>
      </c>
      <c r="D668" s="45">
        <f>COUNTIFS(Table1[CancellationDate], A668)</f>
        <v>0</v>
      </c>
      <c r="E668" s="45">
        <f t="shared" si="40"/>
        <v>2</v>
      </c>
      <c r="F668" s="45">
        <f>SUM($C$2:C668)</f>
        <v>736</v>
      </c>
      <c r="G668" s="49" cm="1">
        <f t="array" aca="1" ref="G668" ca="1">IF(B668=0,"", SUMPRODUCT((Table1[SubscriptionStart]&lt;=A668)*(Table1[EffectiveEndDate]&gt;=A668)*Table1[Age]) / B668 )</f>
        <v>47.137681159420289</v>
      </c>
      <c r="H668" s="22">
        <f>SUMIF(Table1[SubscriptionStart],"&lt;="&amp;A668,Table1[TotalRevenue])</f>
        <v>148050.60000000021</v>
      </c>
      <c r="I668" s="50">
        <f t="shared" si="41"/>
        <v>45230</v>
      </c>
      <c r="J668" s="49">
        <f t="shared" ca="1" si="42"/>
        <v>407</v>
      </c>
      <c r="K668" s="45" cm="1">
        <f t="array" aca="1" ref="K668" ca="1">SUMPRODUCT((Table1[SubscriptionStart] &lt;= $A668) * (Table1[EffectiveEndDate] &gt;= $A668) * (Table1[Region] = "England"))</f>
        <v>103</v>
      </c>
      <c r="L668" s="45" cm="1">
        <f t="array" aca="1" ref="L668" ca="1">SUMPRODUCT((Table1[SubscriptionStart] &lt;= $A668) * (Table1[EffectiveEndDate] &gt;= $A668) * (Table1[Region] = "Scotland"))</f>
        <v>92</v>
      </c>
      <c r="M668" s="45" cm="1">
        <f t="array" aca="1" ref="M668" ca="1">SUMPRODUCT((Table1[SubscriptionStart] &lt;= $A668) * (Table1[EffectiveEndDate] &gt;= $A668) * (Table1[Region] = "Wales"))</f>
        <v>119</v>
      </c>
      <c r="N668" s="45" cm="1">
        <f t="array" aca="1" ref="N668" ca="1">SUMPRODUCT((Table1[SubscriptionStart] &lt;= $A668) * (Table1[EffectiveEndDate] &gt;= $A668) * (Table1[Region] = "Northern Ireland"))</f>
        <v>100</v>
      </c>
      <c r="O668" s="45" cm="1">
        <f t="array" aca="1" ref="O668" ca="1">SUMPRODUCT((Table1[Gender]="Male")*(Table1[SubscriptionStart]&lt;=A668)*(Table1[EffectiveEndDate]&gt;=A668))</f>
        <v>210</v>
      </c>
      <c r="P668" s="45" cm="1">
        <f t="array" aca="1" ref="P668" ca="1">SUMPRODUCT((Table1[Gender]="Female")*(Table1[SubscriptionStart]&lt;=A668)*(Table1[EffectiveEndDate]&gt;=A668))</f>
        <v>204</v>
      </c>
    </row>
    <row r="669" spans="1:16">
      <c r="A669" s="48">
        <f t="shared" si="43"/>
        <v>45229</v>
      </c>
      <c r="B669" s="45" cm="1">
        <f t="array" aca="1" ref="B669" ca="1">SUMPRODUCT((Table1[SubscriptionStart]&lt;=A669)*(Table1[EffectiveEndDate]&gt;=A669))</f>
        <v>417</v>
      </c>
      <c r="C669" s="45">
        <f>COUNTIFS(Table1[SubscriptionStart], A669)</f>
        <v>3</v>
      </c>
      <c r="D669" s="45">
        <f>COUNTIFS(Table1[CancellationDate], A669)</f>
        <v>1</v>
      </c>
      <c r="E669" s="45">
        <f t="shared" si="40"/>
        <v>2</v>
      </c>
      <c r="F669" s="45">
        <f>SUM($C$2:C669)</f>
        <v>739</v>
      </c>
      <c r="G669" s="49" cm="1">
        <f t="array" aca="1" ref="G669" ca="1">IF(B669=0,"", SUMPRODUCT((Table1[SubscriptionStart]&lt;=A669)*(Table1[EffectiveEndDate]&gt;=A669)*Table1[Age]) / B669 )</f>
        <v>47.172661870503596</v>
      </c>
      <c r="H669" s="22">
        <f>SUMIF(Table1[SubscriptionStart],"&lt;="&amp;A669,Table1[TotalRevenue])</f>
        <v>148395.10000000021</v>
      </c>
      <c r="I669" s="50">
        <f t="shared" si="41"/>
        <v>45230</v>
      </c>
      <c r="J669" s="49">
        <f t="shared" ca="1" si="42"/>
        <v>407</v>
      </c>
      <c r="K669" s="45" cm="1">
        <f t="array" aca="1" ref="K669" ca="1">SUMPRODUCT((Table1[SubscriptionStart] &lt;= $A669) * (Table1[EffectiveEndDate] &gt;= $A669) * (Table1[Region] = "England"))</f>
        <v>105</v>
      </c>
      <c r="L669" s="45" cm="1">
        <f t="array" aca="1" ref="L669" ca="1">SUMPRODUCT((Table1[SubscriptionStart] &lt;= $A669) * (Table1[EffectiveEndDate] &gt;= $A669) * (Table1[Region] = "Scotland"))</f>
        <v>92</v>
      </c>
      <c r="M669" s="45" cm="1">
        <f t="array" aca="1" ref="M669" ca="1">SUMPRODUCT((Table1[SubscriptionStart] &lt;= $A669) * (Table1[EffectiveEndDate] &gt;= $A669) * (Table1[Region] = "Wales"))</f>
        <v>119</v>
      </c>
      <c r="N669" s="45" cm="1">
        <f t="array" aca="1" ref="N669" ca="1">SUMPRODUCT((Table1[SubscriptionStart] &lt;= $A669) * (Table1[EffectiveEndDate] &gt;= $A669) * (Table1[Region] = "Northern Ireland"))</f>
        <v>101</v>
      </c>
      <c r="O669" s="45" cm="1">
        <f t="array" aca="1" ref="O669" ca="1">SUMPRODUCT((Table1[Gender]="Male")*(Table1[SubscriptionStart]&lt;=A669)*(Table1[EffectiveEndDate]&gt;=A669))</f>
        <v>210</v>
      </c>
      <c r="P669" s="45" cm="1">
        <f t="array" aca="1" ref="P669" ca="1">SUMPRODUCT((Table1[Gender]="Female")*(Table1[SubscriptionStart]&lt;=A669)*(Table1[EffectiveEndDate]&gt;=A669))</f>
        <v>207</v>
      </c>
    </row>
    <row r="670" spans="1:16">
      <c r="A670" s="48">
        <f t="shared" si="43"/>
        <v>45230</v>
      </c>
      <c r="B670" s="45" cm="1">
        <f t="array" aca="1" ref="B670" ca="1">SUMPRODUCT((Table1[SubscriptionStart]&lt;=A670)*(Table1[EffectiveEndDate]&gt;=A670))</f>
        <v>418</v>
      </c>
      <c r="C670" s="45">
        <f>COUNTIFS(Table1[SubscriptionStart], A670)</f>
        <v>2</v>
      </c>
      <c r="D670" s="45">
        <f>COUNTIFS(Table1[CancellationDate], A670)</f>
        <v>1</v>
      </c>
      <c r="E670" s="45">
        <f t="shared" si="40"/>
        <v>1</v>
      </c>
      <c r="F670" s="45">
        <f>SUM($C$2:C670)</f>
        <v>741</v>
      </c>
      <c r="G670" s="49" cm="1">
        <f t="array" aca="1" ref="G670" ca="1">IF(B670=0,"", SUMPRODUCT((Table1[SubscriptionStart]&lt;=A670)*(Table1[EffectiveEndDate]&gt;=A670)*Table1[Age]) / B670 )</f>
        <v>47.155502392344495</v>
      </c>
      <c r="H670" s="22">
        <f>SUMIF(Table1[SubscriptionStart],"&lt;="&amp;A670,Table1[TotalRevenue])</f>
        <v>148524.70000000022</v>
      </c>
      <c r="I670" s="50">
        <f t="shared" si="41"/>
        <v>45230</v>
      </c>
      <c r="J670" s="49">
        <f t="shared" ca="1" si="42"/>
        <v>407</v>
      </c>
      <c r="K670" s="45" cm="1">
        <f t="array" aca="1" ref="K670" ca="1">SUMPRODUCT((Table1[SubscriptionStart] &lt;= $A670) * (Table1[EffectiveEndDate] &gt;= $A670) * (Table1[Region] = "England"))</f>
        <v>105</v>
      </c>
      <c r="L670" s="45" cm="1">
        <f t="array" aca="1" ref="L670" ca="1">SUMPRODUCT((Table1[SubscriptionStart] &lt;= $A670) * (Table1[EffectiveEndDate] &gt;= $A670) * (Table1[Region] = "Scotland"))</f>
        <v>93</v>
      </c>
      <c r="M670" s="45" cm="1">
        <f t="array" aca="1" ref="M670" ca="1">SUMPRODUCT((Table1[SubscriptionStart] &lt;= $A670) * (Table1[EffectiveEndDate] &gt;= $A670) * (Table1[Region] = "Wales"))</f>
        <v>119</v>
      </c>
      <c r="N670" s="45" cm="1">
        <f t="array" aca="1" ref="N670" ca="1">SUMPRODUCT((Table1[SubscriptionStart] &lt;= $A670) * (Table1[EffectiveEndDate] &gt;= $A670) * (Table1[Region] = "Northern Ireland"))</f>
        <v>101</v>
      </c>
      <c r="O670" s="45" cm="1">
        <f t="array" aca="1" ref="O670" ca="1">SUMPRODUCT((Table1[Gender]="Male")*(Table1[SubscriptionStart]&lt;=A670)*(Table1[EffectiveEndDate]&gt;=A670))</f>
        <v>212</v>
      </c>
      <c r="P670" s="45" cm="1">
        <f t="array" aca="1" ref="P670" ca="1">SUMPRODUCT((Table1[Gender]="Female")*(Table1[SubscriptionStart]&lt;=A670)*(Table1[EffectiveEndDate]&gt;=A670))</f>
        <v>206</v>
      </c>
    </row>
    <row r="671" spans="1:16">
      <c r="A671" s="48">
        <f t="shared" si="43"/>
        <v>45231</v>
      </c>
      <c r="B671" s="45" cm="1">
        <f t="array" aca="1" ref="B671" ca="1">SUMPRODUCT((Table1[SubscriptionStart]&lt;=A671)*(Table1[EffectiveEndDate]&gt;=A671))</f>
        <v>418</v>
      </c>
      <c r="C671" s="45">
        <f>COUNTIFS(Table1[SubscriptionStart], A671)</f>
        <v>1</v>
      </c>
      <c r="D671" s="45">
        <f>COUNTIFS(Table1[CancellationDate], A671)</f>
        <v>0</v>
      </c>
      <c r="E671" s="45">
        <f t="shared" si="40"/>
        <v>1</v>
      </c>
      <c r="F671" s="45">
        <f>SUM($C$2:C671)</f>
        <v>742</v>
      </c>
      <c r="G671" s="49" cm="1">
        <f t="array" aca="1" ref="G671" ca="1">IF(B671=0,"", SUMPRODUCT((Table1[SubscriptionStart]&lt;=A671)*(Table1[EffectiveEndDate]&gt;=A671)*Table1[Age]) / B671 )</f>
        <v>47.200956937799042</v>
      </c>
      <c r="H671" s="22">
        <f>SUMIF(Table1[SubscriptionStart],"&lt;="&amp;A671,Table1[TotalRevenue])</f>
        <v>148524.70000000022</v>
      </c>
      <c r="I671" s="50">
        <f t="shared" si="41"/>
        <v>45260</v>
      </c>
      <c r="J671" s="49">
        <f t="shared" ca="1" si="42"/>
        <v>415.96666666666664</v>
      </c>
      <c r="K671" s="45" cm="1">
        <f t="array" aca="1" ref="K671" ca="1">SUMPRODUCT((Table1[SubscriptionStart] &lt;= $A671) * (Table1[EffectiveEndDate] &gt;= $A671) * (Table1[Region] = "England"))</f>
        <v>104</v>
      </c>
      <c r="L671" s="45" cm="1">
        <f t="array" aca="1" ref="L671" ca="1">SUMPRODUCT((Table1[SubscriptionStart] &lt;= $A671) * (Table1[EffectiveEndDate] &gt;= $A671) * (Table1[Region] = "Scotland"))</f>
        <v>93</v>
      </c>
      <c r="M671" s="45" cm="1">
        <f t="array" aca="1" ref="M671" ca="1">SUMPRODUCT((Table1[SubscriptionStart] &lt;= $A671) * (Table1[EffectiveEndDate] &gt;= $A671) * (Table1[Region] = "Wales"))</f>
        <v>120</v>
      </c>
      <c r="N671" s="45" cm="1">
        <f t="array" aca="1" ref="N671" ca="1">SUMPRODUCT((Table1[SubscriptionStart] &lt;= $A671) * (Table1[EffectiveEndDate] &gt;= $A671) * (Table1[Region] = "Northern Ireland"))</f>
        <v>101</v>
      </c>
      <c r="O671" s="45" cm="1">
        <f t="array" aca="1" ref="O671" ca="1">SUMPRODUCT((Table1[Gender]="Male")*(Table1[SubscriptionStart]&lt;=A671)*(Table1[EffectiveEndDate]&gt;=A671))</f>
        <v>211</v>
      </c>
      <c r="P671" s="45" cm="1">
        <f t="array" aca="1" ref="P671" ca="1">SUMPRODUCT((Table1[Gender]="Female")*(Table1[SubscriptionStart]&lt;=A671)*(Table1[EffectiveEndDate]&gt;=A671))</f>
        <v>207</v>
      </c>
    </row>
    <row r="672" spans="1:16">
      <c r="A672" s="48">
        <f t="shared" si="43"/>
        <v>45232</v>
      </c>
      <c r="B672" s="45" cm="1">
        <f t="array" aca="1" ref="B672" ca="1">SUMPRODUCT((Table1[SubscriptionStart]&lt;=A672)*(Table1[EffectiveEndDate]&gt;=A672))</f>
        <v>418</v>
      </c>
      <c r="C672" s="45">
        <f>COUNTIFS(Table1[SubscriptionStart], A672)</f>
        <v>0</v>
      </c>
      <c r="D672" s="45">
        <f>COUNTIFS(Table1[CancellationDate], A672)</f>
        <v>1</v>
      </c>
      <c r="E672" s="45">
        <f t="shared" si="40"/>
        <v>-1</v>
      </c>
      <c r="F672" s="45">
        <f>SUM($C$2:C672)</f>
        <v>742</v>
      </c>
      <c r="G672" s="49" cm="1">
        <f t="array" aca="1" ref="G672" ca="1">IF(B672=0,"", SUMPRODUCT((Table1[SubscriptionStart]&lt;=A672)*(Table1[EffectiveEndDate]&gt;=A672)*Table1[Age]) / B672 )</f>
        <v>47.200956937799042</v>
      </c>
      <c r="H672" s="22">
        <f>SUMIF(Table1[SubscriptionStart],"&lt;="&amp;A672,Table1[TotalRevenue])</f>
        <v>148524.70000000022</v>
      </c>
      <c r="I672" s="50">
        <f t="shared" si="41"/>
        <v>45260</v>
      </c>
      <c r="J672" s="49">
        <f t="shared" ca="1" si="42"/>
        <v>415.96666666666664</v>
      </c>
      <c r="K672" s="45" cm="1">
        <f t="array" aca="1" ref="K672" ca="1">SUMPRODUCT((Table1[SubscriptionStart] &lt;= $A672) * (Table1[EffectiveEndDate] &gt;= $A672) * (Table1[Region] = "England"))</f>
        <v>104</v>
      </c>
      <c r="L672" s="45" cm="1">
        <f t="array" aca="1" ref="L672" ca="1">SUMPRODUCT((Table1[SubscriptionStart] &lt;= $A672) * (Table1[EffectiveEndDate] &gt;= $A672) * (Table1[Region] = "Scotland"))</f>
        <v>93</v>
      </c>
      <c r="M672" s="45" cm="1">
        <f t="array" aca="1" ref="M672" ca="1">SUMPRODUCT((Table1[SubscriptionStart] &lt;= $A672) * (Table1[EffectiveEndDate] &gt;= $A672) * (Table1[Region] = "Wales"))</f>
        <v>120</v>
      </c>
      <c r="N672" s="45" cm="1">
        <f t="array" aca="1" ref="N672" ca="1">SUMPRODUCT((Table1[SubscriptionStart] &lt;= $A672) * (Table1[EffectiveEndDate] &gt;= $A672) * (Table1[Region] = "Northern Ireland"))</f>
        <v>101</v>
      </c>
      <c r="O672" s="45" cm="1">
        <f t="array" aca="1" ref="O672" ca="1">SUMPRODUCT((Table1[Gender]="Male")*(Table1[SubscriptionStart]&lt;=A672)*(Table1[EffectiveEndDate]&gt;=A672))</f>
        <v>211</v>
      </c>
      <c r="P672" s="45" cm="1">
        <f t="array" aca="1" ref="P672" ca="1">SUMPRODUCT((Table1[Gender]="Female")*(Table1[SubscriptionStart]&lt;=A672)*(Table1[EffectiveEndDate]&gt;=A672))</f>
        <v>207</v>
      </c>
    </row>
    <row r="673" spans="1:16">
      <c r="A673" s="48">
        <f t="shared" si="43"/>
        <v>45233</v>
      </c>
      <c r="B673" s="45" cm="1">
        <f t="array" aca="1" ref="B673" ca="1">SUMPRODUCT((Table1[SubscriptionStart]&lt;=A673)*(Table1[EffectiveEndDate]&gt;=A673))</f>
        <v>417</v>
      </c>
      <c r="C673" s="45">
        <f>COUNTIFS(Table1[SubscriptionStart], A673)</f>
        <v>0</v>
      </c>
      <c r="D673" s="45">
        <f>COUNTIFS(Table1[CancellationDate], A673)</f>
        <v>2</v>
      </c>
      <c r="E673" s="45">
        <f t="shared" si="40"/>
        <v>-2</v>
      </c>
      <c r="F673" s="45">
        <f>SUM($C$2:C673)</f>
        <v>742</v>
      </c>
      <c r="G673" s="49" cm="1">
        <f t="array" aca="1" ref="G673" ca="1">IF(B673=0,"", SUMPRODUCT((Table1[SubscriptionStart]&lt;=A673)*(Table1[EffectiveEndDate]&gt;=A673)*Table1[Age]) / B673 )</f>
        <v>47.203836930455637</v>
      </c>
      <c r="H673" s="22">
        <f>SUMIF(Table1[SubscriptionStart],"&lt;="&amp;A673,Table1[TotalRevenue])</f>
        <v>148524.70000000022</v>
      </c>
      <c r="I673" s="50">
        <f t="shared" si="41"/>
        <v>45260</v>
      </c>
      <c r="J673" s="49">
        <f t="shared" ca="1" si="42"/>
        <v>415.96666666666664</v>
      </c>
      <c r="K673" s="45" cm="1">
        <f t="array" aca="1" ref="K673" ca="1">SUMPRODUCT((Table1[SubscriptionStart] &lt;= $A673) * (Table1[EffectiveEndDate] &gt;= $A673) * (Table1[Region] = "England"))</f>
        <v>104</v>
      </c>
      <c r="L673" s="45" cm="1">
        <f t="array" aca="1" ref="L673" ca="1">SUMPRODUCT((Table1[SubscriptionStart] &lt;= $A673) * (Table1[EffectiveEndDate] &gt;= $A673) * (Table1[Region] = "Scotland"))</f>
        <v>93</v>
      </c>
      <c r="M673" s="45" cm="1">
        <f t="array" aca="1" ref="M673" ca="1">SUMPRODUCT((Table1[SubscriptionStart] &lt;= $A673) * (Table1[EffectiveEndDate] &gt;= $A673) * (Table1[Region] = "Wales"))</f>
        <v>120</v>
      </c>
      <c r="N673" s="45" cm="1">
        <f t="array" aca="1" ref="N673" ca="1">SUMPRODUCT((Table1[SubscriptionStart] &lt;= $A673) * (Table1[EffectiveEndDate] &gt;= $A673) * (Table1[Region] = "Northern Ireland"))</f>
        <v>100</v>
      </c>
      <c r="O673" s="45" cm="1">
        <f t="array" aca="1" ref="O673" ca="1">SUMPRODUCT((Table1[Gender]="Male")*(Table1[SubscriptionStart]&lt;=A673)*(Table1[EffectiveEndDate]&gt;=A673))</f>
        <v>211</v>
      </c>
      <c r="P673" s="45" cm="1">
        <f t="array" aca="1" ref="P673" ca="1">SUMPRODUCT((Table1[Gender]="Female")*(Table1[SubscriptionStart]&lt;=A673)*(Table1[EffectiveEndDate]&gt;=A673))</f>
        <v>206</v>
      </c>
    </row>
    <row r="674" spans="1:16">
      <c r="A674" s="48">
        <f t="shared" si="43"/>
        <v>45234</v>
      </c>
      <c r="B674" s="45" cm="1">
        <f t="array" aca="1" ref="B674" ca="1">SUMPRODUCT((Table1[SubscriptionStart]&lt;=A674)*(Table1[EffectiveEndDate]&gt;=A674))</f>
        <v>417</v>
      </c>
      <c r="C674" s="45">
        <f>COUNTIFS(Table1[SubscriptionStart], A674)</f>
        <v>2</v>
      </c>
      <c r="D674" s="45">
        <f>COUNTIFS(Table1[CancellationDate], A674)</f>
        <v>0</v>
      </c>
      <c r="E674" s="45">
        <f t="shared" si="40"/>
        <v>2</v>
      </c>
      <c r="F674" s="45">
        <f>SUM($C$2:C674)</f>
        <v>744</v>
      </c>
      <c r="G674" s="49" cm="1">
        <f t="array" aca="1" ref="G674" ca="1">IF(B674=0,"", SUMPRODUCT((Table1[SubscriptionStart]&lt;=A674)*(Table1[EffectiveEndDate]&gt;=A674)*Table1[Age]) / B674 )</f>
        <v>47.16067146282974</v>
      </c>
      <c r="H674" s="22">
        <f>SUMIF(Table1[SubscriptionStart],"&lt;="&amp;A674,Table1[TotalRevenue])</f>
        <v>148982.70000000022</v>
      </c>
      <c r="I674" s="50">
        <f t="shared" si="41"/>
        <v>45260</v>
      </c>
      <c r="J674" s="49">
        <f t="shared" ca="1" si="42"/>
        <v>415.96666666666664</v>
      </c>
      <c r="K674" s="45" cm="1">
        <f t="array" aca="1" ref="K674" ca="1">SUMPRODUCT((Table1[SubscriptionStart] &lt;= $A674) * (Table1[EffectiveEndDate] &gt;= $A674) * (Table1[Region] = "England"))</f>
        <v>104</v>
      </c>
      <c r="L674" s="45" cm="1">
        <f t="array" aca="1" ref="L674" ca="1">SUMPRODUCT((Table1[SubscriptionStart] &lt;= $A674) * (Table1[EffectiveEndDate] &gt;= $A674) * (Table1[Region] = "Scotland"))</f>
        <v>93</v>
      </c>
      <c r="M674" s="45" cm="1">
        <f t="array" aca="1" ref="M674" ca="1">SUMPRODUCT((Table1[SubscriptionStart] &lt;= $A674) * (Table1[EffectiveEndDate] &gt;= $A674) * (Table1[Region] = "Wales"))</f>
        <v>120</v>
      </c>
      <c r="N674" s="45" cm="1">
        <f t="array" aca="1" ref="N674" ca="1">SUMPRODUCT((Table1[SubscriptionStart] &lt;= $A674) * (Table1[EffectiveEndDate] &gt;= $A674) * (Table1[Region] = "Northern Ireland"))</f>
        <v>100</v>
      </c>
      <c r="O674" s="45" cm="1">
        <f t="array" aca="1" ref="O674" ca="1">SUMPRODUCT((Table1[Gender]="Male")*(Table1[SubscriptionStart]&lt;=A674)*(Table1[EffectiveEndDate]&gt;=A674))</f>
        <v>210</v>
      </c>
      <c r="P674" s="45" cm="1">
        <f t="array" aca="1" ref="P674" ca="1">SUMPRODUCT((Table1[Gender]="Female")*(Table1[SubscriptionStart]&lt;=A674)*(Table1[EffectiveEndDate]&gt;=A674))</f>
        <v>207</v>
      </c>
    </row>
    <row r="675" spans="1:16">
      <c r="A675" s="48">
        <f t="shared" si="43"/>
        <v>45235</v>
      </c>
      <c r="B675" s="45" cm="1">
        <f t="array" aca="1" ref="B675" ca="1">SUMPRODUCT((Table1[SubscriptionStart]&lt;=A675)*(Table1[EffectiveEndDate]&gt;=A675))</f>
        <v>417</v>
      </c>
      <c r="C675" s="45">
        <f>COUNTIFS(Table1[SubscriptionStart], A675)</f>
        <v>0</v>
      </c>
      <c r="D675" s="45">
        <f>COUNTIFS(Table1[CancellationDate], A675)</f>
        <v>2</v>
      </c>
      <c r="E675" s="45">
        <f t="shared" si="40"/>
        <v>-2</v>
      </c>
      <c r="F675" s="45">
        <f>SUM($C$2:C675)</f>
        <v>744</v>
      </c>
      <c r="G675" s="49" cm="1">
        <f t="array" aca="1" ref="G675" ca="1">IF(B675=0,"", SUMPRODUCT((Table1[SubscriptionStart]&lt;=A675)*(Table1[EffectiveEndDate]&gt;=A675)*Table1[Age]) / B675 )</f>
        <v>47.16067146282974</v>
      </c>
      <c r="H675" s="22">
        <f>SUMIF(Table1[SubscriptionStart],"&lt;="&amp;A675,Table1[TotalRevenue])</f>
        <v>148982.70000000022</v>
      </c>
      <c r="I675" s="50">
        <f t="shared" si="41"/>
        <v>45260</v>
      </c>
      <c r="J675" s="49">
        <f t="shared" ca="1" si="42"/>
        <v>415.96666666666664</v>
      </c>
      <c r="K675" s="45" cm="1">
        <f t="array" aca="1" ref="K675" ca="1">SUMPRODUCT((Table1[SubscriptionStart] &lt;= $A675) * (Table1[EffectiveEndDate] &gt;= $A675) * (Table1[Region] = "England"))</f>
        <v>104</v>
      </c>
      <c r="L675" s="45" cm="1">
        <f t="array" aca="1" ref="L675" ca="1">SUMPRODUCT((Table1[SubscriptionStart] &lt;= $A675) * (Table1[EffectiveEndDate] &gt;= $A675) * (Table1[Region] = "Scotland"))</f>
        <v>93</v>
      </c>
      <c r="M675" s="45" cm="1">
        <f t="array" aca="1" ref="M675" ca="1">SUMPRODUCT((Table1[SubscriptionStart] &lt;= $A675) * (Table1[EffectiveEndDate] &gt;= $A675) * (Table1[Region] = "Wales"))</f>
        <v>120</v>
      </c>
      <c r="N675" s="45" cm="1">
        <f t="array" aca="1" ref="N675" ca="1">SUMPRODUCT((Table1[SubscriptionStart] &lt;= $A675) * (Table1[EffectiveEndDate] &gt;= $A675) * (Table1[Region] = "Northern Ireland"))</f>
        <v>100</v>
      </c>
      <c r="O675" s="45" cm="1">
        <f t="array" aca="1" ref="O675" ca="1">SUMPRODUCT((Table1[Gender]="Male")*(Table1[SubscriptionStart]&lt;=A675)*(Table1[EffectiveEndDate]&gt;=A675))</f>
        <v>210</v>
      </c>
      <c r="P675" s="45" cm="1">
        <f t="array" aca="1" ref="P675" ca="1">SUMPRODUCT((Table1[Gender]="Female")*(Table1[SubscriptionStart]&lt;=A675)*(Table1[EffectiveEndDate]&gt;=A675))</f>
        <v>207</v>
      </c>
    </row>
    <row r="676" spans="1:16">
      <c r="A676" s="48">
        <f t="shared" si="43"/>
        <v>45236</v>
      </c>
      <c r="B676" s="45" cm="1">
        <f t="array" aca="1" ref="B676" ca="1">SUMPRODUCT((Table1[SubscriptionStart]&lt;=A676)*(Table1[EffectiveEndDate]&gt;=A676))</f>
        <v>418</v>
      </c>
      <c r="C676" s="45">
        <f>COUNTIFS(Table1[SubscriptionStart], A676)</f>
        <v>3</v>
      </c>
      <c r="D676" s="45">
        <f>COUNTIFS(Table1[CancellationDate], A676)</f>
        <v>2</v>
      </c>
      <c r="E676" s="45">
        <f t="shared" si="40"/>
        <v>1</v>
      </c>
      <c r="F676" s="45">
        <f>SUM($C$2:C676)</f>
        <v>747</v>
      </c>
      <c r="G676" s="49" cm="1">
        <f t="array" aca="1" ref="G676" ca="1">IF(B676=0,"", SUMPRODUCT((Table1[SubscriptionStart]&lt;=A676)*(Table1[EffectiveEndDate]&gt;=A676)*Table1[Age]) / B676 )</f>
        <v>47.186602870813395</v>
      </c>
      <c r="H676" s="22">
        <f>SUMIF(Table1[SubscriptionStart],"&lt;="&amp;A676,Table1[TotalRevenue])</f>
        <v>149241.90000000023</v>
      </c>
      <c r="I676" s="50">
        <f t="shared" si="41"/>
        <v>45260</v>
      </c>
      <c r="J676" s="49">
        <f t="shared" ca="1" si="42"/>
        <v>415.96666666666664</v>
      </c>
      <c r="K676" s="45" cm="1">
        <f t="array" aca="1" ref="K676" ca="1">SUMPRODUCT((Table1[SubscriptionStart] &lt;= $A676) * (Table1[EffectiveEndDate] &gt;= $A676) * (Table1[Region] = "England"))</f>
        <v>105</v>
      </c>
      <c r="L676" s="45" cm="1">
        <f t="array" aca="1" ref="L676" ca="1">SUMPRODUCT((Table1[SubscriptionStart] &lt;= $A676) * (Table1[EffectiveEndDate] &gt;= $A676) * (Table1[Region] = "Scotland"))</f>
        <v>93</v>
      </c>
      <c r="M676" s="45" cm="1">
        <f t="array" aca="1" ref="M676" ca="1">SUMPRODUCT((Table1[SubscriptionStart] &lt;= $A676) * (Table1[EffectiveEndDate] &gt;= $A676) * (Table1[Region] = "Wales"))</f>
        <v>121</v>
      </c>
      <c r="N676" s="45" cm="1">
        <f t="array" aca="1" ref="N676" ca="1">SUMPRODUCT((Table1[SubscriptionStart] &lt;= $A676) * (Table1[EffectiveEndDate] &gt;= $A676) * (Table1[Region] = "Northern Ireland"))</f>
        <v>99</v>
      </c>
      <c r="O676" s="45" cm="1">
        <f t="array" aca="1" ref="O676" ca="1">SUMPRODUCT((Table1[Gender]="Male")*(Table1[SubscriptionStart]&lt;=A676)*(Table1[EffectiveEndDate]&gt;=A676))</f>
        <v>209</v>
      </c>
      <c r="P676" s="45" cm="1">
        <f t="array" aca="1" ref="P676" ca="1">SUMPRODUCT((Table1[Gender]="Female")*(Table1[SubscriptionStart]&lt;=A676)*(Table1[EffectiveEndDate]&gt;=A676))</f>
        <v>209</v>
      </c>
    </row>
    <row r="677" spans="1:16">
      <c r="A677" s="48">
        <f t="shared" si="43"/>
        <v>45237</v>
      </c>
      <c r="B677" s="45" cm="1">
        <f t="array" aca="1" ref="B677" ca="1">SUMPRODUCT((Table1[SubscriptionStart]&lt;=A677)*(Table1[EffectiveEndDate]&gt;=A677))</f>
        <v>418</v>
      </c>
      <c r="C677" s="45">
        <f>COUNTIFS(Table1[SubscriptionStart], A677)</f>
        <v>2</v>
      </c>
      <c r="D677" s="45">
        <f>COUNTIFS(Table1[CancellationDate], A677)</f>
        <v>0</v>
      </c>
      <c r="E677" s="45">
        <f t="shared" si="40"/>
        <v>2</v>
      </c>
      <c r="F677" s="45">
        <f>SUM($C$2:C677)</f>
        <v>749</v>
      </c>
      <c r="G677" s="49" cm="1">
        <f t="array" aca="1" ref="G677" ca="1">IF(B677=0,"", SUMPRODUCT((Table1[SubscriptionStart]&lt;=A677)*(Table1[EffectiveEndDate]&gt;=A677)*Table1[Age]) / B677 )</f>
        <v>47.217703349282296</v>
      </c>
      <c r="H677" s="22">
        <f>SUMIF(Table1[SubscriptionStart],"&lt;="&amp;A677,Table1[TotalRevenue])</f>
        <v>149371.50000000023</v>
      </c>
      <c r="I677" s="50">
        <f t="shared" si="41"/>
        <v>45260</v>
      </c>
      <c r="J677" s="49">
        <f t="shared" ca="1" si="42"/>
        <v>415.96666666666664</v>
      </c>
      <c r="K677" s="45" cm="1">
        <f t="array" aca="1" ref="K677" ca="1">SUMPRODUCT((Table1[SubscriptionStart] &lt;= $A677) * (Table1[EffectiveEndDate] &gt;= $A677) * (Table1[Region] = "England"))</f>
        <v>103</v>
      </c>
      <c r="L677" s="45" cm="1">
        <f t="array" aca="1" ref="L677" ca="1">SUMPRODUCT((Table1[SubscriptionStart] &lt;= $A677) * (Table1[EffectiveEndDate] &gt;= $A677) * (Table1[Region] = "Scotland"))</f>
        <v>94</v>
      </c>
      <c r="M677" s="45" cm="1">
        <f t="array" aca="1" ref="M677" ca="1">SUMPRODUCT((Table1[SubscriptionStart] &lt;= $A677) * (Table1[EffectiveEndDate] &gt;= $A677) * (Table1[Region] = "Wales"))</f>
        <v>121</v>
      </c>
      <c r="N677" s="45" cm="1">
        <f t="array" aca="1" ref="N677" ca="1">SUMPRODUCT((Table1[SubscriptionStart] &lt;= $A677) * (Table1[EffectiveEndDate] &gt;= $A677) * (Table1[Region] = "Northern Ireland"))</f>
        <v>100</v>
      </c>
      <c r="O677" s="45" cm="1">
        <f t="array" aca="1" ref="O677" ca="1">SUMPRODUCT((Table1[Gender]="Male")*(Table1[SubscriptionStart]&lt;=A677)*(Table1[EffectiveEndDate]&gt;=A677))</f>
        <v>209</v>
      </c>
      <c r="P677" s="45" cm="1">
        <f t="array" aca="1" ref="P677" ca="1">SUMPRODUCT((Table1[Gender]="Female")*(Table1[SubscriptionStart]&lt;=A677)*(Table1[EffectiveEndDate]&gt;=A677))</f>
        <v>209</v>
      </c>
    </row>
    <row r="678" spans="1:16">
      <c r="A678" s="48">
        <f t="shared" si="43"/>
        <v>45238</v>
      </c>
      <c r="B678" s="45" cm="1">
        <f t="array" aca="1" ref="B678" ca="1">SUMPRODUCT((Table1[SubscriptionStart]&lt;=A678)*(Table1[EffectiveEndDate]&gt;=A678))</f>
        <v>418</v>
      </c>
      <c r="C678" s="45">
        <f>COUNTIFS(Table1[SubscriptionStart], A678)</f>
        <v>0</v>
      </c>
      <c r="D678" s="45">
        <f>COUNTIFS(Table1[CancellationDate], A678)</f>
        <v>1</v>
      </c>
      <c r="E678" s="45">
        <f t="shared" si="40"/>
        <v>-1</v>
      </c>
      <c r="F678" s="45">
        <f>SUM($C$2:C678)</f>
        <v>749</v>
      </c>
      <c r="G678" s="49" cm="1">
        <f t="array" aca="1" ref="G678" ca="1">IF(B678=0,"", SUMPRODUCT((Table1[SubscriptionStart]&lt;=A678)*(Table1[EffectiveEndDate]&gt;=A678)*Table1[Age]) / B678 )</f>
        <v>47.217703349282296</v>
      </c>
      <c r="H678" s="22">
        <f>SUMIF(Table1[SubscriptionStart],"&lt;="&amp;A678,Table1[TotalRevenue])</f>
        <v>149371.50000000023</v>
      </c>
      <c r="I678" s="50">
        <f t="shared" si="41"/>
        <v>45260</v>
      </c>
      <c r="J678" s="49">
        <f t="shared" ca="1" si="42"/>
        <v>415.96666666666664</v>
      </c>
      <c r="K678" s="45" cm="1">
        <f t="array" aca="1" ref="K678" ca="1">SUMPRODUCT((Table1[SubscriptionStart] &lt;= $A678) * (Table1[EffectiveEndDate] &gt;= $A678) * (Table1[Region] = "England"))</f>
        <v>103</v>
      </c>
      <c r="L678" s="45" cm="1">
        <f t="array" aca="1" ref="L678" ca="1">SUMPRODUCT((Table1[SubscriptionStart] &lt;= $A678) * (Table1[EffectiveEndDate] &gt;= $A678) * (Table1[Region] = "Scotland"))</f>
        <v>94</v>
      </c>
      <c r="M678" s="45" cm="1">
        <f t="array" aca="1" ref="M678" ca="1">SUMPRODUCT((Table1[SubscriptionStart] &lt;= $A678) * (Table1[EffectiveEndDate] &gt;= $A678) * (Table1[Region] = "Wales"))</f>
        <v>121</v>
      </c>
      <c r="N678" s="45" cm="1">
        <f t="array" aca="1" ref="N678" ca="1">SUMPRODUCT((Table1[SubscriptionStart] &lt;= $A678) * (Table1[EffectiveEndDate] &gt;= $A678) * (Table1[Region] = "Northern Ireland"))</f>
        <v>100</v>
      </c>
      <c r="O678" s="45" cm="1">
        <f t="array" aca="1" ref="O678" ca="1">SUMPRODUCT((Table1[Gender]="Male")*(Table1[SubscriptionStart]&lt;=A678)*(Table1[EffectiveEndDate]&gt;=A678))</f>
        <v>209</v>
      </c>
      <c r="P678" s="45" cm="1">
        <f t="array" aca="1" ref="P678" ca="1">SUMPRODUCT((Table1[Gender]="Female")*(Table1[SubscriptionStart]&lt;=A678)*(Table1[EffectiveEndDate]&gt;=A678))</f>
        <v>209</v>
      </c>
    </row>
    <row r="679" spans="1:16">
      <c r="A679" s="48">
        <f t="shared" si="43"/>
        <v>45239</v>
      </c>
      <c r="B679" s="45" cm="1">
        <f t="array" aca="1" ref="B679" ca="1">SUMPRODUCT((Table1[SubscriptionStart]&lt;=A679)*(Table1[EffectiveEndDate]&gt;=A679))</f>
        <v>417</v>
      </c>
      <c r="C679" s="45">
        <f>COUNTIFS(Table1[SubscriptionStart], A679)</f>
        <v>0</v>
      </c>
      <c r="D679" s="45">
        <f>COUNTIFS(Table1[CancellationDate], A679)</f>
        <v>1</v>
      </c>
      <c r="E679" s="45">
        <f t="shared" si="40"/>
        <v>-1</v>
      </c>
      <c r="F679" s="45">
        <f>SUM($C$2:C679)</f>
        <v>749</v>
      </c>
      <c r="G679" s="49" cm="1">
        <f t="array" aca="1" ref="G679" ca="1">IF(B679=0,"", SUMPRODUCT((Table1[SubscriptionStart]&lt;=A679)*(Table1[EffectiveEndDate]&gt;=A679)*Table1[Age]) / B679 )</f>
        <v>47.163069544364511</v>
      </c>
      <c r="H679" s="22">
        <f>SUMIF(Table1[SubscriptionStart],"&lt;="&amp;A679,Table1[TotalRevenue])</f>
        <v>149371.50000000023</v>
      </c>
      <c r="I679" s="50">
        <f t="shared" si="41"/>
        <v>45260</v>
      </c>
      <c r="J679" s="49">
        <f t="shared" ca="1" si="42"/>
        <v>415.96666666666664</v>
      </c>
      <c r="K679" s="45" cm="1">
        <f t="array" aca="1" ref="K679" ca="1">SUMPRODUCT((Table1[SubscriptionStart] &lt;= $A679) * (Table1[EffectiveEndDate] &gt;= $A679) * (Table1[Region] = "England"))</f>
        <v>103</v>
      </c>
      <c r="L679" s="45" cm="1">
        <f t="array" aca="1" ref="L679" ca="1">SUMPRODUCT((Table1[SubscriptionStart] &lt;= $A679) * (Table1[EffectiveEndDate] &gt;= $A679) * (Table1[Region] = "Scotland"))</f>
        <v>93</v>
      </c>
      <c r="M679" s="45" cm="1">
        <f t="array" aca="1" ref="M679" ca="1">SUMPRODUCT((Table1[SubscriptionStart] &lt;= $A679) * (Table1[EffectiveEndDate] &gt;= $A679) * (Table1[Region] = "Wales"))</f>
        <v>121</v>
      </c>
      <c r="N679" s="45" cm="1">
        <f t="array" aca="1" ref="N679" ca="1">SUMPRODUCT((Table1[SubscriptionStart] &lt;= $A679) * (Table1[EffectiveEndDate] &gt;= $A679) * (Table1[Region] = "Northern Ireland"))</f>
        <v>100</v>
      </c>
      <c r="O679" s="45" cm="1">
        <f t="array" aca="1" ref="O679" ca="1">SUMPRODUCT((Table1[Gender]="Male")*(Table1[SubscriptionStart]&lt;=A679)*(Table1[EffectiveEndDate]&gt;=A679))</f>
        <v>209</v>
      </c>
      <c r="P679" s="45" cm="1">
        <f t="array" aca="1" ref="P679" ca="1">SUMPRODUCT((Table1[Gender]="Female")*(Table1[SubscriptionStart]&lt;=A679)*(Table1[EffectiveEndDate]&gt;=A679))</f>
        <v>208</v>
      </c>
    </row>
    <row r="680" spans="1:16">
      <c r="A680" s="48">
        <f t="shared" si="43"/>
        <v>45240</v>
      </c>
      <c r="B680" s="45" cm="1">
        <f t="array" aca="1" ref="B680" ca="1">SUMPRODUCT((Table1[SubscriptionStart]&lt;=A680)*(Table1[EffectiveEndDate]&gt;=A680))</f>
        <v>418</v>
      </c>
      <c r="C680" s="45">
        <f>COUNTIFS(Table1[SubscriptionStart], A680)</f>
        <v>2</v>
      </c>
      <c r="D680" s="45">
        <f>COUNTIFS(Table1[CancellationDate], A680)</f>
        <v>0</v>
      </c>
      <c r="E680" s="45">
        <f t="shared" si="40"/>
        <v>2</v>
      </c>
      <c r="F680" s="45">
        <f>SUM($C$2:C680)</f>
        <v>751</v>
      </c>
      <c r="G680" s="49" cm="1">
        <f t="array" aca="1" ref="G680" ca="1">IF(B680=0,"", SUMPRODUCT((Table1[SubscriptionStart]&lt;=A680)*(Table1[EffectiveEndDate]&gt;=A680)*Table1[Age]) / B680 )</f>
        <v>47.141148325358849</v>
      </c>
      <c r="H680" s="22">
        <f>SUMIF(Table1[SubscriptionStart],"&lt;="&amp;A680,Table1[TotalRevenue])</f>
        <v>150052.75000000023</v>
      </c>
      <c r="I680" s="50">
        <f t="shared" si="41"/>
        <v>45260</v>
      </c>
      <c r="J680" s="49">
        <f t="shared" ca="1" si="42"/>
        <v>415.96666666666664</v>
      </c>
      <c r="K680" s="45" cm="1">
        <f t="array" aca="1" ref="K680" ca="1">SUMPRODUCT((Table1[SubscriptionStart] &lt;= $A680) * (Table1[EffectiveEndDate] &gt;= $A680) * (Table1[Region] = "England"))</f>
        <v>103</v>
      </c>
      <c r="L680" s="45" cm="1">
        <f t="array" aca="1" ref="L680" ca="1">SUMPRODUCT((Table1[SubscriptionStart] &lt;= $A680) * (Table1[EffectiveEndDate] &gt;= $A680) * (Table1[Region] = "Scotland"))</f>
        <v>93</v>
      </c>
      <c r="M680" s="45" cm="1">
        <f t="array" aca="1" ref="M680" ca="1">SUMPRODUCT((Table1[SubscriptionStart] &lt;= $A680) * (Table1[EffectiveEndDate] &gt;= $A680) * (Table1[Region] = "Wales"))</f>
        <v>123</v>
      </c>
      <c r="N680" s="45" cm="1">
        <f t="array" aca="1" ref="N680" ca="1">SUMPRODUCT((Table1[SubscriptionStart] &lt;= $A680) * (Table1[EffectiveEndDate] &gt;= $A680) * (Table1[Region] = "Northern Ireland"))</f>
        <v>99</v>
      </c>
      <c r="O680" s="45" cm="1">
        <f t="array" aca="1" ref="O680" ca="1">SUMPRODUCT((Table1[Gender]="Male")*(Table1[SubscriptionStart]&lt;=A680)*(Table1[EffectiveEndDate]&gt;=A680))</f>
        <v>210</v>
      </c>
      <c r="P680" s="45" cm="1">
        <f t="array" aca="1" ref="P680" ca="1">SUMPRODUCT((Table1[Gender]="Female")*(Table1[SubscriptionStart]&lt;=A680)*(Table1[EffectiveEndDate]&gt;=A680))</f>
        <v>208</v>
      </c>
    </row>
    <row r="681" spans="1:16">
      <c r="A681" s="48">
        <f t="shared" si="43"/>
        <v>45241</v>
      </c>
      <c r="B681" s="45" cm="1">
        <f t="array" aca="1" ref="B681" ca="1">SUMPRODUCT((Table1[SubscriptionStart]&lt;=A681)*(Table1[EffectiveEndDate]&gt;=A681))</f>
        <v>418</v>
      </c>
      <c r="C681" s="45">
        <f>COUNTIFS(Table1[SubscriptionStart], A681)</f>
        <v>0</v>
      </c>
      <c r="D681" s="45">
        <f>COUNTIFS(Table1[CancellationDate], A681)</f>
        <v>2</v>
      </c>
      <c r="E681" s="45">
        <f t="shared" si="40"/>
        <v>-2</v>
      </c>
      <c r="F681" s="45">
        <f>SUM($C$2:C681)</f>
        <v>751</v>
      </c>
      <c r="G681" s="49" cm="1">
        <f t="array" aca="1" ref="G681" ca="1">IF(B681=0,"", SUMPRODUCT((Table1[SubscriptionStart]&lt;=A681)*(Table1[EffectiveEndDate]&gt;=A681)*Table1[Age]) / B681 )</f>
        <v>47.141148325358849</v>
      </c>
      <c r="H681" s="22">
        <f>SUMIF(Table1[SubscriptionStart],"&lt;="&amp;A681,Table1[TotalRevenue])</f>
        <v>150052.75000000023</v>
      </c>
      <c r="I681" s="50">
        <f t="shared" si="41"/>
        <v>45260</v>
      </c>
      <c r="J681" s="49">
        <f t="shared" ca="1" si="42"/>
        <v>415.96666666666664</v>
      </c>
      <c r="K681" s="45" cm="1">
        <f t="array" aca="1" ref="K681" ca="1">SUMPRODUCT((Table1[SubscriptionStart] &lt;= $A681) * (Table1[EffectiveEndDate] &gt;= $A681) * (Table1[Region] = "England"))</f>
        <v>103</v>
      </c>
      <c r="L681" s="45" cm="1">
        <f t="array" aca="1" ref="L681" ca="1">SUMPRODUCT((Table1[SubscriptionStart] &lt;= $A681) * (Table1[EffectiveEndDate] &gt;= $A681) * (Table1[Region] = "Scotland"))</f>
        <v>93</v>
      </c>
      <c r="M681" s="45" cm="1">
        <f t="array" aca="1" ref="M681" ca="1">SUMPRODUCT((Table1[SubscriptionStart] &lt;= $A681) * (Table1[EffectiveEndDate] &gt;= $A681) * (Table1[Region] = "Wales"))</f>
        <v>123</v>
      </c>
      <c r="N681" s="45" cm="1">
        <f t="array" aca="1" ref="N681" ca="1">SUMPRODUCT((Table1[SubscriptionStart] &lt;= $A681) * (Table1[EffectiveEndDate] &gt;= $A681) * (Table1[Region] = "Northern Ireland"))</f>
        <v>99</v>
      </c>
      <c r="O681" s="45" cm="1">
        <f t="array" aca="1" ref="O681" ca="1">SUMPRODUCT((Table1[Gender]="Male")*(Table1[SubscriptionStart]&lt;=A681)*(Table1[EffectiveEndDate]&gt;=A681))</f>
        <v>210</v>
      </c>
      <c r="P681" s="45" cm="1">
        <f t="array" aca="1" ref="P681" ca="1">SUMPRODUCT((Table1[Gender]="Female")*(Table1[SubscriptionStart]&lt;=A681)*(Table1[EffectiveEndDate]&gt;=A681))</f>
        <v>208</v>
      </c>
    </row>
    <row r="682" spans="1:16">
      <c r="A682" s="48">
        <f t="shared" si="43"/>
        <v>45242</v>
      </c>
      <c r="B682" s="45" cm="1">
        <f t="array" aca="1" ref="B682" ca="1">SUMPRODUCT((Table1[SubscriptionStart]&lt;=A682)*(Table1[EffectiveEndDate]&gt;=A682))</f>
        <v>417</v>
      </c>
      <c r="C682" s="45">
        <f>COUNTIFS(Table1[SubscriptionStart], A682)</f>
        <v>1</v>
      </c>
      <c r="D682" s="45">
        <f>COUNTIFS(Table1[CancellationDate], A682)</f>
        <v>1</v>
      </c>
      <c r="E682" s="45">
        <f t="shared" si="40"/>
        <v>0</v>
      </c>
      <c r="F682" s="45">
        <f>SUM($C$2:C682)</f>
        <v>752</v>
      </c>
      <c r="G682" s="49" cm="1">
        <f t="array" aca="1" ref="G682" ca="1">IF(B682=0,"", SUMPRODUCT((Table1[SubscriptionStart]&lt;=A682)*(Table1[EffectiveEndDate]&gt;=A682)*Table1[Age]) / B682 )</f>
        <v>47.251798561151077</v>
      </c>
      <c r="H682" s="22">
        <f>SUMIF(Table1[SubscriptionStart],"&lt;="&amp;A682,Table1[TotalRevenue])</f>
        <v>150124.75000000023</v>
      </c>
      <c r="I682" s="50">
        <f t="shared" si="41"/>
        <v>45260</v>
      </c>
      <c r="J682" s="49">
        <f t="shared" ca="1" si="42"/>
        <v>415.96666666666664</v>
      </c>
      <c r="K682" s="45" cm="1">
        <f t="array" aca="1" ref="K682" ca="1">SUMPRODUCT((Table1[SubscriptionStart] &lt;= $A682) * (Table1[EffectiveEndDate] &gt;= $A682) * (Table1[Region] = "England"))</f>
        <v>104</v>
      </c>
      <c r="L682" s="45" cm="1">
        <f t="array" aca="1" ref="L682" ca="1">SUMPRODUCT((Table1[SubscriptionStart] &lt;= $A682) * (Table1[EffectiveEndDate] &gt;= $A682) * (Table1[Region] = "Scotland"))</f>
        <v>92</v>
      </c>
      <c r="M682" s="45" cm="1">
        <f t="array" aca="1" ref="M682" ca="1">SUMPRODUCT((Table1[SubscriptionStart] &lt;= $A682) * (Table1[EffectiveEndDate] &gt;= $A682) * (Table1[Region] = "Wales"))</f>
        <v>122</v>
      </c>
      <c r="N682" s="45" cm="1">
        <f t="array" aca="1" ref="N682" ca="1">SUMPRODUCT((Table1[SubscriptionStart] &lt;= $A682) * (Table1[EffectiveEndDate] &gt;= $A682) * (Table1[Region] = "Northern Ireland"))</f>
        <v>99</v>
      </c>
      <c r="O682" s="45" cm="1">
        <f t="array" aca="1" ref="O682" ca="1">SUMPRODUCT((Table1[Gender]="Male")*(Table1[SubscriptionStart]&lt;=A682)*(Table1[EffectiveEndDate]&gt;=A682))</f>
        <v>210</v>
      </c>
      <c r="P682" s="45" cm="1">
        <f t="array" aca="1" ref="P682" ca="1">SUMPRODUCT((Table1[Gender]="Female")*(Table1[SubscriptionStart]&lt;=A682)*(Table1[EffectiveEndDate]&gt;=A682))</f>
        <v>207</v>
      </c>
    </row>
    <row r="683" spans="1:16">
      <c r="A683" s="48">
        <f t="shared" si="43"/>
        <v>45243</v>
      </c>
      <c r="B683" s="45" cm="1">
        <f t="array" aca="1" ref="B683" ca="1">SUMPRODUCT((Table1[SubscriptionStart]&lt;=A683)*(Table1[EffectiveEndDate]&gt;=A683))</f>
        <v>416</v>
      </c>
      <c r="C683" s="45">
        <f>COUNTIFS(Table1[SubscriptionStart], A683)</f>
        <v>0</v>
      </c>
      <c r="D683" s="45">
        <f>COUNTIFS(Table1[CancellationDate], A683)</f>
        <v>0</v>
      </c>
      <c r="E683" s="45">
        <f t="shared" si="40"/>
        <v>0</v>
      </c>
      <c r="F683" s="45">
        <f>SUM($C$2:C683)</f>
        <v>752</v>
      </c>
      <c r="G683" s="49" cm="1">
        <f t="array" aca="1" ref="G683" ca="1">IF(B683=0,"", SUMPRODUCT((Table1[SubscriptionStart]&lt;=A683)*(Table1[EffectiveEndDate]&gt;=A683)*Table1[Age]) / B683 )</f>
        <v>47.20192307692308</v>
      </c>
      <c r="H683" s="22">
        <f>SUMIF(Table1[SubscriptionStart],"&lt;="&amp;A683,Table1[TotalRevenue])</f>
        <v>150124.75000000023</v>
      </c>
      <c r="I683" s="50">
        <f t="shared" si="41"/>
        <v>45260</v>
      </c>
      <c r="J683" s="49">
        <f t="shared" ca="1" si="42"/>
        <v>415.96666666666664</v>
      </c>
      <c r="K683" s="45" cm="1">
        <f t="array" aca="1" ref="K683" ca="1">SUMPRODUCT((Table1[SubscriptionStart] &lt;= $A683) * (Table1[EffectiveEndDate] &gt;= $A683) * (Table1[Region] = "England"))</f>
        <v>104</v>
      </c>
      <c r="L683" s="45" cm="1">
        <f t="array" aca="1" ref="L683" ca="1">SUMPRODUCT((Table1[SubscriptionStart] &lt;= $A683) * (Table1[EffectiveEndDate] &gt;= $A683) * (Table1[Region] = "Scotland"))</f>
        <v>92</v>
      </c>
      <c r="M683" s="45" cm="1">
        <f t="array" aca="1" ref="M683" ca="1">SUMPRODUCT((Table1[SubscriptionStart] &lt;= $A683) * (Table1[EffectiveEndDate] &gt;= $A683) * (Table1[Region] = "Wales"))</f>
        <v>121</v>
      </c>
      <c r="N683" s="45" cm="1">
        <f t="array" aca="1" ref="N683" ca="1">SUMPRODUCT((Table1[SubscriptionStart] &lt;= $A683) * (Table1[EffectiveEndDate] &gt;= $A683) * (Table1[Region] = "Northern Ireland"))</f>
        <v>99</v>
      </c>
      <c r="O683" s="45" cm="1">
        <f t="array" aca="1" ref="O683" ca="1">SUMPRODUCT((Table1[Gender]="Male")*(Table1[SubscriptionStart]&lt;=A683)*(Table1[EffectiveEndDate]&gt;=A683))</f>
        <v>210</v>
      </c>
      <c r="P683" s="45" cm="1">
        <f t="array" aca="1" ref="P683" ca="1">SUMPRODUCT((Table1[Gender]="Female")*(Table1[SubscriptionStart]&lt;=A683)*(Table1[EffectiveEndDate]&gt;=A683))</f>
        <v>206</v>
      </c>
    </row>
    <row r="684" spans="1:16">
      <c r="A684" s="48">
        <f t="shared" si="43"/>
        <v>45244</v>
      </c>
      <c r="B684" s="45" cm="1">
        <f t="array" aca="1" ref="B684" ca="1">SUMPRODUCT((Table1[SubscriptionStart]&lt;=A684)*(Table1[EffectiveEndDate]&gt;=A684))</f>
        <v>417</v>
      </c>
      <c r="C684" s="45">
        <f>COUNTIFS(Table1[SubscriptionStart], A684)</f>
        <v>1</v>
      </c>
      <c r="D684" s="45">
        <f>COUNTIFS(Table1[CancellationDate], A684)</f>
        <v>0</v>
      </c>
      <c r="E684" s="45">
        <f t="shared" si="40"/>
        <v>1</v>
      </c>
      <c r="F684" s="45">
        <f>SUM($C$2:C684)</f>
        <v>753</v>
      </c>
      <c r="G684" s="49" cm="1">
        <f t="array" aca="1" ref="G684" ca="1">IF(B684=0,"", SUMPRODUCT((Table1[SubscriptionStart]&lt;=A684)*(Table1[EffectiveEndDate]&gt;=A684)*Table1[Age]) / B684 )</f>
        <v>47.158273381294961</v>
      </c>
      <c r="H684" s="22">
        <f>SUMIF(Table1[SubscriptionStart],"&lt;="&amp;A684,Table1[TotalRevenue])</f>
        <v>150254.35000000024</v>
      </c>
      <c r="I684" s="50">
        <f t="shared" si="41"/>
        <v>45260</v>
      </c>
      <c r="J684" s="49">
        <f t="shared" ca="1" si="42"/>
        <v>415.96666666666664</v>
      </c>
      <c r="K684" s="45" cm="1">
        <f t="array" aca="1" ref="K684" ca="1">SUMPRODUCT((Table1[SubscriptionStart] &lt;= $A684) * (Table1[EffectiveEndDate] &gt;= $A684) * (Table1[Region] = "England"))</f>
        <v>104</v>
      </c>
      <c r="L684" s="45" cm="1">
        <f t="array" aca="1" ref="L684" ca="1">SUMPRODUCT((Table1[SubscriptionStart] &lt;= $A684) * (Table1[EffectiveEndDate] &gt;= $A684) * (Table1[Region] = "Scotland"))</f>
        <v>92</v>
      </c>
      <c r="M684" s="45" cm="1">
        <f t="array" aca="1" ref="M684" ca="1">SUMPRODUCT((Table1[SubscriptionStart] &lt;= $A684) * (Table1[EffectiveEndDate] &gt;= $A684) * (Table1[Region] = "Wales"))</f>
        <v>121</v>
      </c>
      <c r="N684" s="45" cm="1">
        <f t="array" aca="1" ref="N684" ca="1">SUMPRODUCT((Table1[SubscriptionStart] &lt;= $A684) * (Table1[EffectiveEndDate] &gt;= $A684) * (Table1[Region] = "Northern Ireland"))</f>
        <v>100</v>
      </c>
      <c r="O684" s="45" cm="1">
        <f t="array" aca="1" ref="O684" ca="1">SUMPRODUCT((Table1[Gender]="Male")*(Table1[SubscriptionStart]&lt;=A684)*(Table1[EffectiveEndDate]&gt;=A684))</f>
        <v>210</v>
      </c>
      <c r="P684" s="45" cm="1">
        <f t="array" aca="1" ref="P684" ca="1">SUMPRODUCT((Table1[Gender]="Female")*(Table1[SubscriptionStart]&lt;=A684)*(Table1[EffectiveEndDate]&gt;=A684))</f>
        <v>207</v>
      </c>
    </row>
    <row r="685" spans="1:16">
      <c r="A685" s="48">
        <f t="shared" si="43"/>
        <v>45245</v>
      </c>
      <c r="B685" s="45" cm="1">
        <f t="array" aca="1" ref="B685" ca="1">SUMPRODUCT((Table1[SubscriptionStart]&lt;=A685)*(Table1[EffectiveEndDate]&gt;=A685))</f>
        <v>417</v>
      </c>
      <c r="C685" s="45">
        <f>COUNTIFS(Table1[SubscriptionStart], A685)</f>
        <v>0</v>
      </c>
      <c r="D685" s="45">
        <f>COUNTIFS(Table1[CancellationDate], A685)</f>
        <v>0</v>
      </c>
      <c r="E685" s="45">
        <f t="shared" si="40"/>
        <v>0</v>
      </c>
      <c r="F685" s="45">
        <f>SUM($C$2:C685)</f>
        <v>753</v>
      </c>
      <c r="G685" s="49" cm="1">
        <f t="array" aca="1" ref="G685" ca="1">IF(B685=0,"", SUMPRODUCT((Table1[SubscriptionStart]&lt;=A685)*(Table1[EffectiveEndDate]&gt;=A685)*Table1[Age]) / B685 )</f>
        <v>47.158273381294961</v>
      </c>
      <c r="H685" s="22">
        <f>SUMIF(Table1[SubscriptionStart],"&lt;="&amp;A685,Table1[TotalRevenue])</f>
        <v>150254.35000000024</v>
      </c>
      <c r="I685" s="50">
        <f t="shared" si="41"/>
        <v>45260</v>
      </c>
      <c r="J685" s="49">
        <f t="shared" ca="1" si="42"/>
        <v>415.96666666666664</v>
      </c>
      <c r="K685" s="45" cm="1">
        <f t="array" aca="1" ref="K685" ca="1">SUMPRODUCT((Table1[SubscriptionStart] &lt;= $A685) * (Table1[EffectiveEndDate] &gt;= $A685) * (Table1[Region] = "England"))</f>
        <v>104</v>
      </c>
      <c r="L685" s="45" cm="1">
        <f t="array" aca="1" ref="L685" ca="1">SUMPRODUCT((Table1[SubscriptionStart] &lt;= $A685) * (Table1[EffectiveEndDate] &gt;= $A685) * (Table1[Region] = "Scotland"))</f>
        <v>92</v>
      </c>
      <c r="M685" s="45" cm="1">
        <f t="array" aca="1" ref="M685" ca="1">SUMPRODUCT((Table1[SubscriptionStart] &lt;= $A685) * (Table1[EffectiveEndDate] &gt;= $A685) * (Table1[Region] = "Wales"))</f>
        <v>121</v>
      </c>
      <c r="N685" s="45" cm="1">
        <f t="array" aca="1" ref="N685" ca="1">SUMPRODUCT((Table1[SubscriptionStart] &lt;= $A685) * (Table1[EffectiveEndDate] &gt;= $A685) * (Table1[Region] = "Northern Ireland"))</f>
        <v>100</v>
      </c>
      <c r="O685" s="45" cm="1">
        <f t="array" aca="1" ref="O685" ca="1">SUMPRODUCT((Table1[Gender]="Male")*(Table1[SubscriptionStart]&lt;=A685)*(Table1[EffectiveEndDate]&gt;=A685))</f>
        <v>210</v>
      </c>
      <c r="P685" s="45" cm="1">
        <f t="array" aca="1" ref="P685" ca="1">SUMPRODUCT((Table1[Gender]="Female")*(Table1[SubscriptionStart]&lt;=A685)*(Table1[EffectiveEndDate]&gt;=A685))</f>
        <v>207</v>
      </c>
    </row>
    <row r="686" spans="1:16">
      <c r="A686" s="48">
        <f t="shared" si="43"/>
        <v>45246</v>
      </c>
      <c r="B686" s="45" cm="1">
        <f t="array" aca="1" ref="B686" ca="1">SUMPRODUCT((Table1[SubscriptionStart]&lt;=A686)*(Table1[EffectiveEndDate]&gt;=A686))</f>
        <v>417</v>
      </c>
      <c r="C686" s="45">
        <f>COUNTIFS(Table1[SubscriptionStart], A686)</f>
        <v>0</v>
      </c>
      <c r="D686" s="45">
        <f>COUNTIFS(Table1[CancellationDate], A686)</f>
        <v>4</v>
      </c>
      <c r="E686" s="45">
        <f t="shared" si="40"/>
        <v>-4</v>
      </c>
      <c r="F686" s="45">
        <f>SUM($C$2:C686)</f>
        <v>753</v>
      </c>
      <c r="G686" s="49" cm="1">
        <f t="array" aca="1" ref="G686" ca="1">IF(B686=0,"", SUMPRODUCT((Table1[SubscriptionStart]&lt;=A686)*(Table1[EffectiveEndDate]&gt;=A686)*Table1[Age]) / B686 )</f>
        <v>47.158273381294961</v>
      </c>
      <c r="H686" s="22">
        <f>SUMIF(Table1[SubscriptionStart],"&lt;="&amp;A686,Table1[TotalRevenue])</f>
        <v>150254.35000000024</v>
      </c>
      <c r="I686" s="50">
        <f t="shared" si="41"/>
        <v>45260</v>
      </c>
      <c r="J686" s="49">
        <f t="shared" ca="1" si="42"/>
        <v>415.96666666666664</v>
      </c>
      <c r="K686" s="45" cm="1">
        <f t="array" aca="1" ref="K686" ca="1">SUMPRODUCT((Table1[SubscriptionStart] &lt;= $A686) * (Table1[EffectiveEndDate] &gt;= $A686) * (Table1[Region] = "England"))</f>
        <v>104</v>
      </c>
      <c r="L686" s="45" cm="1">
        <f t="array" aca="1" ref="L686" ca="1">SUMPRODUCT((Table1[SubscriptionStart] &lt;= $A686) * (Table1[EffectiveEndDate] &gt;= $A686) * (Table1[Region] = "Scotland"))</f>
        <v>92</v>
      </c>
      <c r="M686" s="45" cm="1">
        <f t="array" aca="1" ref="M686" ca="1">SUMPRODUCT((Table1[SubscriptionStart] &lt;= $A686) * (Table1[EffectiveEndDate] &gt;= $A686) * (Table1[Region] = "Wales"))</f>
        <v>121</v>
      </c>
      <c r="N686" s="45" cm="1">
        <f t="array" aca="1" ref="N686" ca="1">SUMPRODUCT((Table1[SubscriptionStart] &lt;= $A686) * (Table1[EffectiveEndDate] &gt;= $A686) * (Table1[Region] = "Northern Ireland"))</f>
        <v>100</v>
      </c>
      <c r="O686" s="45" cm="1">
        <f t="array" aca="1" ref="O686" ca="1">SUMPRODUCT((Table1[Gender]="Male")*(Table1[SubscriptionStart]&lt;=A686)*(Table1[EffectiveEndDate]&gt;=A686))</f>
        <v>210</v>
      </c>
      <c r="P686" s="45" cm="1">
        <f t="array" aca="1" ref="P686" ca="1">SUMPRODUCT((Table1[Gender]="Female")*(Table1[SubscriptionStart]&lt;=A686)*(Table1[EffectiveEndDate]&gt;=A686))</f>
        <v>207</v>
      </c>
    </row>
    <row r="687" spans="1:16">
      <c r="A687" s="48">
        <f t="shared" si="43"/>
        <v>45247</v>
      </c>
      <c r="B687" s="45" cm="1">
        <f t="array" aca="1" ref="B687" ca="1">SUMPRODUCT((Table1[SubscriptionStart]&lt;=A687)*(Table1[EffectiveEndDate]&gt;=A687))</f>
        <v>414</v>
      </c>
      <c r="C687" s="45">
        <f>COUNTIFS(Table1[SubscriptionStart], A687)</f>
        <v>1</v>
      </c>
      <c r="D687" s="45">
        <f>COUNTIFS(Table1[CancellationDate], A687)</f>
        <v>2</v>
      </c>
      <c r="E687" s="45">
        <f t="shared" si="40"/>
        <v>-1</v>
      </c>
      <c r="F687" s="45">
        <f>SUM($C$2:C687)</f>
        <v>754</v>
      </c>
      <c r="G687" s="49" cm="1">
        <f t="array" aca="1" ref="G687" ca="1">IF(B687=0,"", SUMPRODUCT((Table1[SubscriptionStart]&lt;=A687)*(Table1[EffectiveEndDate]&gt;=A687)*Table1[Age]) / B687 )</f>
        <v>47.120772946859901</v>
      </c>
      <c r="H687" s="22">
        <f>SUMIF(Table1[SubscriptionStart],"&lt;="&amp;A687,Table1[TotalRevenue])</f>
        <v>150326.35000000024</v>
      </c>
      <c r="I687" s="50">
        <f t="shared" si="41"/>
        <v>45260</v>
      </c>
      <c r="J687" s="49">
        <f t="shared" ca="1" si="42"/>
        <v>415.96666666666664</v>
      </c>
      <c r="K687" s="45" cm="1">
        <f t="array" aca="1" ref="K687" ca="1">SUMPRODUCT((Table1[SubscriptionStart] &lt;= $A687) * (Table1[EffectiveEndDate] &gt;= $A687) * (Table1[Region] = "England"))</f>
        <v>104</v>
      </c>
      <c r="L687" s="45" cm="1">
        <f t="array" aca="1" ref="L687" ca="1">SUMPRODUCT((Table1[SubscriptionStart] &lt;= $A687) * (Table1[EffectiveEndDate] &gt;= $A687) * (Table1[Region] = "Scotland"))</f>
        <v>93</v>
      </c>
      <c r="M687" s="45" cm="1">
        <f t="array" aca="1" ref="M687" ca="1">SUMPRODUCT((Table1[SubscriptionStart] &lt;= $A687) * (Table1[EffectiveEndDate] &gt;= $A687) * (Table1[Region] = "Wales"))</f>
        <v>118</v>
      </c>
      <c r="N687" s="45" cm="1">
        <f t="array" aca="1" ref="N687" ca="1">SUMPRODUCT((Table1[SubscriptionStart] &lt;= $A687) * (Table1[EffectiveEndDate] &gt;= $A687) * (Table1[Region] = "Northern Ireland"))</f>
        <v>99</v>
      </c>
      <c r="O687" s="45" cm="1">
        <f t="array" aca="1" ref="O687" ca="1">SUMPRODUCT((Table1[Gender]="Male")*(Table1[SubscriptionStart]&lt;=A687)*(Table1[EffectiveEndDate]&gt;=A687))</f>
        <v>209</v>
      </c>
      <c r="P687" s="45" cm="1">
        <f t="array" aca="1" ref="P687" ca="1">SUMPRODUCT((Table1[Gender]="Female")*(Table1[SubscriptionStart]&lt;=A687)*(Table1[EffectiveEndDate]&gt;=A687))</f>
        <v>205</v>
      </c>
    </row>
    <row r="688" spans="1:16">
      <c r="A688" s="48">
        <f t="shared" si="43"/>
        <v>45248</v>
      </c>
      <c r="B688" s="45" cm="1">
        <f t="array" aca="1" ref="B688" ca="1">SUMPRODUCT((Table1[SubscriptionStart]&lt;=A688)*(Table1[EffectiveEndDate]&gt;=A688))</f>
        <v>413</v>
      </c>
      <c r="C688" s="45">
        <f>COUNTIFS(Table1[SubscriptionStart], A688)</f>
        <v>1</v>
      </c>
      <c r="D688" s="45">
        <f>COUNTIFS(Table1[CancellationDate], A688)</f>
        <v>0</v>
      </c>
      <c r="E688" s="45">
        <f t="shared" si="40"/>
        <v>1</v>
      </c>
      <c r="F688" s="45">
        <f>SUM($C$2:C688)</f>
        <v>755</v>
      </c>
      <c r="G688" s="49" cm="1">
        <f t="array" aca="1" ref="G688" ca="1">IF(B688=0,"", SUMPRODUCT((Table1[SubscriptionStart]&lt;=A688)*(Table1[EffectiveEndDate]&gt;=A688)*Table1[Age]) / B688 )</f>
        <v>47.099273607748181</v>
      </c>
      <c r="H688" s="22">
        <f>SUMIF(Table1[SubscriptionStart],"&lt;="&amp;A688,Table1[TotalRevenue])</f>
        <v>150743.95000000024</v>
      </c>
      <c r="I688" s="50">
        <f t="shared" si="41"/>
        <v>45260</v>
      </c>
      <c r="J688" s="49">
        <f t="shared" ca="1" si="42"/>
        <v>415.96666666666664</v>
      </c>
      <c r="K688" s="45" cm="1">
        <f t="array" aca="1" ref="K688" ca="1">SUMPRODUCT((Table1[SubscriptionStart] &lt;= $A688) * (Table1[EffectiveEndDate] &gt;= $A688) * (Table1[Region] = "England"))</f>
        <v>103</v>
      </c>
      <c r="L688" s="45" cm="1">
        <f t="array" aca="1" ref="L688" ca="1">SUMPRODUCT((Table1[SubscriptionStart] &lt;= $A688) * (Table1[EffectiveEndDate] &gt;= $A688) * (Table1[Region] = "Scotland"))</f>
        <v>93</v>
      </c>
      <c r="M688" s="45" cm="1">
        <f t="array" aca="1" ref="M688" ca="1">SUMPRODUCT((Table1[SubscriptionStart] &lt;= $A688) * (Table1[EffectiveEndDate] &gt;= $A688) * (Table1[Region] = "Wales"))</f>
        <v>118</v>
      </c>
      <c r="N688" s="45" cm="1">
        <f t="array" aca="1" ref="N688" ca="1">SUMPRODUCT((Table1[SubscriptionStart] &lt;= $A688) * (Table1[EffectiveEndDate] &gt;= $A688) * (Table1[Region] = "Northern Ireland"))</f>
        <v>99</v>
      </c>
      <c r="O688" s="45" cm="1">
        <f t="array" aca="1" ref="O688" ca="1">SUMPRODUCT((Table1[Gender]="Male")*(Table1[SubscriptionStart]&lt;=A688)*(Table1[EffectiveEndDate]&gt;=A688))</f>
        <v>208</v>
      </c>
      <c r="P688" s="45" cm="1">
        <f t="array" aca="1" ref="P688" ca="1">SUMPRODUCT((Table1[Gender]="Female")*(Table1[SubscriptionStart]&lt;=A688)*(Table1[EffectiveEndDate]&gt;=A688))</f>
        <v>205</v>
      </c>
    </row>
    <row r="689" spans="1:16">
      <c r="A689" s="48">
        <f t="shared" si="43"/>
        <v>45249</v>
      </c>
      <c r="B689" s="45" cm="1">
        <f t="array" aca="1" ref="B689" ca="1">SUMPRODUCT((Table1[SubscriptionStart]&lt;=A689)*(Table1[EffectiveEndDate]&gt;=A689))</f>
        <v>416</v>
      </c>
      <c r="C689" s="45">
        <f>COUNTIFS(Table1[SubscriptionStart], A689)</f>
        <v>3</v>
      </c>
      <c r="D689" s="45">
        <f>COUNTIFS(Table1[CancellationDate], A689)</f>
        <v>3</v>
      </c>
      <c r="E689" s="45">
        <f t="shared" si="40"/>
        <v>0</v>
      </c>
      <c r="F689" s="45">
        <f>SUM($C$2:C689)</f>
        <v>758</v>
      </c>
      <c r="G689" s="49" cm="1">
        <f t="array" aca="1" ref="G689" ca="1">IF(B689=0,"", SUMPRODUCT((Table1[SubscriptionStart]&lt;=A689)*(Table1[EffectiveEndDate]&gt;=A689)*Table1[Age]) / B689 )</f>
        <v>47.1875</v>
      </c>
      <c r="H689" s="22">
        <f>SUMIF(Table1[SubscriptionStart],"&lt;="&amp;A689,Table1[TotalRevenue])</f>
        <v>151536.85000000024</v>
      </c>
      <c r="I689" s="50">
        <f t="shared" si="41"/>
        <v>45260</v>
      </c>
      <c r="J689" s="49">
        <f t="shared" ca="1" si="42"/>
        <v>415.96666666666664</v>
      </c>
      <c r="K689" s="45" cm="1">
        <f t="array" aca="1" ref="K689" ca="1">SUMPRODUCT((Table1[SubscriptionStart] &lt;= $A689) * (Table1[EffectiveEndDate] &gt;= $A689) * (Table1[Region] = "England"))</f>
        <v>105</v>
      </c>
      <c r="L689" s="45" cm="1">
        <f t="array" aca="1" ref="L689" ca="1">SUMPRODUCT((Table1[SubscriptionStart] &lt;= $A689) * (Table1[EffectiveEndDate] &gt;= $A689) * (Table1[Region] = "Scotland"))</f>
        <v>94</v>
      </c>
      <c r="M689" s="45" cm="1">
        <f t="array" aca="1" ref="M689" ca="1">SUMPRODUCT((Table1[SubscriptionStart] &lt;= $A689) * (Table1[EffectiveEndDate] &gt;= $A689) * (Table1[Region] = "Wales"))</f>
        <v>118</v>
      </c>
      <c r="N689" s="45" cm="1">
        <f t="array" aca="1" ref="N689" ca="1">SUMPRODUCT((Table1[SubscriptionStart] &lt;= $A689) * (Table1[EffectiveEndDate] &gt;= $A689) * (Table1[Region] = "Northern Ireland"))</f>
        <v>99</v>
      </c>
      <c r="O689" s="45" cm="1">
        <f t="array" aca="1" ref="O689" ca="1">SUMPRODUCT((Table1[Gender]="Male")*(Table1[SubscriptionStart]&lt;=A689)*(Table1[EffectiveEndDate]&gt;=A689))</f>
        <v>209</v>
      </c>
      <c r="P689" s="45" cm="1">
        <f t="array" aca="1" ref="P689" ca="1">SUMPRODUCT((Table1[Gender]="Female")*(Table1[SubscriptionStart]&lt;=A689)*(Table1[EffectiveEndDate]&gt;=A689))</f>
        <v>207</v>
      </c>
    </row>
    <row r="690" spans="1:16">
      <c r="A690" s="48">
        <f t="shared" si="43"/>
        <v>45250</v>
      </c>
      <c r="B690" s="45" cm="1">
        <f t="array" aca="1" ref="B690" ca="1">SUMPRODUCT((Table1[SubscriptionStart]&lt;=A690)*(Table1[EffectiveEndDate]&gt;=A690))</f>
        <v>413</v>
      </c>
      <c r="C690" s="45">
        <f>COUNTIFS(Table1[SubscriptionStart], A690)</f>
        <v>0</v>
      </c>
      <c r="D690" s="45">
        <f>COUNTIFS(Table1[CancellationDate], A690)</f>
        <v>1</v>
      </c>
      <c r="E690" s="45">
        <f t="shared" si="40"/>
        <v>-1</v>
      </c>
      <c r="F690" s="45">
        <f>SUM($C$2:C690)</f>
        <v>758</v>
      </c>
      <c r="G690" s="49" cm="1">
        <f t="array" aca="1" ref="G690" ca="1">IF(B690=0,"", SUMPRODUCT((Table1[SubscriptionStart]&lt;=A690)*(Table1[EffectiveEndDate]&gt;=A690)*Table1[Age]) / B690 )</f>
        <v>47.046004842615012</v>
      </c>
      <c r="H690" s="22">
        <f>SUMIF(Table1[SubscriptionStart],"&lt;="&amp;A690,Table1[TotalRevenue])</f>
        <v>151536.85000000024</v>
      </c>
      <c r="I690" s="50">
        <f t="shared" si="41"/>
        <v>45260</v>
      </c>
      <c r="J690" s="49">
        <f t="shared" ca="1" si="42"/>
        <v>415.96666666666664</v>
      </c>
      <c r="K690" s="45" cm="1">
        <f t="array" aca="1" ref="K690" ca="1">SUMPRODUCT((Table1[SubscriptionStart] &lt;= $A690) * (Table1[EffectiveEndDate] &gt;= $A690) * (Table1[Region] = "England"))</f>
        <v>103</v>
      </c>
      <c r="L690" s="45" cm="1">
        <f t="array" aca="1" ref="L690" ca="1">SUMPRODUCT((Table1[SubscriptionStart] &lt;= $A690) * (Table1[EffectiveEndDate] &gt;= $A690) * (Table1[Region] = "Scotland"))</f>
        <v>93</v>
      </c>
      <c r="M690" s="45" cm="1">
        <f t="array" aca="1" ref="M690" ca="1">SUMPRODUCT((Table1[SubscriptionStart] &lt;= $A690) * (Table1[EffectiveEndDate] &gt;= $A690) * (Table1[Region] = "Wales"))</f>
        <v>118</v>
      </c>
      <c r="N690" s="45" cm="1">
        <f t="array" aca="1" ref="N690" ca="1">SUMPRODUCT((Table1[SubscriptionStart] &lt;= $A690) * (Table1[EffectiveEndDate] &gt;= $A690) * (Table1[Region] = "Northern Ireland"))</f>
        <v>99</v>
      </c>
      <c r="O690" s="45" cm="1">
        <f t="array" aca="1" ref="O690" ca="1">SUMPRODUCT((Table1[Gender]="Male")*(Table1[SubscriptionStart]&lt;=A690)*(Table1[EffectiveEndDate]&gt;=A690))</f>
        <v>206</v>
      </c>
      <c r="P690" s="45" cm="1">
        <f t="array" aca="1" ref="P690" ca="1">SUMPRODUCT((Table1[Gender]="Female")*(Table1[SubscriptionStart]&lt;=A690)*(Table1[EffectiveEndDate]&gt;=A690))</f>
        <v>207</v>
      </c>
    </row>
    <row r="691" spans="1:16">
      <c r="A691" s="48">
        <f t="shared" si="43"/>
        <v>45251</v>
      </c>
      <c r="B691" s="45" cm="1">
        <f t="array" aca="1" ref="B691" ca="1">SUMPRODUCT((Table1[SubscriptionStart]&lt;=A691)*(Table1[EffectiveEndDate]&gt;=A691))</f>
        <v>413</v>
      </c>
      <c r="C691" s="45">
        <f>COUNTIFS(Table1[SubscriptionStart], A691)</f>
        <v>1</v>
      </c>
      <c r="D691" s="45">
        <f>COUNTIFS(Table1[CancellationDate], A691)</f>
        <v>1</v>
      </c>
      <c r="E691" s="45">
        <f t="shared" si="40"/>
        <v>0</v>
      </c>
      <c r="F691" s="45">
        <f>SUM($C$2:C691)</f>
        <v>759</v>
      </c>
      <c r="G691" s="49" cm="1">
        <f t="array" aca="1" ref="G691" ca="1">IF(B691=0,"", SUMPRODUCT((Table1[SubscriptionStart]&lt;=A691)*(Table1[EffectiveEndDate]&gt;=A691)*Table1[Age]) / B691 )</f>
        <v>46.980629539951572</v>
      </c>
      <c r="H691" s="22">
        <f>SUMIF(Table1[SubscriptionStart],"&lt;="&amp;A691,Table1[TotalRevenue])</f>
        <v>151638.10000000024</v>
      </c>
      <c r="I691" s="50">
        <f t="shared" si="41"/>
        <v>45260</v>
      </c>
      <c r="J691" s="49">
        <f t="shared" ca="1" si="42"/>
        <v>415.96666666666664</v>
      </c>
      <c r="K691" s="45" cm="1">
        <f t="array" aca="1" ref="K691" ca="1">SUMPRODUCT((Table1[SubscriptionStart] &lt;= $A691) * (Table1[EffectiveEndDate] &gt;= $A691) * (Table1[Region] = "England"))</f>
        <v>103</v>
      </c>
      <c r="L691" s="45" cm="1">
        <f t="array" aca="1" ref="L691" ca="1">SUMPRODUCT((Table1[SubscriptionStart] &lt;= $A691) * (Table1[EffectiveEndDate] &gt;= $A691) * (Table1[Region] = "Scotland"))</f>
        <v>93</v>
      </c>
      <c r="M691" s="45" cm="1">
        <f t="array" aca="1" ref="M691" ca="1">SUMPRODUCT((Table1[SubscriptionStart] &lt;= $A691) * (Table1[EffectiveEndDate] &gt;= $A691) * (Table1[Region] = "Wales"))</f>
        <v>118</v>
      </c>
      <c r="N691" s="45" cm="1">
        <f t="array" aca="1" ref="N691" ca="1">SUMPRODUCT((Table1[SubscriptionStart] &lt;= $A691) * (Table1[EffectiveEndDate] &gt;= $A691) * (Table1[Region] = "Northern Ireland"))</f>
        <v>99</v>
      </c>
      <c r="O691" s="45" cm="1">
        <f t="array" aca="1" ref="O691" ca="1">SUMPRODUCT((Table1[Gender]="Male")*(Table1[SubscriptionStart]&lt;=A691)*(Table1[EffectiveEndDate]&gt;=A691))</f>
        <v>205</v>
      </c>
      <c r="P691" s="45" cm="1">
        <f t="array" aca="1" ref="P691" ca="1">SUMPRODUCT((Table1[Gender]="Female")*(Table1[SubscriptionStart]&lt;=A691)*(Table1[EffectiveEndDate]&gt;=A691))</f>
        <v>208</v>
      </c>
    </row>
    <row r="692" spans="1:16">
      <c r="A692" s="48">
        <f t="shared" si="43"/>
        <v>45252</v>
      </c>
      <c r="B692" s="45" cm="1">
        <f t="array" aca="1" ref="B692" ca="1">SUMPRODUCT((Table1[SubscriptionStart]&lt;=A692)*(Table1[EffectiveEndDate]&gt;=A692))</f>
        <v>413</v>
      </c>
      <c r="C692" s="45">
        <f>COUNTIFS(Table1[SubscriptionStart], A692)</f>
        <v>1</v>
      </c>
      <c r="D692" s="45">
        <f>COUNTIFS(Table1[CancellationDate], A692)</f>
        <v>2</v>
      </c>
      <c r="E692" s="45">
        <f t="shared" si="40"/>
        <v>-1</v>
      </c>
      <c r="F692" s="45">
        <f>SUM($C$2:C692)</f>
        <v>760</v>
      </c>
      <c r="G692" s="49" cm="1">
        <f t="array" aca="1" ref="G692" ca="1">IF(B692=0,"", SUMPRODUCT((Table1[SubscriptionStart]&lt;=A692)*(Table1[EffectiveEndDate]&gt;=A692)*Table1[Age]) / B692 )</f>
        <v>46.978208232445517</v>
      </c>
      <c r="H692" s="22">
        <f>SUMIF(Table1[SubscriptionStart],"&lt;="&amp;A692,Table1[TotalRevenue])</f>
        <v>152055.70000000024</v>
      </c>
      <c r="I692" s="50">
        <f t="shared" si="41"/>
        <v>45260</v>
      </c>
      <c r="J692" s="49">
        <f t="shared" ca="1" si="42"/>
        <v>415.96666666666664</v>
      </c>
      <c r="K692" s="45" cm="1">
        <f t="array" aca="1" ref="K692" ca="1">SUMPRODUCT((Table1[SubscriptionStart] &lt;= $A692) * (Table1[EffectiveEndDate] &gt;= $A692) * (Table1[Region] = "England"))</f>
        <v>103</v>
      </c>
      <c r="L692" s="45" cm="1">
        <f t="array" aca="1" ref="L692" ca="1">SUMPRODUCT((Table1[SubscriptionStart] &lt;= $A692) * (Table1[EffectiveEndDate] &gt;= $A692) * (Table1[Region] = "Scotland"))</f>
        <v>92</v>
      </c>
      <c r="M692" s="45" cm="1">
        <f t="array" aca="1" ref="M692" ca="1">SUMPRODUCT((Table1[SubscriptionStart] &lt;= $A692) * (Table1[EffectiveEndDate] &gt;= $A692) * (Table1[Region] = "Wales"))</f>
        <v>119</v>
      </c>
      <c r="N692" s="45" cm="1">
        <f t="array" aca="1" ref="N692" ca="1">SUMPRODUCT((Table1[SubscriptionStart] &lt;= $A692) * (Table1[EffectiveEndDate] &gt;= $A692) * (Table1[Region] = "Northern Ireland"))</f>
        <v>99</v>
      </c>
      <c r="O692" s="45" cm="1">
        <f t="array" aca="1" ref="O692" ca="1">SUMPRODUCT((Table1[Gender]="Male")*(Table1[SubscriptionStart]&lt;=A692)*(Table1[EffectiveEndDate]&gt;=A692))</f>
        <v>206</v>
      </c>
      <c r="P692" s="45" cm="1">
        <f t="array" aca="1" ref="P692" ca="1">SUMPRODUCT((Table1[Gender]="Female")*(Table1[SubscriptionStart]&lt;=A692)*(Table1[EffectiveEndDate]&gt;=A692))</f>
        <v>207</v>
      </c>
    </row>
    <row r="693" spans="1:16">
      <c r="A693" s="48">
        <f t="shared" si="43"/>
        <v>45253</v>
      </c>
      <c r="B693" s="45" cm="1">
        <f t="array" aca="1" ref="B693" ca="1">SUMPRODUCT((Table1[SubscriptionStart]&lt;=A693)*(Table1[EffectiveEndDate]&gt;=A693))</f>
        <v>412</v>
      </c>
      <c r="C693" s="45">
        <f>COUNTIFS(Table1[SubscriptionStart], A693)</f>
        <v>1</v>
      </c>
      <c r="D693" s="45">
        <f>COUNTIFS(Table1[CancellationDate], A693)</f>
        <v>0</v>
      </c>
      <c r="E693" s="45">
        <f t="shared" si="40"/>
        <v>1</v>
      </c>
      <c r="F693" s="45">
        <f>SUM($C$2:C693)</f>
        <v>761</v>
      </c>
      <c r="G693" s="49" cm="1">
        <f t="array" aca="1" ref="G693" ca="1">IF(B693=0,"", SUMPRODUCT((Table1[SubscriptionStart]&lt;=A693)*(Table1[EffectiveEndDate]&gt;=A693)*Table1[Age]) / B693 )</f>
        <v>46.956310679611647</v>
      </c>
      <c r="H693" s="22">
        <f>SUMIF(Table1[SubscriptionStart],"&lt;="&amp;A693,Table1[TotalRevenue])</f>
        <v>152235.70000000024</v>
      </c>
      <c r="I693" s="50">
        <f t="shared" si="41"/>
        <v>45260</v>
      </c>
      <c r="J693" s="49">
        <f t="shared" ca="1" si="42"/>
        <v>415.96666666666664</v>
      </c>
      <c r="K693" s="45" cm="1">
        <f t="array" aca="1" ref="K693" ca="1">SUMPRODUCT((Table1[SubscriptionStart] &lt;= $A693) * (Table1[EffectiveEndDate] &gt;= $A693) * (Table1[Region] = "England"))</f>
        <v>102</v>
      </c>
      <c r="L693" s="45" cm="1">
        <f t="array" aca="1" ref="L693" ca="1">SUMPRODUCT((Table1[SubscriptionStart] &lt;= $A693) * (Table1[EffectiveEndDate] &gt;= $A693) * (Table1[Region] = "Scotland"))</f>
        <v>91</v>
      </c>
      <c r="M693" s="45" cm="1">
        <f t="array" aca="1" ref="M693" ca="1">SUMPRODUCT((Table1[SubscriptionStart] &lt;= $A693) * (Table1[EffectiveEndDate] &gt;= $A693) * (Table1[Region] = "Wales"))</f>
        <v>119</v>
      </c>
      <c r="N693" s="45" cm="1">
        <f t="array" aca="1" ref="N693" ca="1">SUMPRODUCT((Table1[SubscriptionStart] &lt;= $A693) * (Table1[EffectiveEndDate] &gt;= $A693) * (Table1[Region] = "Northern Ireland"))</f>
        <v>100</v>
      </c>
      <c r="O693" s="45" cm="1">
        <f t="array" aca="1" ref="O693" ca="1">SUMPRODUCT((Table1[Gender]="Male")*(Table1[SubscriptionStart]&lt;=A693)*(Table1[EffectiveEndDate]&gt;=A693))</f>
        <v>205</v>
      </c>
      <c r="P693" s="45" cm="1">
        <f t="array" aca="1" ref="P693" ca="1">SUMPRODUCT((Table1[Gender]="Female")*(Table1[SubscriptionStart]&lt;=A693)*(Table1[EffectiveEndDate]&gt;=A693))</f>
        <v>207</v>
      </c>
    </row>
    <row r="694" spans="1:16">
      <c r="A694" s="48">
        <f t="shared" si="43"/>
        <v>45254</v>
      </c>
      <c r="B694" s="45" cm="1">
        <f t="array" aca="1" ref="B694" ca="1">SUMPRODUCT((Table1[SubscriptionStart]&lt;=A694)*(Table1[EffectiveEndDate]&gt;=A694))</f>
        <v>415</v>
      </c>
      <c r="C694" s="45">
        <f>COUNTIFS(Table1[SubscriptionStart], A694)</f>
        <v>3</v>
      </c>
      <c r="D694" s="45">
        <f>COUNTIFS(Table1[CancellationDate], A694)</f>
        <v>1</v>
      </c>
      <c r="E694" s="45">
        <f t="shared" si="40"/>
        <v>2</v>
      </c>
      <c r="F694" s="45">
        <f>SUM($C$2:C694)</f>
        <v>764</v>
      </c>
      <c r="G694" s="49" cm="1">
        <f t="array" aca="1" ref="G694" ca="1">IF(B694=0,"", SUMPRODUCT((Table1[SubscriptionStart]&lt;=A694)*(Table1[EffectiveEndDate]&gt;=A694)*Table1[Age]) / B694 )</f>
        <v>46.88674698795181</v>
      </c>
      <c r="H694" s="22">
        <f>SUMIF(Table1[SubscriptionStart],"&lt;="&amp;A694,Table1[TotalRevenue])</f>
        <v>152725.30000000025</v>
      </c>
      <c r="I694" s="50">
        <f t="shared" si="41"/>
        <v>45260</v>
      </c>
      <c r="J694" s="49">
        <f t="shared" ca="1" si="42"/>
        <v>415.96666666666664</v>
      </c>
      <c r="K694" s="45" cm="1">
        <f t="array" aca="1" ref="K694" ca="1">SUMPRODUCT((Table1[SubscriptionStart] &lt;= $A694) * (Table1[EffectiveEndDate] &gt;= $A694) * (Table1[Region] = "England"))</f>
        <v>102</v>
      </c>
      <c r="L694" s="45" cm="1">
        <f t="array" aca="1" ref="L694" ca="1">SUMPRODUCT((Table1[SubscriptionStart] &lt;= $A694) * (Table1[EffectiveEndDate] &gt;= $A694) * (Table1[Region] = "Scotland"))</f>
        <v>92</v>
      </c>
      <c r="M694" s="45" cm="1">
        <f t="array" aca="1" ref="M694" ca="1">SUMPRODUCT((Table1[SubscriptionStart] &lt;= $A694) * (Table1[EffectiveEndDate] &gt;= $A694) * (Table1[Region] = "Wales"))</f>
        <v>121</v>
      </c>
      <c r="N694" s="45" cm="1">
        <f t="array" aca="1" ref="N694" ca="1">SUMPRODUCT((Table1[SubscriptionStart] &lt;= $A694) * (Table1[EffectiveEndDate] &gt;= $A694) * (Table1[Region] = "Northern Ireland"))</f>
        <v>100</v>
      </c>
      <c r="O694" s="45" cm="1">
        <f t="array" aca="1" ref="O694" ca="1">SUMPRODUCT((Table1[Gender]="Male")*(Table1[SubscriptionStart]&lt;=A694)*(Table1[EffectiveEndDate]&gt;=A694))</f>
        <v>205</v>
      </c>
      <c r="P694" s="45" cm="1">
        <f t="array" aca="1" ref="P694" ca="1">SUMPRODUCT((Table1[Gender]="Female")*(Table1[SubscriptionStart]&lt;=A694)*(Table1[EffectiveEndDate]&gt;=A694))</f>
        <v>210</v>
      </c>
    </row>
    <row r="695" spans="1:16">
      <c r="A695" s="48">
        <f t="shared" si="43"/>
        <v>45255</v>
      </c>
      <c r="B695" s="45" cm="1">
        <f t="array" aca="1" ref="B695" ca="1">SUMPRODUCT((Table1[SubscriptionStart]&lt;=A695)*(Table1[EffectiveEndDate]&gt;=A695))</f>
        <v>414</v>
      </c>
      <c r="C695" s="45">
        <f>COUNTIFS(Table1[SubscriptionStart], A695)</f>
        <v>0</v>
      </c>
      <c r="D695" s="45">
        <f>COUNTIFS(Table1[CancellationDate], A695)</f>
        <v>0</v>
      </c>
      <c r="E695" s="45">
        <f t="shared" si="40"/>
        <v>0</v>
      </c>
      <c r="F695" s="45">
        <f>SUM($C$2:C695)</f>
        <v>764</v>
      </c>
      <c r="G695" s="49" cm="1">
        <f t="array" aca="1" ref="G695" ca="1">IF(B695=0,"", SUMPRODUCT((Table1[SubscriptionStart]&lt;=A695)*(Table1[EffectiveEndDate]&gt;=A695)*Table1[Age]) / B695 )</f>
        <v>46.90338164251208</v>
      </c>
      <c r="H695" s="22">
        <f>SUMIF(Table1[SubscriptionStart],"&lt;="&amp;A695,Table1[TotalRevenue])</f>
        <v>152725.30000000025</v>
      </c>
      <c r="I695" s="50">
        <f t="shared" si="41"/>
        <v>45260</v>
      </c>
      <c r="J695" s="49">
        <f t="shared" ca="1" si="42"/>
        <v>415.96666666666664</v>
      </c>
      <c r="K695" s="45" cm="1">
        <f t="array" aca="1" ref="K695" ca="1">SUMPRODUCT((Table1[SubscriptionStart] &lt;= $A695) * (Table1[EffectiveEndDate] &gt;= $A695) * (Table1[Region] = "England"))</f>
        <v>102</v>
      </c>
      <c r="L695" s="45" cm="1">
        <f t="array" aca="1" ref="L695" ca="1">SUMPRODUCT((Table1[SubscriptionStart] &lt;= $A695) * (Table1[EffectiveEndDate] &gt;= $A695) * (Table1[Region] = "Scotland"))</f>
        <v>92</v>
      </c>
      <c r="M695" s="45" cm="1">
        <f t="array" aca="1" ref="M695" ca="1">SUMPRODUCT((Table1[SubscriptionStart] &lt;= $A695) * (Table1[EffectiveEndDate] &gt;= $A695) * (Table1[Region] = "Wales"))</f>
        <v>121</v>
      </c>
      <c r="N695" s="45" cm="1">
        <f t="array" aca="1" ref="N695" ca="1">SUMPRODUCT((Table1[SubscriptionStart] &lt;= $A695) * (Table1[EffectiveEndDate] &gt;= $A695) * (Table1[Region] = "Northern Ireland"))</f>
        <v>99</v>
      </c>
      <c r="O695" s="45" cm="1">
        <f t="array" aca="1" ref="O695" ca="1">SUMPRODUCT((Table1[Gender]="Male")*(Table1[SubscriptionStart]&lt;=A695)*(Table1[EffectiveEndDate]&gt;=A695))</f>
        <v>204</v>
      </c>
      <c r="P695" s="45" cm="1">
        <f t="array" aca="1" ref="P695" ca="1">SUMPRODUCT((Table1[Gender]="Female")*(Table1[SubscriptionStart]&lt;=A695)*(Table1[EffectiveEndDate]&gt;=A695))</f>
        <v>210</v>
      </c>
    </row>
    <row r="696" spans="1:16">
      <c r="A696" s="48">
        <f t="shared" si="43"/>
        <v>45256</v>
      </c>
      <c r="B696" s="45" cm="1">
        <f t="array" aca="1" ref="B696" ca="1">SUMPRODUCT((Table1[SubscriptionStart]&lt;=A696)*(Table1[EffectiveEndDate]&gt;=A696))</f>
        <v>415</v>
      </c>
      <c r="C696" s="45">
        <f>COUNTIFS(Table1[SubscriptionStart], A696)</f>
        <v>1</v>
      </c>
      <c r="D696" s="45">
        <f>COUNTIFS(Table1[CancellationDate], A696)</f>
        <v>0</v>
      </c>
      <c r="E696" s="45">
        <f t="shared" si="40"/>
        <v>1</v>
      </c>
      <c r="F696" s="45">
        <f>SUM($C$2:C696)</f>
        <v>765</v>
      </c>
      <c r="G696" s="49" cm="1">
        <f t="array" aca="1" ref="G696" ca="1">IF(B696=0,"", SUMPRODUCT((Table1[SubscriptionStart]&lt;=A696)*(Table1[EffectiveEndDate]&gt;=A696)*Table1[Age]) / B696 )</f>
        <v>46.903614457831324</v>
      </c>
      <c r="H696" s="22">
        <f>SUMIF(Table1[SubscriptionStart],"&lt;="&amp;A696,Table1[TotalRevenue])</f>
        <v>152798.20000000024</v>
      </c>
      <c r="I696" s="50">
        <f t="shared" si="41"/>
        <v>45260</v>
      </c>
      <c r="J696" s="49">
        <f t="shared" ca="1" si="42"/>
        <v>415.96666666666664</v>
      </c>
      <c r="K696" s="45" cm="1">
        <f t="array" aca="1" ref="K696" ca="1">SUMPRODUCT((Table1[SubscriptionStart] &lt;= $A696) * (Table1[EffectiveEndDate] &gt;= $A696) * (Table1[Region] = "England"))</f>
        <v>102</v>
      </c>
      <c r="L696" s="45" cm="1">
        <f t="array" aca="1" ref="L696" ca="1">SUMPRODUCT((Table1[SubscriptionStart] &lt;= $A696) * (Table1[EffectiveEndDate] &gt;= $A696) * (Table1[Region] = "Scotland"))</f>
        <v>93</v>
      </c>
      <c r="M696" s="45" cm="1">
        <f t="array" aca="1" ref="M696" ca="1">SUMPRODUCT((Table1[SubscriptionStart] &lt;= $A696) * (Table1[EffectiveEndDate] &gt;= $A696) * (Table1[Region] = "Wales"))</f>
        <v>121</v>
      </c>
      <c r="N696" s="45" cm="1">
        <f t="array" aca="1" ref="N696" ca="1">SUMPRODUCT((Table1[SubscriptionStart] &lt;= $A696) * (Table1[EffectiveEndDate] &gt;= $A696) * (Table1[Region] = "Northern Ireland"))</f>
        <v>99</v>
      </c>
      <c r="O696" s="45" cm="1">
        <f t="array" aca="1" ref="O696" ca="1">SUMPRODUCT((Table1[Gender]="Male")*(Table1[SubscriptionStart]&lt;=A696)*(Table1[EffectiveEndDate]&gt;=A696))</f>
        <v>205</v>
      </c>
      <c r="P696" s="45" cm="1">
        <f t="array" aca="1" ref="P696" ca="1">SUMPRODUCT((Table1[Gender]="Female")*(Table1[SubscriptionStart]&lt;=A696)*(Table1[EffectiveEndDate]&gt;=A696))</f>
        <v>210</v>
      </c>
    </row>
    <row r="697" spans="1:16">
      <c r="A697" s="48">
        <f t="shared" si="43"/>
        <v>45257</v>
      </c>
      <c r="B697" s="45" cm="1">
        <f t="array" aca="1" ref="B697" ca="1">SUMPRODUCT((Table1[SubscriptionStart]&lt;=A697)*(Table1[EffectiveEndDate]&gt;=A697))</f>
        <v>415</v>
      </c>
      <c r="C697" s="45">
        <f>COUNTIFS(Table1[SubscriptionStart], A697)</f>
        <v>0</v>
      </c>
      <c r="D697" s="45">
        <f>COUNTIFS(Table1[CancellationDate], A697)</f>
        <v>2</v>
      </c>
      <c r="E697" s="45">
        <f t="shared" si="40"/>
        <v>-2</v>
      </c>
      <c r="F697" s="45">
        <f>SUM($C$2:C697)</f>
        <v>765</v>
      </c>
      <c r="G697" s="49" cm="1">
        <f t="array" aca="1" ref="G697" ca="1">IF(B697=0,"", SUMPRODUCT((Table1[SubscriptionStart]&lt;=A697)*(Table1[EffectiveEndDate]&gt;=A697)*Table1[Age]) / B697 )</f>
        <v>46.903614457831324</v>
      </c>
      <c r="H697" s="22">
        <f>SUMIF(Table1[SubscriptionStart],"&lt;="&amp;A697,Table1[TotalRevenue])</f>
        <v>152798.20000000024</v>
      </c>
      <c r="I697" s="50">
        <f t="shared" si="41"/>
        <v>45260</v>
      </c>
      <c r="J697" s="49">
        <f t="shared" ca="1" si="42"/>
        <v>415.96666666666664</v>
      </c>
      <c r="K697" s="45" cm="1">
        <f t="array" aca="1" ref="K697" ca="1">SUMPRODUCT((Table1[SubscriptionStart] &lt;= $A697) * (Table1[EffectiveEndDate] &gt;= $A697) * (Table1[Region] = "England"))</f>
        <v>102</v>
      </c>
      <c r="L697" s="45" cm="1">
        <f t="array" aca="1" ref="L697" ca="1">SUMPRODUCT((Table1[SubscriptionStart] &lt;= $A697) * (Table1[EffectiveEndDate] &gt;= $A697) * (Table1[Region] = "Scotland"))</f>
        <v>93</v>
      </c>
      <c r="M697" s="45" cm="1">
        <f t="array" aca="1" ref="M697" ca="1">SUMPRODUCT((Table1[SubscriptionStart] &lt;= $A697) * (Table1[EffectiveEndDate] &gt;= $A697) * (Table1[Region] = "Wales"))</f>
        <v>121</v>
      </c>
      <c r="N697" s="45" cm="1">
        <f t="array" aca="1" ref="N697" ca="1">SUMPRODUCT((Table1[SubscriptionStart] &lt;= $A697) * (Table1[EffectiveEndDate] &gt;= $A697) * (Table1[Region] = "Northern Ireland"))</f>
        <v>99</v>
      </c>
      <c r="O697" s="45" cm="1">
        <f t="array" aca="1" ref="O697" ca="1">SUMPRODUCT((Table1[Gender]="Male")*(Table1[SubscriptionStart]&lt;=A697)*(Table1[EffectiveEndDate]&gt;=A697))</f>
        <v>205</v>
      </c>
      <c r="P697" s="45" cm="1">
        <f t="array" aca="1" ref="P697" ca="1">SUMPRODUCT((Table1[Gender]="Female")*(Table1[SubscriptionStart]&lt;=A697)*(Table1[EffectiveEndDate]&gt;=A697))</f>
        <v>210</v>
      </c>
    </row>
    <row r="698" spans="1:16">
      <c r="A698" s="48">
        <f t="shared" si="43"/>
        <v>45258</v>
      </c>
      <c r="B698" s="45" cm="1">
        <f t="array" aca="1" ref="B698" ca="1">SUMPRODUCT((Table1[SubscriptionStart]&lt;=A698)*(Table1[EffectiveEndDate]&gt;=A698))</f>
        <v>414</v>
      </c>
      <c r="C698" s="45">
        <f>COUNTIFS(Table1[SubscriptionStart], A698)</f>
        <v>1</v>
      </c>
      <c r="D698" s="45">
        <f>COUNTIFS(Table1[CancellationDate], A698)</f>
        <v>1</v>
      </c>
      <c r="E698" s="45">
        <f t="shared" si="40"/>
        <v>0</v>
      </c>
      <c r="F698" s="45">
        <f>SUM($C$2:C698)</f>
        <v>766</v>
      </c>
      <c r="G698" s="49" cm="1">
        <f t="array" aca="1" ref="G698" ca="1">IF(B698=0,"", SUMPRODUCT((Table1[SubscriptionStart]&lt;=A698)*(Table1[EffectiveEndDate]&gt;=A698)*Table1[Age]) / B698 )</f>
        <v>46.874396135265698</v>
      </c>
      <c r="H698" s="22">
        <f>SUMIF(Table1[SubscriptionStart],"&lt;="&amp;A698,Table1[TotalRevenue])</f>
        <v>152899.45000000024</v>
      </c>
      <c r="I698" s="50">
        <f t="shared" si="41"/>
        <v>45260</v>
      </c>
      <c r="J698" s="49">
        <f t="shared" ca="1" si="42"/>
        <v>415.96666666666664</v>
      </c>
      <c r="K698" s="45" cm="1">
        <f t="array" aca="1" ref="K698" ca="1">SUMPRODUCT((Table1[SubscriptionStart] &lt;= $A698) * (Table1[EffectiveEndDate] &gt;= $A698) * (Table1[Region] = "England"))</f>
        <v>102</v>
      </c>
      <c r="L698" s="45" cm="1">
        <f t="array" aca="1" ref="L698" ca="1">SUMPRODUCT((Table1[SubscriptionStart] &lt;= $A698) * (Table1[EffectiveEndDate] &gt;= $A698) * (Table1[Region] = "Scotland"))</f>
        <v>93</v>
      </c>
      <c r="M698" s="45" cm="1">
        <f t="array" aca="1" ref="M698" ca="1">SUMPRODUCT((Table1[SubscriptionStart] &lt;= $A698) * (Table1[EffectiveEndDate] &gt;= $A698) * (Table1[Region] = "Wales"))</f>
        <v>121</v>
      </c>
      <c r="N698" s="45" cm="1">
        <f t="array" aca="1" ref="N698" ca="1">SUMPRODUCT((Table1[SubscriptionStart] &lt;= $A698) * (Table1[EffectiveEndDate] &gt;= $A698) * (Table1[Region] = "Northern Ireland"))</f>
        <v>98</v>
      </c>
      <c r="O698" s="45" cm="1">
        <f t="array" aca="1" ref="O698" ca="1">SUMPRODUCT((Table1[Gender]="Male")*(Table1[SubscriptionStart]&lt;=A698)*(Table1[EffectiveEndDate]&gt;=A698))</f>
        <v>206</v>
      </c>
      <c r="P698" s="45" cm="1">
        <f t="array" aca="1" ref="P698" ca="1">SUMPRODUCT((Table1[Gender]="Female")*(Table1[SubscriptionStart]&lt;=A698)*(Table1[EffectiveEndDate]&gt;=A698))</f>
        <v>208</v>
      </c>
    </row>
    <row r="699" spans="1:16">
      <c r="A699" s="48">
        <f t="shared" si="43"/>
        <v>45259</v>
      </c>
      <c r="B699" s="45" cm="1">
        <f t="array" aca="1" ref="B699" ca="1">SUMPRODUCT((Table1[SubscriptionStart]&lt;=A699)*(Table1[EffectiveEndDate]&gt;=A699))</f>
        <v>417</v>
      </c>
      <c r="C699" s="45">
        <f>COUNTIFS(Table1[SubscriptionStart], A699)</f>
        <v>4</v>
      </c>
      <c r="D699" s="45">
        <f>COUNTIFS(Table1[CancellationDate], A699)</f>
        <v>0</v>
      </c>
      <c r="E699" s="45">
        <f t="shared" si="40"/>
        <v>4</v>
      </c>
      <c r="F699" s="45">
        <f>SUM($C$2:C699)</f>
        <v>770</v>
      </c>
      <c r="G699" s="49" cm="1">
        <f t="array" aca="1" ref="G699" ca="1">IF(B699=0,"", SUMPRODUCT((Table1[SubscriptionStart]&lt;=A699)*(Table1[EffectiveEndDate]&gt;=A699)*Table1[Age]) / B699 )</f>
        <v>46.947242206235011</v>
      </c>
      <c r="H699" s="22">
        <f>SUMIF(Table1[SubscriptionStart],"&lt;="&amp;A699,Table1[TotalRevenue])</f>
        <v>153158.65000000026</v>
      </c>
      <c r="I699" s="50">
        <f t="shared" si="41"/>
        <v>45260</v>
      </c>
      <c r="J699" s="49">
        <f t="shared" ca="1" si="42"/>
        <v>415.96666666666664</v>
      </c>
      <c r="K699" s="45" cm="1">
        <f t="array" aca="1" ref="K699" ca="1">SUMPRODUCT((Table1[SubscriptionStart] &lt;= $A699) * (Table1[EffectiveEndDate] &gt;= $A699) * (Table1[Region] = "England"))</f>
        <v>102</v>
      </c>
      <c r="L699" s="45" cm="1">
        <f t="array" aca="1" ref="L699" ca="1">SUMPRODUCT((Table1[SubscriptionStart] &lt;= $A699) * (Table1[EffectiveEndDate] &gt;= $A699) * (Table1[Region] = "Scotland"))</f>
        <v>94</v>
      </c>
      <c r="M699" s="45" cm="1">
        <f t="array" aca="1" ref="M699" ca="1">SUMPRODUCT((Table1[SubscriptionStart] &lt;= $A699) * (Table1[EffectiveEndDate] &gt;= $A699) * (Table1[Region] = "Wales"))</f>
        <v>121</v>
      </c>
      <c r="N699" s="45" cm="1">
        <f t="array" aca="1" ref="N699" ca="1">SUMPRODUCT((Table1[SubscriptionStart] &lt;= $A699) * (Table1[EffectiveEndDate] &gt;= $A699) * (Table1[Region] = "Northern Ireland"))</f>
        <v>100</v>
      </c>
      <c r="O699" s="45" cm="1">
        <f t="array" aca="1" ref="O699" ca="1">SUMPRODUCT((Table1[Gender]="Male")*(Table1[SubscriptionStart]&lt;=A699)*(Table1[EffectiveEndDate]&gt;=A699))</f>
        <v>206</v>
      </c>
      <c r="P699" s="45" cm="1">
        <f t="array" aca="1" ref="P699" ca="1">SUMPRODUCT((Table1[Gender]="Female")*(Table1[SubscriptionStart]&lt;=A699)*(Table1[EffectiveEndDate]&gt;=A699))</f>
        <v>211</v>
      </c>
    </row>
    <row r="700" spans="1:16">
      <c r="A700" s="48">
        <f t="shared" si="43"/>
        <v>45260</v>
      </c>
      <c r="B700" s="45" cm="1">
        <f t="array" aca="1" ref="B700" ca="1">SUMPRODUCT((Table1[SubscriptionStart]&lt;=A700)*(Table1[EffectiveEndDate]&gt;=A700))</f>
        <v>417</v>
      </c>
      <c r="C700" s="45">
        <f>COUNTIFS(Table1[SubscriptionStart], A700)</f>
        <v>0</v>
      </c>
      <c r="D700" s="45">
        <f>COUNTIFS(Table1[CancellationDate], A700)</f>
        <v>2</v>
      </c>
      <c r="E700" s="45">
        <f t="shared" si="40"/>
        <v>-2</v>
      </c>
      <c r="F700" s="45">
        <f>SUM($C$2:C700)</f>
        <v>770</v>
      </c>
      <c r="G700" s="49" cm="1">
        <f t="array" aca="1" ref="G700" ca="1">IF(B700=0,"", SUMPRODUCT((Table1[SubscriptionStart]&lt;=A700)*(Table1[EffectiveEndDate]&gt;=A700)*Table1[Age]) / B700 )</f>
        <v>46.947242206235011</v>
      </c>
      <c r="H700" s="22">
        <f>SUMIF(Table1[SubscriptionStart],"&lt;="&amp;A700,Table1[TotalRevenue])</f>
        <v>153158.65000000026</v>
      </c>
      <c r="I700" s="50">
        <f t="shared" si="41"/>
        <v>45260</v>
      </c>
      <c r="J700" s="49">
        <f t="shared" ca="1" si="42"/>
        <v>415.96666666666664</v>
      </c>
      <c r="K700" s="45" cm="1">
        <f t="array" aca="1" ref="K700" ca="1">SUMPRODUCT((Table1[SubscriptionStart] &lt;= $A700) * (Table1[EffectiveEndDate] &gt;= $A700) * (Table1[Region] = "England"))</f>
        <v>102</v>
      </c>
      <c r="L700" s="45" cm="1">
        <f t="array" aca="1" ref="L700" ca="1">SUMPRODUCT((Table1[SubscriptionStart] &lt;= $A700) * (Table1[EffectiveEndDate] &gt;= $A700) * (Table1[Region] = "Scotland"))</f>
        <v>94</v>
      </c>
      <c r="M700" s="45" cm="1">
        <f t="array" aca="1" ref="M700" ca="1">SUMPRODUCT((Table1[SubscriptionStart] &lt;= $A700) * (Table1[EffectiveEndDate] &gt;= $A700) * (Table1[Region] = "Wales"))</f>
        <v>121</v>
      </c>
      <c r="N700" s="45" cm="1">
        <f t="array" aca="1" ref="N700" ca="1">SUMPRODUCT((Table1[SubscriptionStart] &lt;= $A700) * (Table1[EffectiveEndDate] &gt;= $A700) * (Table1[Region] = "Northern Ireland"))</f>
        <v>100</v>
      </c>
      <c r="O700" s="45" cm="1">
        <f t="array" aca="1" ref="O700" ca="1">SUMPRODUCT((Table1[Gender]="Male")*(Table1[SubscriptionStart]&lt;=A700)*(Table1[EffectiveEndDate]&gt;=A700))</f>
        <v>206</v>
      </c>
      <c r="P700" s="45" cm="1">
        <f t="array" aca="1" ref="P700" ca="1">SUMPRODUCT((Table1[Gender]="Female")*(Table1[SubscriptionStart]&lt;=A700)*(Table1[EffectiveEndDate]&gt;=A700))</f>
        <v>211</v>
      </c>
    </row>
    <row r="701" spans="1:16">
      <c r="A701" s="48">
        <f t="shared" si="43"/>
        <v>45261</v>
      </c>
      <c r="B701" s="45" cm="1">
        <f t="array" aca="1" ref="B701" ca="1">SUMPRODUCT((Table1[SubscriptionStart]&lt;=A701)*(Table1[EffectiveEndDate]&gt;=A701))</f>
        <v>416</v>
      </c>
      <c r="C701" s="45">
        <f>COUNTIFS(Table1[SubscriptionStart], A701)</f>
        <v>1</v>
      </c>
      <c r="D701" s="45">
        <f>COUNTIFS(Table1[CancellationDate], A701)</f>
        <v>1</v>
      </c>
      <c r="E701" s="45">
        <f t="shared" si="40"/>
        <v>0</v>
      </c>
      <c r="F701" s="45">
        <f>SUM($C$2:C701)</f>
        <v>771</v>
      </c>
      <c r="G701" s="49" cm="1">
        <f t="array" aca="1" ref="G701" ca="1">IF(B701=0,"", SUMPRODUCT((Table1[SubscriptionStart]&lt;=A701)*(Table1[EffectiveEndDate]&gt;=A701)*Table1[Age]) / B701 )</f>
        <v>47.002403846153847</v>
      </c>
      <c r="H701" s="22">
        <f>SUMIF(Table1[SubscriptionStart],"&lt;="&amp;A701,Table1[TotalRevenue])</f>
        <v>153199.15000000026</v>
      </c>
      <c r="I701" s="50">
        <f t="shared" si="41"/>
        <v>45291</v>
      </c>
      <c r="J701" s="49">
        <f t="shared" ca="1" si="42"/>
        <v>411.06451612903226</v>
      </c>
      <c r="K701" s="45" cm="1">
        <f t="array" aca="1" ref="K701" ca="1">SUMPRODUCT((Table1[SubscriptionStart] &lt;= $A701) * (Table1[EffectiveEndDate] &gt;= $A701) * (Table1[Region] = "England"))</f>
        <v>100</v>
      </c>
      <c r="L701" s="45" cm="1">
        <f t="array" aca="1" ref="L701" ca="1">SUMPRODUCT((Table1[SubscriptionStart] &lt;= $A701) * (Table1[EffectiveEndDate] &gt;= $A701) * (Table1[Region] = "Scotland"))</f>
        <v>94</v>
      </c>
      <c r="M701" s="45" cm="1">
        <f t="array" aca="1" ref="M701" ca="1">SUMPRODUCT((Table1[SubscriptionStart] &lt;= $A701) * (Table1[EffectiveEndDate] &gt;= $A701) * (Table1[Region] = "Wales"))</f>
        <v>122</v>
      </c>
      <c r="N701" s="45" cm="1">
        <f t="array" aca="1" ref="N701" ca="1">SUMPRODUCT((Table1[SubscriptionStart] &lt;= $A701) * (Table1[EffectiveEndDate] &gt;= $A701) * (Table1[Region] = "Northern Ireland"))</f>
        <v>100</v>
      </c>
      <c r="O701" s="45" cm="1">
        <f t="array" aca="1" ref="O701" ca="1">SUMPRODUCT((Table1[Gender]="Male")*(Table1[SubscriptionStart]&lt;=A701)*(Table1[EffectiveEndDate]&gt;=A701))</f>
        <v>205</v>
      </c>
      <c r="P701" s="45" cm="1">
        <f t="array" aca="1" ref="P701" ca="1">SUMPRODUCT((Table1[Gender]="Female")*(Table1[SubscriptionStart]&lt;=A701)*(Table1[EffectiveEndDate]&gt;=A701))</f>
        <v>211</v>
      </c>
    </row>
    <row r="702" spans="1:16">
      <c r="A702" s="48">
        <f t="shared" si="43"/>
        <v>45262</v>
      </c>
      <c r="B702" s="45" cm="1">
        <f t="array" aca="1" ref="B702" ca="1">SUMPRODUCT((Table1[SubscriptionStart]&lt;=A702)*(Table1[EffectiveEndDate]&gt;=A702))</f>
        <v>416</v>
      </c>
      <c r="C702" s="45">
        <f>COUNTIFS(Table1[SubscriptionStart], A702)</f>
        <v>1</v>
      </c>
      <c r="D702" s="45">
        <f>COUNTIFS(Table1[CancellationDate], A702)</f>
        <v>0</v>
      </c>
      <c r="E702" s="45">
        <f t="shared" si="40"/>
        <v>1</v>
      </c>
      <c r="F702" s="45">
        <f>SUM($C$2:C702)</f>
        <v>772</v>
      </c>
      <c r="G702" s="49" cm="1">
        <f t="array" aca="1" ref="G702" ca="1">IF(B702=0,"", SUMPRODUCT((Table1[SubscriptionStart]&lt;=A702)*(Table1[EffectiveEndDate]&gt;=A702)*Table1[Age]) / B702 )</f>
        <v>47.009615384615387</v>
      </c>
      <c r="H702" s="22">
        <f>SUMIF(Table1[SubscriptionStart],"&lt;="&amp;A702,Table1[TotalRevenue])</f>
        <v>153379.15000000026</v>
      </c>
      <c r="I702" s="50">
        <f t="shared" si="41"/>
        <v>45291</v>
      </c>
      <c r="J702" s="49">
        <f t="shared" ca="1" si="42"/>
        <v>411.06451612903226</v>
      </c>
      <c r="K702" s="45" cm="1">
        <f t="array" aca="1" ref="K702" ca="1">SUMPRODUCT((Table1[SubscriptionStart] &lt;= $A702) * (Table1[EffectiveEndDate] &gt;= $A702) * (Table1[Region] = "England"))</f>
        <v>100</v>
      </c>
      <c r="L702" s="45" cm="1">
        <f t="array" aca="1" ref="L702" ca="1">SUMPRODUCT((Table1[SubscriptionStart] &lt;= $A702) * (Table1[EffectiveEndDate] &gt;= $A702) * (Table1[Region] = "Scotland"))</f>
        <v>94</v>
      </c>
      <c r="M702" s="45" cm="1">
        <f t="array" aca="1" ref="M702" ca="1">SUMPRODUCT((Table1[SubscriptionStart] &lt;= $A702) * (Table1[EffectiveEndDate] &gt;= $A702) * (Table1[Region] = "Wales"))</f>
        <v>121</v>
      </c>
      <c r="N702" s="45" cm="1">
        <f t="array" aca="1" ref="N702" ca="1">SUMPRODUCT((Table1[SubscriptionStart] &lt;= $A702) * (Table1[EffectiveEndDate] &gt;= $A702) * (Table1[Region] = "Northern Ireland"))</f>
        <v>101</v>
      </c>
      <c r="O702" s="45" cm="1">
        <f t="array" aca="1" ref="O702" ca="1">SUMPRODUCT((Table1[Gender]="Male")*(Table1[SubscriptionStart]&lt;=A702)*(Table1[EffectiveEndDate]&gt;=A702))</f>
        <v>206</v>
      </c>
      <c r="P702" s="45" cm="1">
        <f t="array" aca="1" ref="P702" ca="1">SUMPRODUCT((Table1[Gender]="Female")*(Table1[SubscriptionStart]&lt;=A702)*(Table1[EffectiveEndDate]&gt;=A702))</f>
        <v>210</v>
      </c>
    </row>
    <row r="703" spans="1:16">
      <c r="A703" s="48">
        <f t="shared" si="43"/>
        <v>45263</v>
      </c>
      <c r="B703" s="45" cm="1">
        <f t="array" aca="1" ref="B703" ca="1">SUMPRODUCT((Table1[SubscriptionStart]&lt;=A703)*(Table1[EffectiveEndDate]&gt;=A703))</f>
        <v>418</v>
      </c>
      <c r="C703" s="45">
        <f>COUNTIFS(Table1[SubscriptionStart], A703)</f>
        <v>2</v>
      </c>
      <c r="D703" s="45">
        <f>COUNTIFS(Table1[CancellationDate], A703)</f>
        <v>0</v>
      </c>
      <c r="E703" s="45">
        <f t="shared" si="40"/>
        <v>2</v>
      </c>
      <c r="F703" s="45">
        <f>SUM($C$2:C703)</f>
        <v>774</v>
      </c>
      <c r="G703" s="49" cm="1">
        <f t="array" aca="1" ref="G703" ca="1">IF(B703=0,"", SUMPRODUCT((Table1[SubscriptionStart]&lt;=A703)*(Table1[EffectiveEndDate]&gt;=A703)*Table1[Age]) / B703 )</f>
        <v>46.997607655502392</v>
      </c>
      <c r="H703" s="22">
        <f>SUMIF(Table1[SubscriptionStart],"&lt;="&amp;A703,Table1[TotalRevenue])</f>
        <v>153451.15000000026</v>
      </c>
      <c r="I703" s="50">
        <f t="shared" si="41"/>
        <v>45291</v>
      </c>
      <c r="J703" s="49">
        <f t="shared" ca="1" si="42"/>
        <v>411.06451612903226</v>
      </c>
      <c r="K703" s="45" cm="1">
        <f t="array" aca="1" ref="K703" ca="1">SUMPRODUCT((Table1[SubscriptionStart] &lt;= $A703) * (Table1[EffectiveEndDate] &gt;= $A703) * (Table1[Region] = "England"))</f>
        <v>100</v>
      </c>
      <c r="L703" s="45" cm="1">
        <f t="array" aca="1" ref="L703" ca="1">SUMPRODUCT((Table1[SubscriptionStart] &lt;= $A703) * (Table1[EffectiveEndDate] &gt;= $A703) * (Table1[Region] = "Scotland"))</f>
        <v>96</v>
      </c>
      <c r="M703" s="45" cm="1">
        <f t="array" aca="1" ref="M703" ca="1">SUMPRODUCT((Table1[SubscriptionStart] &lt;= $A703) * (Table1[EffectiveEndDate] &gt;= $A703) * (Table1[Region] = "Wales"))</f>
        <v>121</v>
      </c>
      <c r="N703" s="45" cm="1">
        <f t="array" aca="1" ref="N703" ca="1">SUMPRODUCT((Table1[SubscriptionStart] &lt;= $A703) * (Table1[EffectiveEndDate] &gt;= $A703) * (Table1[Region] = "Northern Ireland"))</f>
        <v>101</v>
      </c>
      <c r="O703" s="45" cm="1">
        <f t="array" aca="1" ref="O703" ca="1">SUMPRODUCT((Table1[Gender]="Male")*(Table1[SubscriptionStart]&lt;=A703)*(Table1[EffectiveEndDate]&gt;=A703))</f>
        <v>206</v>
      </c>
      <c r="P703" s="45" cm="1">
        <f t="array" aca="1" ref="P703" ca="1">SUMPRODUCT((Table1[Gender]="Female")*(Table1[SubscriptionStart]&lt;=A703)*(Table1[EffectiveEndDate]&gt;=A703))</f>
        <v>212</v>
      </c>
    </row>
    <row r="704" spans="1:16">
      <c r="A704" s="48">
        <f t="shared" si="43"/>
        <v>45264</v>
      </c>
      <c r="B704" s="45" cm="1">
        <f t="array" aca="1" ref="B704" ca="1">SUMPRODUCT((Table1[SubscriptionStart]&lt;=A704)*(Table1[EffectiveEndDate]&gt;=A704))</f>
        <v>420</v>
      </c>
      <c r="C704" s="45">
        <f>COUNTIFS(Table1[SubscriptionStart], A704)</f>
        <v>2</v>
      </c>
      <c r="D704" s="45">
        <f>COUNTIFS(Table1[CancellationDate], A704)</f>
        <v>0</v>
      </c>
      <c r="E704" s="45">
        <f t="shared" si="40"/>
        <v>2</v>
      </c>
      <c r="F704" s="45">
        <f>SUM($C$2:C704)</f>
        <v>776</v>
      </c>
      <c r="G704" s="49" cm="1">
        <f t="array" aca="1" ref="G704" ca="1">IF(B704=0,"", SUMPRODUCT((Table1[SubscriptionStart]&lt;=A704)*(Table1[EffectiveEndDate]&gt;=A704)*Table1[Age]) / B704 )</f>
        <v>46.945238095238096</v>
      </c>
      <c r="H704" s="22">
        <f>SUMIF(Table1[SubscriptionStart],"&lt;="&amp;A704,Table1[TotalRevenue])</f>
        <v>153732.75000000026</v>
      </c>
      <c r="I704" s="50">
        <f t="shared" si="41"/>
        <v>45291</v>
      </c>
      <c r="J704" s="49">
        <f t="shared" ca="1" si="42"/>
        <v>411.06451612903226</v>
      </c>
      <c r="K704" s="45" cm="1">
        <f t="array" aca="1" ref="K704" ca="1">SUMPRODUCT((Table1[SubscriptionStart] &lt;= $A704) * (Table1[EffectiveEndDate] &gt;= $A704) * (Table1[Region] = "England"))</f>
        <v>100</v>
      </c>
      <c r="L704" s="45" cm="1">
        <f t="array" aca="1" ref="L704" ca="1">SUMPRODUCT((Table1[SubscriptionStart] &lt;= $A704) * (Table1[EffectiveEndDate] &gt;= $A704) * (Table1[Region] = "Scotland"))</f>
        <v>96</v>
      </c>
      <c r="M704" s="45" cm="1">
        <f t="array" aca="1" ref="M704" ca="1">SUMPRODUCT((Table1[SubscriptionStart] &lt;= $A704) * (Table1[EffectiveEndDate] &gt;= $A704) * (Table1[Region] = "Wales"))</f>
        <v>122</v>
      </c>
      <c r="N704" s="45" cm="1">
        <f t="array" aca="1" ref="N704" ca="1">SUMPRODUCT((Table1[SubscriptionStart] &lt;= $A704) * (Table1[EffectiveEndDate] &gt;= $A704) * (Table1[Region] = "Northern Ireland"))</f>
        <v>102</v>
      </c>
      <c r="O704" s="45" cm="1">
        <f t="array" aca="1" ref="O704" ca="1">SUMPRODUCT((Table1[Gender]="Male")*(Table1[SubscriptionStart]&lt;=A704)*(Table1[EffectiveEndDate]&gt;=A704))</f>
        <v>206</v>
      </c>
      <c r="P704" s="45" cm="1">
        <f t="array" aca="1" ref="P704" ca="1">SUMPRODUCT((Table1[Gender]="Female")*(Table1[SubscriptionStart]&lt;=A704)*(Table1[EffectiveEndDate]&gt;=A704))</f>
        <v>214</v>
      </c>
    </row>
    <row r="705" spans="1:16">
      <c r="A705" s="48">
        <f t="shared" si="43"/>
        <v>45265</v>
      </c>
      <c r="B705" s="45" cm="1">
        <f t="array" aca="1" ref="B705" ca="1">SUMPRODUCT((Table1[SubscriptionStart]&lt;=A705)*(Table1[EffectiveEndDate]&gt;=A705))</f>
        <v>421</v>
      </c>
      <c r="C705" s="45">
        <f>COUNTIFS(Table1[SubscriptionStart], A705)</f>
        <v>1</v>
      </c>
      <c r="D705" s="45">
        <f>COUNTIFS(Table1[CancellationDate], A705)</f>
        <v>3</v>
      </c>
      <c r="E705" s="45">
        <f t="shared" si="40"/>
        <v>-2</v>
      </c>
      <c r="F705" s="45">
        <f>SUM($C$2:C705)</f>
        <v>777</v>
      </c>
      <c r="G705" s="49" cm="1">
        <f t="array" aca="1" ref="G705" ca="1">IF(B705=0,"", SUMPRODUCT((Table1[SubscriptionStart]&lt;=A705)*(Table1[EffectiveEndDate]&gt;=A705)*Table1[Age]) / B705 )</f>
        <v>46.952494061757719</v>
      </c>
      <c r="H705" s="22">
        <f>SUMIF(Table1[SubscriptionStart],"&lt;="&amp;A705,Table1[TotalRevenue])</f>
        <v>153903.75000000026</v>
      </c>
      <c r="I705" s="50">
        <f t="shared" si="41"/>
        <v>45291</v>
      </c>
      <c r="J705" s="49">
        <f t="shared" ca="1" si="42"/>
        <v>411.06451612903226</v>
      </c>
      <c r="K705" s="45" cm="1">
        <f t="array" aca="1" ref="K705" ca="1">SUMPRODUCT((Table1[SubscriptionStart] &lt;= $A705) * (Table1[EffectiveEndDate] &gt;= $A705) * (Table1[Region] = "England"))</f>
        <v>100</v>
      </c>
      <c r="L705" s="45" cm="1">
        <f t="array" aca="1" ref="L705" ca="1">SUMPRODUCT((Table1[SubscriptionStart] &lt;= $A705) * (Table1[EffectiveEndDate] &gt;= $A705) * (Table1[Region] = "Scotland"))</f>
        <v>96</v>
      </c>
      <c r="M705" s="45" cm="1">
        <f t="array" aca="1" ref="M705" ca="1">SUMPRODUCT((Table1[SubscriptionStart] &lt;= $A705) * (Table1[EffectiveEndDate] &gt;= $A705) * (Table1[Region] = "Wales"))</f>
        <v>123</v>
      </c>
      <c r="N705" s="45" cm="1">
        <f t="array" aca="1" ref="N705" ca="1">SUMPRODUCT((Table1[SubscriptionStart] &lt;= $A705) * (Table1[EffectiveEndDate] &gt;= $A705) * (Table1[Region] = "Northern Ireland"))</f>
        <v>102</v>
      </c>
      <c r="O705" s="45" cm="1">
        <f t="array" aca="1" ref="O705" ca="1">SUMPRODUCT((Table1[Gender]="Male")*(Table1[SubscriptionStart]&lt;=A705)*(Table1[EffectiveEndDate]&gt;=A705))</f>
        <v>207</v>
      </c>
      <c r="P705" s="45" cm="1">
        <f t="array" aca="1" ref="P705" ca="1">SUMPRODUCT((Table1[Gender]="Female")*(Table1[SubscriptionStart]&lt;=A705)*(Table1[EffectiveEndDate]&gt;=A705))</f>
        <v>214</v>
      </c>
    </row>
    <row r="706" spans="1:16">
      <c r="A706" s="48">
        <f t="shared" si="43"/>
        <v>45266</v>
      </c>
      <c r="B706" s="45" cm="1">
        <f t="array" aca="1" ref="B706" ca="1">SUMPRODUCT((Table1[SubscriptionStart]&lt;=A706)*(Table1[EffectiveEndDate]&gt;=A706))</f>
        <v>418</v>
      </c>
      <c r="C706" s="45">
        <f>COUNTIFS(Table1[SubscriptionStart], A706)</f>
        <v>0</v>
      </c>
      <c r="D706" s="45">
        <f>COUNTIFS(Table1[CancellationDate], A706)</f>
        <v>3</v>
      </c>
      <c r="E706" s="45">
        <f t="shared" ref="E706:E741" si="44" xml:space="preserve"> C706 - D706</f>
        <v>-3</v>
      </c>
      <c r="F706" s="45">
        <f>SUM($C$2:C706)</f>
        <v>777</v>
      </c>
      <c r="G706" s="49" cm="1">
        <f t="array" aca="1" ref="G706" ca="1">IF(B706=0,"", SUMPRODUCT((Table1[SubscriptionStart]&lt;=A706)*(Table1[EffectiveEndDate]&gt;=A706)*Table1[Age]) / B706 )</f>
        <v>46.901913875598083</v>
      </c>
      <c r="H706" s="22">
        <f>SUMIF(Table1[SubscriptionStart],"&lt;="&amp;A706,Table1[TotalRevenue])</f>
        <v>153903.75000000026</v>
      </c>
      <c r="I706" s="50">
        <f t="shared" ref="I706:I741" si="45">EOMONTH(A706,0)</f>
        <v>45291</v>
      </c>
      <c r="J706" s="49">
        <f t="shared" ref="J706:J741" ca="1" si="46">AVERAGEIFS(B:B, I:I, I706)</f>
        <v>411.06451612903226</v>
      </c>
      <c r="K706" s="45" cm="1">
        <f t="array" aca="1" ref="K706" ca="1">SUMPRODUCT((Table1[SubscriptionStart] &lt;= $A706) * (Table1[EffectiveEndDate] &gt;= $A706) * (Table1[Region] = "England"))</f>
        <v>100</v>
      </c>
      <c r="L706" s="45" cm="1">
        <f t="array" aca="1" ref="L706" ca="1">SUMPRODUCT((Table1[SubscriptionStart] &lt;= $A706) * (Table1[EffectiveEndDate] &gt;= $A706) * (Table1[Region] = "Scotland"))</f>
        <v>94</v>
      </c>
      <c r="M706" s="45" cm="1">
        <f t="array" aca="1" ref="M706" ca="1">SUMPRODUCT((Table1[SubscriptionStart] &lt;= $A706) * (Table1[EffectiveEndDate] &gt;= $A706) * (Table1[Region] = "Wales"))</f>
        <v>123</v>
      </c>
      <c r="N706" s="45" cm="1">
        <f t="array" aca="1" ref="N706" ca="1">SUMPRODUCT((Table1[SubscriptionStart] &lt;= $A706) * (Table1[EffectiveEndDate] &gt;= $A706) * (Table1[Region] = "Northern Ireland"))</f>
        <v>101</v>
      </c>
      <c r="O706" s="45" cm="1">
        <f t="array" aca="1" ref="O706" ca="1">SUMPRODUCT((Table1[Gender]="Male")*(Table1[SubscriptionStart]&lt;=A706)*(Table1[EffectiveEndDate]&gt;=A706))</f>
        <v>206</v>
      </c>
      <c r="P706" s="45" cm="1">
        <f t="array" aca="1" ref="P706" ca="1">SUMPRODUCT((Table1[Gender]="Female")*(Table1[SubscriptionStart]&lt;=A706)*(Table1[EffectiveEndDate]&gt;=A706))</f>
        <v>212</v>
      </c>
    </row>
    <row r="707" spans="1:16">
      <c r="A707" s="48">
        <f t="shared" si="43"/>
        <v>45267</v>
      </c>
      <c r="B707" s="45" cm="1">
        <f t="array" aca="1" ref="B707" ca="1">SUMPRODUCT((Table1[SubscriptionStart]&lt;=A707)*(Table1[EffectiveEndDate]&gt;=A707))</f>
        <v>415</v>
      </c>
      <c r="C707" s="45">
        <f>COUNTIFS(Table1[SubscriptionStart], A707)</f>
        <v>0</v>
      </c>
      <c r="D707" s="45">
        <f>COUNTIFS(Table1[CancellationDate], A707)</f>
        <v>2</v>
      </c>
      <c r="E707" s="45">
        <f t="shared" si="44"/>
        <v>-2</v>
      </c>
      <c r="F707" s="45">
        <f>SUM($C$2:C707)</f>
        <v>777</v>
      </c>
      <c r="G707" s="49" cm="1">
        <f t="array" aca="1" ref="G707" ca="1">IF(B707=0,"", SUMPRODUCT((Table1[SubscriptionStart]&lt;=A707)*(Table1[EffectiveEndDate]&gt;=A707)*Table1[Age]) / B707 )</f>
        <v>46.877108433734939</v>
      </c>
      <c r="H707" s="22">
        <f>SUMIF(Table1[SubscriptionStart],"&lt;="&amp;A707,Table1[TotalRevenue])</f>
        <v>153903.75000000026</v>
      </c>
      <c r="I707" s="50">
        <f t="shared" si="45"/>
        <v>45291</v>
      </c>
      <c r="J707" s="49">
        <f t="shared" ca="1" si="46"/>
        <v>411.06451612903226</v>
      </c>
      <c r="K707" s="45" cm="1">
        <f t="array" aca="1" ref="K707" ca="1">SUMPRODUCT((Table1[SubscriptionStart] &lt;= $A707) * (Table1[EffectiveEndDate] &gt;= $A707) * (Table1[Region] = "England"))</f>
        <v>98</v>
      </c>
      <c r="L707" s="45" cm="1">
        <f t="array" aca="1" ref="L707" ca="1">SUMPRODUCT((Table1[SubscriptionStart] &lt;= $A707) * (Table1[EffectiveEndDate] &gt;= $A707) * (Table1[Region] = "Scotland"))</f>
        <v>94</v>
      </c>
      <c r="M707" s="45" cm="1">
        <f t="array" aca="1" ref="M707" ca="1">SUMPRODUCT((Table1[SubscriptionStart] &lt;= $A707) * (Table1[EffectiveEndDate] &gt;= $A707) * (Table1[Region] = "Wales"))</f>
        <v>122</v>
      </c>
      <c r="N707" s="45" cm="1">
        <f t="array" aca="1" ref="N707" ca="1">SUMPRODUCT((Table1[SubscriptionStart] &lt;= $A707) * (Table1[EffectiveEndDate] &gt;= $A707) * (Table1[Region] = "Northern Ireland"))</f>
        <v>101</v>
      </c>
      <c r="O707" s="45" cm="1">
        <f t="array" aca="1" ref="O707" ca="1">SUMPRODUCT((Table1[Gender]="Male")*(Table1[SubscriptionStart]&lt;=A707)*(Table1[EffectiveEndDate]&gt;=A707))</f>
        <v>204</v>
      </c>
      <c r="P707" s="45" cm="1">
        <f t="array" aca="1" ref="P707" ca="1">SUMPRODUCT((Table1[Gender]="Female")*(Table1[SubscriptionStart]&lt;=A707)*(Table1[EffectiveEndDate]&gt;=A707))</f>
        <v>211</v>
      </c>
    </row>
    <row r="708" spans="1:16">
      <c r="A708" s="48">
        <f t="shared" ref="A708:A741" si="47">A707+1</f>
        <v>45268</v>
      </c>
      <c r="B708" s="45" cm="1">
        <f t="array" aca="1" ref="B708" ca="1">SUMPRODUCT((Table1[SubscriptionStart]&lt;=A708)*(Table1[EffectiveEndDate]&gt;=A708))</f>
        <v>413</v>
      </c>
      <c r="C708" s="45">
        <f>COUNTIFS(Table1[SubscriptionStart], A708)</f>
        <v>0</v>
      </c>
      <c r="D708" s="45">
        <f>COUNTIFS(Table1[CancellationDate], A708)</f>
        <v>0</v>
      </c>
      <c r="E708" s="45">
        <f t="shared" si="44"/>
        <v>0</v>
      </c>
      <c r="F708" s="45">
        <f>SUM($C$2:C708)</f>
        <v>777</v>
      </c>
      <c r="G708" s="49" cm="1">
        <f t="array" aca="1" ref="G708" ca="1">IF(B708=0,"", SUMPRODUCT((Table1[SubscriptionStart]&lt;=A708)*(Table1[EffectiveEndDate]&gt;=A708)*Table1[Age]) / B708 )</f>
        <v>46.857142857142854</v>
      </c>
      <c r="H708" s="22">
        <f>SUMIF(Table1[SubscriptionStart],"&lt;="&amp;A708,Table1[TotalRevenue])</f>
        <v>153903.75000000026</v>
      </c>
      <c r="I708" s="50">
        <f t="shared" si="45"/>
        <v>45291</v>
      </c>
      <c r="J708" s="49">
        <f t="shared" ca="1" si="46"/>
        <v>411.06451612903226</v>
      </c>
      <c r="K708" s="45" cm="1">
        <f t="array" aca="1" ref="K708" ca="1">SUMPRODUCT((Table1[SubscriptionStart] &lt;= $A708) * (Table1[EffectiveEndDate] &gt;= $A708) * (Table1[Region] = "England"))</f>
        <v>98</v>
      </c>
      <c r="L708" s="45" cm="1">
        <f t="array" aca="1" ref="L708" ca="1">SUMPRODUCT((Table1[SubscriptionStart] &lt;= $A708) * (Table1[EffectiveEndDate] &gt;= $A708) * (Table1[Region] = "Scotland"))</f>
        <v>94</v>
      </c>
      <c r="M708" s="45" cm="1">
        <f t="array" aca="1" ref="M708" ca="1">SUMPRODUCT((Table1[SubscriptionStart] &lt;= $A708) * (Table1[EffectiveEndDate] &gt;= $A708) * (Table1[Region] = "Wales"))</f>
        <v>122</v>
      </c>
      <c r="N708" s="45" cm="1">
        <f t="array" aca="1" ref="N708" ca="1">SUMPRODUCT((Table1[SubscriptionStart] &lt;= $A708) * (Table1[EffectiveEndDate] &gt;= $A708) * (Table1[Region] = "Northern Ireland"))</f>
        <v>99</v>
      </c>
      <c r="O708" s="45" cm="1">
        <f t="array" aca="1" ref="O708" ca="1">SUMPRODUCT((Table1[Gender]="Male")*(Table1[SubscriptionStart]&lt;=A708)*(Table1[EffectiveEndDate]&gt;=A708))</f>
        <v>203</v>
      </c>
      <c r="P708" s="45" cm="1">
        <f t="array" aca="1" ref="P708" ca="1">SUMPRODUCT((Table1[Gender]="Female")*(Table1[SubscriptionStart]&lt;=A708)*(Table1[EffectiveEndDate]&gt;=A708))</f>
        <v>210</v>
      </c>
    </row>
    <row r="709" spans="1:16">
      <c r="A709" s="48">
        <f t="shared" si="47"/>
        <v>45269</v>
      </c>
      <c r="B709" s="45" cm="1">
        <f t="array" aca="1" ref="B709" ca="1">SUMPRODUCT((Table1[SubscriptionStart]&lt;=A709)*(Table1[EffectiveEndDate]&gt;=A709))</f>
        <v>413</v>
      </c>
      <c r="C709" s="45">
        <f>COUNTIFS(Table1[SubscriptionStart], A709)</f>
        <v>0</v>
      </c>
      <c r="D709" s="45">
        <f>COUNTIFS(Table1[CancellationDate], A709)</f>
        <v>2</v>
      </c>
      <c r="E709" s="45">
        <f t="shared" si="44"/>
        <v>-2</v>
      </c>
      <c r="F709" s="45">
        <f>SUM($C$2:C709)</f>
        <v>777</v>
      </c>
      <c r="G709" s="49" cm="1">
        <f t="array" aca="1" ref="G709" ca="1">IF(B709=0,"", SUMPRODUCT((Table1[SubscriptionStart]&lt;=A709)*(Table1[EffectiveEndDate]&gt;=A709)*Table1[Age]) / B709 )</f>
        <v>46.857142857142854</v>
      </c>
      <c r="H709" s="22">
        <f>SUMIF(Table1[SubscriptionStart],"&lt;="&amp;A709,Table1[TotalRevenue])</f>
        <v>153903.75000000026</v>
      </c>
      <c r="I709" s="50">
        <f t="shared" si="45"/>
        <v>45291</v>
      </c>
      <c r="J709" s="49">
        <f t="shared" ca="1" si="46"/>
        <v>411.06451612903226</v>
      </c>
      <c r="K709" s="45" cm="1">
        <f t="array" aca="1" ref="K709" ca="1">SUMPRODUCT((Table1[SubscriptionStart] &lt;= $A709) * (Table1[EffectiveEndDate] &gt;= $A709) * (Table1[Region] = "England"))</f>
        <v>98</v>
      </c>
      <c r="L709" s="45" cm="1">
        <f t="array" aca="1" ref="L709" ca="1">SUMPRODUCT((Table1[SubscriptionStart] &lt;= $A709) * (Table1[EffectiveEndDate] &gt;= $A709) * (Table1[Region] = "Scotland"))</f>
        <v>94</v>
      </c>
      <c r="M709" s="45" cm="1">
        <f t="array" aca="1" ref="M709" ca="1">SUMPRODUCT((Table1[SubscriptionStart] &lt;= $A709) * (Table1[EffectiveEndDate] &gt;= $A709) * (Table1[Region] = "Wales"))</f>
        <v>122</v>
      </c>
      <c r="N709" s="45" cm="1">
        <f t="array" aca="1" ref="N709" ca="1">SUMPRODUCT((Table1[SubscriptionStart] &lt;= $A709) * (Table1[EffectiveEndDate] &gt;= $A709) * (Table1[Region] = "Northern Ireland"))</f>
        <v>99</v>
      </c>
      <c r="O709" s="45" cm="1">
        <f t="array" aca="1" ref="O709" ca="1">SUMPRODUCT((Table1[Gender]="Male")*(Table1[SubscriptionStart]&lt;=A709)*(Table1[EffectiveEndDate]&gt;=A709))</f>
        <v>203</v>
      </c>
      <c r="P709" s="45" cm="1">
        <f t="array" aca="1" ref="P709" ca="1">SUMPRODUCT((Table1[Gender]="Female")*(Table1[SubscriptionStart]&lt;=A709)*(Table1[EffectiveEndDate]&gt;=A709))</f>
        <v>210</v>
      </c>
    </row>
    <row r="710" spans="1:16">
      <c r="A710" s="48">
        <f t="shared" si="47"/>
        <v>45270</v>
      </c>
      <c r="B710" s="45" cm="1">
        <f t="array" aca="1" ref="B710" ca="1">SUMPRODUCT((Table1[SubscriptionStart]&lt;=A710)*(Table1[EffectiveEndDate]&gt;=A710))</f>
        <v>411</v>
      </c>
      <c r="C710" s="45">
        <f>COUNTIFS(Table1[SubscriptionStart], A710)</f>
        <v>0</v>
      </c>
      <c r="D710" s="45">
        <f>COUNTIFS(Table1[CancellationDate], A710)</f>
        <v>2</v>
      </c>
      <c r="E710" s="45">
        <f t="shared" si="44"/>
        <v>-2</v>
      </c>
      <c r="F710" s="45">
        <f>SUM($C$2:C710)</f>
        <v>777</v>
      </c>
      <c r="G710" s="49" cm="1">
        <f t="array" aca="1" ref="G710" ca="1">IF(B710=0,"", SUMPRODUCT((Table1[SubscriptionStart]&lt;=A710)*(Table1[EffectiveEndDate]&gt;=A710)*Table1[Age]) / B710 )</f>
        <v>46.970802919708028</v>
      </c>
      <c r="H710" s="22">
        <f>SUMIF(Table1[SubscriptionStart],"&lt;="&amp;A710,Table1[TotalRevenue])</f>
        <v>153903.75000000026</v>
      </c>
      <c r="I710" s="50">
        <f t="shared" si="45"/>
        <v>45291</v>
      </c>
      <c r="J710" s="49">
        <f t="shared" ca="1" si="46"/>
        <v>411.06451612903226</v>
      </c>
      <c r="K710" s="45" cm="1">
        <f t="array" aca="1" ref="K710" ca="1">SUMPRODUCT((Table1[SubscriptionStart] &lt;= $A710) * (Table1[EffectiveEndDate] &gt;= $A710) * (Table1[Region] = "England"))</f>
        <v>98</v>
      </c>
      <c r="L710" s="45" cm="1">
        <f t="array" aca="1" ref="L710" ca="1">SUMPRODUCT((Table1[SubscriptionStart] &lt;= $A710) * (Table1[EffectiveEndDate] &gt;= $A710) * (Table1[Region] = "Scotland"))</f>
        <v>93</v>
      </c>
      <c r="M710" s="45" cm="1">
        <f t="array" aca="1" ref="M710" ca="1">SUMPRODUCT((Table1[SubscriptionStart] &lt;= $A710) * (Table1[EffectiveEndDate] &gt;= $A710) * (Table1[Region] = "Wales"))</f>
        <v>121</v>
      </c>
      <c r="N710" s="45" cm="1">
        <f t="array" aca="1" ref="N710" ca="1">SUMPRODUCT((Table1[SubscriptionStart] &lt;= $A710) * (Table1[EffectiveEndDate] &gt;= $A710) * (Table1[Region] = "Northern Ireland"))</f>
        <v>99</v>
      </c>
      <c r="O710" s="45" cm="1">
        <f t="array" aca="1" ref="O710" ca="1">SUMPRODUCT((Table1[Gender]="Male")*(Table1[SubscriptionStart]&lt;=A710)*(Table1[EffectiveEndDate]&gt;=A710))</f>
        <v>202</v>
      </c>
      <c r="P710" s="45" cm="1">
        <f t="array" aca="1" ref="P710" ca="1">SUMPRODUCT((Table1[Gender]="Female")*(Table1[SubscriptionStart]&lt;=A710)*(Table1[EffectiveEndDate]&gt;=A710))</f>
        <v>209</v>
      </c>
    </row>
    <row r="711" spans="1:16">
      <c r="A711" s="48">
        <f t="shared" si="47"/>
        <v>45271</v>
      </c>
      <c r="B711" s="45" cm="1">
        <f t="array" aca="1" ref="B711" ca="1">SUMPRODUCT((Table1[SubscriptionStart]&lt;=A711)*(Table1[EffectiveEndDate]&gt;=A711))</f>
        <v>410</v>
      </c>
      <c r="C711" s="45">
        <f>COUNTIFS(Table1[SubscriptionStart], A711)</f>
        <v>1</v>
      </c>
      <c r="D711" s="45">
        <f>COUNTIFS(Table1[CancellationDate], A711)</f>
        <v>1</v>
      </c>
      <c r="E711" s="45">
        <f t="shared" si="44"/>
        <v>0</v>
      </c>
      <c r="F711" s="45">
        <f>SUM($C$2:C711)</f>
        <v>778</v>
      </c>
      <c r="G711" s="49" cm="1">
        <f t="array" aca="1" ref="G711" ca="1">IF(B711=0,"", SUMPRODUCT((Table1[SubscriptionStart]&lt;=A711)*(Table1[EffectiveEndDate]&gt;=A711)*Table1[Age]) / B711 )</f>
        <v>47.097560975609753</v>
      </c>
      <c r="H711" s="22">
        <f>SUMIF(Table1[SubscriptionStart],"&lt;="&amp;A711,Table1[TotalRevenue])</f>
        <v>153975.75000000026</v>
      </c>
      <c r="I711" s="50">
        <f t="shared" si="45"/>
        <v>45291</v>
      </c>
      <c r="J711" s="49">
        <f t="shared" ca="1" si="46"/>
        <v>411.06451612903226</v>
      </c>
      <c r="K711" s="45" cm="1">
        <f t="array" aca="1" ref="K711" ca="1">SUMPRODUCT((Table1[SubscriptionStart] &lt;= $A711) * (Table1[EffectiveEndDate] &gt;= $A711) * (Table1[Region] = "England"))</f>
        <v>97</v>
      </c>
      <c r="L711" s="45" cm="1">
        <f t="array" aca="1" ref="L711" ca="1">SUMPRODUCT((Table1[SubscriptionStart] &lt;= $A711) * (Table1[EffectiveEndDate] &gt;= $A711) * (Table1[Region] = "Scotland"))</f>
        <v>92</v>
      </c>
      <c r="M711" s="45" cm="1">
        <f t="array" aca="1" ref="M711" ca="1">SUMPRODUCT((Table1[SubscriptionStart] &lt;= $A711) * (Table1[EffectiveEndDate] &gt;= $A711) * (Table1[Region] = "Wales"))</f>
        <v>121</v>
      </c>
      <c r="N711" s="45" cm="1">
        <f t="array" aca="1" ref="N711" ca="1">SUMPRODUCT((Table1[SubscriptionStart] &lt;= $A711) * (Table1[EffectiveEndDate] &gt;= $A711) * (Table1[Region] = "Northern Ireland"))</f>
        <v>100</v>
      </c>
      <c r="O711" s="45" cm="1">
        <f t="array" aca="1" ref="O711" ca="1">SUMPRODUCT((Table1[Gender]="Male")*(Table1[SubscriptionStart]&lt;=A711)*(Table1[EffectiveEndDate]&gt;=A711))</f>
        <v>203</v>
      </c>
      <c r="P711" s="45" cm="1">
        <f t="array" aca="1" ref="P711" ca="1">SUMPRODUCT((Table1[Gender]="Female")*(Table1[SubscriptionStart]&lt;=A711)*(Table1[EffectiveEndDate]&gt;=A711))</f>
        <v>207</v>
      </c>
    </row>
    <row r="712" spans="1:16">
      <c r="A712" s="48">
        <f t="shared" si="47"/>
        <v>45272</v>
      </c>
      <c r="B712" s="45" cm="1">
        <f t="array" aca="1" ref="B712" ca="1">SUMPRODUCT((Table1[SubscriptionStart]&lt;=A712)*(Table1[EffectiveEndDate]&gt;=A712))</f>
        <v>410</v>
      </c>
      <c r="C712" s="45">
        <f>COUNTIFS(Table1[SubscriptionStart], A712)</f>
        <v>1</v>
      </c>
      <c r="D712" s="45">
        <f>COUNTIFS(Table1[CancellationDate], A712)</f>
        <v>1</v>
      </c>
      <c r="E712" s="45">
        <f t="shared" si="44"/>
        <v>0</v>
      </c>
      <c r="F712" s="45">
        <f>SUM($C$2:C712)</f>
        <v>779</v>
      </c>
      <c r="G712" s="49" cm="1">
        <f t="array" aca="1" ref="G712" ca="1">IF(B712=0,"", SUMPRODUCT((Table1[SubscriptionStart]&lt;=A712)*(Table1[EffectiveEndDate]&gt;=A712)*Table1[Age]) / B712 )</f>
        <v>47.012195121951223</v>
      </c>
      <c r="H712" s="22">
        <f>SUMIF(Table1[SubscriptionStart],"&lt;="&amp;A712,Table1[TotalRevenue])</f>
        <v>154249.35000000027</v>
      </c>
      <c r="I712" s="50">
        <f t="shared" si="45"/>
        <v>45291</v>
      </c>
      <c r="J712" s="49">
        <f t="shared" ca="1" si="46"/>
        <v>411.06451612903226</v>
      </c>
      <c r="K712" s="45" cm="1">
        <f t="array" aca="1" ref="K712" ca="1">SUMPRODUCT((Table1[SubscriptionStart] &lt;= $A712) * (Table1[EffectiveEndDate] &gt;= $A712) * (Table1[Region] = "England"))</f>
        <v>97</v>
      </c>
      <c r="L712" s="45" cm="1">
        <f t="array" aca="1" ref="L712" ca="1">SUMPRODUCT((Table1[SubscriptionStart] &lt;= $A712) * (Table1[EffectiveEndDate] &gt;= $A712) * (Table1[Region] = "Scotland"))</f>
        <v>91</v>
      </c>
      <c r="M712" s="45" cm="1">
        <f t="array" aca="1" ref="M712" ca="1">SUMPRODUCT((Table1[SubscriptionStart] &lt;= $A712) * (Table1[EffectiveEndDate] &gt;= $A712) * (Table1[Region] = "Wales"))</f>
        <v>121</v>
      </c>
      <c r="N712" s="45" cm="1">
        <f t="array" aca="1" ref="N712" ca="1">SUMPRODUCT((Table1[SubscriptionStart] &lt;= $A712) * (Table1[EffectiveEndDate] &gt;= $A712) * (Table1[Region] = "Northern Ireland"))</f>
        <v>101</v>
      </c>
      <c r="O712" s="45" cm="1">
        <f t="array" aca="1" ref="O712" ca="1">SUMPRODUCT((Table1[Gender]="Male")*(Table1[SubscriptionStart]&lt;=A712)*(Table1[EffectiveEndDate]&gt;=A712))</f>
        <v>202</v>
      </c>
      <c r="P712" s="45" cm="1">
        <f t="array" aca="1" ref="P712" ca="1">SUMPRODUCT((Table1[Gender]="Female")*(Table1[SubscriptionStart]&lt;=A712)*(Table1[EffectiveEndDate]&gt;=A712))</f>
        <v>208</v>
      </c>
    </row>
    <row r="713" spans="1:16">
      <c r="A713" s="48">
        <f t="shared" si="47"/>
        <v>45273</v>
      </c>
      <c r="B713" s="45" cm="1">
        <f t="array" aca="1" ref="B713" ca="1">SUMPRODUCT((Table1[SubscriptionStart]&lt;=A713)*(Table1[EffectiveEndDate]&gt;=A713))</f>
        <v>409</v>
      </c>
      <c r="C713" s="45">
        <f>COUNTIFS(Table1[SubscriptionStart], A713)</f>
        <v>0</v>
      </c>
      <c r="D713" s="45">
        <f>COUNTIFS(Table1[CancellationDate], A713)</f>
        <v>0</v>
      </c>
      <c r="E713" s="45">
        <f t="shared" si="44"/>
        <v>0</v>
      </c>
      <c r="F713" s="45">
        <f>SUM($C$2:C713)</f>
        <v>779</v>
      </c>
      <c r="G713" s="49" cm="1">
        <f t="array" aca="1" ref="G713" ca="1">IF(B713=0,"", SUMPRODUCT((Table1[SubscriptionStart]&lt;=A713)*(Table1[EffectiveEndDate]&gt;=A713)*Table1[Age]) / B713 )</f>
        <v>46.946210268948654</v>
      </c>
      <c r="H713" s="22">
        <f>SUMIF(Table1[SubscriptionStart],"&lt;="&amp;A713,Table1[TotalRevenue])</f>
        <v>154249.35000000027</v>
      </c>
      <c r="I713" s="50">
        <f t="shared" si="45"/>
        <v>45291</v>
      </c>
      <c r="J713" s="49">
        <f t="shared" ca="1" si="46"/>
        <v>411.06451612903226</v>
      </c>
      <c r="K713" s="45" cm="1">
        <f t="array" aca="1" ref="K713" ca="1">SUMPRODUCT((Table1[SubscriptionStart] &lt;= $A713) * (Table1[EffectiveEndDate] &gt;= $A713) * (Table1[Region] = "England"))</f>
        <v>97</v>
      </c>
      <c r="L713" s="45" cm="1">
        <f t="array" aca="1" ref="L713" ca="1">SUMPRODUCT((Table1[SubscriptionStart] &lt;= $A713) * (Table1[EffectiveEndDate] &gt;= $A713) * (Table1[Region] = "Scotland"))</f>
        <v>91</v>
      </c>
      <c r="M713" s="45" cm="1">
        <f t="array" aca="1" ref="M713" ca="1">SUMPRODUCT((Table1[SubscriptionStart] &lt;= $A713) * (Table1[EffectiveEndDate] &gt;= $A713) * (Table1[Region] = "Wales"))</f>
        <v>121</v>
      </c>
      <c r="N713" s="45" cm="1">
        <f t="array" aca="1" ref="N713" ca="1">SUMPRODUCT((Table1[SubscriptionStart] &lt;= $A713) * (Table1[EffectiveEndDate] &gt;= $A713) * (Table1[Region] = "Northern Ireland"))</f>
        <v>100</v>
      </c>
      <c r="O713" s="45" cm="1">
        <f t="array" aca="1" ref="O713" ca="1">SUMPRODUCT((Table1[Gender]="Male")*(Table1[SubscriptionStart]&lt;=A713)*(Table1[EffectiveEndDate]&gt;=A713))</f>
        <v>202</v>
      </c>
      <c r="P713" s="45" cm="1">
        <f t="array" aca="1" ref="P713" ca="1">SUMPRODUCT((Table1[Gender]="Female")*(Table1[SubscriptionStart]&lt;=A713)*(Table1[EffectiveEndDate]&gt;=A713))</f>
        <v>207</v>
      </c>
    </row>
    <row r="714" spans="1:16">
      <c r="A714" s="48">
        <f t="shared" si="47"/>
        <v>45274</v>
      </c>
      <c r="B714" s="45" cm="1">
        <f t="array" aca="1" ref="B714" ca="1">SUMPRODUCT((Table1[SubscriptionStart]&lt;=A714)*(Table1[EffectiveEndDate]&gt;=A714))</f>
        <v>412</v>
      </c>
      <c r="C714" s="45">
        <f>COUNTIFS(Table1[SubscriptionStart], A714)</f>
        <v>3</v>
      </c>
      <c r="D714" s="45">
        <f>COUNTIFS(Table1[CancellationDate], A714)</f>
        <v>1</v>
      </c>
      <c r="E714" s="45">
        <f t="shared" si="44"/>
        <v>2</v>
      </c>
      <c r="F714" s="45">
        <f>SUM($C$2:C714)</f>
        <v>782</v>
      </c>
      <c r="G714" s="49" cm="1">
        <f t="array" aca="1" ref="G714" ca="1">IF(B714=0,"", SUMPRODUCT((Table1[SubscriptionStart]&lt;=A714)*(Table1[EffectiveEndDate]&gt;=A714)*Table1[Age]) / B714 )</f>
        <v>46.783980582524272</v>
      </c>
      <c r="H714" s="22">
        <f>SUMIF(Table1[SubscriptionStart],"&lt;="&amp;A714,Table1[TotalRevenue])</f>
        <v>154501.35000000027</v>
      </c>
      <c r="I714" s="50">
        <f t="shared" si="45"/>
        <v>45291</v>
      </c>
      <c r="J714" s="49">
        <f t="shared" ca="1" si="46"/>
        <v>411.06451612903226</v>
      </c>
      <c r="K714" s="45" cm="1">
        <f t="array" aca="1" ref="K714" ca="1">SUMPRODUCT((Table1[SubscriptionStart] &lt;= $A714) * (Table1[EffectiveEndDate] &gt;= $A714) * (Table1[Region] = "England"))</f>
        <v>97</v>
      </c>
      <c r="L714" s="45" cm="1">
        <f t="array" aca="1" ref="L714" ca="1">SUMPRODUCT((Table1[SubscriptionStart] &lt;= $A714) * (Table1[EffectiveEndDate] &gt;= $A714) * (Table1[Region] = "Scotland"))</f>
        <v>93</v>
      </c>
      <c r="M714" s="45" cm="1">
        <f t="array" aca="1" ref="M714" ca="1">SUMPRODUCT((Table1[SubscriptionStart] &lt;= $A714) * (Table1[EffectiveEndDate] &gt;= $A714) * (Table1[Region] = "Wales"))</f>
        <v>122</v>
      </c>
      <c r="N714" s="45" cm="1">
        <f t="array" aca="1" ref="N714" ca="1">SUMPRODUCT((Table1[SubscriptionStart] &lt;= $A714) * (Table1[EffectiveEndDate] &gt;= $A714) * (Table1[Region] = "Northern Ireland"))</f>
        <v>100</v>
      </c>
      <c r="O714" s="45" cm="1">
        <f t="array" aca="1" ref="O714" ca="1">SUMPRODUCT((Table1[Gender]="Male")*(Table1[SubscriptionStart]&lt;=A714)*(Table1[EffectiveEndDate]&gt;=A714))</f>
        <v>202</v>
      </c>
      <c r="P714" s="45" cm="1">
        <f t="array" aca="1" ref="P714" ca="1">SUMPRODUCT((Table1[Gender]="Female")*(Table1[SubscriptionStart]&lt;=A714)*(Table1[EffectiveEndDate]&gt;=A714))</f>
        <v>210</v>
      </c>
    </row>
    <row r="715" spans="1:16">
      <c r="A715" s="48">
        <f t="shared" si="47"/>
        <v>45275</v>
      </c>
      <c r="B715" s="45" cm="1">
        <f t="array" aca="1" ref="B715" ca="1">SUMPRODUCT((Table1[SubscriptionStart]&lt;=A715)*(Table1[EffectiveEndDate]&gt;=A715))</f>
        <v>412</v>
      </c>
      <c r="C715" s="45">
        <f>COUNTIFS(Table1[SubscriptionStart], A715)</f>
        <v>1</v>
      </c>
      <c r="D715" s="45">
        <f>COUNTIFS(Table1[CancellationDate], A715)</f>
        <v>5</v>
      </c>
      <c r="E715" s="45">
        <f t="shared" si="44"/>
        <v>-4</v>
      </c>
      <c r="F715" s="45">
        <f>SUM($C$2:C715)</f>
        <v>783</v>
      </c>
      <c r="G715" s="49" cm="1">
        <f t="array" aca="1" ref="G715" ca="1">IF(B715=0,"", SUMPRODUCT((Table1[SubscriptionStart]&lt;=A715)*(Table1[EffectiveEndDate]&gt;=A715)*Table1[Age]) / B715 )</f>
        <v>46.803398058252426</v>
      </c>
      <c r="H715" s="22">
        <f>SUMIF(Table1[SubscriptionStart],"&lt;="&amp;A715,Table1[TotalRevenue])</f>
        <v>154681.35000000027</v>
      </c>
      <c r="I715" s="50">
        <f t="shared" si="45"/>
        <v>45291</v>
      </c>
      <c r="J715" s="49">
        <f t="shared" ca="1" si="46"/>
        <v>411.06451612903226</v>
      </c>
      <c r="K715" s="45" cm="1">
        <f t="array" aca="1" ref="K715" ca="1">SUMPRODUCT((Table1[SubscriptionStart] &lt;= $A715) * (Table1[EffectiveEndDate] &gt;= $A715) * (Table1[Region] = "England"))</f>
        <v>96</v>
      </c>
      <c r="L715" s="45" cm="1">
        <f t="array" aca="1" ref="L715" ca="1">SUMPRODUCT((Table1[SubscriptionStart] &lt;= $A715) * (Table1[EffectiveEndDate] &gt;= $A715) * (Table1[Region] = "Scotland"))</f>
        <v>94</v>
      </c>
      <c r="M715" s="45" cm="1">
        <f t="array" aca="1" ref="M715" ca="1">SUMPRODUCT((Table1[SubscriptionStart] &lt;= $A715) * (Table1[EffectiveEndDate] &gt;= $A715) * (Table1[Region] = "Wales"))</f>
        <v>122</v>
      </c>
      <c r="N715" s="45" cm="1">
        <f t="array" aca="1" ref="N715" ca="1">SUMPRODUCT((Table1[SubscriptionStart] &lt;= $A715) * (Table1[EffectiveEndDate] &gt;= $A715) * (Table1[Region] = "Northern Ireland"))</f>
        <v>100</v>
      </c>
      <c r="O715" s="45" cm="1">
        <f t="array" aca="1" ref="O715" ca="1">SUMPRODUCT((Table1[Gender]="Male")*(Table1[SubscriptionStart]&lt;=A715)*(Table1[EffectiveEndDate]&gt;=A715))</f>
        <v>202</v>
      </c>
      <c r="P715" s="45" cm="1">
        <f t="array" aca="1" ref="P715" ca="1">SUMPRODUCT((Table1[Gender]="Female")*(Table1[SubscriptionStart]&lt;=A715)*(Table1[EffectiveEndDate]&gt;=A715))</f>
        <v>210</v>
      </c>
    </row>
    <row r="716" spans="1:16">
      <c r="A716" s="48">
        <f t="shared" si="47"/>
        <v>45276</v>
      </c>
      <c r="B716" s="45" cm="1">
        <f t="array" aca="1" ref="B716" ca="1">SUMPRODUCT((Table1[SubscriptionStart]&lt;=A716)*(Table1[EffectiveEndDate]&gt;=A716))</f>
        <v>408</v>
      </c>
      <c r="C716" s="45">
        <f>COUNTIFS(Table1[SubscriptionStart], A716)</f>
        <v>1</v>
      </c>
      <c r="D716" s="45">
        <f>COUNTIFS(Table1[CancellationDate], A716)</f>
        <v>1</v>
      </c>
      <c r="E716" s="45">
        <f t="shared" si="44"/>
        <v>0</v>
      </c>
      <c r="F716" s="45">
        <f>SUM($C$2:C716)</f>
        <v>784</v>
      </c>
      <c r="G716" s="49" cm="1">
        <f t="array" aca="1" ref="G716" ca="1">IF(B716=0,"", SUMPRODUCT((Table1[SubscriptionStart]&lt;=A716)*(Table1[EffectiveEndDate]&gt;=A716)*Table1[Age]) / B716 )</f>
        <v>46.556372549019606</v>
      </c>
      <c r="H716" s="22">
        <f>SUMIF(Table1[SubscriptionStart],"&lt;="&amp;A716,Table1[TotalRevenue])</f>
        <v>154861.35000000027</v>
      </c>
      <c r="I716" s="50">
        <f t="shared" si="45"/>
        <v>45291</v>
      </c>
      <c r="J716" s="49">
        <f t="shared" ca="1" si="46"/>
        <v>411.06451612903226</v>
      </c>
      <c r="K716" s="45" cm="1">
        <f t="array" aca="1" ref="K716" ca="1">SUMPRODUCT((Table1[SubscriptionStart] &lt;= $A716) * (Table1[EffectiveEndDate] &gt;= $A716) * (Table1[Region] = "England"))</f>
        <v>96</v>
      </c>
      <c r="L716" s="45" cm="1">
        <f t="array" aca="1" ref="L716" ca="1">SUMPRODUCT((Table1[SubscriptionStart] &lt;= $A716) * (Table1[EffectiveEndDate] &gt;= $A716) * (Table1[Region] = "Scotland"))</f>
        <v>93</v>
      </c>
      <c r="M716" s="45" cm="1">
        <f t="array" aca="1" ref="M716" ca="1">SUMPRODUCT((Table1[SubscriptionStart] &lt;= $A716) * (Table1[EffectiveEndDate] &gt;= $A716) * (Table1[Region] = "Wales"))</f>
        <v>119</v>
      </c>
      <c r="N716" s="45" cm="1">
        <f t="array" aca="1" ref="N716" ca="1">SUMPRODUCT((Table1[SubscriptionStart] &lt;= $A716) * (Table1[EffectiveEndDate] &gt;= $A716) * (Table1[Region] = "Northern Ireland"))</f>
        <v>100</v>
      </c>
      <c r="O716" s="45" cm="1">
        <f t="array" aca="1" ref="O716" ca="1">SUMPRODUCT((Table1[Gender]="Male")*(Table1[SubscriptionStart]&lt;=A716)*(Table1[EffectiveEndDate]&gt;=A716))</f>
        <v>199</v>
      </c>
      <c r="P716" s="45" cm="1">
        <f t="array" aca="1" ref="P716" ca="1">SUMPRODUCT((Table1[Gender]="Female")*(Table1[SubscriptionStart]&lt;=A716)*(Table1[EffectiveEndDate]&gt;=A716))</f>
        <v>209</v>
      </c>
    </row>
    <row r="717" spans="1:16">
      <c r="A717" s="48">
        <f t="shared" si="47"/>
        <v>45277</v>
      </c>
      <c r="B717" s="45" cm="1">
        <f t="array" aca="1" ref="B717" ca="1">SUMPRODUCT((Table1[SubscriptionStart]&lt;=A717)*(Table1[EffectiveEndDate]&gt;=A717))</f>
        <v>408</v>
      </c>
      <c r="C717" s="45">
        <f>COUNTIFS(Table1[SubscriptionStart], A717)</f>
        <v>1</v>
      </c>
      <c r="D717" s="45">
        <f>COUNTIFS(Table1[CancellationDate], A717)</f>
        <v>0</v>
      </c>
      <c r="E717" s="45">
        <f t="shared" si="44"/>
        <v>1</v>
      </c>
      <c r="F717" s="45">
        <f>SUM($C$2:C717)</f>
        <v>785</v>
      </c>
      <c r="G717" s="49" cm="1">
        <f t="array" aca="1" ref="G717" ca="1">IF(B717=0,"", SUMPRODUCT((Table1[SubscriptionStart]&lt;=A717)*(Table1[EffectiveEndDate]&gt;=A717)*Table1[Age]) / B717 )</f>
        <v>46.522058823529413</v>
      </c>
      <c r="H717" s="22">
        <f>SUMIF(Table1[SubscriptionStart],"&lt;="&amp;A717,Table1[TotalRevenue])</f>
        <v>155041.35000000027</v>
      </c>
      <c r="I717" s="50">
        <f t="shared" si="45"/>
        <v>45291</v>
      </c>
      <c r="J717" s="49">
        <f t="shared" ca="1" si="46"/>
        <v>411.06451612903226</v>
      </c>
      <c r="K717" s="45" cm="1">
        <f t="array" aca="1" ref="K717" ca="1">SUMPRODUCT((Table1[SubscriptionStart] &lt;= $A717) * (Table1[EffectiveEndDate] &gt;= $A717) * (Table1[Region] = "England"))</f>
        <v>97</v>
      </c>
      <c r="L717" s="45" cm="1">
        <f t="array" aca="1" ref="L717" ca="1">SUMPRODUCT((Table1[SubscriptionStart] &lt;= $A717) * (Table1[EffectiveEndDate] &gt;= $A717) * (Table1[Region] = "Scotland"))</f>
        <v>93</v>
      </c>
      <c r="M717" s="45" cm="1">
        <f t="array" aca="1" ref="M717" ca="1">SUMPRODUCT((Table1[SubscriptionStart] &lt;= $A717) * (Table1[EffectiveEndDate] &gt;= $A717) * (Table1[Region] = "Wales"))</f>
        <v>118</v>
      </c>
      <c r="N717" s="45" cm="1">
        <f t="array" aca="1" ref="N717" ca="1">SUMPRODUCT((Table1[SubscriptionStart] &lt;= $A717) * (Table1[EffectiveEndDate] &gt;= $A717) * (Table1[Region] = "Northern Ireland"))</f>
        <v>100</v>
      </c>
      <c r="O717" s="45" cm="1">
        <f t="array" aca="1" ref="O717" ca="1">SUMPRODUCT((Table1[Gender]="Male")*(Table1[SubscriptionStart]&lt;=A717)*(Table1[EffectiveEndDate]&gt;=A717))</f>
        <v>199</v>
      </c>
      <c r="P717" s="45" cm="1">
        <f t="array" aca="1" ref="P717" ca="1">SUMPRODUCT((Table1[Gender]="Female")*(Table1[SubscriptionStart]&lt;=A717)*(Table1[EffectiveEndDate]&gt;=A717))</f>
        <v>209</v>
      </c>
    </row>
    <row r="718" spans="1:16">
      <c r="A718" s="48">
        <f t="shared" si="47"/>
        <v>45278</v>
      </c>
      <c r="B718" s="45" cm="1">
        <f t="array" aca="1" ref="B718" ca="1">SUMPRODUCT((Table1[SubscriptionStart]&lt;=A718)*(Table1[EffectiveEndDate]&gt;=A718))</f>
        <v>409</v>
      </c>
      <c r="C718" s="45">
        <f>COUNTIFS(Table1[SubscriptionStart], A718)</f>
        <v>1</v>
      </c>
      <c r="D718" s="45">
        <f>COUNTIFS(Table1[CancellationDate], A718)</f>
        <v>1</v>
      </c>
      <c r="E718" s="45">
        <f t="shared" si="44"/>
        <v>0</v>
      </c>
      <c r="F718" s="45">
        <f>SUM($C$2:C718)</f>
        <v>786</v>
      </c>
      <c r="G718" s="49" cm="1">
        <f t="array" aca="1" ref="G718" ca="1">IF(B718=0,"", SUMPRODUCT((Table1[SubscriptionStart]&lt;=A718)*(Table1[EffectiveEndDate]&gt;=A718)*Table1[Age]) / B718 )</f>
        <v>46.484107579462105</v>
      </c>
      <c r="H718" s="22">
        <f>SUMIF(Table1[SubscriptionStart],"&lt;="&amp;A718,Table1[TotalRevenue])</f>
        <v>155260.35000000027</v>
      </c>
      <c r="I718" s="50">
        <f t="shared" si="45"/>
        <v>45291</v>
      </c>
      <c r="J718" s="49">
        <f t="shared" ca="1" si="46"/>
        <v>411.06451612903226</v>
      </c>
      <c r="K718" s="45" cm="1">
        <f t="array" aca="1" ref="K718" ca="1">SUMPRODUCT((Table1[SubscriptionStart] &lt;= $A718) * (Table1[EffectiveEndDate] &gt;= $A718) * (Table1[Region] = "England"))</f>
        <v>98</v>
      </c>
      <c r="L718" s="45" cm="1">
        <f t="array" aca="1" ref="L718" ca="1">SUMPRODUCT((Table1[SubscriptionStart] &lt;= $A718) * (Table1[EffectiveEndDate] &gt;= $A718) * (Table1[Region] = "Scotland"))</f>
        <v>93</v>
      </c>
      <c r="M718" s="45" cm="1">
        <f t="array" aca="1" ref="M718" ca="1">SUMPRODUCT((Table1[SubscriptionStart] &lt;= $A718) * (Table1[EffectiveEndDate] &gt;= $A718) * (Table1[Region] = "Wales"))</f>
        <v>118</v>
      </c>
      <c r="N718" s="45" cm="1">
        <f t="array" aca="1" ref="N718" ca="1">SUMPRODUCT((Table1[SubscriptionStart] &lt;= $A718) * (Table1[EffectiveEndDate] &gt;= $A718) * (Table1[Region] = "Northern Ireland"))</f>
        <v>100</v>
      </c>
      <c r="O718" s="45" cm="1">
        <f t="array" aca="1" ref="O718" ca="1">SUMPRODUCT((Table1[Gender]="Male")*(Table1[SubscriptionStart]&lt;=A718)*(Table1[EffectiveEndDate]&gt;=A718))</f>
        <v>200</v>
      </c>
      <c r="P718" s="45" cm="1">
        <f t="array" aca="1" ref="P718" ca="1">SUMPRODUCT((Table1[Gender]="Female")*(Table1[SubscriptionStart]&lt;=A718)*(Table1[EffectiveEndDate]&gt;=A718))</f>
        <v>209</v>
      </c>
    </row>
    <row r="719" spans="1:16">
      <c r="A719" s="48">
        <f t="shared" si="47"/>
        <v>45279</v>
      </c>
      <c r="B719" s="45" cm="1">
        <f t="array" aca="1" ref="B719" ca="1">SUMPRODUCT((Table1[SubscriptionStart]&lt;=A719)*(Table1[EffectiveEndDate]&gt;=A719))</f>
        <v>409</v>
      </c>
      <c r="C719" s="45">
        <f>COUNTIFS(Table1[SubscriptionStart], A719)</f>
        <v>1</v>
      </c>
      <c r="D719" s="45">
        <f>COUNTIFS(Table1[CancellationDate], A719)</f>
        <v>3</v>
      </c>
      <c r="E719" s="45">
        <f t="shared" si="44"/>
        <v>-2</v>
      </c>
      <c r="F719" s="45">
        <f>SUM($C$2:C719)</f>
        <v>787</v>
      </c>
      <c r="G719" s="49" cm="1">
        <f t="array" aca="1" ref="G719" ca="1">IF(B719=0,"", SUMPRODUCT((Table1[SubscriptionStart]&lt;=A719)*(Table1[EffectiveEndDate]&gt;=A719)*Table1[Age]) / B719 )</f>
        <v>46.525672371638144</v>
      </c>
      <c r="H719" s="22">
        <f>SUMIF(Table1[SubscriptionStart],"&lt;="&amp;A719,Table1[TotalRevenue])</f>
        <v>155332.35000000027</v>
      </c>
      <c r="I719" s="50">
        <f t="shared" si="45"/>
        <v>45291</v>
      </c>
      <c r="J719" s="49">
        <f t="shared" ca="1" si="46"/>
        <v>411.06451612903226</v>
      </c>
      <c r="K719" s="45" cm="1">
        <f t="array" aca="1" ref="K719" ca="1">SUMPRODUCT((Table1[SubscriptionStart] &lt;= $A719) * (Table1[EffectiveEndDate] &gt;= $A719) * (Table1[Region] = "England"))</f>
        <v>97</v>
      </c>
      <c r="L719" s="45" cm="1">
        <f t="array" aca="1" ref="L719" ca="1">SUMPRODUCT((Table1[SubscriptionStart] &lt;= $A719) * (Table1[EffectiveEndDate] &gt;= $A719) * (Table1[Region] = "Scotland"))</f>
        <v>93</v>
      </c>
      <c r="M719" s="45" cm="1">
        <f t="array" aca="1" ref="M719" ca="1">SUMPRODUCT((Table1[SubscriptionStart] &lt;= $A719) * (Table1[EffectiveEndDate] &gt;= $A719) * (Table1[Region] = "Wales"))</f>
        <v>119</v>
      </c>
      <c r="N719" s="45" cm="1">
        <f t="array" aca="1" ref="N719" ca="1">SUMPRODUCT((Table1[SubscriptionStart] &lt;= $A719) * (Table1[EffectiveEndDate] &gt;= $A719) * (Table1[Region] = "Northern Ireland"))</f>
        <v>100</v>
      </c>
      <c r="O719" s="45" cm="1">
        <f t="array" aca="1" ref="O719" ca="1">SUMPRODUCT((Table1[Gender]="Male")*(Table1[SubscriptionStart]&lt;=A719)*(Table1[EffectiveEndDate]&gt;=A719))</f>
        <v>200</v>
      </c>
      <c r="P719" s="45" cm="1">
        <f t="array" aca="1" ref="P719" ca="1">SUMPRODUCT((Table1[Gender]="Female")*(Table1[SubscriptionStart]&lt;=A719)*(Table1[EffectiveEndDate]&gt;=A719))</f>
        <v>209</v>
      </c>
    </row>
    <row r="720" spans="1:16">
      <c r="A720" s="48">
        <f t="shared" si="47"/>
        <v>45280</v>
      </c>
      <c r="B720" s="45" cm="1">
        <f t="array" aca="1" ref="B720" ca="1">SUMPRODUCT((Table1[SubscriptionStart]&lt;=A720)*(Table1[EffectiveEndDate]&gt;=A720))</f>
        <v>407</v>
      </c>
      <c r="C720" s="45">
        <f>COUNTIFS(Table1[SubscriptionStart], A720)</f>
        <v>1</v>
      </c>
      <c r="D720" s="45">
        <f>COUNTIFS(Table1[CancellationDate], A720)</f>
        <v>0</v>
      </c>
      <c r="E720" s="45">
        <f t="shared" si="44"/>
        <v>1</v>
      </c>
      <c r="F720" s="45">
        <f>SUM($C$2:C720)</f>
        <v>788</v>
      </c>
      <c r="G720" s="49" cm="1">
        <f t="array" aca="1" ref="G720" ca="1">IF(B720=0,"", SUMPRODUCT((Table1[SubscriptionStart]&lt;=A720)*(Table1[EffectiveEndDate]&gt;=A720)*Table1[Age]) / B720 )</f>
        <v>46.636363636363633</v>
      </c>
      <c r="H720" s="22">
        <f>SUMIF(Table1[SubscriptionStart],"&lt;="&amp;A720,Table1[TotalRevenue])</f>
        <v>155461.95000000027</v>
      </c>
      <c r="I720" s="50">
        <f t="shared" si="45"/>
        <v>45291</v>
      </c>
      <c r="J720" s="49">
        <f t="shared" ca="1" si="46"/>
        <v>411.06451612903226</v>
      </c>
      <c r="K720" s="45" cm="1">
        <f t="array" aca="1" ref="K720" ca="1">SUMPRODUCT((Table1[SubscriptionStart] &lt;= $A720) * (Table1[EffectiveEndDate] &gt;= $A720) * (Table1[Region] = "England"))</f>
        <v>96</v>
      </c>
      <c r="L720" s="45" cm="1">
        <f t="array" aca="1" ref="L720" ca="1">SUMPRODUCT((Table1[SubscriptionStart] &lt;= $A720) * (Table1[EffectiveEndDate] &gt;= $A720) * (Table1[Region] = "Scotland"))</f>
        <v>93</v>
      </c>
      <c r="M720" s="45" cm="1">
        <f t="array" aca="1" ref="M720" ca="1">SUMPRODUCT((Table1[SubscriptionStart] &lt;= $A720) * (Table1[EffectiveEndDate] &gt;= $A720) * (Table1[Region] = "Wales"))</f>
        <v>118</v>
      </c>
      <c r="N720" s="45" cm="1">
        <f t="array" aca="1" ref="N720" ca="1">SUMPRODUCT((Table1[SubscriptionStart] &lt;= $A720) * (Table1[EffectiveEndDate] &gt;= $A720) * (Table1[Region] = "Northern Ireland"))</f>
        <v>100</v>
      </c>
      <c r="O720" s="45" cm="1">
        <f t="array" aca="1" ref="O720" ca="1">SUMPRODUCT((Table1[Gender]="Male")*(Table1[SubscriptionStart]&lt;=A720)*(Table1[EffectiveEndDate]&gt;=A720))</f>
        <v>199</v>
      </c>
      <c r="P720" s="45" cm="1">
        <f t="array" aca="1" ref="P720" ca="1">SUMPRODUCT((Table1[Gender]="Female")*(Table1[SubscriptionStart]&lt;=A720)*(Table1[EffectiveEndDate]&gt;=A720))</f>
        <v>208</v>
      </c>
    </row>
    <row r="721" spans="1:16">
      <c r="A721" s="48">
        <f t="shared" si="47"/>
        <v>45281</v>
      </c>
      <c r="B721" s="45" cm="1">
        <f t="array" aca="1" ref="B721" ca="1">SUMPRODUCT((Table1[SubscriptionStart]&lt;=A721)*(Table1[EffectiveEndDate]&gt;=A721))</f>
        <v>407</v>
      </c>
      <c r="C721" s="45">
        <f>COUNTIFS(Table1[SubscriptionStart], A721)</f>
        <v>0</v>
      </c>
      <c r="D721" s="45">
        <f>COUNTIFS(Table1[CancellationDate], A721)</f>
        <v>1</v>
      </c>
      <c r="E721" s="45">
        <f t="shared" si="44"/>
        <v>-1</v>
      </c>
      <c r="F721" s="45">
        <f>SUM($C$2:C721)</f>
        <v>788</v>
      </c>
      <c r="G721" s="49" cm="1">
        <f t="array" aca="1" ref="G721" ca="1">IF(B721=0,"", SUMPRODUCT((Table1[SubscriptionStart]&lt;=A721)*(Table1[EffectiveEndDate]&gt;=A721)*Table1[Age]) / B721 )</f>
        <v>46.636363636363633</v>
      </c>
      <c r="H721" s="22">
        <f>SUMIF(Table1[SubscriptionStart],"&lt;="&amp;A721,Table1[TotalRevenue])</f>
        <v>155461.95000000027</v>
      </c>
      <c r="I721" s="50">
        <f t="shared" si="45"/>
        <v>45291</v>
      </c>
      <c r="J721" s="49">
        <f t="shared" ca="1" si="46"/>
        <v>411.06451612903226</v>
      </c>
      <c r="K721" s="45" cm="1">
        <f t="array" aca="1" ref="K721" ca="1">SUMPRODUCT((Table1[SubscriptionStart] &lt;= $A721) * (Table1[EffectiveEndDate] &gt;= $A721) * (Table1[Region] = "England"))</f>
        <v>96</v>
      </c>
      <c r="L721" s="45" cm="1">
        <f t="array" aca="1" ref="L721" ca="1">SUMPRODUCT((Table1[SubscriptionStart] &lt;= $A721) * (Table1[EffectiveEndDate] &gt;= $A721) * (Table1[Region] = "Scotland"))</f>
        <v>93</v>
      </c>
      <c r="M721" s="45" cm="1">
        <f t="array" aca="1" ref="M721" ca="1">SUMPRODUCT((Table1[SubscriptionStart] &lt;= $A721) * (Table1[EffectiveEndDate] &gt;= $A721) * (Table1[Region] = "Wales"))</f>
        <v>118</v>
      </c>
      <c r="N721" s="45" cm="1">
        <f t="array" aca="1" ref="N721" ca="1">SUMPRODUCT((Table1[SubscriptionStart] &lt;= $A721) * (Table1[EffectiveEndDate] &gt;= $A721) * (Table1[Region] = "Northern Ireland"))</f>
        <v>100</v>
      </c>
      <c r="O721" s="45" cm="1">
        <f t="array" aca="1" ref="O721" ca="1">SUMPRODUCT((Table1[Gender]="Male")*(Table1[SubscriptionStart]&lt;=A721)*(Table1[EffectiveEndDate]&gt;=A721))</f>
        <v>199</v>
      </c>
      <c r="P721" s="45" cm="1">
        <f t="array" aca="1" ref="P721" ca="1">SUMPRODUCT((Table1[Gender]="Female")*(Table1[SubscriptionStart]&lt;=A721)*(Table1[EffectiveEndDate]&gt;=A721))</f>
        <v>208</v>
      </c>
    </row>
    <row r="722" spans="1:16">
      <c r="A722" s="48">
        <f t="shared" si="47"/>
        <v>45282</v>
      </c>
      <c r="B722" s="45" cm="1">
        <f t="array" aca="1" ref="B722" ca="1">SUMPRODUCT((Table1[SubscriptionStart]&lt;=A722)*(Table1[EffectiveEndDate]&gt;=A722))</f>
        <v>407</v>
      </c>
      <c r="C722" s="45">
        <f>COUNTIFS(Table1[SubscriptionStart], A722)</f>
        <v>1</v>
      </c>
      <c r="D722" s="45">
        <f>COUNTIFS(Table1[CancellationDate], A722)</f>
        <v>0</v>
      </c>
      <c r="E722" s="45">
        <f t="shared" si="44"/>
        <v>1</v>
      </c>
      <c r="F722" s="45">
        <f>SUM($C$2:C722)</f>
        <v>789</v>
      </c>
      <c r="G722" s="49" cm="1">
        <f t="array" aca="1" ref="G722" ca="1">IF(B722=0,"", SUMPRODUCT((Table1[SubscriptionStart]&lt;=A722)*(Table1[EffectiveEndDate]&gt;=A722)*Table1[Age]) / B722 )</f>
        <v>46.628992628992627</v>
      </c>
      <c r="H722" s="22">
        <f>SUMIF(Table1[SubscriptionStart],"&lt;="&amp;A722,Table1[TotalRevenue])</f>
        <v>155534.85000000027</v>
      </c>
      <c r="I722" s="50">
        <f t="shared" si="45"/>
        <v>45291</v>
      </c>
      <c r="J722" s="49">
        <f t="shared" ca="1" si="46"/>
        <v>411.06451612903226</v>
      </c>
      <c r="K722" s="45" cm="1">
        <f t="array" aca="1" ref="K722" ca="1">SUMPRODUCT((Table1[SubscriptionStart] &lt;= $A722) * (Table1[EffectiveEndDate] &gt;= $A722) * (Table1[Region] = "England"))</f>
        <v>97</v>
      </c>
      <c r="L722" s="45" cm="1">
        <f t="array" aca="1" ref="L722" ca="1">SUMPRODUCT((Table1[SubscriptionStart] &lt;= $A722) * (Table1[EffectiveEndDate] &gt;= $A722) * (Table1[Region] = "Scotland"))</f>
        <v>93</v>
      </c>
      <c r="M722" s="45" cm="1">
        <f t="array" aca="1" ref="M722" ca="1">SUMPRODUCT((Table1[SubscriptionStart] &lt;= $A722) * (Table1[EffectiveEndDate] &gt;= $A722) * (Table1[Region] = "Wales"))</f>
        <v>117</v>
      </c>
      <c r="N722" s="45" cm="1">
        <f t="array" aca="1" ref="N722" ca="1">SUMPRODUCT((Table1[SubscriptionStart] &lt;= $A722) * (Table1[EffectiveEndDate] &gt;= $A722) * (Table1[Region] = "Northern Ireland"))</f>
        <v>100</v>
      </c>
      <c r="O722" s="45" cm="1">
        <f t="array" aca="1" ref="O722" ca="1">SUMPRODUCT((Table1[Gender]="Male")*(Table1[SubscriptionStart]&lt;=A722)*(Table1[EffectiveEndDate]&gt;=A722))</f>
        <v>199</v>
      </c>
      <c r="P722" s="45" cm="1">
        <f t="array" aca="1" ref="P722" ca="1">SUMPRODUCT((Table1[Gender]="Female")*(Table1[SubscriptionStart]&lt;=A722)*(Table1[EffectiveEndDate]&gt;=A722))</f>
        <v>208</v>
      </c>
    </row>
    <row r="723" spans="1:16">
      <c r="A723" s="48">
        <f t="shared" si="47"/>
        <v>45283</v>
      </c>
      <c r="B723" s="45" cm="1">
        <f t="array" aca="1" ref="B723" ca="1">SUMPRODUCT((Table1[SubscriptionStart]&lt;=A723)*(Table1[EffectiveEndDate]&gt;=A723))</f>
        <v>407</v>
      </c>
      <c r="C723" s="45">
        <f>COUNTIFS(Table1[SubscriptionStart], A723)</f>
        <v>0</v>
      </c>
      <c r="D723" s="45">
        <f>COUNTIFS(Table1[CancellationDate], A723)</f>
        <v>2</v>
      </c>
      <c r="E723" s="45">
        <f t="shared" si="44"/>
        <v>-2</v>
      </c>
      <c r="F723" s="45">
        <f>SUM($C$2:C723)</f>
        <v>789</v>
      </c>
      <c r="G723" s="49" cm="1">
        <f t="array" aca="1" ref="G723" ca="1">IF(B723=0,"", SUMPRODUCT((Table1[SubscriptionStart]&lt;=A723)*(Table1[EffectiveEndDate]&gt;=A723)*Table1[Age]) / B723 )</f>
        <v>46.628992628992627</v>
      </c>
      <c r="H723" s="22">
        <f>SUMIF(Table1[SubscriptionStart],"&lt;="&amp;A723,Table1[TotalRevenue])</f>
        <v>155534.85000000027</v>
      </c>
      <c r="I723" s="50">
        <f t="shared" si="45"/>
        <v>45291</v>
      </c>
      <c r="J723" s="49">
        <f t="shared" ca="1" si="46"/>
        <v>411.06451612903226</v>
      </c>
      <c r="K723" s="45" cm="1">
        <f t="array" aca="1" ref="K723" ca="1">SUMPRODUCT((Table1[SubscriptionStart] &lt;= $A723) * (Table1[EffectiveEndDate] &gt;= $A723) * (Table1[Region] = "England"))</f>
        <v>97</v>
      </c>
      <c r="L723" s="45" cm="1">
        <f t="array" aca="1" ref="L723" ca="1">SUMPRODUCT((Table1[SubscriptionStart] &lt;= $A723) * (Table1[EffectiveEndDate] &gt;= $A723) * (Table1[Region] = "Scotland"))</f>
        <v>93</v>
      </c>
      <c r="M723" s="45" cm="1">
        <f t="array" aca="1" ref="M723" ca="1">SUMPRODUCT((Table1[SubscriptionStart] &lt;= $A723) * (Table1[EffectiveEndDate] &gt;= $A723) * (Table1[Region] = "Wales"))</f>
        <v>117</v>
      </c>
      <c r="N723" s="45" cm="1">
        <f t="array" aca="1" ref="N723" ca="1">SUMPRODUCT((Table1[SubscriptionStart] &lt;= $A723) * (Table1[EffectiveEndDate] &gt;= $A723) * (Table1[Region] = "Northern Ireland"))</f>
        <v>100</v>
      </c>
      <c r="O723" s="45" cm="1">
        <f t="array" aca="1" ref="O723" ca="1">SUMPRODUCT((Table1[Gender]="Male")*(Table1[SubscriptionStart]&lt;=A723)*(Table1[EffectiveEndDate]&gt;=A723))</f>
        <v>199</v>
      </c>
      <c r="P723" s="45" cm="1">
        <f t="array" aca="1" ref="P723" ca="1">SUMPRODUCT((Table1[Gender]="Female")*(Table1[SubscriptionStart]&lt;=A723)*(Table1[EffectiveEndDate]&gt;=A723))</f>
        <v>208</v>
      </c>
    </row>
    <row r="724" spans="1:16">
      <c r="A724" s="48">
        <f t="shared" si="47"/>
        <v>45284</v>
      </c>
      <c r="B724" s="45" cm="1">
        <f t="array" aca="1" ref="B724" ca="1">SUMPRODUCT((Table1[SubscriptionStart]&lt;=A724)*(Table1[EffectiveEndDate]&gt;=A724))</f>
        <v>406</v>
      </c>
      <c r="C724" s="45">
        <f>COUNTIFS(Table1[SubscriptionStart], A724)</f>
        <v>1</v>
      </c>
      <c r="D724" s="45">
        <f>COUNTIFS(Table1[CancellationDate], A724)</f>
        <v>0</v>
      </c>
      <c r="E724" s="45">
        <f t="shared" si="44"/>
        <v>1</v>
      </c>
      <c r="F724" s="45">
        <f>SUM($C$2:C724)</f>
        <v>790</v>
      </c>
      <c r="G724" s="49" cm="1">
        <f t="array" aca="1" ref="G724" ca="1">IF(B724=0,"", SUMPRODUCT((Table1[SubscriptionStart]&lt;=A724)*(Table1[EffectiveEndDate]&gt;=A724)*Table1[Age]) / B724 )</f>
        <v>46.576354679802954</v>
      </c>
      <c r="H724" s="22">
        <f>SUMIF(Table1[SubscriptionStart],"&lt;="&amp;A724,Table1[TotalRevenue])</f>
        <v>155606.85000000027</v>
      </c>
      <c r="I724" s="50">
        <f t="shared" si="45"/>
        <v>45291</v>
      </c>
      <c r="J724" s="49">
        <f t="shared" ca="1" si="46"/>
        <v>411.06451612903226</v>
      </c>
      <c r="K724" s="45" cm="1">
        <f t="array" aca="1" ref="K724" ca="1">SUMPRODUCT((Table1[SubscriptionStart] &lt;= $A724) * (Table1[EffectiveEndDate] &gt;= $A724) * (Table1[Region] = "England"))</f>
        <v>98</v>
      </c>
      <c r="L724" s="45" cm="1">
        <f t="array" aca="1" ref="L724" ca="1">SUMPRODUCT((Table1[SubscriptionStart] &lt;= $A724) * (Table1[EffectiveEndDate] &gt;= $A724) * (Table1[Region] = "Scotland"))</f>
        <v>92</v>
      </c>
      <c r="M724" s="45" cm="1">
        <f t="array" aca="1" ref="M724" ca="1">SUMPRODUCT((Table1[SubscriptionStart] &lt;= $A724) * (Table1[EffectiveEndDate] &gt;= $A724) * (Table1[Region] = "Wales"))</f>
        <v>117</v>
      </c>
      <c r="N724" s="45" cm="1">
        <f t="array" aca="1" ref="N724" ca="1">SUMPRODUCT((Table1[SubscriptionStart] &lt;= $A724) * (Table1[EffectiveEndDate] &gt;= $A724) * (Table1[Region] = "Northern Ireland"))</f>
        <v>99</v>
      </c>
      <c r="O724" s="45" cm="1">
        <f t="array" aca="1" ref="O724" ca="1">SUMPRODUCT((Table1[Gender]="Male")*(Table1[SubscriptionStart]&lt;=A724)*(Table1[EffectiveEndDate]&gt;=A724))</f>
        <v>198</v>
      </c>
      <c r="P724" s="45" cm="1">
        <f t="array" aca="1" ref="P724" ca="1">SUMPRODUCT((Table1[Gender]="Female")*(Table1[SubscriptionStart]&lt;=A724)*(Table1[EffectiveEndDate]&gt;=A724))</f>
        <v>208</v>
      </c>
    </row>
    <row r="725" spans="1:16">
      <c r="A725" s="48">
        <f t="shared" si="47"/>
        <v>45285</v>
      </c>
      <c r="B725" s="45" cm="1">
        <f t="array" aca="1" ref="B725" ca="1">SUMPRODUCT((Table1[SubscriptionStart]&lt;=A725)*(Table1[EffectiveEndDate]&gt;=A725))</f>
        <v>408</v>
      </c>
      <c r="C725" s="45">
        <f>COUNTIFS(Table1[SubscriptionStart], A725)</f>
        <v>2</v>
      </c>
      <c r="D725" s="45">
        <f>COUNTIFS(Table1[CancellationDate], A725)</f>
        <v>1</v>
      </c>
      <c r="E725" s="45">
        <f t="shared" si="44"/>
        <v>1</v>
      </c>
      <c r="F725" s="45">
        <f>SUM($C$2:C725)</f>
        <v>792</v>
      </c>
      <c r="G725" s="49" cm="1">
        <f t="array" aca="1" ref="G725" ca="1">IF(B725=0,"", SUMPRODUCT((Table1[SubscriptionStart]&lt;=A725)*(Table1[EffectiveEndDate]&gt;=A725)*Table1[Age]) / B725 )</f>
        <v>46.605392156862742</v>
      </c>
      <c r="H725" s="22">
        <f>SUMIF(Table1[SubscriptionStart],"&lt;="&amp;A725,Table1[TotalRevenue])</f>
        <v>155758.85000000027</v>
      </c>
      <c r="I725" s="50">
        <f t="shared" si="45"/>
        <v>45291</v>
      </c>
      <c r="J725" s="49">
        <f t="shared" ca="1" si="46"/>
        <v>411.06451612903226</v>
      </c>
      <c r="K725" s="45" cm="1">
        <f t="array" aca="1" ref="K725" ca="1">SUMPRODUCT((Table1[SubscriptionStart] &lt;= $A725) * (Table1[EffectiveEndDate] &gt;= $A725) * (Table1[Region] = "England"))</f>
        <v>99</v>
      </c>
      <c r="L725" s="45" cm="1">
        <f t="array" aca="1" ref="L725" ca="1">SUMPRODUCT((Table1[SubscriptionStart] &lt;= $A725) * (Table1[EffectiveEndDate] &gt;= $A725) * (Table1[Region] = "Scotland"))</f>
        <v>92</v>
      </c>
      <c r="M725" s="45" cm="1">
        <f t="array" aca="1" ref="M725" ca="1">SUMPRODUCT((Table1[SubscriptionStart] &lt;= $A725) * (Table1[EffectiveEndDate] &gt;= $A725) * (Table1[Region] = "Wales"))</f>
        <v>118</v>
      </c>
      <c r="N725" s="45" cm="1">
        <f t="array" aca="1" ref="N725" ca="1">SUMPRODUCT((Table1[SubscriptionStart] &lt;= $A725) * (Table1[EffectiveEndDate] &gt;= $A725) * (Table1[Region] = "Northern Ireland"))</f>
        <v>99</v>
      </c>
      <c r="O725" s="45" cm="1">
        <f t="array" aca="1" ref="O725" ca="1">SUMPRODUCT((Table1[Gender]="Male")*(Table1[SubscriptionStart]&lt;=A725)*(Table1[EffectiveEndDate]&gt;=A725))</f>
        <v>199</v>
      </c>
      <c r="P725" s="45" cm="1">
        <f t="array" aca="1" ref="P725" ca="1">SUMPRODUCT((Table1[Gender]="Female")*(Table1[SubscriptionStart]&lt;=A725)*(Table1[EffectiveEndDate]&gt;=A725))</f>
        <v>209</v>
      </c>
    </row>
    <row r="726" spans="1:16">
      <c r="A726" s="48">
        <f t="shared" si="47"/>
        <v>45286</v>
      </c>
      <c r="B726" s="45" cm="1">
        <f t="array" aca="1" ref="B726" ca="1">SUMPRODUCT((Table1[SubscriptionStart]&lt;=A726)*(Table1[EffectiveEndDate]&gt;=A726))</f>
        <v>409</v>
      </c>
      <c r="C726" s="45">
        <f>COUNTIFS(Table1[SubscriptionStart], A726)</f>
        <v>2</v>
      </c>
      <c r="D726" s="45">
        <f>COUNTIFS(Table1[CancellationDate], A726)</f>
        <v>2</v>
      </c>
      <c r="E726" s="45">
        <f t="shared" si="44"/>
        <v>0</v>
      </c>
      <c r="F726" s="45">
        <f>SUM($C$2:C726)</f>
        <v>794</v>
      </c>
      <c r="G726" s="49" cm="1">
        <f t="array" aca="1" ref="G726" ca="1">IF(B726=0,"", SUMPRODUCT((Table1[SubscriptionStart]&lt;=A726)*(Table1[EffectiveEndDate]&gt;=A726)*Table1[Age]) / B726 )</f>
        <v>46.660146699266505</v>
      </c>
      <c r="H726" s="22">
        <f>SUMIF(Table1[SubscriptionStart],"&lt;="&amp;A726,Table1[TotalRevenue])</f>
        <v>155960.45000000027</v>
      </c>
      <c r="I726" s="50">
        <f t="shared" si="45"/>
        <v>45291</v>
      </c>
      <c r="J726" s="49">
        <f t="shared" ca="1" si="46"/>
        <v>411.06451612903226</v>
      </c>
      <c r="K726" s="45" cm="1">
        <f t="array" aca="1" ref="K726" ca="1">SUMPRODUCT((Table1[SubscriptionStart] &lt;= $A726) * (Table1[EffectiveEndDate] &gt;= $A726) * (Table1[Region] = "England"))</f>
        <v>100</v>
      </c>
      <c r="L726" s="45" cm="1">
        <f t="array" aca="1" ref="L726" ca="1">SUMPRODUCT((Table1[SubscriptionStart] &lt;= $A726) * (Table1[EffectiveEndDate] &gt;= $A726) * (Table1[Region] = "Scotland"))</f>
        <v>93</v>
      </c>
      <c r="M726" s="45" cm="1">
        <f t="array" aca="1" ref="M726" ca="1">SUMPRODUCT((Table1[SubscriptionStart] &lt;= $A726) * (Table1[EffectiveEndDate] &gt;= $A726) * (Table1[Region] = "Wales"))</f>
        <v>118</v>
      </c>
      <c r="N726" s="45" cm="1">
        <f t="array" aca="1" ref="N726" ca="1">SUMPRODUCT((Table1[SubscriptionStart] &lt;= $A726) * (Table1[EffectiveEndDate] &gt;= $A726) * (Table1[Region] = "Northern Ireland"))</f>
        <v>98</v>
      </c>
      <c r="O726" s="45" cm="1">
        <f t="array" aca="1" ref="O726" ca="1">SUMPRODUCT((Table1[Gender]="Male")*(Table1[SubscriptionStart]&lt;=A726)*(Table1[EffectiveEndDate]&gt;=A726))</f>
        <v>198</v>
      </c>
      <c r="P726" s="45" cm="1">
        <f t="array" aca="1" ref="P726" ca="1">SUMPRODUCT((Table1[Gender]="Female")*(Table1[SubscriptionStart]&lt;=A726)*(Table1[EffectiveEndDate]&gt;=A726))</f>
        <v>211</v>
      </c>
    </row>
    <row r="727" spans="1:16">
      <c r="A727" s="48">
        <f t="shared" si="47"/>
        <v>45287</v>
      </c>
      <c r="B727" s="45" cm="1">
        <f t="array" aca="1" ref="B727" ca="1">SUMPRODUCT((Table1[SubscriptionStart]&lt;=A727)*(Table1[EffectiveEndDate]&gt;=A727))</f>
        <v>407</v>
      </c>
      <c r="C727" s="45">
        <f>COUNTIFS(Table1[SubscriptionStart], A727)</f>
        <v>0</v>
      </c>
      <c r="D727" s="45">
        <f>COUNTIFS(Table1[CancellationDate], A727)</f>
        <v>0</v>
      </c>
      <c r="E727" s="45">
        <f t="shared" si="44"/>
        <v>0</v>
      </c>
      <c r="F727" s="45">
        <f>SUM($C$2:C727)</f>
        <v>794</v>
      </c>
      <c r="G727" s="49" cm="1">
        <f t="array" aca="1" ref="G727" ca="1">IF(B727=0,"", SUMPRODUCT((Table1[SubscriptionStart]&lt;=A727)*(Table1[EffectiveEndDate]&gt;=A727)*Table1[Age]) / B727 )</f>
        <v>46.58722358722359</v>
      </c>
      <c r="H727" s="22">
        <f>SUMIF(Table1[SubscriptionStart],"&lt;="&amp;A727,Table1[TotalRevenue])</f>
        <v>155960.45000000027</v>
      </c>
      <c r="I727" s="50">
        <f t="shared" si="45"/>
        <v>45291</v>
      </c>
      <c r="J727" s="49">
        <f t="shared" ca="1" si="46"/>
        <v>411.06451612903226</v>
      </c>
      <c r="K727" s="45" cm="1">
        <f t="array" aca="1" ref="K727" ca="1">SUMPRODUCT((Table1[SubscriptionStart] &lt;= $A727) * (Table1[EffectiveEndDate] &gt;= $A727) * (Table1[Region] = "England"))</f>
        <v>100</v>
      </c>
      <c r="L727" s="45" cm="1">
        <f t="array" aca="1" ref="L727" ca="1">SUMPRODUCT((Table1[SubscriptionStart] &lt;= $A727) * (Table1[EffectiveEndDate] &gt;= $A727) * (Table1[Region] = "Scotland"))</f>
        <v>92</v>
      </c>
      <c r="M727" s="45" cm="1">
        <f t="array" aca="1" ref="M727" ca="1">SUMPRODUCT((Table1[SubscriptionStart] &lt;= $A727) * (Table1[EffectiveEndDate] &gt;= $A727) * (Table1[Region] = "Wales"))</f>
        <v>117</v>
      </c>
      <c r="N727" s="45" cm="1">
        <f t="array" aca="1" ref="N727" ca="1">SUMPRODUCT((Table1[SubscriptionStart] &lt;= $A727) * (Table1[EffectiveEndDate] &gt;= $A727) * (Table1[Region] = "Northern Ireland"))</f>
        <v>98</v>
      </c>
      <c r="O727" s="45" cm="1">
        <f t="array" aca="1" ref="O727" ca="1">SUMPRODUCT((Table1[Gender]="Male")*(Table1[SubscriptionStart]&lt;=A727)*(Table1[EffectiveEndDate]&gt;=A727))</f>
        <v>197</v>
      </c>
      <c r="P727" s="45" cm="1">
        <f t="array" aca="1" ref="P727" ca="1">SUMPRODUCT((Table1[Gender]="Female")*(Table1[SubscriptionStart]&lt;=A727)*(Table1[EffectiveEndDate]&gt;=A727))</f>
        <v>210</v>
      </c>
    </row>
    <row r="728" spans="1:16">
      <c r="A728" s="48">
        <f t="shared" si="47"/>
        <v>45288</v>
      </c>
      <c r="B728" s="45" cm="1">
        <f t="array" aca="1" ref="B728" ca="1">SUMPRODUCT((Table1[SubscriptionStart]&lt;=A728)*(Table1[EffectiveEndDate]&gt;=A728))</f>
        <v>408</v>
      </c>
      <c r="C728" s="45">
        <f>COUNTIFS(Table1[SubscriptionStart], A728)</f>
        <v>1</v>
      </c>
      <c r="D728" s="45">
        <f>COUNTIFS(Table1[CancellationDate], A728)</f>
        <v>0</v>
      </c>
      <c r="E728" s="45">
        <f t="shared" si="44"/>
        <v>1</v>
      </c>
      <c r="F728" s="45">
        <f>SUM($C$2:C728)</f>
        <v>795</v>
      </c>
      <c r="G728" s="49" cm="1">
        <f t="array" aca="1" ref="G728" ca="1">IF(B728=0,"", SUMPRODUCT((Table1[SubscriptionStart]&lt;=A728)*(Table1[EffectiveEndDate]&gt;=A728)*Table1[Age]) / B728 )</f>
        <v>46.551470588235297</v>
      </c>
      <c r="H728" s="22">
        <f>SUMIF(Table1[SubscriptionStart],"&lt;="&amp;A728,Table1[TotalRevenue])</f>
        <v>156179.45000000027</v>
      </c>
      <c r="I728" s="50">
        <f t="shared" si="45"/>
        <v>45291</v>
      </c>
      <c r="J728" s="49">
        <f t="shared" ca="1" si="46"/>
        <v>411.06451612903226</v>
      </c>
      <c r="K728" s="45" cm="1">
        <f t="array" aca="1" ref="K728" ca="1">SUMPRODUCT((Table1[SubscriptionStart] &lt;= $A728) * (Table1[EffectiveEndDate] &gt;= $A728) * (Table1[Region] = "England"))</f>
        <v>100</v>
      </c>
      <c r="L728" s="45" cm="1">
        <f t="array" aca="1" ref="L728" ca="1">SUMPRODUCT((Table1[SubscriptionStart] &lt;= $A728) * (Table1[EffectiveEndDate] &gt;= $A728) * (Table1[Region] = "Scotland"))</f>
        <v>92</v>
      </c>
      <c r="M728" s="45" cm="1">
        <f t="array" aca="1" ref="M728" ca="1">SUMPRODUCT((Table1[SubscriptionStart] &lt;= $A728) * (Table1[EffectiveEndDate] &gt;= $A728) * (Table1[Region] = "Wales"))</f>
        <v>117</v>
      </c>
      <c r="N728" s="45" cm="1">
        <f t="array" aca="1" ref="N728" ca="1">SUMPRODUCT((Table1[SubscriptionStart] &lt;= $A728) * (Table1[EffectiveEndDate] &gt;= $A728) * (Table1[Region] = "Northern Ireland"))</f>
        <v>99</v>
      </c>
      <c r="O728" s="45" cm="1">
        <f t="array" aca="1" ref="O728" ca="1">SUMPRODUCT((Table1[Gender]="Male")*(Table1[SubscriptionStart]&lt;=A728)*(Table1[EffectiveEndDate]&gt;=A728))</f>
        <v>197</v>
      </c>
      <c r="P728" s="45" cm="1">
        <f t="array" aca="1" ref="P728" ca="1">SUMPRODUCT((Table1[Gender]="Female")*(Table1[SubscriptionStart]&lt;=A728)*(Table1[EffectiveEndDate]&gt;=A728))</f>
        <v>211</v>
      </c>
    </row>
    <row r="729" spans="1:16">
      <c r="A729" s="48">
        <f t="shared" si="47"/>
        <v>45289</v>
      </c>
      <c r="B729" s="45" cm="1">
        <f t="array" aca="1" ref="B729" ca="1">SUMPRODUCT((Table1[SubscriptionStart]&lt;=A729)*(Table1[EffectiveEndDate]&gt;=A729))</f>
        <v>410</v>
      </c>
      <c r="C729" s="45">
        <f>COUNTIFS(Table1[SubscriptionStart], A729)</f>
        <v>2</v>
      </c>
      <c r="D729" s="45">
        <f>COUNTIFS(Table1[CancellationDate], A729)</f>
        <v>2</v>
      </c>
      <c r="E729" s="45">
        <f t="shared" si="44"/>
        <v>0</v>
      </c>
      <c r="F729" s="45">
        <f>SUM($C$2:C729)</f>
        <v>797</v>
      </c>
      <c r="G729" s="49" cm="1">
        <f t="array" aca="1" ref="G729" ca="1">IF(B729=0,"", SUMPRODUCT((Table1[SubscriptionStart]&lt;=A729)*(Table1[EffectiveEndDate]&gt;=A729)*Table1[Age]) / B729 )</f>
        <v>46.580487804878047</v>
      </c>
      <c r="H729" s="22">
        <f>SUMIF(Table1[SubscriptionStart],"&lt;="&amp;A729,Table1[TotalRevenue])</f>
        <v>156582.65000000029</v>
      </c>
      <c r="I729" s="50">
        <f t="shared" si="45"/>
        <v>45291</v>
      </c>
      <c r="J729" s="49">
        <f t="shared" ca="1" si="46"/>
        <v>411.06451612903226</v>
      </c>
      <c r="K729" s="45" cm="1">
        <f t="array" aca="1" ref="K729" ca="1">SUMPRODUCT((Table1[SubscriptionStart] &lt;= $A729) * (Table1[EffectiveEndDate] &gt;= $A729) * (Table1[Region] = "England"))</f>
        <v>100</v>
      </c>
      <c r="L729" s="45" cm="1">
        <f t="array" aca="1" ref="L729" ca="1">SUMPRODUCT((Table1[SubscriptionStart] &lt;= $A729) * (Table1[EffectiveEndDate] &gt;= $A729) * (Table1[Region] = "Scotland"))</f>
        <v>94</v>
      </c>
      <c r="M729" s="45" cm="1">
        <f t="array" aca="1" ref="M729" ca="1">SUMPRODUCT((Table1[SubscriptionStart] &lt;= $A729) * (Table1[EffectiveEndDate] &gt;= $A729) * (Table1[Region] = "Wales"))</f>
        <v>117</v>
      </c>
      <c r="N729" s="45" cm="1">
        <f t="array" aca="1" ref="N729" ca="1">SUMPRODUCT((Table1[SubscriptionStart] &lt;= $A729) * (Table1[EffectiveEndDate] &gt;= $A729) * (Table1[Region] = "Northern Ireland"))</f>
        <v>99</v>
      </c>
      <c r="O729" s="45" cm="1">
        <f t="array" aca="1" ref="O729" ca="1">SUMPRODUCT((Table1[Gender]="Male")*(Table1[SubscriptionStart]&lt;=A729)*(Table1[EffectiveEndDate]&gt;=A729))</f>
        <v>198</v>
      </c>
      <c r="P729" s="45" cm="1">
        <f t="array" aca="1" ref="P729" ca="1">SUMPRODUCT((Table1[Gender]="Female")*(Table1[SubscriptionStart]&lt;=A729)*(Table1[EffectiveEndDate]&gt;=A729))</f>
        <v>212</v>
      </c>
    </row>
    <row r="730" spans="1:16">
      <c r="A730" s="48">
        <f t="shared" si="47"/>
        <v>45290</v>
      </c>
      <c r="B730" s="45" cm="1">
        <f t="array" aca="1" ref="B730" ca="1">SUMPRODUCT((Table1[SubscriptionStart]&lt;=A730)*(Table1[EffectiveEndDate]&gt;=A730))</f>
        <v>408</v>
      </c>
      <c r="C730" s="45">
        <f>COUNTIFS(Table1[SubscriptionStart], A730)</f>
        <v>0</v>
      </c>
      <c r="D730" s="45">
        <f>COUNTIFS(Table1[CancellationDate], A730)</f>
        <v>0</v>
      </c>
      <c r="E730" s="45">
        <f t="shared" si="44"/>
        <v>0</v>
      </c>
      <c r="F730" s="45">
        <f>SUM($C$2:C730)</f>
        <v>797</v>
      </c>
      <c r="G730" s="49" cm="1">
        <f t="array" aca="1" ref="G730" ca="1">IF(B730=0,"", SUMPRODUCT((Table1[SubscriptionStart]&lt;=A730)*(Table1[EffectiveEndDate]&gt;=A730)*Table1[Age]) / B730 )</f>
        <v>46.526960784313722</v>
      </c>
      <c r="H730" s="22">
        <f>SUMIF(Table1[SubscriptionStart],"&lt;="&amp;A730,Table1[TotalRevenue])</f>
        <v>156582.65000000029</v>
      </c>
      <c r="I730" s="50">
        <f t="shared" si="45"/>
        <v>45291</v>
      </c>
      <c r="J730" s="49">
        <f t="shared" ca="1" si="46"/>
        <v>411.06451612903226</v>
      </c>
      <c r="K730" s="45" cm="1">
        <f t="array" aca="1" ref="K730" ca="1">SUMPRODUCT((Table1[SubscriptionStart] &lt;= $A730) * (Table1[EffectiveEndDate] &gt;= $A730) * (Table1[Region] = "England"))</f>
        <v>100</v>
      </c>
      <c r="L730" s="45" cm="1">
        <f t="array" aca="1" ref="L730" ca="1">SUMPRODUCT((Table1[SubscriptionStart] &lt;= $A730) * (Table1[EffectiveEndDate] &gt;= $A730) * (Table1[Region] = "Scotland"))</f>
        <v>93</v>
      </c>
      <c r="M730" s="45" cm="1">
        <f t="array" aca="1" ref="M730" ca="1">SUMPRODUCT((Table1[SubscriptionStart] &lt;= $A730) * (Table1[EffectiveEndDate] &gt;= $A730) * (Table1[Region] = "Wales"))</f>
        <v>117</v>
      </c>
      <c r="N730" s="45" cm="1">
        <f t="array" aca="1" ref="N730" ca="1">SUMPRODUCT((Table1[SubscriptionStart] &lt;= $A730) * (Table1[EffectiveEndDate] &gt;= $A730) * (Table1[Region] = "Northern Ireland"))</f>
        <v>98</v>
      </c>
      <c r="O730" s="45" cm="1">
        <f t="array" aca="1" ref="O730" ca="1">SUMPRODUCT((Table1[Gender]="Male")*(Table1[SubscriptionStart]&lt;=A730)*(Table1[EffectiveEndDate]&gt;=A730))</f>
        <v>198</v>
      </c>
      <c r="P730" s="45" cm="1">
        <f t="array" aca="1" ref="P730" ca="1">SUMPRODUCT((Table1[Gender]="Female")*(Table1[SubscriptionStart]&lt;=A730)*(Table1[EffectiveEndDate]&gt;=A730))</f>
        <v>210</v>
      </c>
    </row>
    <row r="731" spans="1:16">
      <c r="A731" s="48">
        <f t="shared" si="47"/>
        <v>45291</v>
      </c>
      <c r="B731" s="45" cm="1">
        <f t="array" aca="1" ref="B731" ca="1">SUMPRODUCT((Table1[SubscriptionStart]&lt;=A731)*(Table1[EffectiveEndDate]&gt;=A731))</f>
        <v>411</v>
      </c>
      <c r="C731" s="45">
        <f>COUNTIFS(Table1[SubscriptionStart], A731)</f>
        <v>3</v>
      </c>
      <c r="D731" s="45">
        <f>COUNTIFS(Table1[CancellationDate], A731)</f>
        <v>0</v>
      </c>
      <c r="E731" s="45">
        <f t="shared" si="44"/>
        <v>3</v>
      </c>
      <c r="F731" s="45">
        <f>SUM($C$2:C731)</f>
        <v>800</v>
      </c>
      <c r="G731" s="49" cm="1">
        <f t="array" aca="1" ref="G731" ca="1">IF(B731=0,"", SUMPRODUCT((Table1[SubscriptionStart]&lt;=A731)*(Table1[EffectiveEndDate]&gt;=A731)*Table1[Age]) / B731 )</f>
        <v>46.591240875912412</v>
      </c>
      <c r="H731" s="22">
        <f>SUMIF(Table1[SubscriptionStart],"&lt;="&amp;A731,Table1[TotalRevenue])</f>
        <v>157201.8500000003</v>
      </c>
      <c r="I731" s="50">
        <f t="shared" si="45"/>
        <v>45291</v>
      </c>
      <c r="J731" s="49">
        <f t="shared" ca="1" si="46"/>
        <v>411.06451612903226</v>
      </c>
      <c r="K731" s="45" cm="1">
        <f t="array" aca="1" ref="K731" ca="1">SUMPRODUCT((Table1[SubscriptionStart] &lt;= $A731) * (Table1[EffectiveEndDate] &gt;= $A731) * (Table1[Region] = "England"))</f>
        <v>101</v>
      </c>
      <c r="L731" s="45" cm="1">
        <f t="array" aca="1" ref="L731" ca="1">SUMPRODUCT((Table1[SubscriptionStart] &lt;= $A731) * (Table1[EffectiveEndDate] &gt;= $A731) * (Table1[Region] = "Scotland"))</f>
        <v>94</v>
      </c>
      <c r="M731" s="45" cm="1">
        <f t="array" aca="1" ref="M731" ca="1">SUMPRODUCT((Table1[SubscriptionStart] &lt;= $A731) * (Table1[EffectiveEndDate] &gt;= $A731) * (Table1[Region] = "Wales"))</f>
        <v>117</v>
      </c>
      <c r="N731" s="45" cm="1">
        <f t="array" aca="1" ref="N731" ca="1">SUMPRODUCT((Table1[SubscriptionStart] &lt;= $A731) * (Table1[EffectiveEndDate] &gt;= $A731) * (Table1[Region] = "Northern Ireland"))</f>
        <v>99</v>
      </c>
      <c r="O731" s="45" cm="1">
        <f t="array" aca="1" ref="O731" ca="1">SUMPRODUCT((Table1[Gender]="Male")*(Table1[SubscriptionStart]&lt;=A731)*(Table1[EffectiveEndDate]&gt;=A731))</f>
        <v>201</v>
      </c>
      <c r="P731" s="45" cm="1">
        <f t="array" aca="1" ref="P731" ca="1">SUMPRODUCT((Table1[Gender]="Female")*(Table1[SubscriptionStart]&lt;=A731)*(Table1[EffectiveEndDate]&gt;=A731))</f>
        <v>210</v>
      </c>
    </row>
    <row r="732" spans="1:16">
      <c r="A732" s="48">
        <f t="shared" si="47"/>
        <v>45292</v>
      </c>
      <c r="B732" s="45" cm="1">
        <f t="array" aca="1" ref="B732" ca="1">SUMPRODUCT((Table1[SubscriptionStart]&lt;=A732)*(Table1[EffectiveEndDate]&gt;=A732))</f>
        <v>411</v>
      </c>
      <c r="C732" s="45">
        <f>COUNTIFS(Table1[SubscriptionStart], A732)</f>
        <v>0</v>
      </c>
      <c r="D732" s="45">
        <f>COUNTIFS(Table1[CancellationDate], A732)</f>
        <v>0</v>
      </c>
      <c r="E732" s="45">
        <f t="shared" si="44"/>
        <v>0</v>
      </c>
      <c r="F732" s="45">
        <f>SUM($C$2:C732)</f>
        <v>800</v>
      </c>
      <c r="G732" s="49" cm="1">
        <f t="array" aca="1" ref="G732" ca="1">IF(B732=0,"", SUMPRODUCT((Table1[SubscriptionStart]&lt;=A732)*(Table1[EffectiveEndDate]&gt;=A732)*Table1[Age]) / B732 )</f>
        <v>46.591240875912412</v>
      </c>
      <c r="H732" s="22">
        <f>SUMIF(Table1[SubscriptionStart],"&lt;="&amp;A732,Table1[TotalRevenue])</f>
        <v>157201.8500000003</v>
      </c>
      <c r="I732" s="50">
        <f t="shared" si="45"/>
        <v>45322</v>
      </c>
      <c r="J732" s="49">
        <f t="shared" ca="1" si="46"/>
        <v>407.8</v>
      </c>
      <c r="K732" s="45" cm="1">
        <f t="array" aca="1" ref="K732" ca="1">SUMPRODUCT((Table1[SubscriptionStart] &lt;= $A732) * (Table1[EffectiveEndDate] &gt;= $A732) * (Table1[Region] = "England"))</f>
        <v>101</v>
      </c>
      <c r="L732" s="45" cm="1">
        <f t="array" aca="1" ref="L732" ca="1">SUMPRODUCT((Table1[SubscriptionStart] &lt;= $A732) * (Table1[EffectiveEndDate] &gt;= $A732) * (Table1[Region] = "Scotland"))</f>
        <v>94</v>
      </c>
      <c r="M732" s="45" cm="1">
        <f t="array" aca="1" ref="M732" ca="1">SUMPRODUCT((Table1[SubscriptionStart] &lt;= $A732) * (Table1[EffectiveEndDate] &gt;= $A732) * (Table1[Region] = "Wales"))</f>
        <v>117</v>
      </c>
      <c r="N732" s="45" cm="1">
        <f t="array" aca="1" ref="N732" ca="1">SUMPRODUCT((Table1[SubscriptionStart] &lt;= $A732) * (Table1[EffectiveEndDate] &gt;= $A732) * (Table1[Region] = "Northern Ireland"))</f>
        <v>99</v>
      </c>
      <c r="O732" s="45" cm="1">
        <f t="array" aca="1" ref="O732" ca="1">SUMPRODUCT((Table1[Gender]="Male")*(Table1[SubscriptionStart]&lt;=A732)*(Table1[EffectiveEndDate]&gt;=A732))</f>
        <v>201</v>
      </c>
      <c r="P732" s="45" cm="1">
        <f t="array" aca="1" ref="P732" ca="1">SUMPRODUCT((Table1[Gender]="Female")*(Table1[SubscriptionStart]&lt;=A732)*(Table1[EffectiveEndDate]&gt;=A732))</f>
        <v>210</v>
      </c>
    </row>
    <row r="733" spans="1:16">
      <c r="A733" s="48">
        <f t="shared" si="47"/>
        <v>45293</v>
      </c>
      <c r="B733" s="45" cm="1">
        <f t="array" aca="1" ref="B733" ca="1">SUMPRODUCT((Table1[SubscriptionStart]&lt;=A733)*(Table1[EffectiveEndDate]&gt;=A733))</f>
        <v>411</v>
      </c>
      <c r="C733" s="45">
        <f>COUNTIFS(Table1[SubscriptionStart], A733)</f>
        <v>0</v>
      </c>
      <c r="D733" s="45">
        <f>COUNTIFS(Table1[CancellationDate], A733)</f>
        <v>4</v>
      </c>
      <c r="E733" s="45">
        <f t="shared" si="44"/>
        <v>-4</v>
      </c>
      <c r="F733" s="45">
        <f>SUM($C$2:C733)</f>
        <v>800</v>
      </c>
      <c r="G733" s="49" cm="1">
        <f t="array" aca="1" ref="G733" ca="1">IF(B733=0,"", SUMPRODUCT((Table1[SubscriptionStart]&lt;=A733)*(Table1[EffectiveEndDate]&gt;=A733)*Table1[Age]) / B733 )</f>
        <v>46.591240875912412</v>
      </c>
      <c r="H733" s="22">
        <f>SUMIF(Table1[SubscriptionStart],"&lt;="&amp;A733,Table1[TotalRevenue])</f>
        <v>157201.8500000003</v>
      </c>
      <c r="I733" s="50">
        <f t="shared" si="45"/>
        <v>45322</v>
      </c>
      <c r="J733" s="49">
        <f t="shared" ca="1" si="46"/>
        <v>407.8</v>
      </c>
      <c r="K733" s="45" cm="1">
        <f t="array" aca="1" ref="K733" ca="1">SUMPRODUCT((Table1[SubscriptionStart] &lt;= $A733) * (Table1[EffectiveEndDate] &gt;= $A733) * (Table1[Region] = "England"))</f>
        <v>101</v>
      </c>
      <c r="L733" s="45" cm="1">
        <f t="array" aca="1" ref="L733" ca="1">SUMPRODUCT((Table1[SubscriptionStart] &lt;= $A733) * (Table1[EffectiveEndDate] &gt;= $A733) * (Table1[Region] = "Scotland"))</f>
        <v>94</v>
      </c>
      <c r="M733" s="45" cm="1">
        <f t="array" aca="1" ref="M733" ca="1">SUMPRODUCT((Table1[SubscriptionStart] &lt;= $A733) * (Table1[EffectiveEndDate] &gt;= $A733) * (Table1[Region] = "Wales"))</f>
        <v>117</v>
      </c>
      <c r="N733" s="45" cm="1">
        <f t="array" aca="1" ref="N733" ca="1">SUMPRODUCT((Table1[SubscriptionStart] &lt;= $A733) * (Table1[EffectiveEndDate] &gt;= $A733) * (Table1[Region] = "Northern Ireland"))</f>
        <v>99</v>
      </c>
      <c r="O733" s="45" cm="1">
        <f t="array" aca="1" ref="O733" ca="1">SUMPRODUCT((Table1[Gender]="Male")*(Table1[SubscriptionStart]&lt;=A733)*(Table1[EffectiveEndDate]&gt;=A733))</f>
        <v>201</v>
      </c>
      <c r="P733" s="45" cm="1">
        <f t="array" aca="1" ref="P733" ca="1">SUMPRODUCT((Table1[Gender]="Female")*(Table1[SubscriptionStart]&lt;=A733)*(Table1[EffectiveEndDate]&gt;=A733))</f>
        <v>210</v>
      </c>
    </row>
    <row r="734" spans="1:16">
      <c r="A734" s="48">
        <f t="shared" si="47"/>
        <v>45294</v>
      </c>
      <c r="B734" s="45" cm="1">
        <f t="array" aca="1" ref="B734" ca="1">SUMPRODUCT((Table1[SubscriptionStart]&lt;=A734)*(Table1[EffectiveEndDate]&gt;=A734))</f>
        <v>407</v>
      </c>
      <c r="C734" s="45">
        <f>COUNTIFS(Table1[SubscriptionStart], A734)</f>
        <v>0</v>
      </c>
      <c r="D734" s="45">
        <f>COUNTIFS(Table1[CancellationDate], A734)</f>
        <v>0</v>
      </c>
      <c r="E734" s="45">
        <f t="shared" si="44"/>
        <v>0</v>
      </c>
      <c r="F734" s="45">
        <f>SUM($C$2:C734)</f>
        <v>800</v>
      </c>
      <c r="G734" s="49" cm="1">
        <f t="array" aca="1" ref="G734" ca="1">IF(B734=0,"", SUMPRODUCT((Table1[SubscriptionStart]&lt;=A734)*(Table1[EffectiveEndDate]&gt;=A734)*Table1[Age]) / B734 )</f>
        <v>46.545454545454547</v>
      </c>
      <c r="H734" s="22">
        <f>SUMIF(Table1[SubscriptionStart],"&lt;="&amp;A734,Table1[TotalRevenue])</f>
        <v>157201.8500000003</v>
      </c>
      <c r="I734" s="50">
        <f t="shared" si="45"/>
        <v>45322</v>
      </c>
      <c r="J734" s="49">
        <f t="shared" ca="1" si="46"/>
        <v>407.8</v>
      </c>
      <c r="K734" s="45" cm="1">
        <f t="array" aca="1" ref="K734" ca="1">SUMPRODUCT((Table1[SubscriptionStart] &lt;= $A734) * (Table1[EffectiveEndDate] &gt;= $A734) * (Table1[Region] = "England"))</f>
        <v>101</v>
      </c>
      <c r="L734" s="45" cm="1">
        <f t="array" aca="1" ref="L734" ca="1">SUMPRODUCT((Table1[SubscriptionStart] &lt;= $A734) * (Table1[EffectiveEndDate] &gt;= $A734) * (Table1[Region] = "Scotland"))</f>
        <v>92</v>
      </c>
      <c r="M734" s="45" cm="1">
        <f t="array" aca="1" ref="M734" ca="1">SUMPRODUCT((Table1[SubscriptionStart] &lt;= $A734) * (Table1[EffectiveEndDate] &gt;= $A734) * (Table1[Region] = "Wales"))</f>
        <v>116</v>
      </c>
      <c r="N734" s="45" cm="1">
        <f t="array" aca="1" ref="N734" ca="1">SUMPRODUCT((Table1[SubscriptionStart] &lt;= $A734) * (Table1[EffectiveEndDate] &gt;= $A734) * (Table1[Region] = "Northern Ireland"))</f>
        <v>98</v>
      </c>
      <c r="O734" s="45" cm="1">
        <f t="array" aca="1" ref="O734" ca="1">SUMPRODUCT((Table1[Gender]="Male")*(Table1[SubscriptionStart]&lt;=A734)*(Table1[EffectiveEndDate]&gt;=A734))</f>
        <v>201</v>
      </c>
      <c r="P734" s="45" cm="1">
        <f t="array" aca="1" ref="P734" ca="1">SUMPRODUCT((Table1[Gender]="Female")*(Table1[SubscriptionStart]&lt;=A734)*(Table1[EffectiveEndDate]&gt;=A734))</f>
        <v>206</v>
      </c>
    </row>
    <row r="735" spans="1:16">
      <c r="A735" s="48">
        <f t="shared" si="47"/>
        <v>45295</v>
      </c>
      <c r="B735" s="45" cm="1">
        <f t="array" aca="1" ref="B735" ca="1">SUMPRODUCT((Table1[SubscriptionStart]&lt;=A735)*(Table1[EffectiveEndDate]&gt;=A735))</f>
        <v>407</v>
      </c>
      <c r="C735" s="45">
        <f>COUNTIFS(Table1[SubscriptionStart], A735)</f>
        <v>0</v>
      </c>
      <c r="D735" s="45">
        <f>COUNTIFS(Table1[CancellationDate], A735)</f>
        <v>0</v>
      </c>
      <c r="E735" s="45">
        <f t="shared" si="44"/>
        <v>0</v>
      </c>
      <c r="F735" s="45">
        <f>SUM($C$2:C735)</f>
        <v>800</v>
      </c>
      <c r="G735" s="49" cm="1">
        <f t="array" aca="1" ref="G735" ca="1">IF(B735=0,"", SUMPRODUCT((Table1[SubscriptionStart]&lt;=A735)*(Table1[EffectiveEndDate]&gt;=A735)*Table1[Age]) / B735 )</f>
        <v>46.545454545454547</v>
      </c>
      <c r="H735" s="22">
        <f>SUMIF(Table1[SubscriptionStart],"&lt;="&amp;A735,Table1[TotalRevenue])</f>
        <v>157201.8500000003</v>
      </c>
      <c r="I735" s="50">
        <f t="shared" si="45"/>
        <v>45322</v>
      </c>
      <c r="J735" s="49">
        <f t="shared" ca="1" si="46"/>
        <v>407.8</v>
      </c>
      <c r="K735" s="45" cm="1">
        <f t="array" aca="1" ref="K735" ca="1">SUMPRODUCT((Table1[SubscriptionStart] &lt;= $A735) * (Table1[EffectiveEndDate] &gt;= $A735) * (Table1[Region] = "England"))</f>
        <v>101</v>
      </c>
      <c r="L735" s="45" cm="1">
        <f t="array" aca="1" ref="L735" ca="1">SUMPRODUCT((Table1[SubscriptionStart] &lt;= $A735) * (Table1[EffectiveEndDate] &gt;= $A735) * (Table1[Region] = "Scotland"))</f>
        <v>92</v>
      </c>
      <c r="M735" s="45" cm="1">
        <f t="array" aca="1" ref="M735" ca="1">SUMPRODUCT((Table1[SubscriptionStart] &lt;= $A735) * (Table1[EffectiveEndDate] &gt;= $A735) * (Table1[Region] = "Wales"))</f>
        <v>116</v>
      </c>
      <c r="N735" s="45" cm="1">
        <f t="array" aca="1" ref="N735" ca="1">SUMPRODUCT((Table1[SubscriptionStart] &lt;= $A735) * (Table1[EffectiveEndDate] &gt;= $A735) * (Table1[Region] = "Northern Ireland"))</f>
        <v>98</v>
      </c>
      <c r="O735" s="45" cm="1">
        <f t="array" aca="1" ref="O735" ca="1">SUMPRODUCT((Table1[Gender]="Male")*(Table1[SubscriptionStart]&lt;=A735)*(Table1[EffectiveEndDate]&gt;=A735))</f>
        <v>201</v>
      </c>
      <c r="P735" s="45" cm="1">
        <f t="array" aca="1" ref="P735" ca="1">SUMPRODUCT((Table1[Gender]="Female")*(Table1[SubscriptionStart]&lt;=A735)*(Table1[EffectiveEndDate]&gt;=A735))</f>
        <v>206</v>
      </c>
    </row>
    <row r="736" spans="1:16">
      <c r="A736" s="48">
        <f t="shared" si="47"/>
        <v>45296</v>
      </c>
      <c r="B736" s="45" cm="1">
        <f t="array" aca="1" ref="B736" ca="1">SUMPRODUCT((Table1[SubscriptionStart]&lt;=A736)*(Table1[EffectiveEndDate]&gt;=A736))</f>
        <v>407</v>
      </c>
      <c r="C736" s="45">
        <f>COUNTIFS(Table1[SubscriptionStart], A736)</f>
        <v>0</v>
      </c>
      <c r="D736" s="45">
        <f>COUNTIFS(Table1[CancellationDate], A736)</f>
        <v>0</v>
      </c>
      <c r="E736" s="45">
        <f t="shared" si="44"/>
        <v>0</v>
      </c>
      <c r="F736" s="45">
        <f>SUM($C$2:C736)</f>
        <v>800</v>
      </c>
      <c r="G736" s="49" cm="1">
        <f t="array" aca="1" ref="G736" ca="1">IF(B736=0,"", SUMPRODUCT((Table1[SubscriptionStart]&lt;=A736)*(Table1[EffectiveEndDate]&gt;=A736)*Table1[Age]) / B736 )</f>
        <v>46.545454545454547</v>
      </c>
      <c r="H736" s="22">
        <f>SUMIF(Table1[SubscriptionStart],"&lt;="&amp;A736,Table1[TotalRevenue])</f>
        <v>157201.8500000003</v>
      </c>
      <c r="I736" s="50">
        <f t="shared" si="45"/>
        <v>45322</v>
      </c>
      <c r="J736" s="49">
        <f t="shared" ca="1" si="46"/>
        <v>407.8</v>
      </c>
      <c r="K736" s="45" cm="1">
        <f t="array" aca="1" ref="K736" ca="1">SUMPRODUCT((Table1[SubscriptionStart] &lt;= $A736) * (Table1[EffectiveEndDate] &gt;= $A736) * (Table1[Region] = "England"))</f>
        <v>101</v>
      </c>
      <c r="L736" s="45" cm="1">
        <f t="array" aca="1" ref="L736" ca="1">SUMPRODUCT((Table1[SubscriptionStart] &lt;= $A736) * (Table1[EffectiveEndDate] &gt;= $A736) * (Table1[Region] = "Scotland"))</f>
        <v>92</v>
      </c>
      <c r="M736" s="45" cm="1">
        <f t="array" aca="1" ref="M736" ca="1">SUMPRODUCT((Table1[SubscriptionStart] &lt;= $A736) * (Table1[EffectiveEndDate] &gt;= $A736) * (Table1[Region] = "Wales"))</f>
        <v>116</v>
      </c>
      <c r="N736" s="45" cm="1">
        <f t="array" aca="1" ref="N736" ca="1">SUMPRODUCT((Table1[SubscriptionStart] &lt;= $A736) * (Table1[EffectiveEndDate] &gt;= $A736) * (Table1[Region] = "Northern Ireland"))</f>
        <v>98</v>
      </c>
      <c r="O736" s="45" cm="1">
        <f t="array" aca="1" ref="O736" ca="1">SUMPRODUCT((Table1[Gender]="Male")*(Table1[SubscriptionStart]&lt;=A736)*(Table1[EffectiveEndDate]&gt;=A736))</f>
        <v>201</v>
      </c>
      <c r="P736" s="45" cm="1">
        <f t="array" aca="1" ref="P736" ca="1">SUMPRODUCT((Table1[Gender]="Female")*(Table1[SubscriptionStart]&lt;=A736)*(Table1[EffectiveEndDate]&gt;=A736))</f>
        <v>206</v>
      </c>
    </row>
    <row r="737" spans="1:16">
      <c r="A737" s="48">
        <f t="shared" si="47"/>
        <v>45297</v>
      </c>
      <c r="B737" s="45" cm="1">
        <f t="array" aca="1" ref="B737" ca="1">SUMPRODUCT((Table1[SubscriptionStart]&lt;=A737)*(Table1[EffectiveEndDate]&gt;=A737))</f>
        <v>407</v>
      </c>
      <c r="C737" s="45">
        <f>COUNTIFS(Table1[SubscriptionStart], A737)</f>
        <v>0</v>
      </c>
      <c r="D737" s="45">
        <f>COUNTIFS(Table1[CancellationDate], A737)</f>
        <v>0</v>
      </c>
      <c r="E737" s="45">
        <f t="shared" si="44"/>
        <v>0</v>
      </c>
      <c r="F737" s="45">
        <f>SUM($C$2:C737)</f>
        <v>800</v>
      </c>
      <c r="G737" s="49" cm="1">
        <f t="array" aca="1" ref="G737" ca="1">IF(B737=0,"", SUMPRODUCT((Table1[SubscriptionStart]&lt;=A737)*(Table1[EffectiveEndDate]&gt;=A737)*Table1[Age]) / B737 )</f>
        <v>46.545454545454547</v>
      </c>
      <c r="H737" s="22">
        <f>SUMIF(Table1[SubscriptionStart],"&lt;="&amp;A737,Table1[TotalRevenue])</f>
        <v>157201.8500000003</v>
      </c>
      <c r="I737" s="50">
        <f t="shared" si="45"/>
        <v>45322</v>
      </c>
      <c r="J737" s="49">
        <f t="shared" ca="1" si="46"/>
        <v>407.8</v>
      </c>
      <c r="K737" s="45" cm="1">
        <f t="array" aca="1" ref="K737" ca="1">SUMPRODUCT((Table1[SubscriptionStart] &lt;= $A737) * (Table1[EffectiveEndDate] &gt;= $A737) * (Table1[Region] = "England"))</f>
        <v>101</v>
      </c>
      <c r="L737" s="45" cm="1">
        <f t="array" aca="1" ref="L737" ca="1">SUMPRODUCT((Table1[SubscriptionStart] &lt;= $A737) * (Table1[EffectiveEndDate] &gt;= $A737) * (Table1[Region] = "Scotland"))</f>
        <v>92</v>
      </c>
      <c r="M737" s="45" cm="1">
        <f t="array" aca="1" ref="M737" ca="1">SUMPRODUCT((Table1[SubscriptionStart] &lt;= $A737) * (Table1[EffectiveEndDate] &gt;= $A737) * (Table1[Region] = "Wales"))</f>
        <v>116</v>
      </c>
      <c r="N737" s="45" cm="1">
        <f t="array" aca="1" ref="N737" ca="1">SUMPRODUCT((Table1[SubscriptionStart] &lt;= $A737) * (Table1[EffectiveEndDate] &gt;= $A737) * (Table1[Region] = "Northern Ireland"))</f>
        <v>98</v>
      </c>
      <c r="O737" s="45" cm="1">
        <f t="array" aca="1" ref="O737" ca="1">SUMPRODUCT((Table1[Gender]="Male")*(Table1[SubscriptionStart]&lt;=A737)*(Table1[EffectiveEndDate]&gt;=A737))</f>
        <v>201</v>
      </c>
      <c r="P737" s="45" cm="1">
        <f t="array" aca="1" ref="P737" ca="1">SUMPRODUCT((Table1[Gender]="Female")*(Table1[SubscriptionStart]&lt;=A737)*(Table1[EffectiveEndDate]&gt;=A737))</f>
        <v>206</v>
      </c>
    </row>
    <row r="738" spans="1:16">
      <c r="A738" s="48">
        <f t="shared" si="47"/>
        <v>45298</v>
      </c>
      <c r="B738" s="45" cm="1">
        <f t="array" aca="1" ref="B738" ca="1">SUMPRODUCT((Table1[SubscriptionStart]&lt;=A738)*(Table1[EffectiveEndDate]&gt;=A738))</f>
        <v>407</v>
      </c>
      <c r="C738" s="45">
        <f>COUNTIFS(Table1[SubscriptionStart], A738)</f>
        <v>0</v>
      </c>
      <c r="D738" s="45">
        <f>COUNTIFS(Table1[CancellationDate], A738)</f>
        <v>0</v>
      </c>
      <c r="E738" s="45">
        <f t="shared" si="44"/>
        <v>0</v>
      </c>
      <c r="F738" s="45">
        <f>SUM($C$2:C738)</f>
        <v>800</v>
      </c>
      <c r="G738" s="49" cm="1">
        <f t="array" aca="1" ref="G738" ca="1">IF(B738=0,"", SUMPRODUCT((Table1[SubscriptionStart]&lt;=A738)*(Table1[EffectiveEndDate]&gt;=A738)*Table1[Age]) / B738 )</f>
        <v>46.545454545454547</v>
      </c>
      <c r="H738" s="22">
        <f>SUMIF(Table1[SubscriptionStart],"&lt;="&amp;A738,Table1[TotalRevenue])</f>
        <v>157201.8500000003</v>
      </c>
      <c r="I738" s="50">
        <f t="shared" si="45"/>
        <v>45322</v>
      </c>
      <c r="J738" s="49">
        <f t="shared" ca="1" si="46"/>
        <v>407.8</v>
      </c>
      <c r="K738" s="45" cm="1">
        <f t="array" aca="1" ref="K738" ca="1">SUMPRODUCT((Table1[SubscriptionStart] &lt;= $A738) * (Table1[EffectiveEndDate] &gt;= $A738) * (Table1[Region] = "England"))</f>
        <v>101</v>
      </c>
      <c r="L738" s="45" cm="1">
        <f t="array" aca="1" ref="L738" ca="1">SUMPRODUCT((Table1[SubscriptionStart] &lt;= $A738) * (Table1[EffectiveEndDate] &gt;= $A738) * (Table1[Region] = "Scotland"))</f>
        <v>92</v>
      </c>
      <c r="M738" s="45" cm="1">
        <f t="array" aca="1" ref="M738" ca="1">SUMPRODUCT((Table1[SubscriptionStart] &lt;= $A738) * (Table1[EffectiveEndDate] &gt;= $A738) * (Table1[Region] = "Wales"))</f>
        <v>116</v>
      </c>
      <c r="N738" s="45" cm="1">
        <f t="array" aca="1" ref="N738" ca="1">SUMPRODUCT((Table1[SubscriptionStart] &lt;= $A738) * (Table1[EffectiveEndDate] &gt;= $A738) * (Table1[Region] = "Northern Ireland"))</f>
        <v>98</v>
      </c>
      <c r="O738" s="45" cm="1">
        <f t="array" aca="1" ref="O738" ca="1">SUMPRODUCT((Table1[Gender]="Male")*(Table1[SubscriptionStart]&lt;=A738)*(Table1[EffectiveEndDate]&gt;=A738))</f>
        <v>201</v>
      </c>
      <c r="P738" s="45" cm="1">
        <f t="array" aca="1" ref="P738" ca="1">SUMPRODUCT((Table1[Gender]="Female")*(Table1[SubscriptionStart]&lt;=A738)*(Table1[EffectiveEndDate]&gt;=A738))</f>
        <v>206</v>
      </c>
    </row>
    <row r="739" spans="1:16">
      <c r="A739" s="48">
        <f t="shared" si="47"/>
        <v>45299</v>
      </c>
      <c r="B739" s="45" cm="1">
        <f t="array" aca="1" ref="B739" ca="1">SUMPRODUCT((Table1[SubscriptionStart]&lt;=A739)*(Table1[EffectiveEndDate]&gt;=A739))</f>
        <v>407</v>
      </c>
      <c r="C739" s="45">
        <f>COUNTIFS(Table1[SubscriptionStart], A739)</f>
        <v>0</v>
      </c>
      <c r="D739" s="45">
        <f>COUNTIFS(Table1[CancellationDate], A739)</f>
        <v>0</v>
      </c>
      <c r="E739" s="45">
        <f t="shared" si="44"/>
        <v>0</v>
      </c>
      <c r="F739" s="45">
        <f>SUM($C$2:C739)</f>
        <v>800</v>
      </c>
      <c r="G739" s="49" cm="1">
        <f t="array" aca="1" ref="G739" ca="1">IF(B739=0,"", SUMPRODUCT((Table1[SubscriptionStart]&lt;=A739)*(Table1[EffectiveEndDate]&gt;=A739)*Table1[Age]) / B739 )</f>
        <v>46.545454545454547</v>
      </c>
      <c r="H739" s="22">
        <f>SUMIF(Table1[SubscriptionStart],"&lt;="&amp;A739,Table1[TotalRevenue])</f>
        <v>157201.8500000003</v>
      </c>
      <c r="I739" s="50">
        <f t="shared" si="45"/>
        <v>45322</v>
      </c>
      <c r="J739" s="49">
        <f t="shared" ca="1" si="46"/>
        <v>407.8</v>
      </c>
      <c r="K739" s="45" cm="1">
        <f t="array" aca="1" ref="K739" ca="1">SUMPRODUCT((Table1[SubscriptionStart] &lt;= $A739) * (Table1[EffectiveEndDate] &gt;= $A739) * (Table1[Region] = "England"))</f>
        <v>101</v>
      </c>
      <c r="L739" s="45" cm="1">
        <f t="array" aca="1" ref="L739" ca="1">SUMPRODUCT((Table1[SubscriptionStart] &lt;= $A739) * (Table1[EffectiveEndDate] &gt;= $A739) * (Table1[Region] = "Scotland"))</f>
        <v>92</v>
      </c>
      <c r="M739" s="45" cm="1">
        <f t="array" aca="1" ref="M739" ca="1">SUMPRODUCT((Table1[SubscriptionStart] &lt;= $A739) * (Table1[EffectiveEndDate] &gt;= $A739) * (Table1[Region] = "Wales"))</f>
        <v>116</v>
      </c>
      <c r="N739" s="45" cm="1">
        <f t="array" aca="1" ref="N739" ca="1">SUMPRODUCT((Table1[SubscriptionStart] &lt;= $A739) * (Table1[EffectiveEndDate] &gt;= $A739) * (Table1[Region] = "Northern Ireland"))</f>
        <v>98</v>
      </c>
      <c r="O739" s="45" cm="1">
        <f t="array" aca="1" ref="O739" ca="1">SUMPRODUCT((Table1[Gender]="Male")*(Table1[SubscriptionStart]&lt;=A739)*(Table1[EffectiveEndDate]&gt;=A739))</f>
        <v>201</v>
      </c>
      <c r="P739" s="45" cm="1">
        <f t="array" aca="1" ref="P739" ca="1">SUMPRODUCT((Table1[Gender]="Female")*(Table1[SubscriptionStart]&lt;=A739)*(Table1[EffectiveEndDate]&gt;=A739))</f>
        <v>206</v>
      </c>
    </row>
    <row r="740" spans="1:16">
      <c r="A740" s="48">
        <f t="shared" si="47"/>
        <v>45300</v>
      </c>
      <c r="B740" s="45" cm="1">
        <f t="array" aca="1" ref="B740" ca="1">SUMPRODUCT((Table1[SubscriptionStart]&lt;=A740)*(Table1[EffectiveEndDate]&gt;=A740))</f>
        <v>407</v>
      </c>
      <c r="C740" s="45">
        <f>COUNTIFS(Table1[SubscriptionStart], A740)</f>
        <v>0</v>
      </c>
      <c r="D740" s="45">
        <f>COUNTIFS(Table1[CancellationDate], A740)</f>
        <v>0</v>
      </c>
      <c r="E740" s="45">
        <f t="shared" si="44"/>
        <v>0</v>
      </c>
      <c r="F740" s="45">
        <f>SUM($C$2:C740)</f>
        <v>800</v>
      </c>
      <c r="G740" s="49" cm="1">
        <f t="array" aca="1" ref="G740" ca="1">IF(B740=0,"", SUMPRODUCT((Table1[SubscriptionStart]&lt;=A740)*(Table1[EffectiveEndDate]&gt;=A740)*Table1[Age]) / B740 )</f>
        <v>46.545454545454547</v>
      </c>
      <c r="H740" s="22">
        <f>SUMIF(Table1[SubscriptionStart],"&lt;="&amp;A740,Table1[TotalRevenue])</f>
        <v>157201.8500000003</v>
      </c>
      <c r="I740" s="50">
        <f t="shared" si="45"/>
        <v>45322</v>
      </c>
      <c r="J740" s="49">
        <f t="shared" ca="1" si="46"/>
        <v>407.8</v>
      </c>
      <c r="K740" s="45" cm="1">
        <f t="array" aca="1" ref="K740" ca="1">SUMPRODUCT((Table1[SubscriptionStart] &lt;= $A740) * (Table1[EffectiveEndDate] &gt;= $A740) * (Table1[Region] = "England"))</f>
        <v>101</v>
      </c>
      <c r="L740" s="45" cm="1">
        <f t="array" aca="1" ref="L740" ca="1">SUMPRODUCT((Table1[SubscriptionStart] &lt;= $A740) * (Table1[EffectiveEndDate] &gt;= $A740) * (Table1[Region] = "Scotland"))</f>
        <v>92</v>
      </c>
      <c r="M740" s="45" cm="1">
        <f t="array" aca="1" ref="M740" ca="1">SUMPRODUCT((Table1[SubscriptionStart] &lt;= $A740) * (Table1[EffectiveEndDate] &gt;= $A740) * (Table1[Region] = "Wales"))</f>
        <v>116</v>
      </c>
      <c r="N740" s="45" cm="1">
        <f t="array" aca="1" ref="N740" ca="1">SUMPRODUCT((Table1[SubscriptionStart] &lt;= $A740) * (Table1[EffectiveEndDate] &gt;= $A740) * (Table1[Region] = "Northern Ireland"))</f>
        <v>98</v>
      </c>
      <c r="O740" s="45" cm="1">
        <f t="array" aca="1" ref="O740" ca="1">SUMPRODUCT((Table1[Gender]="Male")*(Table1[SubscriptionStart]&lt;=A740)*(Table1[EffectiveEndDate]&gt;=A740))</f>
        <v>201</v>
      </c>
      <c r="P740" s="45" cm="1">
        <f t="array" aca="1" ref="P740" ca="1">SUMPRODUCT((Table1[Gender]="Female")*(Table1[SubscriptionStart]&lt;=A740)*(Table1[EffectiveEndDate]&gt;=A740))</f>
        <v>206</v>
      </c>
    </row>
    <row r="741" spans="1:16">
      <c r="A741" s="48">
        <f t="shared" si="47"/>
        <v>45301</v>
      </c>
      <c r="B741" s="45" cm="1">
        <f t="array" aca="1" ref="B741" ca="1">SUMPRODUCT((Table1[SubscriptionStart]&lt;=A741)*(Table1[EffectiveEndDate]&gt;=A741))</f>
        <v>407</v>
      </c>
      <c r="C741" s="45">
        <f>COUNTIFS(Table1[SubscriptionStart], A741)</f>
        <v>0</v>
      </c>
      <c r="D741" s="45">
        <f>COUNTIFS(Table1[CancellationDate], A741)</f>
        <v>1</v>
      </c>
      <c r="E741" s="45">
        <f t="shared" si="44"/>
        <v>-1</v>
      </c>
      <c r="F741" s="45">
        <f>SUM($C$2:C741)</f>
        <v>800</v>
      </c>
      <c r="G741" s="49" cm="1">
        <f t="array" aca="1" ref="G741" ca="1">IF(B741=0,"", SUMPRODUCT((Table1[SubscriptionStart]&lt;=A741)*(Table1[EffectiveEndDate]&gt;=A741)*Table1[Age]) / B741 )</f>
        <v>46.545454545454547</v>
      </c>
      <c r="H741" s="22">
        <f>SUMIF(Table1[SubscriptionStart],"&lt;="&amp;A741,Table1[TotalRevenue])</f>
        <v>157201.8500000003</v>
      </c>
      <c r="I741" s="50">
        <f t="shared" si="45"/>
        <v>45322</v>
      </c>
      <c r="J741" s="49">
        <f t="shared" ca="1" si="46"/>
        <v>407.8</v>
      </c>
      <c r="K741" s="45" cm="1">
        <f t="array" aca="1" ref="K741" ca="1">SUMPRODUCT((Table1[SubscriptionStart] &lt;= $A741) * (Table1[EffectiveEndDate] &gt;= $A741) * (Table1[Region] = "England"))</f>
        <v>101</v>
      </c>
      <c r="L741" s="45" cm="1">
        <f t="array" aca="1" ref="L741" ca="1">SUMPRODUCT((Table1[SubscriptionStart] &lt;= $A741) * (Table1[EffectiveEndDate] &gt;= $A741) * (Table1[Region] = "Scotland"))</f>
        <v>92</v>
      </c>
      <c r="M741" s="45" cm="1">
        <f t="array" aca="1" ref="M741" ca="1">SUMPRODUCT((Table1[SubscriptionStart] &lt;= $A741) * (Table1[EffectiveEndDate] &gt;= $A741) * (Table1[Region] = "Wales"))</f>
        <v>116</v>
      </c>
      <c r="N741" s="45" cm="1">
        <f t="array" aca="1" ref="N741" ca="1">SUMPRODUCT((Table1[SubscriptionStart] &lt;= $A741) * (Table1[EffectiveEndDate] &gt;= $A741) * (Table1[Region] = "Northern Ireland"))</f>
        <v>98</v>
      </c>
      <c r="O741" s="45" cm="1">
        <f t="array" aca="1" ref="O741" ca="1">SUMPRODUCT((Table1[Gender]="Male")*(Table1[SubscriptionStart]&lt;=A741)*(Table1[EffectiveEndDate]&gt;=A741))</f>
        <v>201</v>
      </c>
      <c r="P741" s="45" cm="1">
        <f t="array" aca="1" ref="P741" ca="1">SUMPRODUCT((Table1[Gender]="Female")*(Table1[SubscriptionStart]&lt;=A741)*(Table1[EffectiveEndDate]&gt;=A741))</f>
        <v>206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1FBE-B446-4A88-A37A-B9881E3E459D}">
  <dimension ref="A1:AK40"/>
  <sheetViews>
    <sheetView showGridLines="0" topLeftCell="AA20" zoomScale="70" zoomScaleNormal="70" workbookViewId="0">
      <selection activeCell="M7" sqref="M7"/>
    </sheetView>
  </sheetViews>
  <sheetFormatPr defaultRowHeight="15"/>
  <cols>
    <col min="2" max="2" width="8.5703125" customWidth="1"/>
  </cols>
  <sheetData>
    <row r="1" spans="1:37" ht="31.5">
      <c r="A1" s="63" t="s">
        <v>929</v>
      </c>
      <c r="B1" s="64"/>
      <c r="C1" s="64"/>
      <c r="D1" s="64"/>
      <c r="E1" s="64"/>
      <c r="F1" s="64"/>
      <c r="G1" s="64"/>
      <c r="H1" s="64"/>
      <c r="I1" s="64"/>
      <c r="J1" s="64"/>
      <c r="K1" s="65"/>
    </row>
    <row r="7" spans="1:37" ht="21">
      <c r="B7" s="58" t="s">
        <v>930</v>
      </c>
      <c r="C7" s="56"/>
      <c r="D7" s="56"/>
      <c r="E7" s="56"/>
      <c r="F7" s="59"/>
      <c r="G7" s="57"/>
      <c r="Q7" s="58" t="s">
        <v>932</v>
      </c>
      <c r="R7" s="56"/>
      <c r="S7" s="56"/>
      <c r="T7" s="56"/>
      <c r="U7" s="57"/>
      <c r="AF7" s="52" t="s">
        <v>935</v>
      </c>
      <c r="AG7" s="53"/>
      <c r="AH7" s="53"/>
      <c r="AI7" s="53"/>
      <c r="AJ7" s="53"/>
      <c r="AK7" s="54"/>
    </row>
    <row r="40" spans="2:37" ht="21">
      <c r="B40" s="58" t="s">
        <v>933</v>
      </c>
      <c r="C40" s="56"/>
      <c r="D40" s="56"/>
      <c r="E40" s="56"/>
      <c r="F40" s="56"/>
      <c r="G40" s="57"/>
      <c r="Q40" s="55" t="s">
        <v>934</v>
      </c>
      <c r="R40" s="56"/>
      <c r="S40" s="56"/>
      <c r="T40" s="56"/>
      <c r="U40" s="57"/>
      <c r="AF40" s="52" t="s">
        <v>936</v>
      </c>
      <c r="AG40" s="53"/>
      <c r="AH40" s="53"/>
      <c r="AI40" s="53"/>
      <c r="AJ40" s="53"/>
      <c r="AK40" s="54"/>
    </row>
  </sheetData>
  <mergeCells count="1">
    <mergeCell ref="A1:K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F42D-6A12-4F33-899D-040A1D6D9CED}">
  <dimension ref="A1:H7"/>
  <sheetViews>
    <sheetView showGridLines="0" workbookViewId="0">
      <selection activeCell="K44" sqref="K44"/>
    </sheetView>
  </sheetViews>
  <sheetFormatPr defaultRowHeight="15"/>
  <cols>
    <col min="1" max="1" width="47.5703125" customWidth="1"/>
    <col min="2" max="2" width="20.140625" bestFit="1" customWidth="1"/>
    <col min="4" max="4" width="13.140625" bestFit="1" customWidth="1"/>
    <col min="5" max="5" width="20.140625" bestFit="1" customWidth="1"/>
    <col min="7" max="7" width="13.140625" bestFit="1" customWidth="1"/>
    <col min="8" max="8" width="20.140625" bestFit="1" customWidth="1"/>
  </cols>
  <sheetData>
    <row r="1" spans="1:8" ht="30" customHeight="1">
      <c r="A1" s="14" t="s">
        <v>872</v>
      </c>
      <c r="B1" s="15" t="s">
        <v>871</v>
      </c>
    </row>
    <row r="2" spans="1:8" ht="30" customHeight="1">
      <c r="A2" s="16" t="s">
        <v>866</v>
      </c>
      <c r="B2" s="17">
        <f>COUNTIF(Table1[ChurnStatus],"Active")</f>
        <v>198</v>
      </c>
      <c r="D2" s="20" t="s">
        <v>874</v>
      </c>
      <c r="E2" t="s">
        <v>876</v>
      </c>
      <c r="G2" s="20" t="s">
        <v>874</v>
      </c>
      <c r="H2" t="s">
        <v>876</v>
      </c>
    </row>
    <row r="3" spans="1:8" ht="30" customHeight="1">
      <c r="A3" s="16" t="s">
        <v>867</v>
      </c>
      <c r="B3" s="17">
        <f>COUNTIF(Table1[ChurnStatus],"Cancelled")</f>
        <v>602</v>
      </c>
      <c r="D3" s="21" t="s">
        <v>29</v>
      </c>
      <c r="E3" s="23">
        <v>50793.599999999977</v>
      </c>
      <c r="G3" s="21" t="s">
        <v>29</v>
      </c>
      <c r="H3" s="24">
        <v>0.32311070130535985</v>
      </c>
    </row>
    <row r="4" spans="1:8" ht="30" customHeight="1">
      <c r="A4" s="16" t="s">
        <v>868</v>
      </c>
      <c r="B4" s="18">
        <f>SUM(Table1[TotalRevenue])</f>
        <v>157201.8500000003</v>
      </c>
      <c r="D4" s="21" t="s">
        <v>38</v>
      </c>
      <c r="E4" s="23">
        <v>34882.650000000016</v>
      </c>
      <c r="G4" s="21" t="s">
        <v>38</v>
      </c>
      <c r="H4" s="24">
        <v>0.22189719777470826</v>
      </c>
    </row>
    <row r="5" spans="1:8" ht="30" customHeight="1">
      <c r="A5" s="16" t="s">
        <v>869</v>
      </c>
      <c r="B5" s="18">
        <f>AVERAGE(Table1[TotalRevenue])</f>
        <v>196.50231250000036</v>
      </c>
      <c r="D5" s="21" t="s">
        <v>24</v>
      </c>
      <c r="E5" s="23">
        <v>71525.599999999962</v>
      </c>
      <c r="G5" s="21" t="s">
        <v>24</v>
      </c>
      <c r="H5" s="24">
        <v>0.45499210091993175</v>
      </c>
    </row>
    <row r="6" spans="1:8" ht="30" customHeight="1">
      <c r="A6" s="16" t="s">
        <v>873</v>
      </c>
      <c r="B6" s="18">
        <f>AVERAGE(Table1[LifetimeValue])</f>
        <v>213.57168750000039</v>
      </c>
      <c r="D6" s="21" t="s">
        <v>875</v>
      </c>
      <c r="E6" s="23">
        <v>157201.84999999998</v>
      </c>
      <c r="G6" s="21" t="s">
        <v>875</v>
      </c>
      <c r="H6" s="24">
        <v>1</v>
      </c>
    </row>
    <row r="7" spans="1:8" ht="30" customHeight="1">
      <c r="A7" s="16" t="s">
        <v>870</v>
      </c>
      <c r="B7" s="19">
        <f>AVERAGE(Table1[Age])</f>
        <v>46.568750000000001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6B8D-B498-4C8B-85EC-F11DCE0E0D07}">
  <dimension ref="A1:R12"/>
  <sheetViews>
    <sheetView showGridLines="0" zoomScale="85" zoomScaleNormal="85" workbookViewId="0">
      <selection activeCell="L6" sqref="L6"/>
    </sheetView>
  </sheetViews>
  <sheetFormatPr defaultRowHeight="15"/>
  <cols>
    <col min="1" max="1" width="16" bestFit="1" customWidth="1"/>
    <col min="2" max="2" width="16.28515625" bestFit="1" customWidth="1"/>
    <col min="3" max="3" width="24.42578125" bestFit="1" customWidth="1"/>
    <col min="4" max="4" width="10.42578125" bestFit="1" customWidth="1"/>
    <col min="5" max="5" width="24.42578125" bestFit="1" customWidth="1"/>
    <col min="6" max="6" width="15.42578125" bestFit="1" customWidth="1"/>
    <col min="7" max="7" width="29.42578125" bestFit="1" customWidth="1"/>
    <col min="10" max="10" width="13.28515625" bestFit="1" customWidth="1"/>
    <col min="11" max="11" width="16.28515625" bestFit="1" customWidth="1"/>
    <col min="12" max="12" width="24.42578125" bestFit="1" customWidth="1"/>
    <col min="13" max="13" width="15.42578125" bestFit="1" customWidth="1"/>
    <col min="14" max="14" width="24.42578125" bestFit="1" customWidth="1"/>
    <col min="15" max="15" width="15.42578125" bestFit="1" customWidth="1"/>
    <col min="16" max="16" width="24.42578125" bestFit="1" customWidth="1"/>
    <col min="17" max="17" width="20.42578125" bestFit="1" customWidth="1"/>
    <col min="18" max="18" width="29.42578125" bestFit="1" customWidth="1"/>
  </cols>
  <sheetData>
    <row r="1" spans="1:18">
      <c r="A1" s="20" t="s">
        <v>7</v>
      </c>
      <c r="B1" t="s">
        <v>880</v>
      </c>
    </row>
    <row r="2" spans="1:18">
      <c r="A2" s="20" t="s">
        <v>8</v>
      </c>
      <c r="B2" t="s">
        <v>880</v>
      </c>
    </row>
    <row r="4" spans="1:18">
      <c r="B4" s="20" t="s">
        <v>877</v>
      </c>
      <c r="K4" s="20" t="s">
        <v>877</v>
      </c>
    </row>
    <row r="5" spans="1:18">
      <c r="B5" t="s">
        <v>879</v>
      </c>
      <c r="D5" t="s">
        <v>878</v>
      </c>
      <c r="F5" t="s">
        <v>890</v>
      </c>
      <c r="G5" t="s">
        <v>886</v>
      </c>
      <c r="K5" s="30" t="s">
        <v>24</v>
      </c>
      <c r="L5" s="37"/>
      <c r="M5" s="32" t="s">
        <v>38</v>
      </c>
      <c r="N5" s="32"/>
      <c r="O5" s="30" t="s">
        <v>29</v>
      </c>
      <c r="P5" s="37"/>
      <c r="Q5" s="43" t="s">
        <v>888</v>
      </c>
      <c r="R5" s="43" t="s">
        <v>886</v>
      </c>
    </row>
    <row r="6" spans="1:18">
      <c r="A6" s="20" t="s">
        <v>874</v>
      </c>
      <c r="B6" t="s">
        <v>891</v>
      </c>
      <c r="C6" t="s">
        <v>887</v>
      </c>
      <c r="D6" t="s">
        <v>891</v>
      </c>
      <c r="E6" t="s">
        <v>887</v>
      </c>
      <c r="J6" s="20" t="s">
        <v>874</v>
      </c>
      <c r="K6" s="30" t="s">
        <v>889</v>
      </c>
      <c r="L6" s="37" t="s">
        <v>887</v>
      </c>
      <c r="M6" s="32" t="s">
        <v>889</v>
      </c>
      <c r="N6" s="32" t="s">
        <v>887</v>
      </c>
      <c r="O6" s="30" t="s">
        <v>889</v>
      </c>
      <c r="P6" s="37" t="s">
        <v>887</v>
      </c>
      <c r="Q6" s="44"/>
      <c r="R6" s="44"/>
    </row>
    <row r="7" spans="1:18">
      <c r="A7" s="34" t="s">
        <v>31</v>
      </c>
      <c r="B7">
        <v>157</v>
      </c>
      <c r="C7" s="24">
        <v>0.19625000000000001</v>
      </c>
      <c r="D7">
        <v>42</v>
      </c>
      <c r="E7" s="24">
        <v>5.2499999999999998E-2</v>
      </c>
      <c r="F7">
        <v>199</v>
      </c>
      <c r="G7" s="24">
        <v>0.24875</v>
      </c>
      <c r="J7" s="34" t="s">
        <v>881</v>
      </c>
      <c r="K7" s="38">
        <v>236</v>
      </c>
      <c r="L7" s="39">
        <v>0.29499999999999998</v>
      </c>
      <c r="M7" s="40">
        <v>122</v>
      </c>
      <c r="N7" s="41">
        <v>0.1525</v>
      </c>
      <c r="O7" s="38">
        <v>125</v>
      </c>
      <c r="P7" s="39">
        <v>0.15625</v>
      </c>
      <c r="Q7" s="38">
        <v>483</v>
      </c>
      <c r="R7" s="39">
        <v>0.60375000000000001</v>
      </c>
    </row>
    <row r="8" spans="1:18">
      <c r="A8" s="34" t="s">
        <v>34</v>
      </c>
      <c r="B8">
        <v>152</v>
      </c>
      <c r="C8" s="24">
        <v>0.19</v>
      </c>
      <c r="D8">
        <v>52</v>
      </c>
      <c r="E8" s="24">
        <v>6.5000000000000002E-2</v>
      </c>
      <c r="F8">
        <v>204</v>
      </c>
      <c r="G8" s="24">
        <v>0.255</v>
      </c>
      <c r="J8" s="34" t="s">
        <v>882</v>
      </c>
      <c r="K8" s="25">
        <v>50</v>
      </c>
      <c r="L8" s="26">
        <v>6.25E-2</v>
      </c>
      <c r="M8">
        <v>16</v>
      </c>
      <c r="N8" s="24">
        <v>0.02</v>
      </c>
      <c r="O8" s="25">
        <v>16</v>
      </c>
      <c r="P8" s="26">
        <v>0.02</v>
      </c>
      <c r="Q8" s="25">
        <v>82</v>
      </c>
      <c r="R8" s="26">
        <v>0.10249999999999999</v>
      </c>
    </row>
    <row r="9" spans="1:18">
      <c r="A9" s="34" t="s">
        <v>52</v>
      </c>
      <c r="B9">
        <v>155</v>
      </c>
      <c r="C9" s="24">
        <v>0.19375000000000001</v>
      </c>
      <c r="D9">
        <v>35</v>
      </c>
      <c r="E9" s="24">
        <v>4.3749999999999997E-2</v>
      </c>
      <c r="F9">
        <v>190</v>
      </c>
      <c r="G9" s="24">
        <v>0.23749999999999999</v>
      </c>
      <c r="J9" s="34" t="s">
        <v>883</v>
      </c>
      <c r="K9" s="25">
        <v>71</v>
      </c>
      <c r="L9" s="26">
        <v>8.8749999999999996E-2</v>
      </c>
      <c r="M9">
        <v>29</v>
      </c>
      <c r="N9" s="24">
        <v>3.6249999999999998E-2</v>
      </c>
      <c r="O9" s="25">
        <v>36</v>
      </c>
      <c r="P9" s="26">
        <v>4.4999999999999998E-2</v>
      </c>
      <c r="Q9" s="25">
        <v>136</v>
      </c>
      <c r="R9" s="26">
        <v>0.17</v>
      </c>
    </row>
    <row r="10" spans="1:18">
      <c r="A10" s="34" t="s">
        <v>26</v>
      </c>
      <c r="B10">
        <v>138</v>
      </c>
      <c r="C10" s="24">
        <v>0.17249999999999999</v>
      </c>
      <c r="D10">
        <v>69</v>
      </c>
      <c r="E10" s="24">
        <v>8.6249999999999993E-2</v>
      </c>
      <c r="F10">
        <v>207</v>
      </c>
      <c r="G10" s="24">
        <v>0.25874999999999998</v>
      </c>
      <c r="J10" s="34" t="s">
        <v>884</v>
      </c>
      <c r="K10" s="25">
        <v>4</v>
      </c>
      <c r="L10" s="26">
        <v>5.0000000000000001E-3</v>
      </c>
      <c r="M10">
        <v>1</v>
      </c>
      <c r="N10" s="24">
        <v>1.25E-3</v>
      </c>
      <c r="O10" s="25">
        <v>4</v>
      </c>
      <c r="P10" s="26">
        <v>5.0000000000000001E-3</v>
      </c>
      <c r="Q10" s="25">
        <v>9</v>
      </c>
      <c r="R10" s="26">
        <v>1.125E-2</v>
      </c>
    </row>
    <row r="11" spans="1:18">
      <c r="A11" s="34" t="s">
        <v>875</v>
      </c>
      <c r="B11">
        <v>602</v>
      </c>
      <c r="C11" s="24">
        <v>0.75249999999999995</v>
      </c>
      <c r="D11">
        <v>198</v>
      </c>
      <c r="E11" s="24">
        <v>0.2475</v>
      </c>
      <c r="F11">
        <v>800</v>
      </c>
      <c r="G11" s="24">
        <v>1</v>
      </c>
      <c r="J11" s="34" t="s">
        <v>885</v>
      </c>
      <c r="K11" s="25">
        <v>62</v>
      </c>
      <c r="L11" s="26">
        <v>7.7499999999999999E-2</v>
      </c>
      <c r="M11" s="42">
        <v>12</v>
      </c>
      <c r="N11" s="29">
        <v>1.4999999999999999E-2</v>
      </c>
      <c r="O11" s="27">
        <v>16</v>
      </c>
      <c r="P11" s="28">
        <v>0.02</v>
      </c>
      <c r="Q11" s="25">
        <v>90</v>
      </c>
      <c r="R11" s="26">
        <v>0.1125</v>
      </c>
    </row>
    <row r="12" spans="1:18">
      <c r="J12" s="21" t="s">
        <v>875</v>
      </c>
      <c r="K12" s="30">
        <v>423</v>
      </c>
      <c r="L12" s="31">
        <v>0.52875000000000005</v>
      </c>
      <c r="M12" s="32">
        <v>180</v>
      </c>
      <c r="N12" s="33">
        <v>0.22500000000000001</v>
      </c>
      <c r="O12" s="32">
        <v>197</v>
      </c>
      <c r="P12" s="33">
        <v>0.24625</v>
      </c>
      <c r="Q12" s="30">
        <v>800</v>
      </c>
      <c r="R12" s="31">
        <v>1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A8A6-4CA9-4E49-8888-95722B04BF89}">
  <dimension ref="A1:F25"/>
  <sheetViews>
    <sheetView showGridLines="0" tabSelected="1" zoomScale="85" zoomScaleNormal="85" workbookViewId="0">
      <selection activeCell="D39" sqref="D39"/>
    </sheetView>
  </sheetViews>
  <sheetFormatPr defaultRowHeight="15"/>
  <cols>
    <col min="1" max="1" width="28" customWidth="1"/>
    <col min="2" max="2" width="56.5703125" bestFit="1" customWidth="1"/>
    <col min="3" max="7" width="28" customWidth="1"/>
  </cols>
  <sheetData>
    <row r="1" spans="1:6">
      <c r="A1" s="66" t="s">
        <v>861</v>
      </c>
      <c r="B1" s="67"/>
      <c r="C1" s="67"/>
      <c r="D1" s="67"/>
      <c r="E1" s="67"/>
      <c r="F1" s="67"/>
    </row>
    <row r="2" spans="1:6">
      <c r="A2" s="67"/>
      <c r="B2" s="67"/>
      <c r="C2" s="67"/>
      <c r="D2" s="67"/>
      <c r="E2" s="67"/>
      <c r="F2" s="67"/>
    </row>
    <row r="4" spans="1:6">
      <c r="A4" s="10" t="s">
        <v>860</v>
      </c>
    </row>
    <row r="5" spans="1:6">
      <c r="A5" s="12" t="s">
        <v>8</v>
      </c>
      <c r="B5" s="12" t="s">
        <v>859</v>
      </c>
    </row>
    <row r="6" spans="1:6">
      <c r="A6" s="8" t="s">
        <v>30</v>
      </c>
      <c r="B6" s="13">
        <v>10</v>
      </c>
    </row>
    <row r="7" spans="1:6">
      <c r="A7" s="8" t="s">
        <v>39</v>
      </c>
      <c r="B7" s="13">
        <v>18</v>
      </c>
    </row>
    <row r="8" spans="1:6">
      <c r="A8" s="8" t="s">
        <v>25</v>
      </c>
      <c r="B8" s="13">
        <v>25</v>
      </c>
    </row>
    <row r="10" spans="1:6">
      <c r="A10" s="10" t="s">
        <v>858</v>
      </c>
    </row>
    <row r="11" spans="1:6">
      <c r="A11" s="11" t="s">
        <v>7</v>
      </c>
      <c r="B11" s="11" t="s">
        <v>857</v>
      </c>
      <c r="C11" s="11" t="s">
        <v>856</v>
      </c>
      <c r="D11" s="11" t="s">
        <v>855</v>
      </c>
    </row>
    <row r="12" spans="1:6">
      <c r="A12" s="8" t="s">
        <v>29</v>
      </c>
      <c r="B12" s="13">
        <v>1</v>
      </c>
      <c r="C12" s="8" t="s">
        <v>43</v>
      </c>
      <c r="D12" s="8" t="s">
        <v>862</v>
      </c>
    </row>
    <row r="13" spans="1:6">
      <c r="A13" s="8" t="s">
        <v>38</v>
      </c>
      <c r="B13" s="13">
        <v>6</v>
      </c>
      <c r="C13" s="8" t="s">
        <v>854</v>
      </c>
      <c r="D13" s="8" t="s">
        <v>863</v>
      </c>
    </row>
    <row r="14" spans="1:6">
      <c r="A14" s="8" t="s">
        <v>24</v>
      </c>
      <c r="B14" s="13">
        <v>12</v>
      </c>
      <c r="C14" s="8" t="s">
        <v>853</v>
      </c>
      <c r="D14" s="8" t="s">
        <v>864</v>
      </c>
    </row>
    <row r="17" spans="1:2">
      <c r="A17" s="10" t="s">
        <v>852</v>
      </c>
    </row>
    <row r="18" spans="1:2">
      <c r="A18" s="9" t="s">
        <v>851</v>
      </c>
      <c r="B18" s="9" t="s">
        <v>850</v>
      </c>
    </row>
    <row r="19" spans="1:2">
      <c r="A19" s="8" t="s">
        <v>849</v>
      </c>
      <c r="B19" s="8" t="s">
        <v>848</v>
      </c>
    </row>
    <row r="20" spans="1:2">
      <c r="A20" s="8" t="s">
        <v>847</v>
      </c>
      <c r="B20" s="8" t="s">
        <v>846</v>
      </c>
    </row>
    <row r="21" spans="1:2">
      <c r="A21" s="8" t="s">
        <v>845</v>
      </c>
      <c r="B21" s="8" t="s">
        <v>865</v>
      </c>
    </row>
    <row r="25" spans="1:2">
      <c r="B25" t="s">
        <v>931</v>
      </c>
    </row>
  </sheetData>
  <mergeCells count="1">
    <mergeCell ref="A1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9C62-BD98-4264-90E7-F67C48600018}">
  <dimension ref="A1:H2"/>
  <sheetViews>
    <sheetView showGridLines="0" workbookViewId="0">
      <selection activeCell="E3" sqref="E3"/>
    </sheetView>
  </sheetViews>
  <sheetFormatPr defaultRowHeight="15"/>
  <cols>
    <col min="1" max="8" width="10.7109375" bestFit="1" customWidth="1"/>
  </cols>
  <sheetData>
    <row r="1" spans="1:8">
      <c r="A1" t="s">
        <v>919</v>
      </c>
      <c r="B1" t="s">
        <v>920</v>
      </c>
      <c r="C1" t="s">
        <v>921</v>
      </c>
      <c r="D1" t="s">
        <v>922</v>
      </c>
      <c r="E1" t="s">
        <v>923</v>
      </c>
    </row>
    <row r="2" spans="1:8">
      <c r="A2" s="47">
        <v>44562</v>
      </c>
      <c r="B2" s="47">
        <v>44713</v>
      </c>
      <c r="C2" s="47">
        <v>44927</v>
      </c>
      <c r="D2" s="47">
        <v>45078</v>
      </c>
      <c r="E2" s="47">
        <v>45566</v>
      </c>
      <c r="F2" s="47"/>
      <c r="G2" s="47"/>
      <c r="H2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Subscriptions</vt:lpstr>
      <vt:lpstr>Revenue Analytics Dashboard</vt:lpstr>
      <vt:lpstr>Active Timeline</vt:lpstr>
      <vt:lpstr>Timeline Dashboard</vt:lpstr>
      <vt:lpstr>Subscription Overview</vt:lpstr>
      <vt:lpstr>Customer Distribution</vt:lpstr>
      <vt:lpstr>Subscription Rules &amp; Pricing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Parsons</cp:lastModifiedBy>
  <dcterms:created xsi:type="dcterms:W3CDTF">2025-11-20T12:00:10Z</dcterms:created>
  <dcterms:modified xsi:type="dcterms:W3CDTF">2025-11-20T22:25:04Z</dcterms:modified>
</cp:coreProperties>
</file>